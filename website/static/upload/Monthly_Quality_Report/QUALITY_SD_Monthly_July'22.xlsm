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queryTables/queryTable190.xml" ContentType="application/vnd.openxmlformats-officedocument.spreadsheetml.queryTable+xml"/>
  <Override PartName="/xl/queryTables/queryTable191.xml" ContentType="application/vnd.openxmlformats-officedocument.spreadsheetml.queryTable+xml"/>
  <Override PartName="/xl/queryTables/queryTable192.xml" ContentType="application/vnd.openxmlformats-officedocument.spreadsheetml.queryTable+xml"/>
  <Override PartName="/xl/queryTables/queryTable193.xml" ContentType="application/vnd.openxmlformats-officedocument.spreadsheetml.queryTable+xml"/>
  <Override PartName="/xl/queryTables/queryTable194.xml" ContentType="application/vnd.openxmlformats-officedocument.spreadsheetml.queryTable+xml"/>
  <Override PartName="/xl/queryTables/queryTable195.xml" ContentType="application/vnd.openxmlformats-officedocument.spreadsheetml.queryTable+xml"/>
  <Override PartName="/xl/queryTables/queryTable196.xml" ContentType="application/vnd.openxmlformats-officedocument.spreadsheetml.queryTable+xml"/>
  <Override PartName="/xl/queryTables/queryTable197.xml" ContentType="application/vnd.openxmlformats-officedocument.spreadsheetml.queryTable+xml"/>
  <Override PartName="/xl/queryTables/queryTable198.xml" ContentType="application/vnd.openxmlformats-officedocument.spreadsheetml.queryTable+xml"/>
  <Override PartName="/xl/queryTables/queryTable199.xml" ContentType="application/vnd.openxmlformats-officedocument.spreadsheetml.queryTable+xml"/>
  <Override PartName="/xl/queryTables/queryTable200.xml" ContentType="application/vnd.openxmlformats-officedocument.spreadsheetml.queryTable+xml"/>
  <Override PartName="/xl/queryTables/queryTable201.xml" ContentType="application/vnd.openxmlformats-officedocument.spreadsheetml.queryTable+xml"/>
  <Override PartName="/xl/queryTables/queryTable202.xml" ContentType="application/vnd.openxmlformats-officedocument.spreadsheetml.queryTable+xml"/>
  <Override PartName="/xl/queryTables/queryTable203.xml" ContentType="application/vnd.openxmlformats-officedocument.spreadsheetml.queryTable+xml"/>
  <Override PartName="/xl/queryTables/queryTable204.xml" ContentType="application/vnd.openxmlformats-officedocument.spreadsheetml.queryTable+xml"/>
  <Override PartName="/xl/queryTables/queryTable205.xml" ContentType="application/vnd.openxmlformats-officedocument.spreadsheetml.queryTable+xml"/>
  <Override PartName="/xl/queryTables/queryTable206.xml" ContentType="application/vnd.openxmlformats-officedocument.spreadsheetml.queryTable+xml"/>
  <Override PartName="/xl/queryTables/queryTable207.xml" ContentType="application/vnd.openxmlformats-officedocument.spreadsheetml.queryTable+xml"/>
  <Override PartName="/xl/queryTables/queryTable208.xml" ContentType="application/vnd.openxmlformats-officedocument.spreadsheetml.queryTable+xml"/>
  <Override PartName="/xl/queryTables/queryTable209.xml" ContentType="application/vnd.openxmlformats-officedocument.spreadsheetml.queryTable+xml"/>
  <Override PartName="/xl/queryTables/queryTable210.xml" ContentType="application/vnd.openxmlformats-officedocument.spreadsheetml.queryTable+xml"/>
  <Override PartName="/xl/queryTables/queryTable211.xml" ContentType="application/vnd.openxmlformats-officedocument.spreadsheetml.queryTable+xml"/>
  <Override PartName="/xl/queryTables/queryTable212.xml" ContentType="application/vnd.openxmlformats-officedocument.spreadsheetml.queryTable+xml"/>
  <Override PartName="/xl/queryTables/queryTable213.xml" ContentType="application/vnd.openxmlformats-officedocument.spreadsheetml.queryTable+xml"/>
  <Override PartName="/xl/queryTables/queryTable214.xml" ContentType="application/vnd.openxmlformats-officedocument.spreadsheetml.queryTable+xml"/>
  <Override PartName="/xl/queryTables/queryTable215.xml" ContentType="application/vnd.openxmlformats-officedocument.spreadsheetml.queryTable+xml"/>
  <Override PartName="/xl/queryTables/queryTable216.xml" ContentType="application/vnd.openxmlformats-officedocument.spreadsheetml.queryTable+xml"/>
  <Override PartName="/xl/queryTables/queryTable217.xml" ContentType="application/vnd.openxmlformats-officedocument.spreadsheetml.queryTable+xml"/>
  <Override PartName="/xl/queryTables/queryTable218.xml" ContentType="application/vnd.openxmlformats-officedocument.spreadsheetml.queryTable+xml"/>
  <Override PartName="/xl/queryTables/queryTable219.xml" ContentType="application/vnd.openxmlformats-officedocument.spreadsheetml.queryTable+xml"/>
  <Override PartName="/xl/queryTables/queryTable220.xml" ContentType="application/vnd.openxmlformats-officedocument.spreadsheetml.queryTable+xml"/>
  <Override PartName="/xl/queryTables/queryTable221.xml" ContentType="application/vnd.openxmlformats-officedocument.spreadsheetml.queryTable+xml"/>
  <Override PartName="/xl/queryTables/queryTable222.xml" ContentType="application/vnd.openxmlformats-officedocument.spreadsheetml.queryTable+xml"/>
  <Override PartName="/xl/queryTables/queryTable223.xml" ContentType="application/vnd.openxmlformats-officedocument.spreadsheetml.queryTable+xml"/>
  <Override PartName="/xl/queryTables/queryTable224.xml" ContentType="application/vnd.openxmlformats-officedocument.spreadsheetml.queryTable+xml"/>
  <Override PartName="/xl/queryTables/queryTable225.xml" ContentType="application/vnd.openxmlformats-officedocument.spreadsheetml.queryTable+xml"/>
  <Override PartName="/xl/queryTables/queryTable226.xml" ContentType="application/vnd.openxmlformats-officedocument.spreadsheetml.queryTable+xml"/>
  <Override PartName="/xl/queryTables/queryTable227.xml" ContentType="application/vnd.openxmlformats-officedocument.spreadsheetml.queryTable+xml"/>
  <Override PartName="/xl/queryTables/queryTable228.xml" ContentType="application/vnd.openxmlformats-officedocument.spreadsheetml.queryTable+xml"/>
  <Override PartName="/xl/queryTables/queryTable229.xml" ContentType="application/vnd.openxmlformats-officedocument.spreadsheetml.queryTable+xml"/>
  <Override PartName="/xl/queryTables/queryTable230.xml" ContentType="application/vnd.openxmlformats-officedocument.spreadsheetml.queryTable+xml"/>
  <Override PartName="/xl/queryTables/queryTable231.xml" ContentType="application/vnd.openxmlformats-officedocument.spreadsheetml.queryTable+xml"/>
  <Override PartName="/xl/queryTables/queryTable232.xml" ContentType="application/vnd.openxmlformats-officedocument.spreadsheetml.queryTable+xml"/>
  <Override PartName="/xl/queryTables/queryTable233.xml" ContentType="application/vnd.openxmlformats-officedocument.spreadsheetml.queryTable+xml"/>
  <Override PartName="/xl/queryTables/queryTable234.xml" ContentType="application/vnd.openxmlformats-officedocument.spreadsheetml.queryTable+xml"/>
  <Override PartName="/xl/queryTables/queryTable235.xml" ContentType="application/vnd.openxmlformats-officedocument.spreadsheetml.queryTable+xml"/>
  <Override PartName="/xl/queryTables/queryTable236.xml" ContentType="application/vnd.openxmlformats-officedocument.spreadsheetml.queryTable+xml"/>
  <Override PartName="/xl/queryTables/queryTable237.xml" ContentType="application/vnd.openxmlformats-officedocument.spreadsheetml.queryTable+xml"/>
  <Override PartName="/xl/queryTables/queryTable238.xml" ContentType="application/vnd.openxmlformats-officedocument.spreadsheetml.queryTable+xml"/>
  <Override PartName="/xl/queryTables/queryTable239.xml" ContentType="application/vnd.openxmlformats-officedocument.spreadsheetml.queryTable+xml"/>
  <Override PartName="/xl/queryTables/queryTable240.xml" ContentType="application/vnd.openxmlformats-officedocument.spreadsheetml.queryTable+xml"/>
  <Override PartName="/xl/queryTables/queryTable241.xml" ContentType="application/vnd.openxmlformats-officedocument.spreadsheetml.queryTable+xml"/>
  <Override PartName="/xl/queryTables/queryTable242.xml" ContentType="application/vnd.openxmlformats-officedocument.spreadsheetml.queryTable+xml"/>
  <Override PartName="/xl/queryTables/queryTable243.xml" ContentType="application/vnd.openxmlformats-officedocument.spreadsheetml.queryTable+xml"/>
  <Override PartName="/xl/queryTables/queryTable244.xml" ContentType="application/vnd.openxmlformats-officedocument.spreadsheetml.queryTable+xml"/>
  <Override PartName="/xl/queryTables/queryTable245.xml" ContentType="application/vnd.openxmlformats-officedocument.spreadsheetml.queryTable+xml"/>
  <Override PartName="/xl/queryTables/queryTable246.xml" ContentType="application/vnd.openxmlformats-officedocument.spreadsheetml.queryTable+xml"/>
  <Override PartName="/xl/queryTables/queryTable247.xml" ContentType="application/vnd.openxmlformats-officedocument.spreadsheetml.queryTable+xml"/>
  <Override PartName="/xl/queryTables/queryTable248.xml" ContentType="application/vnd.openxmlformats-officedocument.spreadsheetml.queryTable+xml"/>
  <Override PartName="/xl/queryTables/queryTable249.xml" ContentType="application/vnd.openxmlformats-officedocument.spreadsheetml.queryTable+xml"/>
  <Override PartName="/xl/queryTables/queryTable250.xml" ContentType="application/vnd.openxmlformats-officedocument.spreadsheetml.queryTable+xml"/>
  <Override PartName="/xl/queryTables/queryTable251.xml" ContentType="application/vnd.openxmlformats-officedocument.spreadsheetml.queryTable+xml"/>
  <Override PartName="/xl/queryTables/queryTable252.xml" ContentType="application/vnd.openxmlformats-officedocument.spreadsheetml.queryTable+xml"/>
  <Override PartName="/xl/queryTables/queryTable253.xml" ContentType="application/vnd.openxmlformats-officedocument.spreadsheetml.queryTable+xml"/>
  <Override PartName="/xl/queryTables/queryTable254.xml" ContentType="application/vnd.openxmlformats-officedocument.spreadsheetml.queryTable+xml"/>
  <Override PartName="/xl/queryTables/queryTable255.xml" ContentType="application/vnd.openxmlformats-officedocument.spreadsheetml.queryTable+xml"/>
  <Override PartName="/xl/queryTables/queryTable256.xml" ContentType="application/vnd.openxmlformats-officedocument.spreadsheetml.queryTable+xml"/>
  <Override PartName="/xl/queryTables/queryTable257.xml" ContentType="application/vnd.openxmlformats-officedocument.spreadsheetml.queryTable+xml"/>
  <Override PartName="/xl/queryTables/queryTable258.xml" ContentType="application/vnd.openxmlformats-officedocument.spreadsheetml.queryTable+xml"/>
  <Override PartName="/xl/queryTables/queryTable259.xml" ContentType="application/vnd.openxmlformats-officedocument.spreadsheetml.queryTable+xml"/>
  <Override PartName="/xl/queryTables/queryTable260.xml" ContentType="application/vnd.openxmlformats-officedocument.spreadsheetml.queryTable+xml"/>
  <Override PartName="/xl/queryTables/queryTable261.xml" ContentType="application/vnd.openxmlformats-officedocument.spreadsheetml.queryTable+xml"/>
  <Override PartName="/xl/queryTables/queryTable262.xml" ContentType="application/vnd.openxmlformats-officedocument.spreadsheetml.queryTable+xml"/>
  <Override PartName="/xl/queryTables/queryTable263.xml" ContentType="application/vnd.openxmlformats-officedocument.spreadsheetml.queryTable+xml"/>
  <Override PartName="/xl/queryTables/queryTable264.xml" ContentType="application/vnd.openxmlformats-officedocument.spreadsheetml.queryTable+xml"/>
  <Override PartName="/xl/queryTables/queryTable265.xml" ContentType="application/vnd.openxmlformats-officedocument.spreadsheetml.queryTable+xml"/>
  <Override PartName="/xl/queryTables/queryTable266.xml" ContentType="application/vnd.openxmlformats-officedocument.spreadsheetml.queryTable+xml"/>
  <Override PartName="/xl/queryTables/queryTable267.xml" ContentType="application/vnd.openxmlformats-officedocument.spreadsheetml.queryTable+xml"/>
  <Override PartName="/xl/queryTables/queryTable268.xml" ContentType="application/vnd.openxmlformats-officedocument.spreadsheetml.queryTable+xml"/>
  <Override PartName="/xl/queryTables/queryTable269.xml" ContentType="application/vnd.openxmlformats-officedocument.spreadsheetml.queryTable+xml"/>
  <Override PartName="/xl/queryTables/queryTable270.xml" ContentType="application/vnd.openxmlformats-officedocument.spreadsheetml.queryTable+xml"/>
  <Override PartName="/xl/queryTables/queryTable271.xml" ContentType="application/vnd.openxmlformats-officedocument.spreadsheetml.queryTable+xml"/>
  <Override PartName="/xl/queryTables/queryTable272.xml" ContentType="application/vnd.openxmlformats-officedocument.spreadsheetml.queryTable+xml"/>
  <Override PartName="/xl/queryTables/queryTable273.xml" ContentType="application/vnd.openxmlformats-officedocument.spreadsheetml.queryTable+xml"/>
  <Override PartName="/xl/queryTables/queryTable274.xml" ContentType="application/vnd.openxmlformats-officedocument.spreadsheetml.queryTable+xml"/>
  <Override PartName="/xl/queryTables/queryTable275.xml" ContentType="application/vnd.openxmlformats-officedocument.spreadsheetml.queryTable+xml"/>
  <Override PartName="/xl/queryTables/queryTable276.xml" ContentType="application/vnd.openxmlformats-officedocument.spreadsheetml.queryTable+xml"/>
  <Override PartName="/xl/queryTables/queryTable277.xml" ContentType="application/vnd.openxmlformats-officedocument.spreadsheetml.queryTable+xml"/>
  <Override PartName="/xl/queryTables/queryTable278.xml" ContentType="application/vnd.openxmlformats-officedocument.spreadsheetml.queryTable+xml"/>
  <Override PartName="/xl/queryTables/queryTable279.xml" ContentType="application/vnd.openxmlformats-officedocument.spreadsheetml.queryTable+xml"/>
  <Override PartName="/xl/queryTables/queryTable280.xml" ContentType="application/vnd.openxmlformats-officedocument.spreadsheetml.queryTable+xml"/>
  <Override PartName="/xl/queryTables/queryTable281.xml" ContentType="application/vnd.openxmlformats-officedocument.spreadsheetml.queryTable+xml"/>
  <Override PartName="/xl/queryTables/queryTable282.xml" ContentType="application/vnd.openxmlformats-officedocument.spreadsheetml.queryTable+xml"/>
  <Override PartName="/xl/queryTables/queryTable283.xml" ContentType="application/vnd.openxmlformats-officedocument.spreadsheetml.queryTable+xml"/>
  <Override PartName="/xl/queryTables/queryTable284.xml" ContentType="application/vnd.openxmlformats-officedocument.spreadsheetml.queryTable+xml"/>
  <Override PartName="/xl/queryTables/queryTable285.xml" ContentType="application/vnd.openxmlformats-officedocument.spreadsheetml.queryTable+xml"/>
  <Override PartName="/xl/queryTables/queryTable286.xml" ContentType="application/vnd.openxmlformats-officedocument.spreadsheetml.queryTable+xml"/>
  <Override PartName="/xl/queryTables/queryTable287.xml" ContentType="application/vnd.openxmlformats-officedocument.spreadsheetml.queryTable+xml"/>
  <Override PartName="/xl/queryTables/queryTable288.xml" ContentType="application/vnd.openxmlformats-officedocument.spreadsheetml.queryTable+xml"/>
  <Override PartName="/xl/queryTables/queryTable289.xml" ContentType="application/vnd.openxmlformats-officedocument.spreadsheetml.queryTable+xml"/>
  <Override PartName="/xl/queryTables/queryTable290.xml" ContentType="application/vnd.openxmlformats-officedocument.spreadsheetml.queryTable+xml"/>
  <Override PartName="/xl/queryTables/queryTable291.xml" ContentType="application/vnd.openxmlformats-officedocument.spreadsheetml.queryTable+xml"/>
  <Override PartName="/xl/queryTables/queryTable292.xml" ContentType="application/vnd.openxmlformats-officedocument.spreadsheetml.queryTable+xml"/>
  <Override PartName="/xl/queryTables/queryTable293.xml" ContentType="application/vnd.openxmlformats-officedocument.spreadsheetml.queryTable+xml"/>
  <Override PartName="/xl/queryTables/queryTable294.xml" ContentType="application/vnd.openxmlformats-officedocument.spreadsheetml.queryTable+xml"/>
  <Override PartName="/xl/queryTables/queryTable295.xml" ContentType="application/vnd.openxmlformats-officedocument.spreadsheetml.queryTable+xml"/>
  <Override PartName="/xl/queryTables/queryTable296.xml" ContentType="application/vnd.openxmlformats-officedocument.spreadsheetml.queryTable+xml"/>
  <Override PartName="/xl/queryTables/queryTable297.xml" ContentType="application/vnd.openxmlformats-officedocument.spreadsheetml.queryTable+xml"/>
  <Override PartName="/xl/queryTables/queryTable298.xml" ContentType="application/vnd.openxmlformats-officedocument.spreadsheetml.queryTable+xml"/>
  <Override PartName="/xl/queryTables/queryTable299.xml" ContentType="application/vnd.openxmlformats-officedocument.spreadsheetml.queryTable+xml"/>
  <Override PartName="/xl/queryTables/queryTable300.xml" ContentType="application/vnd.openxmlformats-officedocument.spreadsheetml.queryTable+xml"/>
  <Override PartName="/xl/queryTables/queryTable301.xml" ContentType="application/vnd.openxmlformats-officedocument.spreadsheetml.queryTable+xml"/>
  <Override PartName="/xl/queryTables/queryTable302.xml" ContentType="application/vnd.openxmlformats-officedocument.spreadsheetml.queryTable+xml"/>
  <Override PartName="/xl/queryTables/queryTable303.xml" ContentType="application/vnd.openxmlformats-officedocument.spreadsheetml.queryTable+xml"/>
  <Override PartName="/xl/queryTables/queryTable304.xml" ContentType="application/vnd.openxmlformats-officedocument.spreadsheetml.queryTable+xml"/>
  <Override PartName="/xl/queryTables/queryTable305.xml" ContentType="application/vnd.openxmlformats-officedocument.spreadsheetml.queryTable+xml"/>
  <Override PartName="/xl/queryTables/queryTable306.xml" ContentType="application/vnd.openxmlformats-officedocument.spreadsheetml.queryTable+xml"/>
  <Override PartName="/xl/queryTables/queryTable307.xml" ContentType="application/vnd.openxmlformats-officedocument.spreadsheetml.queryTable+xml"/>
  <Override PartName="/xl/queryTables/queryTable308.xml" ContentType="application/vnd.openxmlformats-officedocument.spreadsheetml.queryTable+xml"/>
  <Override PartName="/xl/queryTables/queryTable309.xml" ContentType="application/vnd.openxmlformats-officedocument.spreadsheetml.queryTable+xml"/>
  <Override PartName="/xl/queryTables/queryTable310.xml" ContentType="application/vnd.openxmlformats-officedocument.spreadsheetml.queryTable+xml"/>
  <Override PartName="/xl/queryTables/queryTable311.xml" ContentType="application/vnd.openxmlformats-officedocument.spreadsheetml.queryTable+xml"/>
  <Override PartName="/xl/queryTables/queryTable312.xml" ContentType="application/vnd.openxmlformats-officedocument.spreadsheetml.queryTable+xml"/>
  <Override PartName="/xl/queryTables/queryTable313.xml" ContentType="application/vnd.openxmlformats-officedocument.spreadsheetml.queryTable+xml"/>
  <Override PartName="/xl/queryTables/queryTable314.xml" ContentType="application/vnd.openxmlformats-officedocument.spreadsheetml.queryTable+xml"/>
  <Override PartName="/xl/queryTables/queryTable315.xml" ContentType="application/vnd.openxmlformats-officedocument.spreadsheetml.queryTable+xml"/>
  <Override PartName="/xl/queryTables/queryTable316.xml" ContentType="application/vnd.openxmlformats-officedocument.spreadsheetml.queryTable+xml"/>
  <Override PartName="/xl/queryTables/queryTable317.xml" ContentType="application/vnd.openxmlformats-officedocument.spreadsheetml.queryTable+xml"/>
  <Override PartName="/xl/queryTables/queryTable318.xml" ContentType="application/vnd.openxmlformats-officedocument.spreadsheetml.queryTable+xml"/>
  <Override PartName="/xl/queryTables/queryTable319.xml" ContentType="application/vnd.openxmlformats-officedocument.spreadsheetml.queryTable+xml"/>
  <Override PartName="/xl/queryTables/queryTable320.xml" ContentType="application/vnd.openxmlformats-officedocument.spreadsheetml.queryTable+xml"/>
  <Override PartName="/xl/queryTables/queryTable321.xml" ContentType="application/vnd.openxmlformats-officedocument.spreadsheetml.queryTable+xml"/>
  <Override PartName="/xl/queryTables/queryTable322.xml" ContentType="application/vnd.openxmlformats-officedocument.spreadsheetml.queryTable+xml"/>
  <Override PartName="/xl/queryTables/queryTable323.xml" ContentType="application/vnd.openxmlformats-officedocument.spreadsheetml.queryTable+xml"/>
  <Override PartName="/xl/queryTables/queryTable324.xml" ContentType="application/vnd.openxmlformats-officedocument.spreadsheetml.queryTable+xml"/>
  <Override PartName="/xl/queryTables/queryTable325.xml" ContentType="application/vnd.openxmlformats-officedocument.spreadsheetml.queryTable+xml"/>
  <Override PartName="/xl/queryTables/queryTable326.xml" ContentType="application/vnd.openxmlformats-officedocument.spreadsheetml.queryTable+xml"/>
  <Override PartName="/xl/queryTables/queryTable327.xml" ContentType="application/vnd.openxmlformats-officedocument.spreadsheetml.queryTable+xml"/>
  <Override PartName="/xl/queryTables/queryTable328.xml" ContentType="application/vnd.openxmlformats-officedocument.spreadsheetml.queryTable+xml"/>
  <Override PartName="/xl/queryTables/queryTable329.xml" ContentType="application/vnd.openxmlformats-officedocument.spreadsheetml.queryTable+xml"/>
  <Override PartName="/xl/queryTables/queryTable330.xml" ContentType="application/vnd.openxmlformats-officedocument.spreadsheetml.queryTable+xml"/>
  <Override PartName="/xl/queryTables/queryTable331.xml" ContentType="application/vnd.openxmlformats-officedocument.spreadsheetml.queryTable+xml"/>
  <Override PartName="/xl/queryTables/queryTable332.xml" ContentType="application/vnd.openxmlformats-officedocument.spreadsheetml.queryTable+xml"/>
  <Override PartName="/xl/queryTables/queryTable333.xml" ContentType="application/vnd.openxmlformats-officedocument.spreadsheetml.queryTable+xml"/>
  <Override PartName="/xl/queryTables/queryTable334.xml" ContentType="application/vnd.openxmlformats-officedocument.spreadsheetml.queryTable+xml"/>
  <Override PartName="/xl/queryTables/queryTable335.xml" ContentType="application/vnd.openxmlformats-officedocument.spreadsheetml.queryTable+xml"/>
  <Override PartName="/xl/queryTables/queryTable336.xml" ContentType="application/vnd.openxmlformats-officedocument.spreadsheetml.queryTable+xml"/>
  <Override PartName="/xl/queryTables/queryTable337.xml" ContentType="application/vnd.openxmlformats-officedocument.spreadsheetml.queryTable+xml"/>
  <Override PartName="/xl/queryTables/queryTable338.xml" ContentType="application/vnd.openxmlformats-officedocument.spreadsheetml.queryTable+xml"/>
  <Override PartName="/xl/queryTables/queryTable339.xml" ContentType="application/vnd.openxmlformats-officedocument.spreadsheetml.queryTable+xml"/>
  <Override PartName="/xl/queryTables/queryTable340.xml" ContentType="application/vnd.openxmlformats-officedocument.spreadsheetml.queryTable+xml"/>
  <Override PartName="/xl/queryTables/queryTable341.xml" ContentType="application/vnd.openxmlformats-officedocument.spreadsheetml.queryTable+xml"/>
  <Override PartName="/xl/queryTables/queryTable342.xml" ContentType="application/vnd.openxmlformats-officedocument.spreadsheetml.queryTable+xml"/>
  <Override PartName="/xl/queryTables/queryTable343.xml" ContentType="application/vnd.openxmlformats-officedocument.spreadsheetml.queryTable+xml"/>
  <Override PartName="/xl/queryTables/queryTable344.xml" ContentType="application/vnd.openxmlformats-officedocument.spreadsheetml.queryTable+xml"/>
  <Override PartName="/xl/queryTables/queryTable345.xml" ContentType="application/vnd.openxmlformats-officedocument.spreadsheetml.queryTable+xml"/>
  <Override PartName="/xl/queryTables/queryTable346.xml" ContentType="application/vnd.openxmlformats-officedocument.spreadsheetml.queryTable+xml"/>
  <Override PartName="/xl/queryTables/queryTable347.xml" ContentType="application/vnd.openxmlformats-officedocument.spreadsheetml.queryTable+xml"/>
  <Override PartName="/xl/queryTables/queryTable348.xml" ContentType="application/vnd.openxmlformats-officedocument.spreadsheetml.queryTable+xml"/>
  <Override PartName="/xl/queryTables/queryTable349.xml" ContentType="application/vnd.openxmlformats-officedocument.spreadsheetml.queryTable+xml"/>
  <Override PartName="/xl/queryTables/queryTable350.xml" ContentType="application/vnd.openxmlformats-officedocument.spreadsheetml.queryTable+xml"/>
  <Override PartName="/xl/queryTables/queryTable351.xml" ContentType="application/vnd.openxmlformats-officedocument.spreadsheetml.queryTable+xml"/>
  <Override PartName="/xl/queryTables/queryTable352.xml" ContentType="application/vnd.openxmlformats-officedocument.spreadsheetml.queryTable+xml"/>
  <Override PartName="/xl/queryTables/queryTable353.xml" ContentType="application/vnd.openxmlformats-officedocument.spreadsheetml.queryTable+xml"/>
  <Override PartName="/xl/queryTables/queryTable354.xml" ContentType="application/vnd.openxmlformats-officedocument.spreadsheetml.queryTable+xml"/>
  <Override PartName="/xl/queryTables/queryTable355.xml" ContentType="application/vnd.openxmlformats-officedocument.spreadsheetml.queryTable+xml"/>
  <Override PartName="/xl/queryTables/queryTable356.xml" ContentType="application/vnd.openxmlformats-officedocument.spreadsheetml.queryTable+xml"/>
  <Override PartName="/xl/queryTables/queryTable357.xml" ContentType="application/vnd.openxmlformats-officedocument.spreadsheetml.queryTable+xml"/>
  <Override PartName="/xl/queryTables/queryTable358.xml" ContentType="application/vnd.openxmlformats-officedocument.spreadsheetml.queryTable+xml"/>
  <Override PartName="/xl/queryTables/queryTable359.xml" ContentType="application/vnd.openxmlformats-officedocument.spreadsheetml.queryTable+xml"/>
  <Override PartName="/xl/queryTables/queryTable360.xml" ContentType="application/vnd.openxmlformats-officedocument.spreadsheetml.queryTable+xml"/>
  <Override PartName="/xl/queryTables/queryTable361.xml" ContentType="application/vnd.openxmlformats-officedocument.spreadsheetml.queryTable+xml"/>
  <Override PartName="/xl/queryTables/queryTable362.xml" ContentType="application/vnd.openxmlformats-officedocument.spreadsheetml.queryTable+xml"/>
  <Override PartName="/xl/queryTables/queryTable363.xml" ContentType="application/vnd.openxmlformats-officedocument.spreadsheetml.queryTable+xml"/>
  <Override PartName="/xl/queryTables/queryTable364.xml" ContentType="application/vnd.openxmlformats-officedocument.spreadsheetml.queryTable+xml"/>
  <Override PartName="/xl/queryTables/queryTable365.xml" ContentType="application/vnd.openxmlformats-officedocument.spreadsheetml.queryTable+xml"/>
  <Override PartName="/xl/queryTables/queryTable366.xml" ContentType="application/vnd.openxmlformats-officedocument.spreadsheetml.queryTable+xml"/>
  <Override PartName="/xl/queryTables/queryTable367.xml" ContentType="application/vnd.openxmlformats-officedocument.spreadsheetml.queryTable+xml"/>
  <Override PartName="/xl/queryTables/queryTable368.xml" ContentType="application/vnd.openxmlformats-officedocument.spreadsheetml.queryTable+xml"/>
  <Override PartName="/xl/queryTables/queryTable369.xml" ContentType="application/vnd.openxmlformats-officedocument.spreadsheetml.queryTable+xml"/>
  <Override PartName="/xl/queryTables/queryTable370.xml" ContentType="application/vnd.openxmlformats-officedocument.spreadsheetml.queryTable+xml"/>
  <Override PartName="/xl/queryTables/queryTable371.xml" ContentType="application/vnd.openxmlformats-officedocument.spreadsheetml.queryTable+xml"/>
  <Override PartName="/xl/queryTables/queryTable372.xml" ContentType="application/vnd.openxmlformats-officedocument.spreadsheetml.queryTable+xml"/>
  <Override PartName="/xl/queryTables/queryTable373.xml" ContentType="application/vnd.openxmlformats-officedocument.spreadsheetml.queryTable+xml"/>
  <Override PartName="/xl/queryTables/queryTable374.xml" ContentType="application/vnd.openxmlformats-officedocument.spreadsheetml.queryTable+xml"/>
  <Override PartName="/xl/queryTables/queryTable375.xml" ContentType="application/vnd.openxmlformats-officedocument.spreadsheetml.queryTable+xml"/>
  <Override PartName="/xl/queryTables/queryTable376.xml" ContentType="application/vnd.openxmlformats-officedocument.spreadsheetml.queryTable+xml"/>
  <Override PartName="/xl/queryTables/queryTable377.xml" ContentType="application/vnd.openxmlformats-officedocument.spreadsheetml.queryTable+xml"/>
  <Override PartName="/xl/queryTables/queryTable378.xml" ContentType="application/vnd.openxmlformats-officedocument.spreadsheetml.queryTable+xml"/>
  <Override PartName="/xl/queryTables/queryTable379.xml" ContentType="application/vnd.openxmlformats-officedocument.spreadsheetml.queryTable+xml"/>
  <Override PartName="/xl/queryTables/queryTable380.xml" ContentType="application/vnd.openxmlformats-officedocument.spreadsheetml.queryTable+xml"/>
  <Override PartName="/xl/queryTables/queryTable381.xml" ContentType="application/vnd.openxmlformats-officedocument.spreadsheetml.queryTable+xml"/>
  <Override PartName="/xl/queryTables/queryTable382.xml" ContentType="application/vnd.openxmlformats-officedocument.spreadsheetml.queryTable+xml"/>
  <Override PartName="/xl/queryTables/queryTable383.xml" ContentType="application/vnd.openxmlformats-officedocument.spreadsheetml.queryTable+xml"/>
  <Override PartName="/xl/queryTables/queryTable384.xml" ContentType="application/vnd.openxmlformats-officedocument.spreadsheetml.queryTable+xml"/>
  <Override PartName="/xl/queryTables/queryTable385.xml" ContentType="application/vnd.openxmlformats-officedocument.spreadsheetml.queryTable+xml"/>
  <Override PartName="/xl/queryTables/queryTable386.xml" ContentType="application/vnd.openxmlformats-officedocument.spreadsheetml.queryTable+xml"/>
  <Override PartName="/xl/queryTables/queryTable387.xml" ContentType="application/vnd.openxmlformats-officedocument.spreadsheetml.queryTable+xml"/>
  <Override PartName="/xl/queryTables/queryTable388.xml" ContentType="application/vnd.openxmlformats-officedocument.spreadsheetml.queryTable+xml"/>
  <Override PartName="/xl/queryTables/queryTable389.xml" ContentType="application/vnd.openxmlformats-officedocument.spreadsheetml.queryTable+xml"/>
  <Override PartName="/xl/queryTables/queryTable390.xml" ContentType="application/vnd.openxmlformats-officedocument.spreadsheetml.queryTable+xml"/>
  <Override PartName="/xl/queryTables/queryTable391.xml" ContentType="application/vnd.openxmlformats-officedocument.spreadsheetml.queryTable+xml"/>
  <Override PartName="/xl/queryTables/queryTable392.xml" ContentType="application/vnd.openxmlformats-officedocument.spreadsheetml.queryTable+xml"/>
  <Override PartName="/xl/queryTables/queryTable393.xml" ContentType="application/vnd.openxmlformats-officedocument.spreadsheetml.queryTable+xml"/>
  <Override PartName="/xl/queryTables/queryTable394.xml" ContentType="application/vnd.openxmlformats-officedocument.spreadsheetml.queryTable+xml"/>
  <Override PartName="/xl/queryTables/queryTable395.xml" ContentType="application/vnd.openxmlformats-officedocument.spreadsheetml.queryTable+xml"/>
  <Override PartName="/xl/queryTables/queryTable396.xml" ContentType="application/vnd.openxmlformats-officedocument.spreadsheetml.queryTable+xml"/>
  <Override PartName="/xl/queryTables/queryTable397.xml" ContentType="application/vnd.openxmlformats-officedocument.spreadsheetml.queryTable+xml"/>
  <Override PartName="/xl/queryTables/queryTable398.xml" ContentType="application/vnd.openxmlformats-officedocument.spreadsheetml.queryTable+xml"/>
  <Override PartName="/xl/queryTables/queryTable399.xml" ContentType="application/vnd.openxmlformats-officedocument.spreadsheetml.queryTable+xml"/>
  <Override PartName="/xl/queryTables/queryTable400.xml" ContentType="application/vnd.openxmlformats-officedocument.spreadsheetml.queryTable+xml"/>
  <Override PartName="/xl/queryTables/queryTable401.xml" ContentType="application/vnd.openxmlformats-officedocument.spreadsheetml.queryTable+xml"/>
  <Override PartName="/xl/queryTables/queryTable402.xml" ContentType="application/vnd.openxmlformats-officedocument.spreadsheetml.queryTable+xml"/>
  <Override PartName="/xl/queryTables/queryTable403.xml" ContentType="application/vnd.openxmlformats-officedocument.spreadsheetml.queryTable+xml"/>
  <Override PartName="/xl/queryTables/queryTable404.xml" ContentType="application/vnd.openxmlformats-officedocument.spreadsheetml.queryTable+xml"/>
  <Override PartName="/xl/queryTables/queryTable405.xml" ContentType="application/vnd.openxmlformats-officedocument.spreadsheetml.queryTable+xml"/>
  <Override PartName="/xl/queryTables/queryTable406.xml" ContentType="application/vnd.openxmlformats-officedocument.spreadsheetml.queryTable+xml"/>
  <Override PartName="/xl/queryTables/queryTable407.xml" ContentType="application/vnd.openxmlformats-officedocument.spreadsheetml.queryTable+xml"/>
  <Override PartName="/xl/queryTables/queryTable408.xml" ContentType="application/vnd.openxmlformats-officedocument.spreadsheetml.queryTable+xml"/>
  <Override PartName="/xl/queryTables/queryTable409.xml" ContentType="application/vnd.openxmlformats-officedocument.spreadsheetml.queryTable+xml"/>
  <Override PartName="/xl/queryTables/queryTable410.xml" ContentType="application/vnd.openxmlformats-officedocument.spreadsheetml.queryTable+xml"/>
  <Override PartName="/xl/queryTables/queryTable411.xml" ContentType="application/vnd.openxmlformats-officedocument.spreadsheetml.queryTable+xml"/>
  <Override PartName="/xl/queryTables/queryTable412.xml" ContentType="application/vnd.openxmlformats-officedocument.spreadsheetml.queryTable+xml"/>
  <Override PartName="/xl/queryTables/queryTable413.xml" ContentType="application/vnd.openxmlformats-officedocument.spreadsheetml.queryTable+xml"/>
  <Override PartName="/xl/queryTables/queryTable414.xml" ContentType="application/vnd.openxmlformats-officedocument.spreadsheetml.queryTable+xml"/>
  <Override PartName="/xl/queryTables/queryTable415.xml" ContentType="application/vnd.openxmlformats-officedocument.spreadsheetml.queryTable+xml"/>
  <Override PartName="/xl/queryTables/queryTable416.xml" ContentType="application/vnd.openxmlformats-officedocument.spreadsheetml.queryTable+xml"/>
  <Override PartName="/xl/queryTables/queryTable417.xml" ContentType="application/vnd.openxmlformats-officedocument.spreadsheetml.queryTable+xml"/>
  <Override PartName="/xl/queryTables/queryTable418.xml" ContentType="application/vnd.openxmlformats-officedocument.spreadsheetml.queryTable+xml"/>
  <Override PartName="/xl/queryTables/queryTable419.xml" ContentType="application/vnd.openxmlformats-officedocument.spreadsheetml.queryTable+xml"/>
  <Override PartName="/xl/queryTables/queryTable420.xml" ContentType="application/vnd.openxmlformats-officedocument.spreadsheetml.queryTable+xml"/>
  <Override PartName="/xl/queryTables/queryTable421.xml" ContentType="application/vnd.openxmlformats-officedocument.spreadsheetml.queryTable+xml"/>
  <Override PartName="/xl/queryTables/queryTable422.xml" ContentType="application/vnd.openxmlformats-officedocument.spreadsheetml.queryTable+xml"/>
  <Override PartName="/xl/queryTables/queryTable423.xml" ContentType="application/vnd.openxmlformats-officedocument.spreadsheetml.queryTable+xml"/>
  <Override PartName="/xl/queryTables/queryTable424.xml" ContentType="application/vnd.openxmlformats-officedocument.spreadsheetml.queryTable+xml"/>
  <Override PartName="/xl/queryTables/queryTable425.xml" ContentType="application/vnd.openxmlformats-officedocument.spreadsheetml.queryTable+xml"/>
  <Override PartName="/xl/queryTables/queryTable426.xml" ContentType="application/vnd.openxmlformats-officedocument.spreadsheetml.queryTable+xml"/>
  <Override PartName="/xl/queryTables/queryTable427.xml" ContentType="application/vnd.openxmlformats-officedocument.spreadsheetml.queryTable+xml"/>
  <Override PartName="/xl/queryTables/queryTable428.xml" ContentType="application/vnd.openxmlformats-officedocument.spreadsheetml.queryTable+xml"/>
  <Override PartName="/xl/queryTables/queryTable429.xml" ContentType="application/vnd.openxmlformats-officedocument.spreadsheetml.queryTable+xml"/>
  <Override PartName="/xl/queryTables/queryTable430.xml" ContentType="application/vnd.openxmlformats-officedocument.spreadsheetml.queryTable+xml"/>
  <Override PartName="/xl/queryTables/queryTable431.xml" ContentType="application/vnd.openxmlformats-officedocument.spreadsheetml.queryTable+xml"/>
  <Override PartName="/xl/queryTables/queryTable432.xml" ContentType="application/vnd.openxmlformats-officedocument.spreadsheetml.queryTable+xml"/>
  <Override PartName="/xl/queryTables/queryTable433.xml" ContentType="application/vnd.openxmlformats-officedocument.spreadsheetml.queryTable+xml"/>
  <Override PartName="/xl/queryTables/queryTable434.xml" ContentType="application/vnd.openxmlformats-officedocument.spreadsheetml.queryTable+xml"/>
  <Override PartName="/xl/queryTables/queryTable435.xml" ContentType="application/vnd.openxmlformats-officedocument.spreadsheetml.queryTable+xml"/>
  <Override PartName="/xl/queryTables/queryTable436.xml" ContentType="application/vnd.openxmlformats-officedocument.spreadsheetml.queryTable+xml"/>
  <Override PartName="/xl/queryTables/queryTable437.xml" ContentType="application/vnd.openxmlformats-officedocument.spreadsheetml.queryTable+xml"/>
  <Override PartName="/xl/queryTables/queryTable438.xml" ContentType="application/vnd.openxmlformats-officedocument.spreadsheetml.queryTable+xml"/>
  <Override PartName="/xl/queryTables/queryTable439.xml" ContentType="application/vnd.openxmlformats-officedocument.spreadsheetml.queryTable+xml"/>
  <Override PartName="/xl/queryTables/queryTable440.xml" ContentType="application/vnd.openxmlformats-officedocument.spreadsheetml.queryTable+xml"/>
  <Override PartName="/xl/queryTables/queryTable441.xml" ContentType="application/vnd.openxmlformats-officedocument.spreadsheetml.queryTable+xml"/>
  <Override PartName="/xl/queryTables/queryTable442.xml" ContentType="application/vnd.openxmlformats-officedocument.spreadsheetml.queryTable+xml"/>
  <Override PartName="/xl/queryTables/queryTable443.xml" ContentType="application/vnd.openxmlformats-officedocument.spreadsheetml.queryTable+xml"/>
  <Override PartName="/xl/queryTables/queryTable444.xml" ContentType="application/vnd.openxmlformats-officedocument.spreadsheetml.queryTable+xml"/>
  <Override PartName="/xl/queryTables/queryTable445.xml" ContentType="application/vnd.openxmlformats-officedocument.spreadsheetml.queryTable+xml"/>
  <Override PartName="/xl/queryTables/queryTable446.xml" ContentType="application/vnd.openxmlformats-officedocument.spreadsheetml.queryTable+xml"/>
  <Override PartName="/xl/queryTables/queryTable447.xml" ContentType="application/vnd.openxmlformats-officedocument.spreadsheetml.queryTable+xml"/>
  <Override PartName="/xl/queryTables/queryTable448.xml" ContentType="application/vnd.openxmlformats-officedocument.spreadsheetml.queryTable+xml"/>
  <Override PartName="/xl/queryTables/queryTable449.xml" ContentType="application/vnd.openxmlformats-officedocument.spreadsheetml.queryTable+xml"/>
  <Override PartName="/xl/queryTables/queryTable450.xml" ContentType="application/vnd.openxmlformats-officedocument.spreadsheetml.queryTable+xml"/>
  <Override PartName="/xl/queryTables/queryTable451.xml" ContentType="application/vnd.openxmlformats-officedocument.spreadsheetml.queryTable+xml"/>
  <Override PartName="/xl/queryTables/queryTable452.xml" ContentType="application/vnd.openxmlformats-officedocument.spreadsheetml.queryTable+xml"/>
  <Override PartName="/xl/queryTables/queryTable453.xml" ContentType="application/vnd.openxmlformats-officedocument.spreadsheetml.queryTable+xml"/>
  <Override PartName="/xl/queryTables/queryTable454.xml" ContentType="application/vnd.openxmlformats-officedocument.spreadsheetml.queryTable+xml"/>
  <Override PartName="/xl/queryTables/queryTable455.xml" ContentType="application/vnd.openxmlformats-officedocument.spreadsheetml.queryTable+xml"/>
  <Override PartName="/xl/queryTables/queryTable456.xml" ContentType="application/vnd.openxmlformats-officedocument.spreadsheetml.queryTable+xml"/>
  <Override PartName="/xl/queryTables/queryTable457.xml" ContentType="application/vnd.openxmlformats-officedocument.spreadsheetml.queryTable+xml"/>
  <Override PartName="/xl/queryTables/queryTable458.xml" ContentType="application/vnd.openxmlformats-officedocument.spreadsheetml.queryTable+xml"/>
  <Override PartName="/xl/queryTables/queryTable459.xml" ContentType="application/vnd.openxmlformats-officedocument.spreadsheetml.queryTable+xml"/>
  <Override PartName="/xl/queryTables/queryTable460.xml" ContentType="application/vnd.openxmlformats-officedocument.spreadsheetml.queryTable+xml"/>
  <Override PartName="/xl/queryTables/queryTable461.xml" ContentType="application/vnd.openxmlformats-officedocument.spreadsheetml.queryTable+xml"/>
  <Override PartName="/xl/queryTables/queryTable462.xml" ContentType="application/vnd.openxmlformats-officedocument.spreadsheetml.queryTable+xml"/>
  <Override PartName="/xl/queryTables/queryTable463.xml" ContentType="application/vnd.openxmlformats-officedocument.spreadsheetml.queryTable+xml"/>
  <Override PartName="/xl/queryTables/queryTable464.xml" ContentType="application/vnd.openxmlformats-officedocument.spreadsheetml.queryTable+xml"/>
  <Override PartName="/xl/queryTables/queryTable465.xml" ContentType="application/vnd.openxmlformats-officedocument.spreadsheetml.queryTable+xml"/>
  <Override PartName="/xl/queryTables/queryTable466.xml" ContentType="application/vnd.openxmlformats-officedocument.spreadsheetml.queryTable+xml"/>
  <Override PartName="/xl/queryTables/queryTable467.xml" ContentType="application/vnd.openxmlformats-officedocument.spreadsheetml.queryTable+xml"/>
  <Override PartName="/xl/queryTables/queryTable468.xml" ContentType="application/vnd.openxmlformats-officedocument.spreadsheetml.queryTable+xml"/>
  <Override PartName="/xl/queryTables/queryTable469.xml" ContentType="application/vnd.openxmlformats-officedocument.spreadsheetml.queryTable+xml"/>
  <Override PartName="/xl/queryTables/queryTable470.xml" ContentType="application/vnd.openxmlformats-officedocument.spreadsheetml.queryTable+xml"/>
  <Override PartName="/xl/queryTables/queryTable471.xml" ContentType="application/vnd.openxmlformats-officedocument.spreadsheetml.queryTable+xml"/>
  <Override PartName="/xl/queryTables/queryTable472.xml" ContentType="application/vnd.openxmlformats-officedocument.spreadsheetml.queryTable+xml"/>
  <Override PartName="/xl/queryTables/queryTable473.xml" ContentType="application/vnd.openxmlformats-officedocument.spreadsheetml.queryTable+xml"/>
  <Override PartName="/xl/queryTables/queryTable474.xml" ContentType="application/vnd.openxmlformats-officedocument.spreadsheetml.queryTable+xml"/>
  <Override PartName="/xl/queryTables/queryTable475.xml" ContentType="application/vnd.openxmlformats-officedocument.spreadsheetml.queryTable+xml"/>
  <Override PartName="/xl/queryTables/queryTable476.xml" ContentType="application/vnd.openxmlformats-officedocument.spreadsheetml.queryTable+xml"/>
  <Override PartName="/xl/queryTables/queryTable477.xml" ContentType="application/vnd.openxmlformats-officedocument.spreadsheetml.queryTable+xml"/>
  <Override PartName="/xl/queryTables/queryTable478.xml" ContentType="application/vnd.openxmlformats-officedocument.spreadsheetml.queryTable+xml"/>
  <Override PartName="/xl/queryTables/queryTable479.xml" ContentType="application/vnd.openxmlformats-officedocument.spreadsheetml.queryTable+xml"/>
  <Override PartName="/xl/queryTables/queryTable480.xml" ContentType="application/vnd.openxmlformats-officedocument.spreadsheetml.queryTable+xml"/>
  <Override PartName="/xl/queryTables/queryTable481.xml" ContentType="application/vnd.openxmlformats-officedocument.spreadsheetml.queryTable+xml"/>
  <Override PartName="/xl/queryTables/queryTable482.xml" ContentType="application/vnd.openxmlformats-officedocument.spreadsheetml.queryTable+xml"/>
  <Override PartName="/xl/queryTables/queryTable483.xml" ContentType="application/vnd.openxmlformats-officedocument.spreadsheetml.queryTable+xml"/>
  <Override PartName="/xl/queryTables/queryTable484.xml" ContentType="application/vnd.openxmlformats-officedocument.spreadsheetml.queryTable+xml"/>
  <Override PartName="/xl/queryTables/queryTable485.xml" ContentType="application/vnd.openxmlformats-officedocument.spreadsheetml.queryTable+xml"/>
  <Override PartName="/xl/queryTables/queryTable486.xml" ContentType="application/vnd.openxmlformats-officedocument.spreadsheetml.queryTable+xml"/>
  <Override PartName="/xl/queryTables/queryTable487.xml" ContentType="application/vnd.openxmlformats-officedocument.spreadsheetml.queryTable+xml"/>
  <Override PartName="/xl/queryTables/queryTable488.xml" ContentType="application/vnd.openxmlformats-officedocument.spreadsheetml.queryTable+xml"/>
  <Override PartName="/xl/queryTables/queryTable489.xml" ContentType="application/vnd.openxmlformats-officedocument.spreadsheetml.queryTable+xml"/>
  <Override PartName="/xl/queryTables/queryTable490.xml" ContentType="application/vnd.openxmlformats-officedocument.spreadsheetml.queryTable+xml"/>
  <Override PartName="/xl/queryTables/queryTable491.xml" ContentType="application/vnd.openxmlformats-officedocument.spreadsheetml.queryTable+xml"/>
  <Override PartName="/xl/queryTables/queryTable492.xml" ContentType="application/vnd.openxmlformats-officedocument.spreadsheetml.queryTable+xml"/>
  <Override PartName="/xl/queryTables/queryTable493.xml" ContentType="application/vnd.openxmlformats-officedocument.spreadsheetml.queryTable+xml"/>
  <Override PartName="/xl/queryTables/queryTable494.xml" ContentType="application/vnd.openxmlformats-officedocument.spreadsheetml.queryTable+xml"/>
  <Override PartName="/xl/queryTables/queryTable495.xml" ContentType="application/vnd.openxmlformats-officedocument.spreadsheetml.queryTable+xml"/>
  <Override PartName="/xl/queryTables/queryTable496.xml" ContentType="application/vnd.openxmlformats-officedocument.spreadsheetml.queryTable+xml"/>
  <Override PartName="/xl/queryTables/queryTable497.xml" ContentType="application/vnd.openxmlformats-officedocument.spreadsheetml.queryTable+xml"/>
  <Override PartName="/xl/queryTables/queryTable498.xml" ContentType="application/vnd.openxmlformats-officedocument.spreadsheetml.queryTable+xml"/>
  <Override PartName="/xl/queryTables/queryTable499.xml" ContentType="application/vnd.openxmlformats-officedocument.spreadsheetml.queryTable+xml"/>
  <Override PartName="/xl/queryTables/queryTable500.xml" ContentType="application/vnd.openxmlformats-officedocument.spreadsheetml.queryTable+xml"/>
  <Override PartName="/xl/queryTables/queryTable501.xml" ContentType="application/vnd.openxmlformats-officedocument.spreadsheetml.queryTable+xml"/>
  <Override PartName="/xl/queryTables/queryTable502.xml" ContentType="application/vnd.openxmlformats-officedocument.spreadsheetml.queryTable+xml"/>
  <Override PartName="/xl/queryTables/queryTable503.xml" ContentType="application/vnd.openxmlformats-officedocument.spreadsheetml.queryTable+xml"/>
  <Override PartName="/xl/queryTables/queryTable504.xml" ContentType="application/vnd.openxmlformats-officedocument.spreadsheetml.queryTable+xml"/>
  <Override PartName="/xl/queryTables/queryTable505.xml" ContentType="application/vnd.openxmlformats-officedocument.spreadsheetml.queryTable+xml"/>
  <Override PartName="/xl/queryTables/queryTable506.xml" ContentType="application/vnd.openxmlformats-officedocument.spreadsheetml.queryTable+xml"/>
  <Override PartName="/xl/queryTables/queryTable507.xml" ContentType="application/vnd.openxmlformats-officedocument.spreadsheetml.queryTable+xml"/>
  <Override PartName="/xl/queryTables/queryTable508.xml" ContentType="application/vnd.openxmlformats-officedocument.spreadsheetml.queryTable+xml"/>
  <Override PartName="/xl/queryTables/queryTable509.xml" ContentType="application/vnd.openxmlformats-officedocument.spreadsheetml.queryTable+xml"/>
  <Override PartName="/xl/queryTables/queryTable510.xml" ContentType="application/vnd.openxmlformats-officedocument.spreadsheetml.queryTable+xml"/>
  <Override PartName="/xl/queryTables/queryTable511.xml" ContentType="application/vnd.openxmlformats-officedocument.spreadsheetml.queryTable+xml"/>
  <Override PartName="/xl/queryTables/queryTable512.xml" ContentType="application/vnd.openxmlformats-officedocument.spreadsheetml.queryTable+xml"/>
  <Override PartName="/xl/queryTables/queryTable513.xml" ContentType="application/vnd.openxmlformats-officedocument.spreadsheetml.queryTable+xml"/>
  <Override PartName="/xl/queryTables/queryTable514.xml" ContentType="application/vnd.openxmlformats-officedocument.spreadsheetml.queryTable+xml"/>
  <Override PartName="/xl/queryTables/queryTable515.xml" ContentType="application/vnd.openxmlformats-officedocument.spreadsheetml.queryTable+xml"/>
  <Override PartName="/xl/queryTables/queryTable516.xml" ContentType="application/vnd.openxmlformats-officedocument.spreadsheetml.queryTable+xml"/>
  <Override PartName="/xl/queryTables/queryTable517.xml" ContentType="application/vnd.openxmlformats-officedocument.spreadsheetml.queryTable+xml"/>
  <Override PartName="/xl/queryTables/queryTable518.xml" ContentType="application/vnd.openxmlformats-officedocument.spreadsheetml.queryTable+xml"/>
  <Override PartName="/xl/queryTables/queryTable519.xml" ContentType="application/vnd.openxmlformats-officedocument.spreadsheetml.queryTable+xml"/>
  <Override PartName="/xl/queryTables/queryTable520.xml" ContentType="application/vnd.openxmlformats-officedocument.spreadsheetml.queryTable+xml"/>
  <Override PartName="/xl/queryTables/queryTable521.xml" ContentType="application/vnd.openxmlformats-officedocument.spreadsheetml.queryTable+xml"/>
  <Override PartName="/xl/queryTables/queryTable522.xml" ContentType="application/vnd.openxmlformats-officedocument.spreadsheetml.queryTable+xml"/>
  <Override PartName="/xl/queryTables/queryTable523.xml" ContentType="application/vnd.openxmlformats-officedocument.spreadsheetml.queryTable+xml"/>
  <Override PartName="/xl/queryTables/queryTable524.xml" ContentType="application/vnd.openxmlformats-officedocument.spreadsheetml.queryTable+xml"/>
  <Override PartName="/xl/queryTables/queryTable525.xml" ContentType="application/vnd.openxmlformats-officedocument.spreadsheetml.queryTable+xml"/>
  <Override PartName="/xl/queryTables/queryTable526.xml" ContentType="application/vnd.openxmlformats-officedocument.spreadsheetml.queryTable+xml"/>
  <Override PartName="/xl/queryTables/queryTable527.xml" ContentType="application/vnd.openxmlformats-officedocument.spreadsheetml.queryTable+xml"/>
  <Override PartName="/xl/queryTables/queryTable528.xml" ContentType="application/vnd.openxmlformats-officedocument.spreadsheetml.queryTable+xml"/>
  <Override PartName="/xl/queryTables/queryTable529.xml" ContentType="application/vnd.openxmlformats-officedocument.spreadsheetml.queryTable+xml"/>
  <Override PartName="/xl/queryTables/queryTable530.xml" ContentType="application/vnd.openxmlformats-officedocument.spreadsheetml.queryTable+xml"/>
  <Override PartName="/xl/queryTables/queryTable531.xml" ContentType="application/vnd.openxmlformats-officedocument.spreadsheetml.queryTable+xml"/>
  <Override PartName="/xl/queryTables/queryTable532.xml" ContentType="application/vnd.openxmlformats-officedocument.spreadsheetml.queryTable+xml"/>
  <Override PartName="/xl/queryTables/queryTable533.xml" ContentType="application/vnd.openxmlformats-officedocument.spreadsheetml.queryTable+xml"/>
  <Override PartName="/xl/queryTables/queryTable534.xml" ContentType="application/vnd.openxmlformats-officedocument.spreadsheetml.queryTable+xml"/>
  <Override PartName="/xl/queryTables/queryTable535.xml" ContentType="application/vnd.openxmlformats-officedocument.spreadsheetml.queryTable+xml"/>
  <Override PartName="/xl/queryTables/queryTable536.xml" ContentType="application/vnd.openxmlformats-officedocument.spreadsheetml.queryTable+xml"/>
  <Override PartName="/xl/queryTables/queryTable537.xml" ContentType="application/vnd.openxmlformats-officedocument.spreadsheetml.queryTable+xml"/>
  <Override PartName="/xl/queryTables/queryTable538.xml" ContentType="application/vnd.openxmlformats-officedocument.spreadsheetml.queryTable+xml"/>
  <Override PartName="/xl/queryTables/queryTable539.xml" ContentType="application/vnd.openxmlformats-officedocument.spreadsheetml.queryTable+xml"/>
  <Override PartName="/xl/queryTables/queryTable540.xml" ContentType="application/vnd.openxmlformats-officedocument.spreadsheetml.queryTable+xml"/>
  <Override PartName="/xl/queryTables/queryTable541.xml" ContentType="application/vnd.openxmlformats-officedocument.spreadsheetml.queryTable+xml"/>
  <Override PartName="/xl/queryTables/queryTable542.xml" ContentType="application/vnd.openxmlformats-officedocument.spreadsheetml.queryTable+xml"/>
  <Override PartName="/xl/queryTables/queryTable543.xml" ContentType="application/vnd.openxmlformats-officedocument.spreadsheetml.queryTable+xml"/>
  <Override PartName="/xl/queryTables/queryTable544.xml" ContentType="application/vnd.openxmlformats-officedocument.spreadsheetml.queryTable+xml"/>
  <Override PartName="/xl/queryTables/queryTable545.xml" ContentType="application/vnd.openxmlformats-officedocument.spreadsheetml.queryTable+xml"/>
  <Override PartName="/xl/queryTables/queryTable546.xml" ContentType="application/vnd.openxmlformats-officedocument.spreadsheetml.queryTable+xml"/>
  <Override PartName="/xl/queryTables/queryTable547.xml" ContentType="application/vnd.openxmlformats-officedocument.spreadsheetml.queryTable+xml"/>
  <Override PartName="/xl/queryTables/queryTable548.xml" ContentType="application/vnd.openxmlformats-officedocument.spreadsheetml.queryTable+xml"/>
  <Override PartName="/xl/queryTables/queryTable549.xml" ContentType="application/vnd.openxmlformats-officedocument.spreadsheetml.queryTable+xml"/>
  <Override PartName="/xl/queryTables/queryTable550.xml" ContentType="application/vnd.openxmlformats-officedocument.spreadsheetml.queryTable+xml"/>
  <Override PartName="/xl/queryTables/queryTable551.xml" ContentType="application/vnd.openxmlformats-officedocument.spreadsheetml.queryTable+xml"/>
  <Override PartName="/xl/queryTables/queryTable552.xml" ContentType="application/vnd.openxmlformats-officedocument.spreadsheetml.queryTable+xml"/>
  <Override PartName="/xl/queryTables/queryTable553.xml" ContentType="application/vnd.openxmlformats-officedocument.spreadsheetml.queryTable+xml"/>
  <Override PartName="/xl/queryTables/queryTable554.xml" ContentType="application/vnd.openxmlformats-officedocument.spreadsheetml.queryTable+xml"/>
  <Override PartName="/xl/queryTables/queryTable555.xml" ContentType="application/vnd.openxmlformats-officedocument.spreadsheetml.queryTable+xml"/>
  <Override PartName="/xl/queryTables/queryTable556.xml" ContentType="application/vnd.openxmlformats-officedocument.spreadsheetml.queryTable+xml"/>
  <Override PartName="/xl/queryTables/queryTable557.xml" ContentType="application/vnd.openxmlformats-officedocument.spreadsheetml.queryTable+xml"/>
  <Override PartName="/xl/queryTables/queryTable558.xml" ContentType="application/vnd.openxmlformats-officedocument.spreadsheetml.queryTable+xml"/>
  <Override PartName="/xl/queryTables/queryTable559.xml" ContentType="application/vnd.openxmlformats-officedocument.spreadsheetml.queryTable+xml"/>
  <Override PartName="/xl/queryTables/queryTable560.xml" ContentType="application/vnd.openxmlformats-officedocument.spreadsheetml.queryTable+xml"/>
  <Override PartName="/xl/queryTables/queryTable561.xml" ContentType="application/vnd.openxmlformats-officedocument.spreadsheetml.queryTable+xml"/>
  <Override PartName="/xl/queryTables/queryTable562.xml" ContentType="application/vnd.openxmlformats-officedocument.spreadsheetml.queryTable+xml"/>
  <Override PartName="/xl/queryTables/queryTable563.xml" ContentType="application/vnd.openxmlformats-officedocument.spreadsheetml.queryTable+xml"/>
  <Override PartName="/xl/queryTables/queryTable564.xml" ContentType="application/vnd.openxmlformats-officedocument.spreadsheetml.queryTable+xml"/>
  <Override PartName="/xl/queryTables/queryTable565.xml" ContentType="application/vnd.openxmlformats-officedocument.spreadsheetml.queryTable+xml"/>
  <Override PartName="/xl/queryTables/queryTable566.xml" ContentType="application/vnd.openxmlformats-officedocument.spreadsheetml.queryTable+xml"/>
  <Override PartName="/xl/queryTables/queryTable567.xml" ContentType="application/vnd.openxmlformats-officedocument.spreadsheetml.queryTable+xml"/>
  <Override PartName="/xl/queryTables/queryTable568.xml" ContentType="application/vnd.openxmlformats-officedocument.spreadsheetml.queryTable+xml"/>
  <Override PartName="/xl/queryTables/queryTable569.xml" ContentType="application/vnd.openxmlformats-officedocument.spreadsheetml.queryTable+xml"/>
  <Override PartName="/xl/queryTables/queryTable570.xml" ContentType="application/vnd.openxmlformats-officedocument.spreadsheetml.queryTable+xml"/>
  <Override PartName="/xl/queryTables/queryTable571.xml" ContentType="application/vnd.openxmlformats-officedocument.spreadsheetml.queryTable+xml"/>
  <Override PartName="/xl/queryTables/queryTable572.xml" ContentType="application/vnd.openxmlformats-officedocument.spreadsheetml.queryTable+xml"/>
  <Override PartName="/xl/queryTables/queryTable573.xml" ContentType="application/vnd.openxmlformats-officedocument.spreadsheetml.queryTable+xml"/>
  <Override PartName="/xl/queryTables/queryTable574.xml" ContentType="application/vnd.openxmlformats-officedocument.spreadsheetml.queryTable+xml"/>
  <Override PartName="/xl/queryTables/queryTable575.xml" ContentType="application/vnd.openxmlformats-officedocument.spreadsheetml.queryTable+xml"/>
  <Override PartName="/xl/queryTables/queryTable576.xml" ContentType="application/vnd.openxmlformats-officedocument.spreadsheetml.queryTable+xml"/>
  <Override PartName="/xl/queryTables/queryTable577.xml" ContentType="application/vnd.openxmlformats-officedocument.spreadsheetml.queryTable+xml"/>
  <Override PartName="/xl/queryTables/queryTable578.xml" ContentType="application/vnd.openxmlformats-officedocument.spreadsheetml.queryTable+xml"/>
  <Override PartName="/xl/queryTables/queryTable579.xml" ContentType="application/vnd.openxmlformats-officedocument.spreadsheetml.queryTable+xml"/>
  <Override PartName="/xl/queryTables/queryTable580.xml" ContentType="application/vnd.openxmlformats-officedocument.spreadsheetml.queryTable+xml"/>
  <Override PartName="/xl/queryTables/queryTable581.xml" ContentType="application/vnd.openxmlformats-officedocument.spreadsheetml.queryTable+xml"/>
  <Override PartName="/xl/queryTables/queryTable582.xml" ContentType="application/vnd.openxmlformats-officedocument.spreadsheetml.queryTable+xml"/>
  <Override PartName="/xl/queryTables/queryTable583.xml" ContentType="application/vnd.openxmlformats-officedocument.spreadsheetml.queryTable+xml"/>
  <Override PartName="/xl/queryTables/queryTable584.xml" ContentType="application/vnd.openxmlformats-officedocument.spreadsheetml.queryTable+xml"/>
  <Override PartName="/xl/queryTables/queryTable585.xml" ContentType="application/vnd.openxmlformats-officedocument.spreadsheetml.queryTable+xml"/>
  <Override PartName="/xl/queryTables/queryTable586.xml" ContentType="application/vnd.openxmlformats-officedocument.spreadsheetml.queryTable+xml"/>
  <Override PartName="/xl/queryTables/queryTable587.xml" ContentType="application/vnd.openxmlformats-officedocument.spreadsheetml.queryTable+xml"/>
  <Override PartName="/xl/queryTables/queryTable588.xml" ContentType="application/vnd.openxmlformats-officedocument.spreadsheetml.queryTable+xml"/>
  <Override PartName="/xl/queryTables/queryTable589.xml" ContentType="application/vnd.openxmlformats-officedocument.spreadsheetml.queryTable+xml"/>
  <Override PartName="/xl/queryTables/queryTable590.xml" ContentType="application/vnd.openxmlformats-officedocument.spreadsheetml.queryTable+xml"/>
  <Override PartName="/xl/queryTables/queryTable591.xml" ContentType="application/vnd.openxmlformats-officedocument.spreadsheetml.queryTable+xml"/>
  <Override PartName="/xl/queryTables/queryTable592.xml" ContentType="application/vnd.openxmlformats-officedocument.spreadsheetml.queryTable+xml"/>
  <Override PartName="/xl/queryTables/queryTable593.xml" ContentType="application/vnd.openxmlformats-officedocument.spreadsheetml.queryTable+xml"/>
  <Override PartName="/xl/queryTables/queryTable594.xml" ContentType="application/vnd.openxmlformats-officedocument.spreadsheetml.queryTable+xml"/>
  <Override PartName="/xl/queryTables/queryTable595.xml" ContentType="application/vnd.openxmlformats-officedocument.spreadsheetml.queryTable+xml"/>
  <Override PartName="/xl/queryTables/queryTable596.xml" ContentType="application/vnd.openxmlformats-officedocument.spreadsheetml.queryTable+xml"/>
  <Override PartName="/xl/queryTables/queryTable597.xml" ContentType="application/vnd.openxmlformats-officedocument.spreadsheetml.queryTable+xml"/>
  <Override PartName="/xl/queryTables/queryTable598.xml" ContentType="application/vnd.openxmlformats-officedocument.spreadsheetml.queryTable+xml"/>
  <Override PartName="/xl/queryTables/queryTable599.xml" ContentType="application/vnd.openxmlformats-officedocument.spreadsheetml.queryTable+xml"/>
  <Override PartName="/xl/queryTables/queryTable600.xml" ContentType="application/vnd.openxmlformats-officedocument.spreadsheetml.queryTable+xml"/>
  <Override PartName="/xl/queryTables/queryTable601.xml" ContentType="application/vnd.openxmlformats-officedocument.spreadsheetml.queryTable+xml"/>
  <Override PartName="/xl/queryTables/queryTable602.xml" ContentType="application/vnd.openxmlformats-officedocument.spreadsheetml.queryTable+xml"/>
  <Override PartName="/xl/queryTables/queryTable603.xml" ContentType="application/vnd.openxmlformats-officedocument.spreadsheetml.queryTable+xml"/>
  <Override PartName="/xl/queryTables/queryTable604.xml" ContentType="application/vnd.openxmlformats-officedocument.spreadsheetml.queryTable+xml"/>
  <Override PartName="/xl/queryTables/queryTable605.xml" ContentType="application/vnd.openxmlformats-officedocument.spreadsheetml.queryTable+xml"/>
  <Override PartName="/xl/queryTables/queryTable606.xml" ContentType="application/vnd.openxmlformats-officedocument.spreadsheetml.queryTable+xml"/>
  <Override PartName="/xl/queryTables/queryTable607.xml" ContentType="application/vnd.openxmlformats-officedocument.spreadsheetml.queryTable+xml"/>
  <Override PartName="/xl/queryTables/queryTable608.xml" ContentType="application/vnd.openxmlformats-officedocument.spreadsheetml.queryTable+xml"/>
  <Override PartName="/xl/queryTables/queryTable609.xml" ContentType="application/vnd.openxmlformats-officedocument.spreadsheetml.queryTable+xml"/>
  <Override PartName="/xl/queryTables/queryTable610.xml" ContentType="application/vnd.openxmlformats-officedocument.spreadsheetml.queryTable+xml"/>
  <Override PartName="/xl/queryTables/queryTable611.xml" ContentType="application/vnd.openxmlformats-officedocument.spreadsheetml.queryTable+xml"/>
  <Override PartName="/xl/queryTables/queryTable612.xml" ContentType="application/vnd.openxmlformats-officedocument.spreadsheetml.queryTable+xml"/>
  <Override PartName="/xl/queryTables/queryTable613.xml" ContentType="application/vnd.openxmlformats-officedocument.spreadsheetml.queryTable+xml"/>
  <Override PartName="/xl/queryTables/queryTable614.xml" ContentType="application/vnd.openxmlformats-officedocument.spreadsheetml.queryTable+xml"/>
  <Override PartName="/xl/queryTables/queryTable615.xml" ContentType="application/vnd.openxmlformats-officedocument.spreadsheetml.queryTable+xml"/>
  <Override PartName="/xl/queryTables/queryTable616.xml" ContentType="application/vnd.openxmlformats-officedocument.spreadsheetml.queryTable+xml"/>
  <Override PartName="/xl/queryTables/queryTable617.xml" ContentType="application/vnd.openxmlformats-officedocument.spreadsheetml.queryTable+xml"/>
  <Override PartName="/xl/queryTables/queryTable618.xml" ContentType="application/vnd.openxmlformats-officedocument.spreadsheetml.queryTable+xml"/>
  <Override PartName="/xl/queryTables/queryTable619.xml" ContentType="application/vnd.openxmlformats-officedocument.spreadsheetml.queryTable+xml"/>
  <Override PartName="/xl/queryTables/queryTable620.xml" ContentType="application/vnd.openxmlformats-officedocument.spreadsheetml.queryTable+xml"/>
  <Override PartName="/xl/queryTables/queryTable621.xml" ContentType="application/vnd.openxmlformats-officedocument.spreadsheetml.queryTable+xml"/>
  <Override PartName="/xl/queryTables/queryTable622.xml" ContentType="application/vnd.openxmlformats-officedocument.spreadsheetml.queryTable+xml"/>
  <Override PartName="/xl/queryTables/queryTable623.xml" ContentType="application/vnd.openxmlformats-officedocument.spreadsheetml.queryTable+xml"/>
  <Override PartName="/xl/queryTables/queryTable624.xml" ContentType="application/vnd.openxmlformats-officedocument.spreadsheetml.queryTable+xml"/>
  <Override PartName="/xl/queryTables/queryTable625.xml" ContentType="application/vnd.openxmlformats-officedocument.spreadsheetml.queryTable+xml"/>
  <Override PartName="/xl/queryTables/queryTable626.xml" ContentType="application/vnd.openxmlformats-officedocument.spreadsheetml.queryTable+xml"/>
  <Override PartName="/xl/queryTables/queryTable627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0080" yWindow="-330" windowWidth="9060" windowHeight="7400" tabRatio="706" activeTab="10"/>
  </bookViews>
  <sheets>
    <sheet name="Quality" sheetId="1" r:id="rId1"/>
    <sheet name="Plants" sheetId="30" state="hidden" r:id="rId2"/>
    <sheet name="Mines" sheetId="29" state="hidden" r:id="rId3"/>
    <sheet name="Data" sheetId="2" r:id="rId4"/>
    <sheet name="Quality Norms" sheetId="18" state="hidden" r:id="rId5"/>
    <sheet name="Report" sheetId="20" r:id="rId6"/>
    <sheet name="Norm" sheetId="21" r:id="rId7"/>
    <sheet name="Test" sheetId="25" state="hidden" r:id="rId8"/>
    <sheet name="CURRENT MONTH" sheetId="42" state="hidden" r:id="rId9"/>
    <sheet name="CURR MON_ mines" sheetId="50" state="hidden" r:id="rId10"/>
    <sheet name="MonthlyAvg" sheetId="43" r:id="rId11"/>
    <sheet name="Dir Quality Report" sheetId="44" r:id="rId12"/>
    <sheet name="MonthlySD" sheetId="45" r:id="rId13"/>
    <sheet name="norm2019-20" sheetId="49" state="hidden" r:id="rId14"/>
    <sheet name="Sheet1" sheetId="46" state="hidden" r:id="rId15"/>
    <sheet name="Sheet2" sheetId="47" state="hidden" r:id="rId16"/>
    <sheet name="norm2018-19" sheetId="48" state="hidden" r:id="rId17"/>
  </sheets>
  <externalReferences>
    <externalReference r:id="rId18"/>
  </externalReferences>
  <definedNames>
    <definedName name="_xlnm._FilterDatabase" localSheetId="3" hidden="1">Data!$A$2:$M$10000</definedName>
    <definedName name="_xlnm._FilterDatabase" localSheetId="10" hidden="1">MonthlyAvg!$A$13:$L$121</definedName>
    <definedName name="_xlnm._FilterDatabase" localSheetId="5" hidden="1">Report!$A$19:$AF$19</definedName>
    <definedName name="_xlnm.Criteria" localSheetId="3">Data!$P$2:$S$3</definedName>
    <definedName name="ExternalData_1" localSheetId="3">Data!#REF!</definedName>
    <definedName name="ExternalData_10" localSheetId="3">Data!#REF!</definedName>
    <definedName name="ExternalData_100" localSheetId="3">Data!#REF!</definedName>
    <definedName name="ExternalData_1000" localSheetId="3">Data!#REF!</definedName>
    <definedName name="ExternalData_1001" localSheetId="3">Data!#REF!</definedName>
    <definedName name="ExternalData_1002" localSheetId="3">Data!#REF!</definedName>
    <definedName name="ExternalData_1003" localSheetId="3">Data!#REF!</definedName>
    <definedName name="ExternalData_1004" localSheetId="3">Data!#REF!</definedName>
    <definedName name="ExternalData_1005" localSheetId="3">Data!#REF!</definedName>
    <definedName name="ExternalData_1006" localSheetId="3">Data!#REF!</definedName>
    <definedName name="ExternalData_1007" localSheetId="3">Data!#REF!</definedName>
    <definedName name="ExternalData_1008" localSheetId="3">Data!#REF!</definedName>
    <definedName name="ExternalData_1009" localSheetId="3">Data!#REF!</definedName>
    <definedName name="ExternalData_101" localSheetId="3">Data!#REF!</definedName>
    <definedName name="ExternalData_1010" localSheetId="3">Data!#REF!</definedName>
    <definedName name="ExternalData_1011" localSheetId="3">Data!#REF!</definedName>
    <definedName name="ExternalData_1012" localSheetId="3">Data!#REF!</definedName>
    <definedName name="ExternalData_1013" localSheetId="3">Data!#REF!</definedName>
    <definedName name="ExternalData_1014" localSheetId="3">Data!#REF!</definedName>
    <definedName name="ExternalData_1015" localSheetId="3">Data!#REF!</definedName>
    <definedName name="ExternalData_1016" localSheetId="3">Data!#REF!</definedName>
    <definedName name="ExternalData_1017" localSheetId="3">Data!#REF!</definedName>
    <definedName name="ExternalData_1018" localSheetId="3">Data!#REF!</definedName>
    <definedName name="ExternalData_1019" localSheetId="3">Data!#REF!</definedName>
    <definedName name="ExternalData_102" localSheetId="3">Data!#REF!</definedName>
    <definedName name="ExternalData_1020" localSheetId="3">Data!#REF!</definedName>
    <definedName name="ExternalData_1021" localSheetId="3">Data!#REF!</definedName>
    <definedName name="ExternalData_1022" localSheetId="3">Data!#REF!</definedName>
    <definedName name="ExternalData_1023" localSheetId="3">Data!#REF!</definedName>
    <definedName name="ExternalData_1024" localSheetId="3">Data!#REF!</definedName>
    <definedName name="ExternalData_1025" localSheetId="3">Data!#REF!</definedName>
    <definedName name="ExternalData_1026" localSheetId="3">Data!#REF!</definedName>
    <definedName name="ExternalData_1027" localSheetId="3">Data!#REF!</definedName>
    <definedName name="ExternalData_1028" localSheetId="3">Data!#REF!</definedName>
    <definedName name="ExternalData_1029" localSheetId="3">Data!#REF!</definedName>
    <definedName name="ExternalData_103" localSheetId="3">Data!#REF!</definedName>
    <definedName name="ExternalData_1030" localSheetId="3">Data!#REF!</definedName>
    <definedName name="ExternalData_1031" localSheetId="3">Data!#REF!</definedName>
    <definedName name="ExternalData_1032" localSheetId="3">Data!#REF!</definedName>
    <definedName name="ExternalData_1033" localSheetId="3">Data!#REF!</definedName>
    <definedName name="ExternalData_1034" localSheetId="3">Data!#REF!</definedName>
    <definedName name="ExternalData_1035" localSheetId="3">Data!#REF!</definedName>
    <definedName name="ExternalData_1036" localSheetId="3">Data!#REF!</definedName>
    <definedName name="ExternalData_1037" localSheetId="3">Data!#REF!</definedName>
    <definedName name="ExternalData_1038" localSheetId="3">Data!#REF!</definedName>
    <definedName name="ExternalData_1039" localSheetId="3">Data!#REF!</definedName>
    <definedName name="ExternalData_104" localSheetId="3">Data!#REF!</definedName>
    <definedName name="ExternalData_1040" localSheetId="3">Data!#REF!</definedName>
    <definedName name="ExternalData_1041" localSheetId="3">Data!#REF!</definedName>
    <definedName name="ExternalData_1042" localSheetId="3">Data!#REF!</definedName>
    <definedName name="ExternalData_1043" localSheetId="3">Data!#REF!</definedName>
    <definedName name="ExternalData_1044" localSheetId="3">Data!#REF!</definedName>
    <definedName name="ExternalData_1045" localSheetId="3">Data!#REF!</definedName>
    <definedName name="ExternalData_1046" localSheetId="3">Data!#REF!</definedName>
    <definedName name="ExternalData_1047" localSheetId="3">Data!#REF!</definedName>
    <definedName name="ExternalData_1048" localSheetId="3">Data!#REF!</definedName>
    <definedName name="ExternalData_1049" localSheetId="3">Data!#REF!</definedName>
    <definedName name="ExternalData_105" localSheetId="3">Data!#REF!</definedName>
    <definedName name="ExternalData_1050" localSheetId="3">Data!#REF!</definedName>
    <definedName name="ExternalData_1051" localSheetId="3">Data!#REF!</definedName>
    <definedName name="ExternalData_1052" localSheetId="3">Data!#REF!</definedName>
    <definedName name="ExternalData_1053" localSheetId="3">Data!#REF!</definedName>
    <definedName name="ExternalData_1054" localSheetId="3">Data!#REF!</definedName>
    <definedName name="ExternalData_1055" localSheetId="3">Data!#REF!</definedName>
    <definedName name="ExternalData_1056" localSheetId="3">Data!#REF!</definedName>
    <definedName name="ExternalData_1057" localSheetId="3">Data!#REF!</definedName>
    <definedName name="ExternalData_1058" localSheetId="3">Data!#REF!</definedName>
    <definedName name="ExternalData_1059" localSheetId="3">Data!#REF!</definedName>
    <definedName name="ExternalData_106" localSheetId="3">Data!#REF!</definedName>
    <definedName name="ExternalData_1060" localSheetId="3">Data!#REF!</definedName>
    <definedName name="ExternalData_1061" localSheetId="3">Data!#REF!</definedName>
    <definedName name="ExternalData_1062" localSheetId="3">Data!#REF!</definedName>
    <definedName name="ExternalData_1063" localSheetId="3">Data!#REF!</definedName>
    <definedName name="ExternalData_1064" localSheetId="3">Data!#REF!</definedName>
    <definedName name="ExternalData_1065" localSheetId="3">Data!#REF!</definedName>
    <definedName name="ExternalData_1066" localSheetId="3">Data!#REF!</definedName>
    <definedName name="ExternalData_1067" localSheetId="3">Data!#REF!</definedName>
    <definedName name="ExternalData_1068" localSheetId="3">Data!#REF!</definedName>
    <definedName name="ExternalData_1069" localSheetId="3">Data!#REF!</definedName>
    <definedName name="ExternalData_107" localSheetId="3">Data!#REF!</definedName>
    <definedName name="ExternalData_1070" localSheetId="3">Data!#REF!</definedName>
    <definedName name="ExternalData_1071" localSheetId="3">Data!#REF!</definedName>
    <definedName name="ExternalData_1072" localSheetId="3">Data!#REF!</definedName>
    <definedName name="ExternalData_1073" localSheetId="3">Data!#REF!</definedName>
    <definedName name="ExternalData_1074" localSheetId="3">Data!#REF!</definedName>
    <definedName name="ExternalData_1075" localSheetId="3">Data!#REF!</definedName>
    <definedName name="ExternalData_1076" localSheetId="3">Data!#REF!</definedName>
    <definedName name="ExternalData_1077" localSheetId="3">Data!#REF!</definedName>
    <definedName name="ExternalData_1078" localSheetId="3">Data!#REF!</definedName>
    <definedName name="ExternalData_1079" localSheetId="3">Data!#REF!</definedName>
    <definedName name="ExternalData_108" localSheetId="3">Data!#REF!</definedName>
    <definedName name="ExternalData_1080" localSheetId="3">Data!#REF!</definedName>
    <definedName name="ExternalData_1081" localSheetId="3">Data!#REF!</definedName>
    <definedName name="ExternalData_1082" localSheetId="3">Data!#REF!</definedName>
    <definedName name="ExternalData_1083" localSheetId="3">Data!#REF!</definedName>
    <definedName name="ExternalData_1084" localSheetId="3">Data!#REF!</definedName>
    <definedName name="ExternalData_1085" localSheetId="3">Data!#REF!</definedName>
    <definedName name="ExternalData_1086" localSheetId="3">Data!#REF!</definedName>
    <definedName name="ExternalData_1087" localSheetId="3">Data!#REF!</definedName>
    <definedName name="ExternalData_1088" localSheetId="3">Data!#REF!</definedName>
    <definedName name="ExternalData_1089" localSheetId="3">Data!#REF!</definedName>
    <definedName name="ExternalData_109" localSheetId="3">Data!#REF!</definedName>
    <definedName name="ExternalData_1090" localSheetId="3">Data!#REF!</definedName>
    <definedName name="ExternalData_1091" localSheetId="3">Data!#REF!</definedName>
    <definedName name="ExternalData_1092" localSheetId="3">Data!#REF!</definedName>
    <definedName name="ExternalData_1093" localSheetId="3">Data!#REF!</definedName>
    <definedName name="ExternalData_1094" localSheetId="3">Data!#REF!</definedName>
    <definedName name="ExternalData_1095" localSheetId="3">Data!#REF!</definedName>
    <definedName name="ExternalData_1096" localSheetId="3">Data!#REF!</definedName>
    <definedName name="ExternalData_1097" localSheetId="3">Data!#REF!</definedName>
    <definedName name="ExternalData_1098" localSheetId="3">Data!#REF!</definedName>
    <definedName name="ExternalData_1099" localSheetId="3">Data!#REF!</definedName>
    <definedName name="ExternalData_11" localSheetId="3">Data!#REF!</definedName>
    <definedName name="ExternalData_110" localSheetId="3">Data!#REF!</definedName>
    <definedName name="ExternalData_1100" localSheetId="3">Data!#REF!</definedName>
    <definedName name="ExternalData_1101" localSheetId="3">Data!#REF!</definedName>
    <definedName name="ExternalData_1102" localSheetId="3">Data!#REF!</definedName>
    <definedName name="ExternalData_1103" localSheetId="3">Data!#REF!</definedName>
    <definedName name="ExternalData_1104" localSheetId="3">Data!#REF!</definedName>
    <definedName name="ExternalData_1105" localSheetId="3">Data!#REF!</definedName>
    <definedName name="ExternalData_1106" localSheetId="3">Data!#REF!</definedName>
    <definedName name="ExternalData_1107" localSheetId="3">Data!#REF!</definedName>
    <definedName name="ExternalData_1108" localSheetId="3">Data!#REF!</definedName>
    <definedName name="ExternalData_1109" localSheetId="3">Data!#REF!</definedName>
    <definedName name="ExternalData_111" localSheetId="3">Data!#REF!</definedName>
    <definedName name="ExternalData_1110" localSheetId="3">Data!#REF!</definedName>
    <definedName name="ExternalData_1111" localSheetId="3">Data!#REF!</definedName>
    <definedName name="ExternalData_1112" localSheetId="3">Data!#REF!</definedName>
    <definedName name="ExternalData_1113" localSheetId="3">Data!#REF!</definedName>
    <definedName name="ExternalData_1114" localSheetId="3">Data!#REF!</definedName>
    <definedName name="ExternalData_1115" localSheetId="3">Data!#REF!</definedName>
    <definedName name="ExternalData_1116" localSheetId="3">Data!#REF!</definedName>
    <definedName name="ExternalData_1117" localSheetId="3">Data!#REF!</definedName>
    <definedName name="ExternalData_1118" localSheetId="3">Data!#REF!</definedName>
    <definedName name="ExternalData_1119" localSheetId="3">Data!#REF!</definedName>
    <definedName name="ExternalData_112" localSheetId="3">Data!#REF!</definedName>
    <definedName name="ExternalData_1120" localSheetId="3">Data!#REF!</definedName>
    <definedName name="ExternalData_1121" localSheetId="3">Data!#REF!</definedName>
    <definedName name="ExternalData_1122" localSheetId="3">Data!#REF!</definedName>
    <definedName name="ExternalData_1123" localSheetId="3">Data!#REF!</definedName>
    <definedName name="ExternalData_1124" localSheetId="3">Data!#REF!</definedName>
    <definedName name="ExternalData_1125" localSheetId="3">Data!#REF!</definedName>
    <definedName name="ExternalData_1126" localSheetId="3">Data!#REF!</definedName>
    <definedName name="ExternalData_1127" localSheetId="3">Data!#REF!</definedName>
    <definedName name="ExternalData_1128" localSheetId="3">Data!#REF!</definedName>
    <definedName name="ExternalData_1129" localSheetId="3">Data!#REF!</definedName>
    <definedName name="ExternalData_113" localSheetId="3">Data!#REF!</definedName>
    <definedName name="ExternalData_1130" localSheetId="3">Data!#REF!</definedName>
    <definedName name="ExternalData_1131" localSheetId="3">Data!#REF!</definedName>
    <definedName name="ExternalData_1132" localSheetId="3">Data!#REF!</definedName>
    <definedName name="ExternalData_1133" localSheetId="3">Data!#REF!</definedName>
    <definedName name="ExternalData_1134" localSheetId="3">Data!#REF!</definedName>
    <definedName name="ExternalData_1135" localSheetId="3">Data!#REF!</definedName>
    <definedName name="ExternalData_1136" localSheetId="3">Data!#REF!</definedName>
    <definedName name="ExternalData_1137" localSheetId="3">Data!#REF!</definedName>
    <definedName name="ExternalData_1138" localSheetId="3">Data!#REF!</definedName>
    <definedName name="ExternalData_1139" localSheetId="3">Data!#REF!</definedName>
    <definedName name="ExternalData_114" localSheetId="3">Data!#REF!</definedName>
    <definedName name="ExternalData_1140" localSheetId="3">Data!#REF!</definedName>
    <definedName name="ExternalData_1141" localSheetId="3">Data!#REF!</definedName>
    <definedName name="ExternalData_1142" localSheetId="3">Data!#REF!</definedName>
    <definedName name="ExternalData_1143" localSheetId="3">Data!#REF!</definedName>
    <definedName name="ExternalData_1144" localSheetId="3">Data!#REF!</definedName>
    <definedName name="ExternalData_1145" localSheetId="3">Data!#REF!</definedName>
    <definedName name="ExternalData_1146" localSheetId="3">Data!#REF!</definedName>
    <definedName name="ExternalData_1147" localSheetId="3">Data!#REF!</definedName>
    <definedName name="ExternalData_1148" localSheetId="3">Data!#REF!</definedName>
    <definedName name="ExternalData_1149" localSheetId="3">Data!#REF!</definedName>
    <definedName name="ExternalData_115" localSheetId="3">Data!#REF!</definedName>
    <definedName name="ExternalData_1150" localSheetId="3">Data!#REF!</definedName>
    <definedName name="ExternalData_1151" localSheetId="3">Data!#REF!</definedName>
    <definedName name="ExternalData_1152" localSheetId="3">Data!#REF!</definedName>
    <definedName name="ExternalData_1153" localSheetId="3">Data!#REF!</definedName>
    <definedName name="ExternalData_1154" localSheetId="3">Data!#REF!</definedName>
    <definedName name="ExternalData_1155" localSheetId="3">Data!#REF!</definedName>
    <definedName name="ExternalData_1156" localSheetId="3">Data!#REF!</definedName>
    <definedName name="ExternalData_1157" localSheetId="3">Data!#REF!</definedName>
    <definedName name="ExternalData_1158" localSheetId="3">Data!#REF!</definedName>
    <definedName name="ExternalData_1159" localSheetId="3">Data!#REF!</definedName>
    <definedName name="ExternalData_116" localSheetId="3">Data!#REF!</definedName>
    <definedName name="ExternalData_1160" localSheetId="3">Data!#REF!</definedName>
    <definedName name="ExternalData_1161" localSheetId="3">Data!#REF!</definedName>
    <definedName name="ExternalData_1162" localSheetId="3">Data!#REF!</definedName>
    <definedName name="ExternalData_1163" localSheetId="3">Data!#REF!</definedName>
    <definedName name="ExternalData_1164" localSheetId="3">Data!#REF!</definedName>
    <definedName name="ExternalData_1165" localSheetId="3">Data!#REF!</definedName>
    <definedName name="ExternalData_1166" localSheetId="3">Data!#REF!</definedName>
    <definedName name="ExternalData_1167" localSheetId="3">Data!#REF!</definedName>
    <definedName name="ExternalData_1168" localSheetId="3">Data!#REF!</definedName>
    <definedName name="ExternalData_1169" localSheetId="3">Data!#REF!</definedName>
    <definedName name="ExternalData_117" localSheetId="3">Data!#REF!</definedName>
    <definedName name="ExternalData_1170" localSheetId="3">Data!#REF!</definedName>
    <definedName name="ExternalData_1171" localSheetId="3">Data!#REF!</definedName>
    <definedName name="ExternalData_1172" localSheetId="3">Data!#REF!</definedName>
    <definedName name="ExternalData_1173" localSheetId="3">Data!#REF!</definedName>
    <definedName name="ExternalData_1174" localSheetId="3">Data!#REF!</definedName>
    <definedName name="ExternalData_1175" localSheetId="3">Data!#REF!</definedName>
    <definedName name="ExternalData_1176" localSheetId="3">Data!#REF!</definedName>
    <definedName name="ExternalData_1177" localSheetId="3">Data!#REF!</definedName>
    <definedName name="ExternalData_1178" localSheetId="3">Data!#REF!</definedName>
    <definedName name="ExternalData_1179" localSheetId="3">Data!#REF!</definedName>
    <definedName name="ExternalData_118" localSheetId="3">Data!#REF!</definedName>
    <definedName name="ExternalData_1180" localSheetId="3">Data!#REF!</definedName>
    <definedName name="ExternalData_1181" localSheetId="3">Data!#REF!</definedName>
    <definedName name="ExternalData_1182" localSheetId="3">Data!#REF!</definedName>
    <definedName name="ExternalData_1183" localSheetId="3">Data!#REF!</definedName>
    <definedName name="ExternalData_1184" localSheetId="3">Data!#REF!</definedName>
    <definedName name="ExternalData_1185" localSheetId="3">Data!#REF!</definedName>
    <definedName name="ExternalData_1186" localSheetId="3">Data!#REF!</definedName>
    <definedName name="ExternalData_1187" localSheetId="3">Data!#REF!</definedName>
    <definedName name="ExternalData_1188" localSheetId="3">Data!#REF!</definedName>
    <definedName name="ExternalData_1189" localSheetId="3">Data!#REF!</definedName>
    <definedName name="ExternalData_119" localSheetId="3">Data!#REF!</definedName>
    <definedName name="ExternalData_1190" localSheetId="3">Data!#REF!</definedName>
    <definedName name="ExternalData_1191" localSheetId="3">Data!#REF!</definedName>
    <definedName name="ExternalData_1192" localSheetId="3">Data!#REF!</definedName>
    <definedName name="ExternalData_1193" localSheetId="3">Data!#REF!</definedName>
    <definedName name="ExternalData_1194" localSheetId="3">Data!#REF!</definedName>
    <definedName name="ExternalData_1195" localSheetId="3">Data!#REF!</definedName>
    <definedName name="ExternalData_1196" localSheetId="3">Data!#REF!</definedName>
    <definedName name="ExternalData_1197" localSheetId="3">Data!#REF!</definedName>
    <definedName name="ExternalData_1198" localSheetId="3">Data!#REF!</definedName>
    <definedName name="ExternalData_1199" localSheetId="3">Data!#REF!</definedName>
    <definedName name="ExternalData_12" localSheetId="3">Data!#REF!</definedName>
    <definedName name="ExternalData_120" localSheetId="3">Data!#REF!</definedName>
    <definedName name="ExternalData_1200" localSheetId="3">Data!#REF!</definedName>
    <definedName name="ExternalData_1201" localSheetId="3">Data!#REF!</definedName>
    <definedName name="ExternalData_1202" localSheetId="3">Data!#REF!</definedName>
    <definedName name="ExternalData_1203" localSheetId="3">Data!#REF!</definedName>
    <definedName name="ExternalData_1204" localSheetId="3">Data!#REF!</definedName>
    <definedName name="ExternalData_1205" localSheetId="3">Data!#REF!</definedName>
    <definedName name="ExternalData_1206" localSheetId="3">Data!#REF!</definedName>
    <definedName name="ExternalData_1207" localSheetId="3">Data!#REF!</definedName>
    <definedName name="ExternalData_1208" localSheetId="3">Data!#REF!</definedName>
    <definedName name="ExternalData_1209" localSheetId="3">Data!#REF!</definedName>
    <definedName name="ExternalData_121" localSheetId="3">Data!#REF!</definedName>
    <definedName name="ExternalData_1210" localSheetId="3">Data!#REF!</definedName>
    <definedName name="ExternalData_1211" localSheetId="3">Data!#REF!</definedName>
    <definedName name="ExternalData_1212" localSheetId="3">Data!#REF!</definedName>
    <definedName name="ExternalData_1213" localSheetId="3">Data!#REF!</definedName>
    <definedName name="ExternalData_1214" localSheetId="3">Data!#REF!</definedName>
    <definedName name="ExternalData_1215" localSheetId="3">Data!#REF!</definedName>
    <definedName name="ExternalData_1216" localSheetId="3">Data!#REF!</definedName>
    <definedName name="ExternalData_1217" localSheetId="3">Data!#REF!</definedName>
    <definedName name="ExternalData_1218" localSheetId="3">Data!#REF!</definedName>
    <definedName name="ExternalData_1219" localSheetId="3">Data!#REF!</definedName>
    <definedName name="ExternalData_122" localSheetId="3">Data!#REF!</definedName>
    <definedName name="ExternalData_1220" localSheetId="3">Data!#REF!</definedName>
    <definedName name="ExternalData_1221" localSheetId="3">Data!#REF!</definedName>
    <definedName name="ExternalData_1222" localSheetId="3">Data!#REF!</definedName>
    <definedName name="ExternalData_1223" localSheetId="3">Data!#REF!</definedName>
    <definedName name="ExternalData_1224" localSheetId="3">Data!#REF!</definedName>
    <definedName name="ExternalData_1225" localSheetId="3">Data!#REF!</definedName>
    <definedName name="ExternalData_1226" localSheetId="3">Data!#REF!</definedName>
    <definedName name="ExternalData_1227" localSheetId="3">Data!#REF!</definedName>
    <definedName name="ExternalData_1228" localSheetId="3">Data!#REF!</definedName>
    <definedName name="ExternalData_1229" localSheetId="3">Data!#REF!</definedName>
    <definedName name="ExternalData_123" localSheetId="3">Data!#REF!</definedName>
    <definedName name="ExternalData_1230" localSheetId="3">Data!#REF!</definedName>
    <definedName name="ExternalData_1231" localSheetId="3">Data!#REF!</definedName>
    <definedName name="ExternalData_1232" localSheetId="3">Data!#REF!</definedName>
    <definedName name="ExternalData_1233" localSheetId="3">Data!#REF!</definedName>
    <definedName name="ExternalData_1234" localSheetId="3">Data!#REF!</definedName>
    <definedName name="ExternalData_1235" localSheetId="3">Data!#REF!</definedName>
    <definedName name="ExternalData_1236" localSheetId="3">Data!#REF!</definedName>
    <definedName name="ExternalData_1237" localSheetId="3">Data!#REF!</definedName>
    <definedName name="ExternalData_1238" localSheetId="3">Data!#REF!</definedName>
    <definedName name="ExternalData_1239" localSheetId="3">Data!#REF!</definedName>
    <definedName name="ExternalData_124" localSheetId="3">Data!#REF!</definedName>
    <definedName name="ExternalData_1240" localSheetId="3">Data!#REF!</definedName>
    <definedName name="ExternalData_1241" localSheetId="3">Data!#REF!</definedName>
    <definedName name="ExternalData_1242" localSheetId="3">Data!#REF!</definedName>
    <definedName name="ExternalData_1243" localSheetId="3">Data!#REF!</definedName>
    <definedName name="ExternalData_1244" localSheetId="3">Data!#REF!</definedName>
    <definedName name="ExternalData_1245" localSheetId="3">Data!#REF!</definedName>
    <definedName name="ExternalData_1246" localSheetId="3">Data!#REF!</definedName>
    <definedName name="ExternalData_1247" localSheetId="3">Data!#REF!</definedName>
    <definedName name="ExternalData_1248" localSheetId="3">Data!#REF!</definedName>
    <definedName name="ExternalData_1249" localSheetId="3">Data!#REF!</definedName>
    <definedName name="ExternalData_125" localSheetId="3">Data!#REF!</definedName>
    <definedName name="ExternalData_1250" localSheetId="3">Data!#REF!</definedName>
    <definedName name="ExternalData_1251" localSheetId="3">Data!#REF!</definedName>
    <definedName name="ExternalData_1252" localSheetId="3">Data!#REF!</definedName>
    <definedName name="ExternalData_1253" localSheetId="3">Data!#REF!</definedName>
    <definedName name="ExternalData_1254" localSheetId="3">Data!#REF!</definedName>
    <definedName name="ExternalData_1255" localSheetId="3">Data!#REF!</definedName>
    <definedName name="ExternalData_1256" localSheetId="3">Data!#REF!</definedName>
    <definedName name="ExternalData_1257" localSheetId="3">Data!#REF!</definedName>
    <definedName name="ExternalData_1258" localSheetId="3">Data!#REF!</definedName>
    <definedName name="ExternalData_1259" localSheetId="3">Data!#REF!</definedName>
    <definedName name="ExternalData_126" localSheetId="3">Data!#REF!</definedName>
    <definedName name="ExternalData_1260" localSheetId="3">Data!#REF!</definedName>
    <definedName name="ExternalData_1261" localSheetId="3">Data!#REF!</definedName>
    <definedName name="ExternalData_1262" localSheetId="3">Data!#REF!</definedName>
    <definedName name="ExternalData_1263" localSheetId="3">Data!#REF!</definedName>
    <definedName name="ExternalData_1264" localSheetId="3">Data!#REF!</definedName>
    <definedName name="ExternalData_1265" localSheetId="3">Data!#REF!</definedName>
    <definedName name="ExternalData_1266" localSheetId="3">Data!#REF!</definedName>
    <definedName name="ExternalData_1267" localSheetId="3">Data!#REF!</definedName>
    <definedName name="ExternalData_1268" localSheetId="3">Data!#REF!</definedName>
    <definedName name="ExternalData_1269" localSheetId="3">Data!#REF!</definedName>
    <definedName name="ExternalData_127" localSheetId="3">Data!#REF!</definedName>
    <definedName name="ExternalData_1270" localSheetId="3">Data!#REF!</definedName>
    <definedName name="ExternalData_1271" localSheetId="3">Data!#REF!</definedName>
    <definedName name="ExternalData_1272" localSheetId="3">Data!#REF!</definedName>
    <definedName name="ExternalData_1273" localSheetId="3">Data!#REF!</definedName>
    <definedName name="ExternalData_1274" localSheetId="3">Data!#REF!</definedName>
    <definedName name="ExternalData_1275" localSheetId="3">Data!#REF!</definedName>
    <definedName name="ExternalData_1276" localSheetId="3">Data!#REF!</definedName>
    <definedName name="ExternalData_1277" localSheetId="3">Data!#REF!</definedName>
    <definedName name="ExternalData_1278" localSheetId="3">Data!#REF!</definedName>
    <definedName name="ExternalData_1279" localSheetId="3">Data!#REF!</definedName>
    <definedName name="ExternalData_128" localSheetId="3">Data!#REF!</definedName>
    <definedName name="ExternalData_1280" localSheetId="3">Data!#REF!</definedName>
    <definedName name="ExternalData_1281" localSheetId="3">Data!#REF!</definedName>
    <definedName name="ExternalData_1282" localSheetId="3">Data!#REF!</definedName>
    <definedName name="ExternalData_1283" localSheetId="3">Data!#REF!</definedName>
    <definedName name="ExternalData_1284" localSheetId="3">Data!#REF!</definedName>
    <definedName name="ExternalData_1285" localSheetId="3">Data!#REF!</definedName>
    <definedName name="ExternalData_1286" localSheetId="3">Data!#REF!</definedName>
    <definedName name="ExternalData_1287" localSheetId="3">Data!#REF!</definedName>
    <definedName name="ExternalData_1288" localSheetId="3">Data!#REF!</definedName>
    <definedName name="ExternalData_1289" localSheetId="3">Data!#REF!</definedName>
    <definedName name="ExternalData_129" localSheetId="3">Data!#REF!</definedName>
    <definedName name="ExternalData_1290" localSheetId="3">Data!#REF!</definedName>
    <definedName name="ExternalData_1291" localSheetId="3">Data!#REF!</definedName>
    <definedName name="ExternalData_1292" localSheetId="3">Data!#REF!</definedName>
    <definedName name="ExternalData_1293" localSheetId="3">Data!#REF!</definedName>
    <definedName name="ExternalData_1294" localSheetId="3">Data!#REF!</definedName>
    <definedName name="ExternalData_1295" localSheetId="3">Data!#REF!</definedName>
    <definedName name="ExternalData_1296" localSheetId="3">Data!#REF!</definedName>
    <definedName name="ExternalData_1297" localSheetId="3">Data!#REF!</definedName>
    <definedName name="ExternalData_1298" localSheetId="3">Data!#REF!</definedName>
    <definedName name="ExternalData_1299" localSheetId="3">Data!#REF!</definedName>
    <definedName name="ExternalData_13" localSheetId="3">Data!#REF!</definedName>
    <definedName name="ExternalData_130" localSheetId="3">Data!#REF!</definedName>
    <definedName name="ExternalData_1300" localSheetId="3">Data!#REF!</definedName>
    <definedName name="ExternalData_1301" localSheetId="3">Data!#REF!</definedName>
    <definedName name="ExternalData_1302" localSheetId="3">Data!#REF!</definedName>
    <definedName name="ExternalData_1303" localSheetId="3">Data!#REF!</definedName>
    <definedName name="ExternalData_1304" localSheetId="3">Data!#REF!</definedName>
    <definedName name="ExternalData_1305" localSheetId="3">Data!#REF!</definedName>
    <definedName name="ExternalData_1306" localSheetId="3">Data!#REF!</definedName>
    <definedName name="ExternalData_1307" localSheetId="3">Data!#REF!</definedName>
    <definedName name="ExternalData_1308" localSheetId="3">Data!#REF!</definedName>
    <definedName name="ExternalData_1309" localSheetId="3">Data!#REF!</definedName>
    <definedName name="ExternalData_131" localSheetId="3">Data!#REF!</definedName>
    <definedName name="ExternalData_1310" localSheetId="3">Data!#REF!</definedName>
    <definedName name="ExternalData_1311" localSheetId="3">Data!#REF!</definedName>
    <definedName name="ExternalData_1312" localSheetId="3">Data!#REF!</definedName>
    <definedName name="ExternalData_1313" localSheetId="3">Data!#REF!</definedName>
    <definedName name="ExternalData_1314" localSheetId="3">Data!#REF!</definedName>
    <definedName name="ExternalData_1315" localSheetId="3">Data!#REF!</definedName>
    <definedName name="ExternalData_1316" localSheetId="3">Data!#REF!</definedName>
    <definedName name="ExternalData_1317" localSheetId="3">Data!#REF!</definedName>
    <definedName name="ExternalData_1318" localSheetId="3">Data!#REF!</definedName>
    <definedName name="ExternalData_1319" localSheetId="3">Data!#REF!</definedName>
    <definedName name="ExternalData_132" localSheetId="3">Data!#REF!</definedName>
    <definedName name="ExternalData_1320" localSheetId="3">Data!#REF!</definedName>
    <definedName name="ExternalData_1321" localSheetId="3">Data!#REF!</definedName>
    <definedName name="ExternalData_1322" localSheetId="3">Data!#REF!</definedName>
    <definedName name="ExternalData_1323" localSheetId="3">Data!#REF!</definedName>
    <definedName name="ExternalData_1324" localSheetId="3">Data!#REF!</definedName>
    <definedName name="ExternalData_1325" localSheetId="3">Data!#REF!</definedName>
    <definedName name="ExternalData_1326" localSheetId="3">Data!#REF!</definedName>
    <definedName name="ExternalData_1327" localSheetId="3">Data!#REF!</definedName>
    <definedName name="ExternalData_1328" localSheetId="3">Data!#REF!</definedName>
    <definedName name="ExternalData_1329" localSheetId="3">Data!#REF!</definedName>
    <definedName name="ExternalData_133" localSheetId="3">Data!#REF!</definedName>
    <definedName name="ExternalData_1330" localSheetId="3">Data!#REF!</definedName>
    <definedName name="ExternalData_1331" localSheetId="3">Data!#REF!</definedName>
    <definedName name="ExternalData_1332" localSheetId="3">Data!#REF!</definedName>
    <definedName name="ExternalData_1333" localSheetId="3">Data!#REF!</definedName>
    <definedName name="ExternalData_1334" localSheetId="3">Data!#REF!</definedName>
    <definedName name="ExternalData_1335" localSheetId="3">Data!#REF!</definedName>
    <definedName name="ExternalData_1336" localSheetId="3">Data!#REF!</definedName>
    <definedName name="ExternalData_1337" localSheetId="3">Data!#REF!</definedName>
    <definedName name="ExternalData_1338" localSheetId="3">Data!#REF!</definedName>
    <definedName name="ExternalData_1339" localSheetId="3">Data!#REF!</definedName>
    <definedName name="ExternalData_134" localSheetId="3">Data!#REF!</definedName>
    <definedName name="ExternalData_1340" localSheetId="3">Data!#REF!</definedName>
    <definedName name="ExternalData_1341" localSheetId="3">Data!#REF!</definedName>
    <definedName name="ExternalData_1342" localSheetId="3">Data!#REF!</definedName>
    <definedName name="ExternalData_1343" localSheetId="3">Data!#REF!</definedName>
    <definedName name="ExternalData_1344" localSheetId="3">Data!#REF!</definedName>
    <definedName name="ExternalData_1345" localSheetId="3">Data!#REF!</definedName>
    <definedName name="ExternalData_1346" localSheetId="3">Data!#REF!</definedName>
    <definedName name="ExternalData_1347" localSheetId="3">Data!#REF!</definedName>
    <definedName name="ExternalData_1348" localSheetId="3">Data!#REF!</definedName>
    <definedName name="ExternalData_1349" localSheetId="3">Data!#REF!</definedName>
    <definedName name="ExternalData_135" localSheetId="3">Data!#REF!</definedName>
    <definedName name="ExternalData_1350" localSheetId="3">Data!#REF!</definedName>
    <definedName name="ExternalData_1351" localSheetId="3">Data!#REF!</definedName>
    <definedName name="ExternalData_1352" localSheetId="3">Data!#REF!</definedName>
    <definedName name="ExternalData_1353" localSheetId="3">Data!#REF!</definedName>
    <definedName name="ExternalData_1354" localSheetId="3">Data!#REF!</definedName>
    <definedName name="ExternalData_1355" localSheetId="3">Data!#REF!</definedName>
    <definedName name="ExternalData_1356" localSheetId="3">Data!#REF!</definedName>
    <definedName name="ExternalData_1357" localSheetId="3">Data!#REF!</definedName>
    <definedName name="ExternalData_1358" localSheetId="3">Data!#REF!</definedName>
    <definedName name="ExternalData_1359" localSheetId="3">Data!#REF!</definedName>
    <definedName name="ExternalData_136" localSheetId="3">Data!#REF!</definedName>
    <definedName name="ExternalData_1360" localSheetId="3">Data!#REF!</definedName>
    <definedName name="ExternalData_1361" localSheetId="3">Data!#REF!</definedName>
    <definedName name="ExternalData_1362" localSheetId="3">Data!#REF!</definedName>
    <definedName name="ExternalData_1363" localSheetId="3">Data!#REF!</definedName>
    <definedName name="ExternalData_1364" localSheetId="3">Data!#REF!</definedName>
    <definedName name="ExternalData_1365" localSheetId="3">Data!#REF!</definedName>
    <definedName name="ExternalData_1366" localSheetId="3">Data!#REF!</definedName>
    <definedName name="ExternalData_1367" localSheetId="3">Data!#REF!</definedName>
    <definedName name="ExternalData_1368" localSheetId="3">Data!#REF!</definedName>
    <definedName name="ExternalData_1369" localSheetId="3">Data!#REF!</definedName>
    <definedName name="ExternalData_137" localSheetId="3">Data!#REF!</definedName>
    <definedName name="ExternalData_1370" localSheetId="3">Data!#REF!</definedName>
    <definedName name="ExternalData_1371" localSheetId="3">Data!#REF!</definedName>
    <definedName name="ExternalData_1372" localSheetId="3">Data!#REF!</definedName>
    <definedName name="ExternalData_1373" localSheetId="3">Data!#REF!</definedName>
    <definedName name="ExternalData_1374" localSheetId="3">Data!#REF!</definedName>
    <definedName name="ExternalData_1375" localSheetId="3">Data!#REF!</definedName>
    <definedName name="ExternalData_1376" localSheetId="3">Data!#REF!</definedName>
    <definedName name="ExternalData_1377" localSheetId="3">Data!#REF!</definedName>
    <definedName name="ExternalData_1378" localSheetId="3">Data!#REF!</definedName>
    <definedName name="ExternalData_1379" localSheetId="3">Data!#REF!</definedName>
    <definedName name="ExternalData_138" localSheetId="3">Data!#REF!</definedName>
    <definedName name="ExternalData_1380" localSheetId="3">Data!#REF!</definedName>
    <definedName name="ExternalData_1381" localSheetId="3">Data!#REF!</definedName>
    <definedName name="ExternalData_1382" localSheetId="3">Data!#REF!</definedName>
    <definedName name="ExternalData_1383" localSheetId="3">Data!#REF!</definedName>
    <definedName name="ExternalData_1384" localSheetId="3">Data!#REF!</definedName>
    <definedName name="ExternalData_1385" localSheetId="3">Data!#REF!</definedName>
    <definedName name="ExternalData_1386" localSheetId="3">Data!#REF!</definedName>
    <definedName name="ExternalData_1387" localSheetId="3">Data!#REF!</definedName>
    <definedName name="ExternalData_1388" localSheetId="3">Data!#REF!</definedName>
    <definedName name="ExternalData_1389" localSheetId="3">Data!#REF!</definedName>
    <definedName name="ExternalData_139" localSheetId="3">Data!#REF!</definedName>
    <definedName name="ExternalData_1390" localSheetId="3">Data!#REF!</definedName>
    <definedName name="ExternalData_1391" localSheetId="3">Data!#REF!</definedName>
    <definedName name="ExternalData_1392" localSheetId="3">Data!#REF!</definedName>
    <definedName name="ExternalData_1393" localSheetId="3">Data!#REF!</definedName>
    <definedName name="ExternalData_1394" localSheetId="3">Data!#REF!</definedName>
    <definedName name="ExternalData_1395" localSheetId="3">Data!#REF!</definedName>
    <definedName name="ExternalData_1396" localSheetId="3">Data!#REF!</definedName>
    <definedName name="ExternalData_1397" localSheetId="3">Data!#REF!</definedName>
    <definedName name="ExternalData_1398" localSheetId="3">Data!#REF!</definedName>
    <definedName name="ExternalData_1399" localSheetId="3">Data!#REF!</definedName>
    <definedName name="ExternalData_14" localSheetId="3">Data!#REF!</definedName>
    <definedName name="ExternalData_140" localSheetId="3">Data!#REF!</definedName>
    <definedName name="ExternalData_1400" localSheetId="3">Data!#REF!</definedName>
    <definedName name="ExternalData_1401" localSheetId="3">Data!#REF!</definedName>
    <definedName name="ExternalData_1402" localSheetId="3">Data!#REF!</definedName>
    <definedName name="ExternalData_1403" localSheetId="3">Data!#REF!</definedName>
    <definedName name="ExternalData_1404" localSheetId="3">Data!#REF!</definedName>
    <definedName name="ExternalData_1405" localSheetId="3">Data!#REF!</definedName>
    <definedName name="ExternalData_1406" localSheetId="3">Data!#REF!</definedName>
    <definedName name="ExternalData_1407" localSheetId="3">Data!#REF!</definedName>
    <definedName name="ExternalData_1408" localSheetId="3">Data!#REF!</definedName>
    <definedName name="ExternalData_1409" localSheetId="3">Data!#REF!</definedName>
    <definedName name="ExternalData_141" localSheetId="3">Data!#REF!</definedName>
    <definedName name="ExternalData_1410" localSheetId="3">Data!#REF!</definedName>
    <definedName name="ExternalData_1411" localSheetId="3">Data!#REF!</definedName>
    <definedName name="ExternalData_1412" localSheetId="3">Data!#REF!</definedName>
    <definedName name="ExternalData_1413" localSheetId="3">Data!#REF!</definedName>
    <definedName name="ExternalData_1414" localSheetId="3">Data!#REF!</definedName>
    <definedName name="ExternalData_1415" localSheetId="3">Data!#REF!</definedName>
    <definedName name="ExternalData_1416" localSheetId="3">Data!#REF!</definedName>
    <definedName name="ExternalData_1417" localSheetId="3">Data!#REF!</definedName>
    <definedName name="ExternalData_1418" localSheetId="3">Data!#REF!</definedName>
    <definedName name="ExternalData_1419" localSheetId="3">Data!#REF!</definedName>
    <definedName name="ExternalData_142" localSheetId="3">Data!#REF!</definedName>
    <definedName name="ExternalData_1420" localSheetId="3">Data!#REF!</definedName>
    <definedName name="ExternalData_1421" localSheetId="3">Data!#REF!</definedName>
    <definedName name="ExternalData_1422" localSheetId="3">Data!#REF!</definedName>
    <definedName name="ExternalData_1423" localSheetId="3">Data!#REF!</definedName>
    <definedName name="ExternalData_1424" localSheetId="3">Data!#REF!</definedName>
    <definedName name="ExternalData_1425" localSheetId="3">Data!#REF!</definedName>
    <definedName name="ExternalData_1426" localSheetId="3">Data!#REF!</definedName>
    <definedName name="ExternalData_1427" localSheetId="3">Data!#REF!</definedName>
    <definedName name="ExternalData_1428" localSheetId="3">Data!#REF!</definedName>
    <definedName name="ExternalData_1429" localSheetId="3">Data!#REF!</definedName>
    <definedName name="ExternalData_143" localSheetId="3">Data!#REF!</definedName>
    <definedName name="ExternalData_1430" localSheetId="3">Data!#REF!</definedName>
    <definedName name="ExternalData_1431" localSheetId="3">Data!#REF!</definedName>
    <definedName name="ExternalData_1432" localSheetId="3">Data!#REF!</definedName>
    <definedName name="ExternalData_1433" localSheetId="3">Data!#REF!</definedName>
    <definedName name="ExternalData_1434" localSheetId="3">Data!#REF!</definedName>
    <definedName name="ExternalData_1435" localSheetId="3">Data!#REF!</definedName>
    <definedName name="ExternalData_1436" localSheetId="3">Data!#REF!</definedName>
    <definedName name="ExternalData_1437" localSheetId="3">Data!#REF!</definedName>
    <definedName name="ExternalData_1438" localSheetId="3">Data!#REF!</definedName>
    <definedName name="ExternalData_1439" localSheetId="3">Data!#REF!</definedName>
    <definedName name="ExternalData_144" localSheetId="3">Data!#REF!</definedName>
    <definedName name="ExternalData_1440" localSheetId="3">Data!#REF!</definedName>
    <definedName name="ExternalData_1441" localSheetId="3">Data!#REF!</definedName>
    <definedName name="ExternalData_1442" localSheetId="3">Data!#REF!</definedName>
    <definedName name="ExternalData_1443" localSheetId="3">Data!#REF!</definedName>
    <definedName name="ExternalData_1444" localSheetId="3">Data!#REF!</definedName>
    <definedName name="ExternalData_1445" localSheetId="3">Data!#REF!</definedName>
    <definedName name="ExternalData_1446" localSheetId="3">Data!#REF!</definedName>
    <definedName name="ExternalData_1447" localSheetId="3">Data!#REF!</definedName>
    <definedName name="ExternalData_1448" localSheetId="3">Data!#REF!</definedName>
    <definedName name="ExternalData_1449" localSheetId="3">Data!#REF!</definedName>
    <definedName name="ExternalData_145" localSheetId="3">Data!#REF!</definedName>
    <definedName name="ExternalData_1450" localSheetId="3">Data!#REF!</definedName>
    <definedName name="ExternalData_1451" localSheetId="3">Data!#REF!</definedName>
    <definedName name="ExternalData_1452" localSheetId="3">Data!#REF!</definedName>
    <definedName name="ExternalData_1453" localSheetId="3">Data!#REF!</definedName>
    <definedName name="ExternalData_1454" localSheetId="3">Data!#REF!</definedName>
    <definedName name="ExternalData_1455" localSheetId="3">Data!#REF!</definedName>
    <definedName name="ExternalData_1456" localSheetId="3">Data!#REF!</definedName>
    <definedName name="ExternalData_1457" localSheetId="3">Data!#REF!</definedName>
    <definedName name="ExternalData_1458" localSheetId="3">Data!#REF!</definedName>
    <definedName name="ExternalData_1459" localSheetId="3">Data!#REF!</definedName>
    <definedName name="ExternalData_146" localSheetId="3">Data!#REF!</definedName>
    <definedName name="ExternalData_1460" localSheetId="3">Data!#REF!</definedName>
    <definedName name="ExternalData_1461" localSheetId="3">Data!#REF!</definedName>
    <definedName name="ExternalData_1462" localSheetId="3">Data!#REF!</definedName>
    <definedName name="ExternalData_1463" localSheetId="3">Data!#REF!</definedName>
    <definedName name="ExternalData_1464" localSheetId="3">Data!#REF!</definedName>
    <definedName name="ExternalData_1465" localSheetId="3">Data!#REF!</definedName>
    <definedName name="ExternalData_1466" localSheetId="3">Data!#REF!</definedName>
    <definedName name="ExternalData_1467" localSheetId="3">Data!#REF!</definedName>
    <definedName name="ExternalData_1468" localSheetId="3">Data!#REF!</definedName>
    <definedName name="ExternalData_1469" localSheetId="3">Data!#REF!</definedName>
    <definedName name="ExternalData_147" localSheetId="3">Data!#REF!</definedName>
    <definedName name="ExternalData_1470" localSheetId="3">Data!#REF!</definedName>
    <definedName name="ExternalData_1471" localSheetId="3">Data!#REF!</definedName>
    <definedName name="ExternalData_1472" localSheetId="3">Data!#REF!</definedName>
    <definedName name="ExternalData_1473" localSheetId="3">Data!#REF!</definedName>
    <definedName name="ExternalData_1474" localSheetId="3">Data!#REF!</definedName>
    <definedName name="ExternalData_1475" localSheetId="3">Data!#REF!</definedName>
    <definedName name="ExternalData_1476" localSheetId="3">Data!#REF!</definedName>
    <definedName name="ExternalData_1477" localSheetId="3">Data!#REF!</definedName>
    <definedName name="ExternalData_1478" localSheetId="3">Data!#REF!</definedName>
    <definedName name="ExternalData_1479" localSheetId="3">Data!#REF!</definedName>
    <definedName name="ExternalData_148" localSheetId="3">Data!#REF!</definedName>
    <definedName name="ExternalData_1480" localSheetId="3">Data!#REF!</definedName>
    <definedName name="ExternalData_1481" localSheetId="3">Data!#REF!</definedName>
    <definedName name="ExternalData_1482" localSheetId="3">Data!#REF!</definedName>
    <definedName name="ExternalData_1483" localSheetId="3">Data!#REF!</definedName>
    <definedName name="ExternalData_1484" localSheetId="3">Data!#REF!</definedName>
    <definedName name="ExternalData_1485" localSheetId="3">Data!#REF!</definedName>
    <definedName name="ExternalData_1486" localSheetId="3">Data!#REF!</definedName>
    <definedName name="ExternalData_1487" localSheetId="3">Data!#REF!</definedName>
    <definedName name="ExternalData_1488" localSheetId="3">Data!#REF!</definedName>
    <definedName name="ExternalData_1489" localSheetId="3">Data!#REF!</definedName>
    <definedName name="ExternalData_149" localSheetId="3">Data!#REF!</definedName>
    <definedName name="ExternalData_1490" localSheetId="3">Data!#REF!</definedName>
    <definedName name="ExternalData_1491" localSheetId="3">Data!#REF!</definedName>
    <definedName name="ExternalData_1492" localSheetId="3">Data!#REF!</definedName>
    <definedName name="ExternalData_1493" localSheetId="3">Data!#REF!</definedName>
    <definedName name="ExternalData_1494" localSheetId="3">Data!#REF!</definedName>
    <definedName name="ExternalData_1495" localSheetId="3">Data!#REF!</definedName>
    <definedName name="ExternalData_1496" localSheetId="3">Data!#REF!</definedName>
    <definedName name="ExternalData_1497" localSheetId="3">Data!#REF!</definedName>
    <definedName name="ExternalData_1498" localSheetId="3">Data!#REF!</definedName>
    <definedName name="ExternalData_1499" localSheetId="3">Data!#REF!</definedName>
    <definedName name="ExternalData_15" localSheetId="3">Data!#REF!</definedName>
    <definedName name="ExternalData_150" localSheetId="3">Data!#REF!</definedName>
    <definedName name="ExternalData_1500" localSheetId="3">Data!#REF!</definedName>
    <definedName name="ExternalData_1501" localSheetId="3">Data!#REF!</definedName>
    <definedName name="ExternalData_1502" localSheetId="3">Data!#REF!</definedName>
    <definedName name="ExternalData_1503" localSheetId="3">Data!#REF!</definedName>
    <definedName name="ExternalData_1504" localSheetId="3">Data!#REF!</definedName>
    <definedName name="ExternalData_1505" localSheetId="3">Data!#REF!</definedName>
    <definedName name="ExternalData_1506" localSheetId="3">Data!#REF!</definedName>
    <definedName name="ExternalData_1507" localSheetId="3">Data!#REF!</definedName>
    <definedName name="ExternalData_1508" localSheetId="3">Data!#REF!</definedName>
    <definedName name="ExternalData_1509" localSheetId="3">Data!#REF!</definedName>
    <definedName name="ExternalData_151" localSheetId="3">Data!#REF!</definedName>
    <definedName name="ExternalData_1510" localSheetId="3">Data!#REF!</definedName>
    <definedName name="ExternalData_1511" localSheetId="3">Data!#REF!</definedName>
    <definedName name="ExternalData_1512" localSheetId="3">Data!#REF!</definedName>
    <definedName name="ExternalData_1513" localSheetId="3">Data!#REF!</definedName>
    <definedName name="ExternalData_1514" localSheetId="3">Data!#REF!</definedName>
    <definedName name="ExternalData_1515" localSheetId="3">Data!#REF!</definedName>
    <definedName name="ExternalData_1516" localSheetId="3">Data!#REF!</definedName>
    <definedName name="ExternalData_1517" localSheetId="3">Data!#REF!</definedName>
    <definedName name="ExternalData_1518" localSheetId="3">Data!#REF!</definedName>
    <definedName name="ExternalData_1519" localSheetId="3">Data!#REF!</definedName>
    <definedName name="ExternalData_152" localSheetId="3">Data!#REF!</definedName>
    <definedName name="ExternalData_1520" localSheetId="3">Data!#REF!</definedName>
    <definedName name="ExternalData_1521" localSheetId="3">Data!#REF!</definedName>
    <definedName name="ExternalData_1522" localSheetId="3">Data!#REF!</definedName>
    <definedName name="ExternalData_1523" localSheetId="3">Data!#REF!</definedName>
    <definedName name="ExternalData_1524" localSheetId="3">Data!#REF!</definedName>
    <definedName name="ExternalData_1525" localSheetId="3">Data!#REF!</definedName>
    <definedName name="ExternalData_1526" localSheetId="3">Data!#REF!</definedName>
    <definedName name="ExternalData_1527" localSheetId="3">Data!#REF!</definedName>
    <definedName name="ExternalData_1528" localSheetId="3">Data!#REF!</definedName>
    <definedName name="ExternalData_1529" localSheetId="3">Data!#REF!</definedName>
    <definedName name="ExternalData_153" localSheetId="3">Data!#REF!</definedName>
    <definedName name="ExternalData_1530" localSheetId="3">Data!#REF!</definedName>
    <definedName name="ExternalData_1531" localSheetId="3">Data!#REF!</definedName>
    <definedName name="ExternalData_1532" localSheetId="3">Data!#REF!</definedName>
    <definedName name="ExternalData_1533" localSheetId="3">Data!#REF!</definedName>
    <definedName name="ExternalData_1534" localSheetId="3">Data!#REF!</definedName>
    <definedName name="ExternalData_1535" localSheetId="3">Data!#REF!</definedName>
    <definedName name="ExternalData_1536" localSheetId="3">Data!#REF!</definedName>
    <definedName name="ExternalData_1537" localSheetId="3">Data!#REF!</definedName>
    <definedName name="ExternalData_1538" localSheetId="3">Data!#REF!</definedName>
    <definedName name="ExternalData_1539" localSheetId="3">Data!#REF!</definedName>
    <definedName name="ExternalData_154" localSheetId="3">Data!#REF!</definedName>
    <definedName name="ExternalData_1540" localSheetId="3">Data!#REF!</definedName>
    <definedName name="ExternalData_1541" localSheetId="3">Data!#REF!</definedName>
    <definedName name="ExternalData_1542" localSheetId="3">Data!#REF!</definedName>
    <definedName name="ExternalData_1543" localSheetId="3">Data!#REF!</definedName>
    <definedName name="ExternalData_1544" localSheetId="3">Data!#REF!</definedName>
    <definedName name="ExternalData_1545" localSheetId="3">Data!#REF!</definedName>
    <definedName name="ExternalData_1546" localSheetId="3">Data!#REF!</definedName>
    <definedName name="ExternalData_1547" localSheetId="3">Data!#REF!</definedName>
    <definedName name="ExternalData_1548" localSheetId="3">Data!#REF!</definedName>
    <definedName name="ExternalData_1549" localSheetId="3">Data!#REF!</definedName>
    <definedName name="ExternalData_155" localSheetId="3">Data!#REF!</definedName>
    <definedName name="ExternalData_1550" localSheetId="3">Data!#REF!</definedName>
    <definedName name="ExternalData_1551" localSheetId="3">Data!#REF!</definedName>
    <definedName name="ExternalData_1552" localSheetId="3">Data!#REF!</definedName>
    <definedName name="ExternalData_1553" localSheetId="3">Data!#REF!</definedName>
    <definedName name="ExternalData_1554" localSheetId="3">Data!#REF!</definedName>
    <definedName name="ExternalData_1555" localSheetId="3">Data!#REF!</definedName>
    <definedName name="ExternalData_1556" localSheetId="3">Data!#REF!</definedName>
    <definedName name="ExternalData_1557" localSheetId="3">Data!#REF!</definedName>
    <definedName name="ExternalData_1558" localSheetId="3">Data!#REF!</definedName>
    <definedName name="ExternalData_1559" localSheetId="3">Data!#REF!</definedName>
    <definedName name="ExternalData_156" localSheetId="3">Data!#REF!</definedName>
    <definedName name="ExternalData_1560" localSheetId="3">Data!#REF!</definedName>
    <definedName name="ExternalData_1561" localSheetId="3">Data!#REF!</definedName>
    <definedName name="ExternalData_1562" localSheetId="3">Data!#REF!</definedName>
    <definedName name="ExternalData_1563" localSheetId="3">Data!#REF!</definedName>
    <definedName name="ExternalData_1564" localSheetId="3">Data!#REF!</definedName>
    <definedName name="ExternalData_1565" localSheetId="3">Data!#REF!</definedName>
    <definedName name="ExternalData_1566" localSheetId="3">Data!#REF!</definedName>
    <definedName name="ExternalData_1567" localSheetId="3">Data!#REF!</definedName>
    <definedName name="ExternalData_1568" localSheetId="3">Data!#REF!</definedName>
    <definedName name="ExternalData_1569" localSheetId="3">Data!#REF!</definedName>
    <definedName name="ExternalData_157" localSheetId="3">Data!#REF!</definedName>
    <definedName name="ExternalData_1570" localSheetId="3">Data!#REF!</definedName>
    <definedName name="ExternalData_1571" localSheetId="3">Data!#REF!</definedName>
    <definedName name="ExternalData_1572" localSheetId="3">Data!#REF!</definedName>
    <definedName name="ExternalData_1573" localSheetId="3">Data!#REF!</definedName>
    <definedName name="ExternalData_1574" localSheetId="3">Data!#REF!</definedName>
    <definedName name="ExternalData_1575" localSheetId="3">Data!#REF!</definedName>
    <definedName name="ExternalData_1576" localSheetId="3">Data!#REF!</definedName>
    <definedName name="ExternalData_1577" localSheetId="3">Data!#REF!</definedName>
    <definedName name="ExternalData_1578" localSheetId="3">Data!#REF!</definedName>
    <definedName name="ExternalData_1579" localSheetId="3">Data!#REF!</definedName>
    <definedName name="ExternalData_158" localSheetId="3">Data!#REF!</definedName>
    <definedName name="ExternalData_1580" localSheetId="3">Data!#REF!</definedName>
    <definedName name="ExternalData_1581" localSheetId="3">Data!#REF!</definedName>
    <definedName name="ExternalData_1582" localSheetId="3">Data!#REF!</definedName>
    <definedName name="ExternalData_1583" localSheetId="3">Data!#REF!</definedName>
    <definedName name="ExternalData_1584" localSheetId="3">Data!#REF!</definedName>
    <definedName name="ExternalData_1585" localSheetId="3">Data!#REF!</definedName>
    <definedName name="ExternalData_1586" localSheetId="3">Data!#REF!</definedName>
    <definedName name="ExternalData_1587" localSheetId="3">Data!#REF!</definedName>
    <definedName name="ExternalData_1588" localSheetId="3">Data!#REF!</definedName>
    <definedName name="ExternalData_1589" localSheetId="3">Data!#REF!</definedName>
    <definedName name="ExternalData_159" localSheetId="3">Data!#REF!</definedName>
    <definedName name="ExternalData_1590" localSheetId="3">Data!#REF!</definedName>
    <definedName name="ExternalData_1591" localSheetId="3">Data!#REF!</definedName>
    <definedName name="ExternalData_1592" localSheetId="3">Data!#REF!</definedName>
    <definedName name="ExternalData_1593" localSheetId="3">Data!#REF!</definedName>
    <definedName name="ExternalData_1594" localSheetId="3">Data!#REF!</definedName>
    <definedName name="ExternalData_1595" localSheetId="3">Data!#REF!</definedName>
    <definedName name="ExternalData_1596" localSheetId="3">Data!#REF!</definedName>
    <definedName name="ExternalData_1597" localSheetId="3">Data!#REF!</definedName>
    <definedName name="ExternalData_1598" localSheetId="3">Data!#REF!</definedName>
    <definedName name="ExternalData_1599" localSheetId="3">Data!#REF!</definedName>
    <definedName name="ExternalData_16" localSheetId="3">Data!#REF!</definedName>
    <definedName name="ExternalData_160" localSheetId="3">Data!#REF!</definedName>
    <definedName name="ExternalData_1600" localSheetId="3">Data!#REF!</definedName>
    <definedName name="ExternalData_1601" localSheetId="3">Data!#REF!</definedName>
    <definedName name="ExternalData_1602" localSheetId="3">Data!#REF!</definedName>
    <definedName name="ExternalData_1603" localSheetId="3">Data!#REF!</definedName>
    <definedName name="ExternalData_1604" localSheetId="3">Data!#REF!</definedName>
    <definedName name="ExternalData_1605" localSheetId="3">Data!#REF!</definedName>
    <definedName name="ExternalData_1606" localSheetId="3">Data!#REF!</definedName>
    <definedName name="ExternalData_1607" localSheetId="3">Data!#REF!</definedName>
    <definedName name="ExternalData_1608" localSheetId="3">Data!#REF!</definedName>
    <definedName name="ExternalData_1609" localSheetId="3">Data!#REF!</definedName>
    <definedName name="ExternalData_161" localSheetId="3">Data!#REF!</definedName>
    <definedName name="ExternalData_1610" localSheetId="3">Data!#REF!</definedName>
    <definedName name="ExternalData_1611" localSheetId="3">Data!#REF!</definedName>
    <definedName name="ExternalData_1612" localSheetId="3">Data!#REF!</definedName>
    <definedName name="ExternalData_1613" localSheetId="3">Data!#REF!</definedName>
    <definedName name="ExternalData_1614" localSheetId="3">Data!#REF!</definedName>
    <definedName name="ExternalData_1615" localSheetId="3">Data!#REF!</definedName>
    <definedName name="ExternalData_1616" localSheetId="3">Data!#REF!</definedName>
    <definedName name="ExternalData_1617" localSheetId="3">Data!#REF!</definedName>
    <definedName name="ExternalData_1618" localSheetId="3">Data!#REF!</definedName>
    <definedName name="ExternalData_1619" localSheetId="3">Data!#REF!</definedName>
    <definedName name="ExternalData_162" localSheetId="3">Data!#REF!</definedName>
    <definedName name="ExternalData_1620" localSheetId="3">Data!#REF!</definedName>
    <definedName name="ExternalData_1621" localSheetId="3">Data!#REF!</definedName>
    <definedName name="ExternalData_1622" localSheetId="3">Data!#REF!</definedName>
    <definedName name="ExternalData_1623" localSheetId="3">Data!#REF!</definedName>
    <definedName name="ExternalData_1624" localSheetId="3">Data!#REF!</definedName>
    <definedName name="ExternalData_1625" localSheetId="3">Data!#REF!</definedName>
    <definedName name="ExternalData_1626" localSheetId="3">Data!#REF!</definedName>
    <definedName name="ExternalData_1627" localSheetId="3">Data!#REF!</definedName>
    <definedName name="ExternalData_1628" localSheetId="3">Data!#REF!</definedName>
    <definedName name="ExternalData_1629" localSheetId="3">Data!#REF!</definedName>
    <definedName name="ExternalData_163" localSheetId="3">Data!#REF!</definedName>
    <definedName name="ExternalData_1630" localSheetId="3">Data!#REF!</definedName>
    <definedName name="ExternalData_1631" localSheetId="3">Data!#REF!</definedName>
    <definedName name="ExternalData_1632" localSheetId="3">Data!#REF!</definedName>
    <definedName name="ExternalData_1633" localSheetId="3">Data!#REF!</definedName>
    <definedName name="ExternalData_1634" localSheetId="3">Data!#REF!</definedName>
    <definedName name="ExternalData_1635" localSheetId="3">Data!#REF!</definedName>
    <definedName name="ExternalData_1636" localSheetId="3">Data!#REF!</definedName>
    <definedName name="ExternalData_1637" localSheetId="3">Data!#REF!</definedName>
    <definedName name="ExternalData_1638" localSheetId="3">Data!#REF!</definedName>
    <definedName name="ExternalData_1639" localSheetId="3">Data!#REF!</definedName>
    <definedName name="ExternalData_164" localSheetId="3">Data!#REF!</definedName>
    <definedName name="ExternalData_1640" localSheetId="3">Data!#REF!</definedName>
    <definedName name="ExternalData_1641" localSheetId="3">Data!#REF!</definedName>
    <definedName name="ExternalData_1642" localSheetId="3">Data!#REF!</definedName>
    <definedName name="ExternalData_1643" localSheetId="3">Data!#REF!</definedName>
    <definedName name="ExternalData_1644" localSheetId="3">Data!#REF!</definedName>
    <definedName name="ExternalData_1645" localSheetId="3">Data!#REF!</definedName>
    <definedName name="ExternalData_1646" localSheetId="3">Data!#REF!</definedName>
    <definedName name="ExternalData_1647" localSheetId="3">Data!#REF!</definedName>
    <definedName name="ExternalData_1648" localSheetId="3">Data!#REF!</definedName>
    <definedName name="ExternalData_1649" localSheetId="3">Data!#REF!</definedName>
    <definedName name="ExternalData_165" localSheetId="3">Data!#REF!</definedName>
    <definedName name="ExternalData_1650" localSheetId="3">Data!#REF!</definedName>
    <definedName name="ExternalData_1651" localSheetId="3">Data!#REF!</definedName>
    <definedName name="ExternalData_1652" localSheetId="3">Data!#REF!</definedName>
    <definedName name="ExternalData_1653" localSheetId="3">Data!#REF!</definedName>
    <definedName name="ExternalData_1654" localSheetId="3">Data!#REF!</definedName>
    <definedName name="ExternalData_1655" localSheetId="3">Data!#REF!</definedName>
    <definedName name="ExternalData_1656" localSheetId="3">Data!#REF!</definedName>
    <definedName name="ExternalData_1657" localSheetId="3">Data!#REF!</definedName>
    <definedName name="ExternalData_1658" localSheetId="3">Data!#REF!</definedName>
    <definedName name="ExternalData_1659" localSheetId="3">Data!#REF!</definedName>
    <definedName name="ExternalData_166" localSheetId="3">Data!#REF!</definedName>
    <definedName name="ExternalData_1660" localSheetId="3">Data!#REF!</definedName>
    <definedName name="ExternalData_1661" localSheetId="3">Data!#REF!</definedName>
    <definedName name="ExternalData_1662" localSheetId="3">Data!#REF!</definedName>
    <definedName name="ExternalData_1663" localSheetId="3">Data!#REF!</definedName>
    <definedName name="ExternalData_1664" localSheetId="3">Data!#REF!</definedName>
    <definedName name="ExternalData_1665" localSheetId="3">Data!#REF!</definedName>
    <definedName name="ExternalData_1666" localSheetId="3">Data!#REF!</definedName>
    <definedName name="ExternalData_1667" localSheetId="3">Data!#REF!</definedName>
    <definedName name="ExternalData_1668" localSheetId="3">Data!#REF!</definedName>
    <definedName name="ExternalData_1669" localSheetId="3">Data!#REF!</definedName>
    <definedName name="ExternalData_167" localSheetId="3">Data!#REF!</definedName>
    <definedName name="ExternalData_1670" localSheetId="3">Data!$A$2:$K$3</definedName>
    <definedName name="ExternalData_1671" localSheetId="3">Data!$A$2:$K$3</definedName>
    <definedName name="ExternalData_1672" localSheetId="3">Data!$A$2:$K$3</definedName>
    <definedName name="ExternalData_1673" localSheetId="3">Data!$A$2:$K$3</definedName>
    <definedName name="ExternalData_1674" localSheetId="3">Data!$A$2:$K$3</definedName>
    <definedName name="ExternalData_1675" localSheetId="3">Data!$A$2:$M$3</definedName>
    <definedName name="ExternalData_1676" localSheetId="3">Data!$A$2:$M$3</definedName>
    <definedName name="ExternalData_1677" localSheetId="3">Data!$A$2:$M$3</definedName>
    <definedName name="ExternalData_1678" localSheetId="3">Data!$A$2:$M$3</definedName>
    <definedName name="ExternalData_1679" localSheetId="3">Data!$A$2:$M$3</definedName>
    <definedName name="ExternalData_168" localSheetId="3">Data!#REF!</definedName>
    <definedName name="ExternalData_1680" localSheetId="3">Data!$A$2:$M$3</definedName>
    <definedName name="ExternalData_1681" localSheetId="3">Data!$A$2:$M$3</definedName>
    <definedName name="ExternalData_1682" localSheetId="3">Data!$A$2:$M$3</definedName>
    <definedName name="ExternalData_1683" localSheetId="3">Data!$A$2:$M$3</definedName>
    <definedName name="ExternalData_1684" localSheetId="3">Data!$A$2:$M$3</definedName>
    <definedName name="ExternalData_1685" localSheetId="3">Data!$A$2:$M$3</definedName>
    <definedName name="ExternalData_1686" localSheetId="3">Data!$A$2:$M$3</definedName>
    <definedName name="ExternalData_1687" localSheetId="3">Data!$A$2</definedName>
    <definedName name="ExternalData_1688" localSheetId="3">Data!$A$2:$M$3</definedName>
    <definedName name="ExternalData_1689" localSheetId="3">Data!$A$2:$M$3</definedName>
    <definedName name="ExternalData_169" localSheetId="3">Data!#REF!</definedName>
    <definedName name="ExternalData_1690" localSheetId="3">Data!$A$2:$M$3</definedName>
    <definedName name="ExternalData_1691" localSheetId="3">Data!$A$2:$M$3</definedName>
    <definedName name="ExternalData_1692" localSheetId="3">Data!$A$2:$M$3</definedName>
    <definedName name="ExternalData_1693" localSheetId="3">Data!$A$2:$M$3</definedName>
    <definedName name="ExternalData_1694" localSheetId="3">Data!$A$2:$M$3</definedName>
    <definedName name="ExternalData_1695" localSheetId="3">Data!$A$2:$M$3</definedName>
    <definedName name="ExternalData_1696" localSheetId="3">Data!$A$2:$M$3</definedName>
    <definedName name="ExternalData_1697" localSheetId="3">Data!$A$2:$M$3</definedName>
    <definedName name="ExternalData_1698" localSheetId="3">Data!$A$2:$M$3</definedName>
    <definedName name="ExternalData_1699" localSheetId="3">Data!$A$2:$M$3</definedName>
    <definedName name="ExternalData_17" localSheetId="3">Data!#REF!</definedName>
    <definedName name="ExternalData_170" localSheetId="3">Data!#REF!</definedName>
    <definedName name="ExternalData_1700" localSheetId="3">Data!$A$2:$M$3</definedName>
    <definedName name="ExternalData_1701" localSheetId="3">Data!$A$2:$M$3</definedName>
    <definedName name="ExternalData_1702" localSheetId="3">Data!$A$2:$M$3</definedName>
    <definedName name="ExternalData_1703" localSheetId="3">Data!$A$2:$M$3</definedName>
    <definedName name="ExternalData_1704" localSheetId="3">Data!$A$2:$M$3</definedName>
    <definedName name="ExternalData_1705" localSheetId="3">Data!$A$2:$M$3</definedName>
    <definedName name="ExternalData_1706" localSheetId="3">Data!$A$2:$M$3</definedName>
    <definedName name="ExternalData_1707" localSheetId="3">Data!$A$2:$M$3</definedName>
    <definedName name="ExternalData_1708" localSheetId="3">Data!$A$2:$M$3</definedName>
    <definedName name="ExternalData_1709" localSheetId="3">Data!$A$2:$M$3</definedName>
    <definedName name="ExternalData_171" localSheetId="3">Data!#REF!</definedName>
    <definedName name="ExternalData_1710" localSheetId="3">Data!$A$2:$M$3</definedName>
    <definedName name="ExternalData_1711" localSheetId="3">Data!$A$2:$M$3</definedName>
    <definedName name="ExternalData_1712" localSheetId="3">Data!$A$2:$M$3</definedName>
    <definedName name="ExternalData_1713" localSheetId="3">Data!$A$2:$M$3</definedName>
    <definedName name="ExternalData_1714" localSheetId="3">Data!$A$2:$M$3</definedName>
    <definedName name="ExternalData_1715" localSheetId="3">Data!$A$2:$M$3</definedName>
    <definedName name="ExternalData_1716" localSheetId="3">Data!$A$2:$M$3</definedName>
    <definedName name="ExternalData_1717" localSheetId="3">Data!$A$2:$M$3</definedName>
    <definedName name="ExternalData_1718" localSheetId="3">Data!$A$2:$M$3</definedName>
    <definedName name="ExternalData_1719" localSheetId="3">Data!$A$2:$M$3</definedName>
    <definedName name="ExternalData_172" localSheetId="3">Data!#REF!</definedName>
    <definedName name="ExternalData_1720" localSheetId="3">Data!$A$2:$M$3</definedName>
    <definedName name="ExternalData_1721" localSheetId="3">Data!$A$2:$M$3</definedName>
    <definedName name="ExternalData_1722" localSheetId="3">Data!$A$2:$M$3</definedName>
    <definedName name="ExternalData_1723" localSheetId="3">Data!$A$2:$M$3</definedName>
    <definedName name="ExternalData_1724" localSheetId="3">Data!$A$2</definedName>
    <definedName name="ExternalData_1725" localSheetId="3">Data!$A$2:$M$3</definedName>
    <definedName name="ExternalData_1726" localSheetId="3">Data!$A$2:$M$3</definedName>
    <definedName name="ExternalData_1727" localSheetId="3">Data!$A$2:$M$3</definedName>
    <definedName name="ExternalData_1728" localSheetId="3">Data!$A$2:$M$3</definedName>
    <definedName name="ExternalData_1729" localSheetId="3">Data!$A$2:$M$3</definedName>
    <definedName name="ExternalData_173" localSheetId="3">Data!#REF!</definedName>
    <definedName name="ExternalData_1730" localSheetId="3">Data!$A$2:$M$3</definedName>
    <definedName name="ExternalData_1731" localSheetId="3">Data!$A$2:$M$3</definedName>
    <definedName name="ExternalData_1732" localSheetId="3">Data!$A$2:$M$3</definedName>
    <definedName name="ExternalData_1733" localSheetId="3">Data!$A$2:$M$3</definedName>
    <definedName name="ExternalData_1734" localSheetId="3">Data!$A$2:$M$3</definedName>
    <definedName name="ExternalData_1735" localSheetId="3">Data!$A$2:$M$3</definedName>
    <definedName name="ExternalData_1736" localSheetId="3">Data!$A$2:$M$3</definedName>
    <definedName name="ExternalData_1737" localSheetId="3">Data!$A$2:$M$3</definedName>
    <definedName name="ExternalData_1738" localSheetId="3">Data!$A$2:$M$3</definedName>
    <definedName name="ExternalData_1739" localSheetId="3">Data!$A$2:$M$3</definedName>
    <definedName name="ExternalData_174" localSheetId="3">Data!#REF!</definedName>
    <definedName name="ExternalData_1740" localSheetId="3">Data!$A$2:$M$3</definedName>
    <definedName name="ExternalData_1741" localSheetId="3">Data!$A$2:$M$3</definedName>
    <definedName name="ExternalData_1742" localSheetId="3">Data!$A$2:$M$3</definedName>
    <definedName name="ExternalData_1743" localSheetId="3">Data!$A$2:$M$3</definedName>
    <definedName name="ExternalData_1744" localSheetId="3">Data!$A$2:$M$3</definedName>
    <definedName name="ExternalData_1745" localSheetId="3">Data!$A$2:$M$3</definedName>
    <definedName name="ExternalData_1746" localSheetId="3">Data!$A$2:$M$3</definedName>
    <definedName name="ExternalData_1747" localSheetId="3">Data!$A$2:$M$3</definedName>
    <definedName name="ExternalData_1748" localSheetId="3">Data!$A$2:$M$3</definedName>
    <definedName name="ExternalData_1749" localSheetId="3">Data!$A$2:$M$3</definedName>
    <definedName name="ExternalData_175" localSheetId="3">Data!#REF!</definedName>
    <definedName name="ExternalData_1750" localSheetId="3">Data!$A$2:$M$3</definedName>
    <definedName name="ExternalData_1751" localSheetId="3">Data!$A$2:$M$3</definedName>
    <definedName name="ExternalData_1752" localSheetId="3">Data!$A$2:$M$3</definedName>
    <definedName name="ExternalData_1753" localSheetId="3">Data!$A$2:$M$3</definedName>
    <definedName name="ExternalData_1754" localSheetId="3">Data!$A$2:$M$3</definedName>
    <definedName name="ExternalData_1755" localSheetId="3">Data!$A$2:$M$3</definedName>
    <definedName name="ExternalData_1756" localSheetId="3">Data!$A$2:$M$3</definedName>
    <definedName name="ExternalData_1757" localSheetId="3">Data!$A$2:$M$3</definedName>
    <definedName name="ExternalData_1758" localSheetId="3">Data!$A$2:$M$3</definedName>
    <definedName name="ExternalData_1759" localSheetId="3">Data!$A$2:$M$3</definedName>
    <definedName name="ExternalData_176" localSheetId="3">Data!#REF!</definedName>
    <definedName name="ExternalData_1760" localSheetId="3">Data!$A$2:$M$3</definedName>
    <definedName name="ExternalData_1761" localSheetId="3">Data!$A$2:$M$3</definedName>
    <definedName name="ExternalData_1762" localSheetId="3">Data!$A$2:$M$3</definedName>
    <definedName name="ExternalData_1763" localSheetId="3">Data!$A$2:$M$3</definedName>
    <definedName name="ExternalData_1764" localSheetId="3">Data!$A$2:$M$3</definedName>
    <definedName name="ExternalData_1765" localSheetId="3">Data!$A$2:$M$3</definedName>
    <definedName name="ExternalData_1766" localSheetId="3">Data!$A$2:$M$3</definedName>
    <definedName name="ExternalData_1767" localSheetId="3">Data!$A$2:$M$3</definedName>
    <definedName name="ExternalData_1768" localSheetId="3">Data!$A$2:$M$3</definedName>
    <definedName name="ExternalData_1769" localSheetId="3">Data!$A$2:$M$3</definedName>
    <definedName name="ExternalData_177" localSheetId="3">Data!#REF!</definedName>
    <definedName name="ExternalData_1770" localSheetId="3">Data!$A$2:$M$3</definedName>
    <definedName name="ExternalData_1771" localSheetId="3">Data!$A$2:$M$3</definedName>
    <definedName name="ExternalData_1772" localSheetId="3">Data!$A$2:$M$3</definedName>
    <definedName name="ExternalData_1773" localSheetId="3">Data!$A$2:$M$3</definedName>
    <definedName name="ExternalData_1774" localSheetId="3">Data!$A$2:$M$3</definedName>
    <definedName name="ExternalData_1775" localSheetId="3">Data!$A$2:$M$3</definedName>
    <definedName name="ExternalData_1776" localSheetId="3">Data!$A$2:$M$3</definedName>
    <definedName name="ExternalData_1777" localSheetId="3">Data!$A$2:$M$3</definedName>
    <definedName name="ExternalData_1778" localSheetId="3">Data!$A$2:$M$3</definedName>
    <definedName name="ExternalData_1779" localSheetId="3">Data!$A$2:$M$3</definedName>
    <definedName name="ExternalData_178" localSheetId="3">Data!#REF!</definedName>
    <definedName name="ExternalData_1780" localSheetId="3">Data!$A$2:$M$3</definedName>
    <definedName name="ExternalData_1781" localSheetId="3">Data!$A$2:$M$3</definedName>
    <definedName name="ExternalData_1782" localSheetId="3">Data!$A$2:$M$3</definedName>
    <definedName name="ExternalData_1783" localSheetId="3">Data!$A$2:$M$3</definedName>
    <definedName name="ExternalData_1784" localSheetId="3">Data!$A$2:$M$3</definedName>
    <definedName name="ExternalData_1785" localSheetId="3">Data!$A$2:$M$3</definedName>
    <definedName name="ExternalData_1786" localSheetId="3">Data!$A$2:$M$3</definedName>
    <definedName name="ExternalData_1787" localSheetId="3">Data!$A$2:$M$3</definedName>
    <definedName name="ExternalData_1788" localSheetId="3">Data!$A$2:$M$3</definedName>
    <definedName name="ExternalData_1789" localSheetId="3">Data!$A$2:$M$3</definedName>
    <definedName name="ExternalData_179" localSheetId="3">Data!#REF!</definedName>
    <definedName name="ExternalData_1790" localSheetId="3">Data!$A$2:$M$3</definedName>
    <definedName name="ExternalData_1791" localSheetId="3">Data!$A$2:$M$3</definedName>
    <definedName name="ExternalData_1792" localSheetId="3">Data!$A$2:$M$3</definedName>
    <definedName name="ExternalData_1793" localSheetId="3">Data!$A$2:$M$3</definedName>
    <definedName name="ExternalData_1794" localSheetId="3">Data!$A$2:$M$3</definedName>
    <definedName name="ExternalData_1795" localSheetId="3">Data!$A$2:$M$3</definedName>
    <definedName name="ExternalData_1796" localSheetId="3">Data!$A$2:$M$3</definedName>
    <definedName name="ExternalData_1797" localSheetId="3">Data!$A$2:$M$3</definedName>
    <definedName name="ExternalData_1798" localSheetId="3">Data!$A$2:$M$3</definedName>
    <definedName name="ExternalData_1799" localSheetId="3">Data!$A$2:$M$3</definedName>
    <definedName name="ExternalData_18" localSheetId="3">Data!#REF!</definedName>
    <definedName name="ExternalData_180" localSheetId="3">Data!#REF!</definedName>
    <definedName name="ExternalData_1800" localSheetId="3">Data!$A$2:$M$3</definedName>
    <definedName name="ExternalData_1801" localSheetId="3">Data!$A$2:$M$3</definedName>
    <definedName name="ExternalData_1802" localSheetId="3">Data!$A$2:$M$3</definedName>
    <definedName name="ExternalData_1803" localSheetId="3">Data!$A$2:$M$3</definedName>
    <definedName name="ExternalData_1804" localSheetId="3">Data!$A$2:$M$3</definedName>
    <definedName name="ExternalData_1805" localSheetId="3">Data!$A$2:$M$3</definedName>
    <definedName name="ExternalData_1806" localSheetId="3">Data!$A$2:$M$3</definedName>
    <definedName name="ExternalData_1807" localSheetId="3">Data!$A$2:$M$3</definedName>
    <definedName name="ExternalData_1808" localSheetId="3">Data!$A$2:$M$3</definedName>
    <definedName name="ExternalData_1809" localSheetId="3">Data!$A$2:$M$3</definedName>
    <definedName name="ExternalData_181" localSheetId="3">Data!#REF!</definedName>
    <definedName name="ExternalData_1810" localSheetId="3">Data!$A$2:$M$3</definedName>
    <definedName name="ExternalData_1811" localSheetId="3">Data!$A$2:$M$3</definedName>
    <definedName name="ExternalData_1812" localSheetId="3">Data!$A$2:$M$3</definedName>
    <definedName name="ExternalData_1813" localSheetId="3">Data!$A$2:$M$3</definedName>
    <definedName name="ExternalData_1814" localSheetId="3">Data!$A$2:$M$3</definedName>
    <definedName name="ExternalData_1815" localSheetId="3">Data!$A$2:$M$3</definedName>
    <definedName name="ExternalData_1816" localSheetId="3">Data!$A$2:$M$3</definedName>
    <definedName name="ExternalData_1817" localSheetId="3">Data!$A$2:$M$3</definedName>
    <definedName name="ExternalData_1818" localSheetId="3">Data!$A$2:$M$3</definedName>
    <definedName name="ExternalData_1819" localSheetId="3">Data!$A$2:$M$3</definedName>
    <definedName name="ExternalData_182" localSheetId="3">Data!#REF!</definedName>
    <definedName name="ExternalData_1820" localSheetId="3">Data!$A$2:$M$3</definedName>
    <definedName name="ExternalData_1821" localSheetId="3">Data!$A$2:$M$3</definedName>
    <definedName name="ExternalData_1822" localSheetId="3">Data!$A$2:$M$3</definedName>
    <definedName name="ExternalData_1823" localSheetId="3">Data!$A$2:$M$3</definedName>
    <definedName name="ExternalData_1824" localSheetId="3">Data!$A$2:$M$3</definedName>
    <definedName name="ExternalData_1825" localSheetId="3">Data!$A$2:$M$3</definedName>
    <definedName name="ExternalData_1826" localSheetId="3">Data!$A$2:$M$3</definedName>
    <definedName name="ExternalData_1827" localSheetId="3">Data!$A$2:$M$3</definedName>
    <definedName name="ExternalData_1828" localSheetId="3">Data!$A$2:$M$3</definedName>
    <definedName name="ExternalData_1829" localSheetId="3">Data!$A$2:$M$3</definedName>
    <definedName name="ExternalData_183" localSheetId="3">Data!#REF!</definedName>
    <definedName name="ExternalData_1830" localSheetId="3">Data!$A$2:$M$3</definedName>
    <definedName name="ExternalData_1831" localSheetId="3">Data!$A$2:$M$3</definedName>
    <definedName name="ExternalData_1832" localSheetId="3">Data!$A$2:$M$3</definedName>
    <definedName name="ExternalData_1833" localSheetId="3">Data!$A$2:$M$3</definedName>
    <definedName name="ExternalData_1834" localSheetId="3">Data!$A$2:$M$3</definedName>
    <definedName name="ExternalData_1835" localSheetId="3">Data!$A$2:$M$3</definedName>
    <definedName name="ExternalData_1836" localSheetId="3">Data!$A$2:$M$3</definedName>
    <definedName name="ExternalData_1837" localSheetId="3">Data!$A$2:$M$3</definedName>
    <definedName name="ExternalData_1838" localSheetId="3">Data!$A$2:$M$3</definedName>
    <definedName name="ExternalData_1839" localSheetId="3">Data!$A$2:$M$3</definedName>
    <definedName name="ExternalData_184" localSheetId="3">Data!#REF!</definedName>
    <definedName name="ExternalData_1840" localSheetId="3">Data!$A$2:$M$3</definedName>
    <definedName name="ExternalData_1841" localSheetId="3">Data!$A$2:$M$3</definedName>
    <definedName name="ExternalData_1842" localSheetId="3">Data!$A$2:$M$3</definedName>
    <definedName name="ExternalData_1843" localSheetId="3">Data!$A$2:$M$3</definedName>
    <definedName name="ExternalData_1844" localSheetId="3">Data!$A$2:$M$3</definedName>
    <definedName name="ExternalData_1845" localSheetId="3">Data!$A$2:$M$3</definedName>
    <definedName name="ExternalData_1846" localSheetId="3">Data!$A$2:$M$3</definedName>
    <definedName name="ExternalData_1847" localSheetId="3">Data!$A$2:$M$3</definedName>
    <definedName name="ExternalData_1848" localSheetId="3">Data!$A$2:$M$3</definedName>
    <definedName name="ExternalData_1849" localSheetId="3">Data!$A$2:$M$3</definedName>
    <definedName name="ExternalData_185" localSheetId="3">Data!#REF!</definedName>
    <definedName name="ExternalData_1850" localSheetId="3">Data!$A$2:$M$3</definedName>
    <definedName name="ExternalData_1851" localSheetId="3">Data!$A$2:$M$3</definedName>
    <definedName name="ExternalData_1852" localSheetId="3">Data!$A$2:$M$3</definedName>
    <definedName name="ExternalData_1853" localSheetId="3">Data!$A$2:$M$3</definedName>
    <definedName name="ExternalData_1854" localSheetId="3">Data!$A$2:$M$3</definedName>
    <definedName name="ExternalData_1855" localSheetId="3">Data!$A$2:$M$3</definedName>
    <definedName name="ExternalData_1856" localSheetId="3">Data!$A$2:$M$3</definedName>
    <definedName name="ExternalData_1857" localSheetId="3">Data!$A$2:$M$3</definedName>
    <definedName name="ExternalData_1858" localSheetId="3">Data!$A$2:$M$3</definedName>
    <definedName name="ExternalData_1859" localSheetId="3">Data!$A$2:$M$3</definedName>
    <definedName name="ExternalData_186" localSheetId="3">Data!#REF!</definedName>
    <definedName name="ExternalData_1860" localSheetId="3">Data!$A$2:$M$3</definedName>
    <definedName name="ExternalData_1861" localSheetId="3">Data!$A$2:$M$3</definedName>
    <definedName name="ExternalData_1862" localSheetId="3">Data!$A$2:$M$3</definedName>
    <definedName name="ExternalData_1863" localSheetId="3">Data!$A$2:$M$3</definedName>
    <definedName name="ExternalData_1864" localSheetId="3">Data!$A$2:$M$3</definedName>
    <definedName name="ExternalData_1865" localSheetId="3">Data!$A$2:$M$3</definedName>
    <definedName name="ExternalData_1866" localSheetId="3">Data!$A$2:$M$3</definedName>
    <definedName name="ExternalData_1867" localSheetId="3">Data!$A$2:$M$3</definedName>
    <definedName name="ExternalData_1868" localSheetId="3">Data!$A$2:$M$3</definedName>
    <definedName name="ExternalData_1869" localSheetId="3">Data!$A$2:$M$3</definedName>
    <definedName name="ExternalData_187" localSheetId="3">Data!#REF!</definedName>
    <definedName name="ExternalData_1870" localSheetId="3">Data!$A$2:$M$3</definedName>
    <definedName name="ExternalData_1871" localSheetId="3">Data!$A$2</definedName>
    <definedName name="ExternalData_1872" localSheetId="3">Data!$A$2</definedName>
    <definedName name="ExternalData_1873" localSheetId="3">Data!$A$2:$M$3</definedName>
    <definedName name="ExternalData_1874" localSheetId="3">Data!$A$2:$M$3</definedName>
    <definedName name="ExternalData_1875" localSheetId="3">Data!$A$2:$M$3</definedName>
    <definedName name="ExternalData_1876" localSheetId="3">Data!$A$2:$M$3</definedName>
    <definedName name="ExternalData_1877" localSheetId="3">Data!$A$2:$M$3</definedName>
    <definedName name="ExternalData_1878" localSheetId="3">Data!$A$2:$M$3</definedName>
    <definedName name="ExternalData_1879" localSheetId="3">Data!$A$2:$M$3</definedName>
    <definedName name="ExternalData_188" localSheetId="3">Data!#REF!</definedName>
    <definedName name="ExternalData_1880" localSheetId="3">Data!$A$2:$M$12</definedName>
    <definedName name="ExternalData_1881" localSheetId="3">Data!$A$2:$M$12</definedName>
    <definedName name="ExternalData_1882" localSheetId="3">Data!$A$2:$M$12</definedName>
    <definedName name="ExternalData_1883" localSheetId="3">Data!$A$2:$M$3</definedName>
    <definedName name="ExternalData_1884" localSheetId="3">Data!$A$2:$M$12</definedName>
    <definedName name="ExternalData_1885" localSheetId="3">Data!$A$2:$M$12</definedName>
    <definedName name="ExternalData_1886" localSheetId="3">Data!$A$2:$M$3</definedName>
    <definedName name="ExternalData_1887" localSheetId="3">Data!$A$2:$M$12</definedName>
    <definedName name="ExternalData_1888" localSheetId="3">Data!$A$2:$M$3</definedName>
    <definedName name="ExternalData_1889" localSheetId="3">Data!$A$2:$M$3</definedName>
    <definedName name="ExternalData_189" localSheetId="3">Data!#REF!</definedName>
    <definedName name="ExternalData_1890" localSheetId="3">Data!$A$2:$M$3</definedName>
    <definedName name="ExternalData_1891" localSheetId="3">Data!$A$2:$M$3</definedName>
    <definedName name="ExternalData_1892" localSheetId="3">Data!$A$2:$M$3</definedName>
    <definedName name="ExternalData_1893" localSheetId="3">Data!$A$2:$M$3</definedName>
    <definedName name="ExternalData_1894" localSheetId="3">Data!$A$2:$M$3</definedName>
    <definedName name="ExternalData_1895" localSheetId="3">Data!$A$2:$M$3</definedName>
    <definedName name="ExternalData_1896" localSheetId="3">Data!$A$2:$M$3</definedName>
    <definedName name="ExternalData_1897" localSheetId="3">Data!$A$2:$M$3</definedName>
    <definedName name="ExternalData_1898" localSheetId="3">Data!$A$2:$M$3</definedName>
    <definedName name="ExternalData_1899" localSheetId="3">Data!$A$2:$M$3</definedName>
    <definedName name="ExternalData_19" localSheetId="3">Data!#REF!</definedName>
    <definedName name="ExternalData_190" localSheetId="3">Data!#REF!</definedName>
    <definedName name="ExternalData_1900" localSheetId="3">Data!$A$2:$M$3</definedName>
    <definedName name="ExternalData_1901" localSheetId="3">Data!$A$2:$M$3</definedName>
    <definedName name="ExternalData_1902" localSheetId="3">Data!$A$2:$M$3</definedName>
    <definedName name="ExternalData_1903" localSheetId="3">Data!$A$2:$M$3</definedName>
    <definedName name="ExternalData_1904" localSheetId="3">Data!$A$2:$M$3</definedName>
    <definedName name="ExternalData_1905" localSheetId="3">Data!$A$2</definedName>
    <definedName name="ExternalData_1906" localSheetId="3">Data!$A$2:$M$3</definedName>
    <definedName name="ExternalData_1907" localSheetId="3">Data!$A$2:$M$3</definedName>
    <definedName name="ExternalData_1908" localSheetId="3">Data!$A$2:$M$3</definedName>
    <definedName name="ExternalData_1909" localSheetId="3">Data!$A$2:$M$3</definedName>
    <definedName name="ExternalData_191" localSheetId="3">Data!#REF!</definedName>
    <definedName name="ExternalData_1910" localSheetId="3">Data!$A$2:$M$161</definedName>
    <definedName name="ExternalData_1911" localSheetId="3">Data!$A$2:$M$170</definedName>
    <definedName name="ExternalData_1912" localSheetId="3">Data!$A$2:$M$3</definedName>
    <definedName name="ExternalData_1913" localSheetId="3">Data!$A$2:$M$3</definedName>
    <definedName name="ExternalData_1914" localSheetId="3">Data!$A$2:$M$3</definedName>
    <definedName name="ExternalData_1915" localSheetId="3">Data!$A$2:$M$3</definedName>
    <definedName name="ExternalData_1916" localSheetId="3">Data!$A$2:$M$3</definedName>
    <definedName name="ExternalData_1917" localSheetId="3">Data!$A$2:$M$3</definedName>
    <definedName name="ExternalData_1918" localSheetId="3">Data!$A$2:$M$3</definedName>
    <definedName name="ExternalData_1919" localSheetId="3">Data!$A$2:$M$3</definedName>
    <definedName name="ExternalData_192" localSheetId="3">Data!#REF!</definedName>
    <definedName name="ExternalData_1920" localSheetId="3">Data!$A$2:$M$3</definedName>
    <definedName name="ExternalData_1921" localSheetId="3">Data!$A$2:$M$3</definedName>
    <definedName name="ExternalData_1922" localSheetId="3">Data!$A$2:$M$3</definedName>
    <definedName name="ExternalData_1923" localSheetId="3">Data!$A$2:$M$3</definedName>
    <definedName name="ExternalData_1924" localSheetId="3">Data!$A$2:$M$3</definedName>
    <definedName name="ExternalData_1925" localSheetId="3">Data!$A$2:$M$3</definedName>
    <definedName name="ExternalData_1926" localSheetId="3">Data!$A$2:$M$3</definedName>
    <definedName name="ExternalData_1927" localSheetId="3">Data!$A$2:$M$3</definedName>
    <definedName name="ExternalData_1928" localSheetId="3">Data!$A$2:$M$3</definedName>
    <definedName name="ExternalData_1929" localSheetId="3">Data!$A$2:$M$3</definedName>
    <definedName name="ExternalData_193" localSheetId="3">Data!#REF!</definedName>
    <definedName name="ExternalData_1930" localSheetId="3">Data!$A$2:$M$3</definedName>
    <definedName name="ExternalData_1931" localSheetId="3">Data!$A$2:$M$3</definedName>
    <definedName name="ExternalData_1932" localSheetId="3">Data!$A$2:$M$3</definedName>
    <definedName name="ExternalData_1933" localSheetId="3">Data!$A$2:$M$3</definedName>
    <definedName name="ExternalData_1934" localSheetId="3">Data!$A$2:$M$3</definedName>
    <definedName name="ExternalData_1935" localSheetId="3">Data!$A$2:$M$3</definedName>
    <definedName name="ExternalData_1936" localSheetId="3">Data!$A$2:$M$3</definedName>
    <definedName name="ExternalData_1937" localSheetId="3">Data!$A$2:$M$3</definedName>
    <definedName name="ExternalData_1938" localSheetId="3">Data!$A$2:$M$3</definedName>
    <definedName name="ExternalData_1939" localSheetId="3">Data!$A$2:$M$3</definedName>
    <definedName name="ExternalData_194" localSheetId="3">Data!#REF!</definedName>
    <definedName name="ExternalData_1940" localSheetId="3">Data!$A$2:$M$3</definedName>
    <definedName name="ExternalData_1941" localSheetId="3">Data!$A$2:$M$3</definedName>
    <definedName name="ExternalData_1942" localSheetId="3">Data!$A$2:$M$3</definedName>
    <definedName name="ExternalData_1943" localSheetId="3">Data!$A$2:$M$3</definedName>
    <definedName name="ExternalData_1944" localSheetId="3">Data!$A$2:$M$3</definedName>
    <definedName name="ExternalData_1945" localSheetId="3">Data!$A$2:$M$3</definedName>
    <definedName name="ExternalData_1946" localSheetId="3">Data!$A$2:$M$3</definedName>
    <definedName name="ExternalData_1947" localSheetId="3">Data!$A$2:$M$3</definedName>
    <definedName name="ExternalData_1948" localSheetId="3">Data!$A$2:$M$3</definedName>
    <definedName name="ExternalData_1949" localSheetId="3">Data!$A$2:$M$3</definedName>
    <definedName name="ExternalData_195" localSheetId="3">Data!#REF!</definedName>
    <definedName name="ExternalData_1950" localSheetId="3">Data!$A$2:$M$3</definedName>
    <definedName name="ExternalData_1951" localSheetId="3">Data!$A$2:$M$3</definedName>
    <definedName name="ExternalData_1952" localSheetId="3">Data!$A$2:$M$3</definedName>
    <definedName name="ExternalData_1953" localSheetId="3">Data!$A$2:$M$3</definedName>
    <definedName name="ExternalData_1954" localSheetId="3">Data!$A$2:$M$3</definedName>
    <definedName name="ExternalData_1955" localSheetId="3">Data!$A$2:$M$3</definedName>
    <definedName name="ExternalData_1956" localSheetId="3">Data!$A$2:$M$3</definedName>
    <definedName name="ExternalData_1957" localSheetId="3">Data!$A$2:$M$3</definedName>
    <definedName name="ExternalData_1958" localSheetId="3">Data!$A$2:$M$3</definedName>
    <definedName name="ExternalData_1959" localSheetId="3">Data!$A$2</definedName>
    <definedName name="ExternalData_196" localSheetId="3">Data!#REF!</definedName>
    <definedName name="ExternalData_1960" localSheetId="3">Data!$A$2:$M$2591</definedName>
    <definedName name="ExternalData_1961" localSheetId="3">Data!$A$2:$M$3</definedName>
    <definedName name="ExternalData_1962" localSheetId="3">Data!$A$2:$M$2661</definedName>
    <definedName name="ExternalData_1963" localSheetId="3">Data!$A$2:$M$3</definedName>
    <definedName name="ExternalData_1964" localSheetId="3">Data!$A$2:$M$3</definedName>
    <definedName name="ExternalData_1965" localSheetId="3">Data!$A$2:$M$3</definedName>
    <definedName name="ExternalData_1966" localSheetId="3">Data!$A$2:$M$3</definedName>
    <definedName name="ExternalData_1967" localSheetId="3">Data!$A$2:$M$3</definedName>
    <definedName name="ExternalData_1968" localSheetId="3">Data!$A$2</definedName>
    <definedName name="ExternalData_1969" localSheetId="3">Data!$A$2:$M$3</definedName>
    <definedName name="ExternalData_197" localSheetId="3">Data!#REF!</definedName>
    <definedName name="ExternalData_1970" localSheetId="3">Data!$A$2:$M$3</definedName>
    <definedName name="ExternalData_1971" localSheetId="3">Data!$A$2:$M$3</definedName>
    <definedName name="ExternalData_1972" localSheetId="3">Data!$A$2:$M$3</definedName>
    <definedName name="ExternalData_1973" localSheetId="3">Data!$A$2:$M$3</definedName>
    <definedName name="ExternalData_1974" localSheetId="3">Data!$A$2:$M$3</definedName>
    <definedName name="ExternalData_1975" localSheetId="3">Data!$A$2:$M$3</definedName>
    <definedName name="ExternalData_1976" localSheetId="3">Data!$A$2:$M$3</definedName>
    <definedName name="ExternalData_1977" localSheetId="3">Data!$A$2:$M$3</definedName>
    <definedName name="ExternalData_1978" localSheetId="3">Data!$A$2:$M$3</definedName>
    <definedName name="ExternalData_1979" localSheetId="3">Data!$A$2:$M$3</definedName>
    <definedName name="ExternalData_198" localSheetId="3">Data!#REF!</definedName>
    <definedName name="ExternalData_1980" localSheetId="3">Data!$A$2:$M$3</definedName>
    <definedName name="ExternalData_1981" localSheetId="3">Data!$A$2:$M$3</definedName>
    <definedName name="ExternalData_1982" localSheetId="3">Data!$A$2:$M$3</definedName>
    <definedName name="ExternalData_1983" localSheetId="3">Data!$A$2:$M$3</definedName>
    <definedName name="ExternalData_1984" localSheetId="3">Data!$A$2:$M$3</definedName>
    <definedName name="ExternalData_1985" localSheetId="3">Data!$A$2:$M$3</definedName>
    <definedName name="ExternalData_1986" localSheetId="3">Data!$A$2:$M$3</definedName>
    <definedName name="ExternalData_1987" localSheetId="3">Data!$A$2:$M$3</definedName>
    <definedName name="ExternalData_1988" localSheetId="3">Data!$A$2:$M$3</definedName>
    <definedName name="ExternalData_1989" localSheetId="3">Data!$A$2:$M$3</definedName>
    <definedName name="ExternalData_199" localSheetId="3">Data!#REF!</definedName>
    <definedName name="ExternalData_1990" localSheetId="3">Data!$A$2:$M$3</definedName>
    <definedName name="ExternalData_1991" localSheetId="3">Data!$A$2:$M$3</definedName>
    <definedName name="ExternalData_1992" localSheetId="3">Data!$A$2:$M$3</definedName>
    <definedName name="ExternalData_1993" localSheetId="3">Data!$A$2:$M$3</definedName>
    <definedName name="ExternalData_1994" localSheetId="3">Data!$A$2:$M$3</definedName>
    <definedName name="ExternalData_1995" localSheetId="3">Data!$A$2:$M$3</definedName>
    <definedName name="ExternalData_1996" localSheetId="3">Data!$A$2:$M$3</definedName>
    <definedName name="ExternalData_1997" localSheetId="3">Data!$A$2:$M$3</definedName>
    <definedName name="ExternalData_1998" localSheetId="3">Data!$A$2:$M$3</definedName>
    <definedName name="ExternalData_1999" localSheetId="3">Data!$A$2:$M$3</definedName>
    <definedName name="ExternalData_2" localSheetId="3">Data!#REF!</definedName>
    <definedName name="ExternalData_20" localSheetId="3">Data!#REF!</definedName>
    <definedName name="ExternalData_200" localSheetId="3">Data!#REF!</definedName>
    <definedName name="ExternalData_2000" localSheetId="3">Data!$A$2:$M$3</definedName>
    <definedName name="ExternalData_2001" localSheetId="3">Data!$A$2:$M$3</definedName>
    <definedName name="ExternalData_2002" localSheetId="3">Data!$A$2:$M$3</definedName>
    <definedName name="ExternalData_2003" localSheetId="3">Data!$A$2:$M$3</definedName>
    <definedName name="ExternalData_2004" localSheetId="3">Data!$A$2:$M$3</definedName>
    <definedName name="ExternalData_2005" localSheetId="3">Data!$A$2:$M$3</definedName>
    <definedName name="ExternalData_2006" localSheetId="3">Data!$A$2:$M$3</definedName>
    <definedName name="ExternalData_2007" localSheetId="3">Data!$A$2:$M$3</definedName>
    <definedName name="ExternalData_2008" localSheetId="3">Data!$A$2:$M$3</definedName>
    <definedName name="ExternalData_2009" localSheetId="3">Data!$A$2:$M$3</definedName>
    <definedName name="ExternalData_201" localSheetId="3">Data!#REF!</definedName>
    <definedName name="ExternalData_2010" localSheetId="3">Data!$A$2:$M$3</definedName>
    <definedName name="ExternalData_2011" localSheetId="3">Data!$A$2:$M$3</definedName>
    <definedName name="ExternalData_2012" localSheetId="3">Data!$A$2:$M$3</definedName>
    <definedName name="ExternalData_2013" localSheetId="3">Data!$A$2:$M$3</definedName>
    <definedName name="ExternalData_2014" localSheetId="3">Data!$A$2:$M$3</definedName>
    <definedName name="ExternalData_2015" localSheetId="3">Data!$A$2:$M$3</definedName>
    <definedName name="ExternalData_2016" localSheetId="3">Data!$A$2:$M$3</definedName>
    <definedName name="ExternalData_2017" localSheetId="3">Data!$A$2:$M$3</definedName>
    <definedName name="ExternalData_2018" localSheetId="3">Data!$A$2:$M$3</definedName>
    <definedName name="ExternalData_2019" localSheetId="3">Data!$A$2:$M$3</definedName>
    <definedName name="ExternalData_202" localSheetId="3">Data!#REF!</definedName>
    <definedName name="ExternalData_2020" localSheetId="3">Data!$A$2:$M$3</definedName>
    <definedName name="ExternalData_2021" localSheetId="3">Data!$A$2:$M$3</definedName>
    <definedName name="ExternalData_2022" localSheetId="3">Data!$A$2:$M$3</definedName>
    <definedName name="ExternalData_2023" localSheetId="3">Data!$A$2:$M$3</definedName>
    <definedName name="ExternalData_2024" localSheetId="3">Data!$A$2:$M$3</definedName>
    <definedName name="ExternalData_2025" localSheetId="3">Data!$A$2:$M$3</definedName>
    <definedName name="ExternalData_2026" localSheetId="3">Data!$A$2:$M$3</definedName>
    <definedName name="ExternalData_2027" localSheetId="3">Data!$A$2:$M$3</definedName>
    <definedName name="ExternalData_2028" localSheetId="3">Data!$A$2:$M$3</definedName>
    <definedName name="ExternalData_2029" localSheetId="3">Data!$A$2:$M$2949</definedName>
    <definedName name="ExternalData_203" localSheetId="3">Data!#REF!</definedName>
    <definedName name="ExternalData_2030" localSheetId="3">Data!$A$2:$M$3</definedName>
    <definedName name="ExternalData_2031" localSheetId="3">Data!$A$2:$M$3</definedName>
    <definedName name="ExternalData_2032" localSheetId="3">Data!$A$2:$M$3</definedName>
    <definedName name="ExternalData_2033" localSheetId="3">Data!$A$2:$M$3</definedName>
    <definedName name="ExternalData_2034" localSheetId="3">Data!$A$2:$M$3</definedName>
    <definedName name="ExternalData_2035" localSheetId="3">Data!$A$2:$M$3</definedName>
    <definedName name="ExternalData_2036" localSheetId="3">Data!$A$2:$M$3</definedName>
    <definedName name="ExternalData_2037" localSheetId="3">Data!$A$2:$M$3</definedName>
    <definedName name="ExternalData_2038" localSheetId="3">Data!$A$2:$M$3</definedName>
    <definedName name="ExternalData_2039" localSheetId="3">Data!$A$2:$M$3</definedName>
    <definedName name="ExternalData_204" localSheetId="3">Data!#REF!</definedName>
    <definedName name="ExternalData_2040" localSheetId="3">Data!$A$2:$M$3</definedName>
    <definedName name="ExternalData_2041" localSheetId="3">Data!$A$2:$M$3</definedName>
    <definedName name="ExternalData_2042" localSheetId="3">Data!$A$2:$M$3</definedName>
    <definedName name="ExternalData_2043" localSheetId="3">Data!$A$2:$M$3</definedName>
    <definedName name="ExternalData_2044" localSheetId="3">Data!$A$2:$M$3</definedName>
    <definedName name="ExternalData_2045" localSheetId="3">Data!$A$2:$M$3</definedName>
    <definedName name="ExternalData_2046" localSheetId="3">Data!$A$2:$M$3</definedName>
    <definedName name="ExternalData_2047" localSheetId="3">Data!$A$2:$M$3</definedName>
    <definedName name="ExternalData_2048" localSheetId="3">Data!$A$2:$M$3</definedName>
    <definedName name="ExternalData_2049" localSheetId="3">Data!$A$2:$M$3</definedName>
    <definedName name="ExternalData_205" localSheetId="3">Data!#REF!</definedName>
    <definedName name="ExternalData_2050" localSheetId="3">Data!$A$2:$M$3</definedName>
    <definedName name="ExternalData_2051" localSheetId="3">Data!$A$2:$M$3</definedName>
    <definedName name="ExternalData_2052" localSheetId="3">Data!$A$2:$M$3</definedName>
    <definedName name="ExternalData_2053" localSheetId="3">Data!$A$2:$M$3</definedName>
    <definedName name="ExternalData_2054" localSheetId="3">Data!$A$2:$M$3</definedName>
    <definedName name="ExternalData_2055" localSheetId="3">Data!$A$2:$M$3</definedName>
    <definedName name="ExternalData_2056" localSheetId="3">Data!$A$2:$M$3</definedName>
    <definedName name="ExternalData_2057" localSheetId="3">Data!$A$2:$M$3</definedName>
    <definedName name="ExternalData_2058" localSheetId="3">Data!$A$2:$M$3</definedName>
    <definedName name="ExternalData_2059" localSheetId="3">Data!$A$2:$M$3</definedName>
    <definedName name="ExternalData_206" localSheetId="3">Data!#REF!</definedName>
    <definedName name="ExternalData_2060" localSheetId="3">Data!$A$2:$M$3</definedName>
    <definedName name="ExternalData_2061" localSheetId="3">Data!$A$2:$M$3</definedName>
    <definedName name="ExternalData_2062" localSheetId="3">Data!$A$2:$M$3</definedName>
    <definedName name="ExternalData_2063" localSheetId="3">Data!$A$2:$M$3</definedName>
    <definedName name="ExternalData_2064" localSheetId="3">Data!$A$2:$M$3</definedName>
    <definedName name="ExternalData_2065" localSheetId="3">Data!$A$2:$M$3</definedName>
    <definedName name="ExternalData_2066" localSheetId="3">Data!$A$2:$M$3</definedName>
    <definedName name="ExternalData_2067" localSheetId="3">Data!$A$2:$M$3</definedName>
    <definedName name="ExternalData_2068" localSheetId="3">Data!$A$2:$M$3</definedName>
    <definedName name="ExternalData_2069" localSheetId="3">Data!$A$2:$M$3</definedName>
    <definedName name="ExternalData_207" localSheetId="3">Data!#REF!</definedName>
    <definedName name="ExternalData_2070" localSheetId="3">Data!$A$2:$M$3</definedName>
    <definedName name="ExternalData_2071" localSheetId="3">Data!$A$2:$M$3</definedName>
    <definedName name="ExternalData_2072" localSheetId="3">Data!$A$2:$M$3</definedName>
    <definedName name="ExternalData_2073" localSheetId="3">Data!$A$2:$M$3</definedName>
    <definedName name="ExternalData_2074" localSheetId="3">Data!$A$2:$M$3</definedName>
    <definedName name="ExternalData_2075" localSheetId="3">Data!$A$2:$M$3</definedName>
    <definedName name="ExternalData_2076" localSheetId="3">Data!$A$2:$M$3</definedName>
    <definedName name="ExternalData_2077" localSheetId="3">Data!$A$2:$M$3</definedName>
    <definedName name="ExternalData_2078" localSheetId="3">Data!$A$2:$M$3</definedName>
    <definedName name="ExternalData_2079" localSheetId="3">Data!$A$2:$M$3</definedName>
    <definedName name="ExternalData_208" localSheetId="3">Data!#REF!</definedName>
    <definedName name="ExternalData_2080" localSheetId="3">Data!$A$2:$M$3</definedName>
    <definedName name="ExternalData_2081" localSheetId="3">Data!$A$2:$M$3</definedName>
    <definedName name="ExternalData_2082" localSheetId="3">Data!$A$2:$M$3</definedName>
    <definedName name="ExternalData_2083" localSheetId="3">Data!$A$2:$M$3</definedName>
    <definedName name="ExternalData_2084" localSheetId="3">Data!$A$2:$M$3</definedName>
    <definedName name="ExternalData_2085" localSheetId="3">Data!$A$2:$M$3</definedName>
    <definedName name="ExternalData_2086" localSheetId="3">Data!$A$2:$M$3</definedName>
    <definedName name="ExternalData_2087" localSheetId="3">Data!$A$2:$M$3</definedName>
    <definedName name="ExternalData_2088" localSheetId="3">Data!$A$2:$M$3</definedName>
    <definedName name="ExternalData_2089" localSheetId="3">Data!$A$2:$M$3</definedName>
    <definedName name="ExternalData_209" localSheetId="3">Data!#REF!</definedName>
    <definedName name="ExternalData_2090" localSheetId="3">Data!$A$2:$M$3</definedName>
    <definedName name="ExternalData_2091" localSheetId="3">Data!$A$2:$M$1128</definedName>
    <definedName name="ExternalData_2092" localSheetId="3">Data!$A$2:$M$1128</definedName>
    <definedName name="ExternalData_2093" localSheetId="3">Data!$A$2:$M$3</definedName>
    <definedName name="ExternalData_2094" localSheetId="3">Data!$A$2:$M$3</definedName>
    <definedName name="ExternalData_2095" localSheetId="3">Data!$A$2:$M$1337</definedName>
    <definedName name="ExternalData_2096" localSheetId="3">Data!$A$2:$M$3</definedName>
    <definedName name="ExternalData_2097" localSheetId="3">Data!$A$2:$M$3</definedName>
    <definedName name="ExternalData_2098" localSheetId="3">Data!$A$2:$M$3</definedName>
    <definedName name="ExternalData_2099" localSheetId="3">Data!$A$2:$M$3</definedName>
    <definedName name="ExternalData_21" localSheetId="3">Data!#REF!</definedName>
    <definedName name="ExternalData_210" localSheetId="3">Data!#REF!</definedName>
    <definedName name="ExternalData_2100" localSheetId="3">Data!$A$2:$M$3</definedName>
    <definedName name="ExternalData_2101" localSheetId="3">Data!$A$2:$M$3</definedName>
    <definedName name="ExternalData_2102" localSheetId="3">Data!$A$2:$M$3</definedName>
    <definedName name="ExternalData_2103" localSheetId="3">Data!$A$2:$M$3</definedName>
    <definedName name="ExternalData_2104" localSheetId="3">Data!$A$2:$M$3</definedName>
    <definedName name="ExternalData_2105" localSheetId="3">Data!$A$2:$M$3</definedName>
    <definedName name="ExternalData_2106" localSheetId="3">Data!$A$2:$M$3</definedName>
    <definedName name="ExternalData_2107" localSheetId="3">Data!$A$2:$M$3</definedName>
    <definedName name="ExternalData_2108" localSheetId="3">Data!$A$2:$M$3</definedName>
    <definedName name="ExternalData_2109" localSheetId="3">Data!$A$2:$M$3</definedName>
    <definedName name="ExternalData_211" localSheetId="3">Data!#REF!</definedName>
    <definedName name="ExternalData_2110" localSheetId="3">Data!$A$2:$M$3</definedName>
    <definedName name="ExternalData_2111" localSheetId="3">Data!$A$2:$M$3</definedName>
    <definedName name="ExternalData_2112" localSheetId="3">Data!$A$2:$M$3</definedName>
    <definedName name="ExternalData_2113" localSheetId="3">Data!$A$2:$M$3</definedName>
    <definedName name="ExternalData_2114" localSheetId="3">Data!$A$2:$M$3</definedName>
    <definedName name="ExternalData_2115" localSheetId="3">Data!$A$2:$M$3</definedName>
    <definedName name="ExternalData_2116" localSheetId="3">Data!$A$2:$M$3</definedName>
    <definedName name="ExternalData_2117" localSheetId="3">Data!$A$2:$M$3</definedName>
    <definedName name="ExternalData_2118" localSheetId="3">Data!$A$2:$M$3</definedName>
    <definedName name="ExternalData_2119" localSheetId="3">Data!$A$2:$M$3</definedName>
    <definedName name="ExternalData_212" localSheetId="3">Data!#REF!</definedName>
    <definedName name="ExternalData_2120" localSheetId="3">Data!$A$2:$M$3</definedName>
    <definedName name="ExternalData_2121" localSheetId="3">Data!$A$2:$M$3</definedName>
    <definedName name="ExternalData_2122" localSheetId="3">Data!$A$2:$M$3</definedName>
    <definedName name="ExternalData_2123" localSheetId="3">Data!$A$2:$M$3</definedName>
    <definedName name="ExternalData_2124" localSheetId="3">Data!$A$2:$M$3</definedName>
    <definedName name="ExternalData_2125" localSheetId="3">Data!$A$2:$M$3</definedName>
    <definedName name="ExternalData_2126" localSheetId="3">Data!$A$2:$M$3</definedName>
    <definedName name="ExternalData_2127" localSheetId="3">Data!$A$2:$M$3</definedName>
    <definedName name="ExternalData_2128" localSheetId="3">Data!$A$2:$M$3</definedName>
    <definedName name="ExternalData_2129" localSheetId="3">Data!$A$2:$M$3</definedName>
    <definedName name="ExternalData_213" localSheetId="3">Data!#REF!</definedName>
    <definedName name="ExternalData_2130" localSheetId="3">Data!$A$2:$M$3</definedName>
    <definedName name="ExternalData_2131" localSheetId="3">Data!$A$2:$M$3</definedName>
    <definedName name="ExternalData_2132" localSheetId="3">Data!$A$2:$M$3</definedName>
    <definedName name="ExternalData_2133" localSheetId="3">Data!$A$2:$M$3</definedName>
    <definedName name="ExternalData_2134" localSheetId="3">Data!$A$2:$M$3</definedName>
    <definedName name="ExternalData_2135" localSheetId="3">Data!$A$2:$M$3</definedName>
    <definedName name="ExternalData_2136" localSheetId="3">Data!$A$2:$M$3</definedName>
    <definedName name="ExternalData_2137" localSheetId="3">Data!$A$2:$M$3</definedName>
    <definedName name="ExternalData_2138" localSheetId="3">Data!$A$2:$M$3</definedName>
    <definedName name="ExternalData_2139" localSheetId="3">Data!$A$2:$M$3</definedName>
    <definedName name="ExternalData_214" localSheetId="3">Data!#REF!</definedName>
    <definedName name="ExternalData_2140" localSheetId="3">Data!$A$2:$M$3</definedName>
    <definedName name="ExternalData_2141" localSheetId="3">Data!$A$2:$M$3</definedName>
    <definedName name="ExternalData_2142" localSheetId="3">Data!$A$2:$M$3</definedName>
    <definedName name="ExternalData_2143" localSheetId="3">Data!$A$2:$M$3</definedName>
    <definedName name="ExternalData_2144" localSheetId="3">Data!$A$2:$M$3</definedName>
    <definedName name="ExternalData_2145" localSheetId="3">Data!$A$2:$M$3</definedName>
    <definedName name="ExternalData_2146" localSheetId="3">Data!$A$2:$M$3</definedName>
    <definedName name="ExternalData_2147" localSheetId="3">Data!$A$2:$M$3</definedName>
    <definedName name="ExternalData_2148" localSheetId="3">Data!$A$2:$M$3</definedName>
    <definedName name="ExternalData_2149" localSheetId="3">Data!$A$2:$M$3</definedName>
    <definedName name="ExternalData_215" localSheetId="3">Data!#REF!</definedName>
    <definedName name="ExternalData_2150" localSheetId="3">Data!$A$2:$M$3</definedName>
    <definedName name="ExternalData_2151" localSheetId="3">Data!$A$2:$M$3</definedName>
    <definedName name="ExternalData_2152" localSheetId="3">Data!$A$2:$M$3</definedName>
    <definedName name="ExternalData_2153" localSheetId="3">Data!$A$2:$M$3</definedName>
    <definedName name="ExternalData_2154" localSheetId="3">Data!$A$2:$M$3</definedName>
    <definedName name="ExternalData_2155" localSheetId="3">Data!$A$2:$M$3</definedName>
    <definedName name="ExternalData_2156" localSheetId="3">Data!$A$2:$M$3</definedName>
    <definedName name="ExternalData_2157" localSheetId="3">Data!$A$2:$M$3</definedName>
    <definedName name="ExternalData_2158" localSheetId="3">Data!$A$2:$M$3</definedName>
    <definedName name="ExternalData_2159" localSheetId="3">Data!$A$2:$M$3</definedName>
    <definedName name="ExternalData_216" localSheetId="3">Data!#REF!</definedName>
    <definedName name="ExternalData_2160" localSheetId="3">Data!$A$2:$M$3</definedName>
    <definedName name="ExternalData_2161" localSheetId="3">Data!$A$2:$M$3</definedName>
    <definedName name="ExternalData_2162" localSheetId="3">Data!$A$2</definedName>
    <definedName name="ExternalData_2163" localSheetId="3">Data!$A$2:$M$3</definedName>
    <definedName name="ExternalData_2164" localSheetId="3">Data!$A$2:$M$3</definedName>
    <definedName name="ExternalData_2165" localSheetId="3">Data!$A$2:$M$3</definedName>
    <definedName name="ExternalData_2166" localSheetId="3">Data!$A$2:$M$3</definedName>
    <definedName name="ExternalData_2167" localSheetId="3">Data!$A$2:$M$3</definedName>
    <definedName name="ExternalData_2168" localSheetId="3">Data!$A$2:$M$3</definedName>
    <definedName name="ExternalData_2169" localSheetId="3">Data!$A$2:$M$3</definedName>
    <definedName name="ExternalData_217" localSheetId="3">Data!#REF!</definedName>
    <definedName name="ExternalData_2170" localSheetId="3">Data!$A$2:$M$3</definedName>
    <definedName name="ExternalData_2171" localSheetId="3">Data!$A$2:$M$3</definedName>
    <definedName name="ExternalData_2172" localSheetId="3">Data!$A$2:$M$3</definedName>
    <definedName name="ExternalData_2173" localSheetId="3">Data!$A$2:$M$3</definedName>
    <definedName name="ExternalData_2174" localSheetId="3">Data!$A$2:$M$3</definedName>
    <definedName name="ExternalData_2175" localSheetId="3">Data!$A$2:$M$3</definedName>
    <definedName name="ExternalData_2176" localSheetId="3">Data!$A$2:$M$3</definedName>
    <definedName name="ExternalData_2177" localSheetId="3">Data!$A$2:$M$3</definedName>
    <definedName name="ExternalData_2178" localSheetId="3">Data!$A$2:$M$3</definedName>
    <definedName name="ExternalData_2179" localSheetId="3">Data!$A$2:$M$3</definedName>
    <definedName name="ExternalData_218" localSheetId="3">Data!#REF!</definedName>
    <definedName name="ExternalData_2180" localSheetId="3">Data!$A$2:$M$3</definedName>
    <definedName name="ExternalData_2181" localSheetId="3">Data!$A$2:$M$3</definedName>
    <definedName name="ExternalData_2182" localSheetId="3">Data!$A$2:$M$3</definedName>
    <definedName name="ExternalData_2183" localSheetId="3">Data!$A$2:$M$3</definedName>
    <definedName name="ExternalData_2184" localSheetId="3">Data!$A$2:$M$3</definedName>
    <definedName name="ExternalData_2185" localSheetId="3">Data!$A$2:$M$3</definedName>
    <definedName name="ExternalData_2186" localSheetId="3">Data!$A$2:$M$3</definedName>
    <definedName name="ExternalData_2187" localSheetId="3">Data!$A$2:$M$3</definedName>
    <definedName name="ExternalData_2188" localSheetId="3">Data!$A$2:$M$3</definedName>
    <definedName name="ExternalData_2189" localSheetId="3">Data!$A$2:$M$3</definedName>
    <definedName name="ExternalData_219" localSheetId="3">Data!#REF!</definedName>
    <definedName name="ExternalData_2190" localSheetId="3">Data!$A$2:$M$3</definedName>
    <definedName name="ExternalData_2191" localSheetId="3">Data!$A$2:$M$3</definedName>
    <definedName name="ExternalData_2192" localSheetId="3">Data!$A$2:$M$3</definedName>
    <definedName name="ExternalData_2193" localSheetId="3">Data!$A$2:$M$3</definedName>
    <definedName name="ExternalData_2194" localSheetId="3">Data!$A$2:$M$3</definedName>
    <definedName name="ExternalData_2195" localSheetId="3">Data!$A$2:$M$3</definedName>
    <definedName name="ExternalData_2196" localSheetId="3">Data!$A$2:$M$3</definedName>
    <definedName name="ExternalData_2197" localSheetId="3">Data!$A$2:$M$12</definedName>
    <definedName name="ExternalData_2198" localSheetId="3">Data!$A$2:$M$12</definedName>
    <definedName name="ExternalData_2199" localSheetId="3">Data!$A$2:$M$12</definedName>
    <definedName name="ExternalData_22" localSheetId="3">Data!#REF!</definedName>
    <definedName name="ExternalData_220" localSheetId="3">Data!#REF!</definedName>
    <definedName name="ExternalData_2200" localSheetId="3">Data!$A$2:$M$12</definedName>
    <definedName name="ExternalData_2201" localSheetId="3">Data!$A$2:$M$12</definedName>
    <definedName name="ExternalData_2202" localSheetId="3">Data!$A$2:$M$1151</definedName>
    <definedName name="ExternalData_2203" localSheetId="3">Data!$A$2:$M$12</definedName>
    <definedName name="ExternalData_2204" localSheetId="3">Data!$A$2:$M$3</definedName>
    <definedName name="ExternalData_2205" localSheetId="3">Data!$A$2:$M$3</definedName>
    <definedName name="ExternalData_2206" localSheetId="3">Data!$A$2:$M$3</definedName>
    <definedName name="ExternalData_2207" localSheetId="3">Data!$A$2:$M$3</definedName>
    <definedName name="ExternalData_2208" localSheetId="3">Data!$A$2:$M$3</definedName>
    <definedName name="ExternalData_2209" localSheetId="3">Data!$A$2:$M$3</definedName>
    <definedName name="ExternalData_221" localSheetId="3">Data!#REF!</definedName>
    <definedName name="ExternalData_2210" localSheetId="3">Data!$A$2:$M$3</definedName>
    <definedName name="ExternalData_2211" localSheetId="3">Data!$A$2:$M$1229</definedName>
    <definedName name="ExternalData_2212" localSheetId="3">Data!$A$2:$M$83</definedName>
    <definedName name="ExternalData_2213" localSheetId="3">Data!$A$2:$M$3</definedName>
    <definedName name="ExternalData_2214" localSheetId="3">Data!$A$2:$M$3</definedName>
    <definedName name="ExternalData_2215" localSheetId="3">Data!$A$2:$M$3</definedName>
    <definedName name="ExternalData_2216" localSheetId="3">Data!$A$2:$M$3</definedName>
    <definedName name="ExternalData_2217" localSheetId="3">Data!$A$2:$M$3</definedName>
    <definedName name="ExternalData_2218" localSheetId="3">Data!$A$2:$M$3</definedName>
    <definedName name="ExternalData_2219" localSheetId="3">Data!$A$2:$M$3</definedName>
    <definedName name="ExternalData_222" localSheetId="3">Data!#REF!</definedName>
    <definedName name="ExternalData_2220" localSheetId="3">Data!$A$2:$M$3</definedName>
    <definedName name="ExternalData_2221" localSheetId="3">Data!$A$2:$M$3</definedName>
    <definedName name="ExternalData_2222" localSheetId="3">Data!$A$2:$M$3</definedName>
    <definedName name="ExternalData_2223" localSheetId="3">Data!$A$2:$M$3</definedName>
    <definedName name="ExternalData_2224" localSheetId="3">Data!$A$2:$M$3</definedName>
    <definedName name="ExternalData_2225" localSheetId="3">Data!$A$2:$M$3</definedName>
    <definedName name="ExternalData_2226" localSheetId="3">Data!$A$2:$M$3</definedName>
    <definedName name="ExternalData_2227" localSheetId="3">Data!$A$2:$M$3</definedName>
    <definedName name="ExternalData_2228" localSheetId="3">Data!$A$2:$M$3</definedName>
    <definedName name="ExternalData_2229" localSheetId="3">Data!$A$2:$M$3</definedName>
    <definedName name="ExternalData_223" localSheetId="3">Data!#REF!</definedName>
    <definedName name="ExternalData_2230" localSheetId="3">Data!$A$2:$M$3</definedName>
    <definedName name="ExternalData_2231" localSheetId="3">Data!$A$2:$M$3</definedName>
    <definedName name="ExternalData_2232" localSheetId="3">Data!$A$2</definedName>
    <definedName name="ExternalData_2233" localSheetId="3">Data!$A$2:$M$1420</definedName>
    <definedName name="ExternalData_2234" localSheetId="3">Data!$A$2:$M$1425</definedName>
    <definedName name="ExternalData_2235" localSheetId="3">Data!$A$2:$M$3</definedName>
    <definedName name="ExternalData_2236" localSheetId="3">Data!$A$2:$M$3</definedName>
    <definedName name="ExternalData_2237" localSheetId="3">Data!$A$2:$M$3</definedName>
    <definedName name="ExternalData_2238" localSheetId="3">Data!$A$2:$M$3</definedName>
    <definedName name="ExternalData_2239" localSheetId="3">Data!$A$2:$M$3</definedName>
    <definedName name="ExternalData_224" localSheetId="3">Data!#REF!</definedName>
    <definedName name="ExternalData_2240" localSheetId="3">Data!$A$2:$M$4</definedName>
    <definedName name="ExternalData_2241" localSheetId="3">Data!$A$2:$M$13</definedName>
    <definedName name="ExternalData_2242" localSheetId="3">Data!$A$2:$M$313</definedName>
    <definedName name="ExternalData_2243" localSheetId="3">Data!$A$2:$M$2081</definedName>
    <definedName name="ExternalData_2244" localSheetId="3">Data!$A$2:$M$2081</definedName>
    <definedName name="ExternalData_2245" localSheetId="3">Data!$A$2:$M$313</definedName>
    <definedName name="ExternalData_2246" localSheetId="3">Data!$A$2:$M$336</definedName>
    <definedName name="ExternalData_2247" localSheetId="3">Data!$A$2:$M$341</definedName>
    <definedName name="ExternalData_2248" localSheetId="3">Data!$A$2:$M$611</definedName>
    <definedName name="ExternalData_2249" localSheetId="3">Data!$A$2</definedName>
    <definedName name="ExternalData_225" localSheetId="3">Data!#REF!</definedName>
    <definedName name="ExternalData_2250" localSheetId="3">Data!$A$2</definedName>
    <definedName name="ExternalData_2251" localSheetId="3">Data!$A$2</definedName>
    <definedName name="ExternalData_2252" localSheetId="3">Data!$A$2</definedName>
    <definedName name="ExternalData_2253" localSheetId="3">Data!$A$2:$M$2109</definedName>
    <definedName name="ExternalData_2254" localSheetId="3">Data!$A$2:$M$341</definedName>
    <definedName name="ExternalData_2255" localSheetId="3">Data!$A$2:$M$343</definedName>
    <definedName name="ExternalData_2256" localSheetId="3">Data!$A$2:$M$343</definedName>
    <definedName name="ExternalData_2257" localSheetId="3">Data!$A$2:$M$343</definedName>
    <definedName name="ExternalData_2258" localSheetId="3">Data!$A$2:$M$342</definedName>
    <definedName name="ExternalData_2259" localSheetId="3">Data!$A$2:$M$341</definedName>
    <definedName name="ExternalData_226" localSheetId="3">Data!#REF!</definedName>
    <definedName name="ExternalData_2260" localSheetId="3">Data!$A$2:$M$365</definedName>
    <definedName name="ExternalData_2261" localSheetId="3">Data!$A$2:$M$365</definedName>
    <definedName name="ExternalData_2262" localSheetId="3">Data!$A$2:$M$404</definedName>
    <definedName name="ExternalData_2263" localSheetId="3">Data!$A$2:$M$471</definedName>
    <definedName name="ExternalData_2264" localSheetId="3">Data!$A$2:$M$471</definedName>
    <definedName name="ExternalData_2265" localSheetId="3">Data!$A$2:$M$471</definedName>
    <definedName name="ExternalData_2266" localSheetId="3">Data!$A$2:$M$471</definedName>
    <definedName name="ExternalData_2267" localSheetId="3">Data!$A$2:$M$471</definedName>
    <definedName name="ExternalData_2268" localSheetId="3">Data!$A$2:$M$471</definedName>
    <definedName name="ExternalData_2269" localSheetId="3">Data!$A$2:$M$471</definedName>
    <definedName name="ExternalData_227" localSheetId="3">Data!#REF!</definedName>
    <definedName name="ExternalData_2270" localSheetId="3">Data!$A$2:$M$472</definedName>
    <definedName name="ExternalData_2271" localSheetId="3">Data!$A$2:$M$494</definedName>
    <definedName name="ExternalData_2272" localSheetId="3">Data!$A$2:$M$511</definedName>
    <definedName name="ExternalData_2273" localSheetId="3">Data!$A$2:$M$506</definedName>
    <definedName name="ExternalData_2274" localSheetId="3">Data!$A$2:$M$506</definedName>
    <definedName name="ExternalData_2275" localSheetId="3">Data!$A$2:$M$505</definedName>
    <definedName name="ExternalData_2276" localSheetId="3">Data!$A$2:$M$504</definedName>
    <definedName name="ExternalData_2277" localSheetId="3">Data!$A$2:$M$532</definedName>
    <definedName name="ExternalData_2278" localSheetId="3">Data!$A$2:$M$554</definedName>
    <definedName name="ExternalData_2279" localSheetId="3">Data!$A$2:$M$554</definedName>
    <definedName name="ExternalData_228" localSheetId="3">Data!#REF!</definedName>
    <definedName name="ExternalData_2280" localSheetId="3">Data!$A$2:$M$539</definedName>
    <definedName name="ExternalData_2281" localSheetId="3">Data!$A$2:$M$554</definedName>
    <definedName name="ExternalData_2282" localSheetId="3">Data!$A$2:$M$554</definedName>
    <definedName name="ExternalData_2283" localSheetId="3">Data!$A$2:$M$554</definedName>
    <definedName name="ExternalData_2284" localSheetId="3">Data!$A$2</definedName>
    <definedName name="ExternalData_2285" localSheetId="3">Data!$A$2:$M$2326</definedName>
    <definedName name="ExternalData_2286" localSheetId="3">Data!$A$2:$M$554</definedName>
    <definedName name="ExternalData_2287" localSheetId="3">Data!$A$2:$M$5</definedName>
    <definedName name="ExternalData_2288" localSheetId="3">Data!$A$2:$M$40</definedName>
    <definedName name="ExternalData_2289" localSheetId="3">Data!$A$2:$M$47</definedName>
    <definedName name="ExternalData_229" localSheetId="3">Data!#REF!</definedName>
    <definedName name="ExternalData_2290" localSheetId="3">Data!$A$2:$M$47</definedName>
    <definedName name="ExternalData_2291" localSheetId="3">Data!$A$2:$M$100</definedName>
    <definedName name="ExternalData_2292" localSheetId="3">Data!$A$2:$M$101</definedName>
    <definedName name="ExternalData_2293" localSheetId="3">Data!$A$2:$M$100</definedName>
    <definedName name="ExternalData_2294" localSheetId="3">Data!$A$2:$M$131</definedName>
    <definedName name="ExternalData_2295" localSheetId="3">Data!$A$2:$M$141</definedName>
    <definedName name="ExternalData_2296" localSheetId="3">Data!$A$2:$M$121</definedName>
    <definedName name="ExternalData_23" localSheetId="3">Data!#REF!</definedName>
    <definedName name="ExternalData_230" localSheetId="3">Data!#REF!</definedName>
    <definedName name="ExternalData_231" localSheetId="3">Data!#REF!</definedName>
    <definedName name="ExternalData_232" localSheetId="3">Data!#REF!</definedName>
    <definedName name="ExternalData_233" localSheetId="3">Data!#REF!</definedName>
    <definedName name="ExternalData_234" localSheetId="3">Data!#REF!</definedName>
    <definedName name="ExternalData_235" localSheetId="3">Data!#REF!</definedName>
    <definedName name="ExternalData_236" localSheetId="3">Data!#REF!</definedName>
    <definedName name="ExternalData_237" localSheetId="3">Data!#REF!</definedName>
    <definedName name="ExternalData_238" localSheetId="3">Data!#REF!</definedName>
    <definedName name="ExternalData_239" localSheetId="3">Data!#REF!</definedName>
    <definedName name="ExternalData_24" localSheetId="3">Data!#REF!</definedName>
    <definedName name="ExternalData_240" localSheetId="3">Data!#REF!</definedName>
    <definedName name="ExternalData_241" localSheetId="3">Data!#REF!</definedName>
    <definedName name="ExternalData_242" localSheetId="3">Data!#REF!</definedName>
    <definedName name="ExternalData_243" localSheetId="3">Data!#REF!</definedName>
    <definedName name="ExternalData_244" localSheetId="3">Data!#REF!</definedName>
    <definedName name="ExternalData_245" localSheetId="3">Data!#REF!</definedName>
    <definedName name="ExternalData_246" localSheetId="3">Data!#REF!</definedName>
    <definedName name="ExternalData_247" localSheetId="3">Data!#REF!</definedName>
    <definedName name="ExternalData_248" localSheetId="3">Data!#REF!</definedName>
    <definedName name="ExternalData_249" localSheetId="3">Data!#REF!</definedName>
    <definedName name="ExternalData_25" localSheetId="3">Data!#REF!</definedName>
    <definedName name="ExternalData_250" localSheetId="3">Data!#REF!</definedName>
    <definedName name="ExternalData_251" localSheetId="3">Data!#REF!</definedName>
    <definedName name="ExternalData_252" localSheetId="3">Data!#REF!</definedName>
    <definedName name="ExternalData_253" localSheetId="3">Data!#REF!</definedName>
    <definedName name="ExternalData_254" localSheetId="3">Data!#REF!</definedName>
    <definedName name="ExternalData_255" localSheetId="3">Data!#REF!</definedName>
    <definedName name="ExternalData_256" localSheetId="3">Data!#REF!</definedName>
    <definedName name="ExternalData_257" localSheetId="3">Data!#REF!</definedName>
    <definedName name="ExternalData_258" localSheetId="3">Data!#REF!</definedName>
    <definedName name="ExternalData_259" localSheetId="3">Data!#REF!</definedName>
    <definedName name="ExternalData_26" localSheetId="3">Data!#REF!</definedName>
    <definedName name="ExternalData_260" localSheetId="3">Data!#REF!</definedName>
    <definedName name="ExternalData_261" localSheetId="3">Data!#REF!</definedName>
    <definedName name="ExternalData_262" localSheetId="3">Data!#REF!</definedName>
    <definedName name="ExternalData_263" localSheetId="3">Data!#REF!</definedName>
    <definedName name="ExternalData_264" localSheetId="3">Data!#REF!</definedName>
    <definedName name="ExternalData_265" localSheetId="3">Data!#REF!</definedName>
    <definedName name="ExternalData_266" localSheetId="3">Data!#REF!</definedName>
    <definedName name="ExternalData_267" localSheetId="3">Data!#REF!</definedName>
    <definedName name="ExternalData_268" localSheetId="3">Data!#REF!</definedName>
    <definedName name="ExternalData_269" localSheetId="3">Data!#REF!</definedName>
    <definedName name="ExternalData_27" localSheetId="3">Data!#REF!</definedName>
    <definedName name="ExternalData_270" localSheetId="3">Data!#REF!</definedName>
    <definedName name="ExternalData_271" localSheetId="3">Data!#REF!</definedName>
    <definedName name="ExternalData_272" localSheetId="3">Data!#REF!</definedName>
    <definedName name="ExternalData_273" localSheetId="3">Data!#REF!</definedName>
    <definedName name="ExternalData_274" localSheetId="3">Data!#REF!</definedName>
    <definedName name="ExternalData_275" localSheetId="3">Data!#REF!</definedName>
    <definedName name="ExternalData_276" localSheetId="3">Data!#REF!</definedName>
    <definedName name="ExternalData_277" localSheetId="3">Data!#REF!</definedName>
    <definedName name="ExternalData_278" localSheetId="3">Data!#REF!</definedName>
    <definedName name="ExternalData_279" localSheetId="3">Data!#REF!</definedName>
    <definedName name="ExternalData_28" localSheetId="3">Data!#REF!</definedName>
    <definedName name="ExternalData_280" localSheetId="3">Data!#REF!</definedName>
    <definedName name="ExternalData_281" localSheetId="3">Data!#REF!</definedName>
    <definedName name="ExternalData_282" localSheetId="3">Data!#REF!</definedName>
    <definedName name="ExternalData_283" localSheetId="3">Data!#REF!</definedName>
    <definedName name="ExternalData_284" localSheetId="3">Data!#REF!</definedName>
    <definedName name="ExternalData_285" localSheetId="3">Data!#REF!</definedName>
    <definedName name="ExternalData_286" localSheetId="3">Data!#REF!</definedName>
    <definedName name="ExternalData_287" localSheetId="3">Data!#REF!</definedName>
    <definedName name="ExternalData_288" localSheetId="3">Data!#REF!</definedName>
    <definedName name="ExternalData_289" localSheetId="3">Data!#REF!</definedName>
    <definedName name="ExternalData_29" localSheetId="3">Data!#REF!</definedName>
    <definedName name="ExternalData_290" localSheetId="3">Data!#REF!</definedName>
    <definedName name="ExternalData_291" localSheetId="3">Data!#REF!</definedName>
    <definedName name="ExternalData_292" localSheetId="3">Data!#REF!</definedName>
    <definedName name="ExternalData_293" localSheetId="3">Data!#REF!</definedName>
    <definedName name="ExternalData_294" localSheetId="3">Data!#REF!</definedName>
    <definedName name="ExternalData_295" localSheetId="3">Data!#REF!</definedName>
    <definedName name="ExternalData_297" localSheetId="3">Data!#REF!</definedName>
    <definedName name="ExternalData_298" localSheetId="3">Data!#REF!</definedName>
    <definedName name="ExternalData_299" localSheetId="3">Data!#REF!</definedName>
    <definedName name="ExternalData_3" localSheetId="3">Data!#REF!</definedName>
    <definedName name="ExternalData_30" localSheetId="3">Data!#REF!</definedName>
    <definedName name="ExternalData_300" localSheetId="3">Data!#REF!</definedName>
    <definedName name="ExternalData_301" localSheetId="3">Data!#REF!</definedName>
    <definedName name="ExternalData_302" localSheetId="3">Data!#REF!</definedName>
    <definedName name="ExternalData_303" localSheetId="3">Data!#REF!</definedName>
    <definedName name="ExternalData_304" localSheetId="3">Data!#REF!</definedName>
    <definedName name="ExternalData_305" localSheetId="3">Data!#REF!</definedName>
    <definedName name="ExternalData_306" localSheetId="3">Data!#REF!</definedName>
    <definedName name="ExternalData_307" localSheetId="3">Data!#REF!</definedName>
    <definedName name="ExternalData_308" localSheetId="3">Data!#REF!</definedName>
    <definedName name="ExternalData_309" localSheetId="3">Data!#REF!</definedName>
    <definedName name="ExternalData_31" localSheetId="3">Data!#REF!</definedName>
    <definedName name="ExternalData_310" localSheetId="3">Data!#REF!</definedName>
    <definedName name="ExternalData_311" localSheetId="3">Data!#REF!</definedName>
    <definedName name="ExternalData_312" localSheetId="3">Data!#REF!</definedName>
    <definedName name="ExternalData_313" localSheetId="3">Data!#REF!</definedName>
    <definedName name="ExternalData_314" localSheetId="3">Data!#REF!</definedName>
    <definedName name="ExternalData_315" localSheetId="3">Data!#REF!</definedName>
    <definedName name="ExternalData_316" localSheetId="3">Data!#REF!</definedName>
    <definedName name="ExternalData_317" localSheetId="3">Data!#REF!</definedName>
    <definedName name="ExternalData_318" localSheetId="3">Data!#REF!</definedName>
    <definedName name="ExternalData_319" localSheetId="3">Data!#REF!</definedName>
    <definedName name="ExternalData_32" localSheetId="3">Data!#REF!</definedName>
    <definedName name="ExternalData_320" localSheetId="3">Data!#REF!</definedName>
    <definedName name="ExternalData_321" localSheetId="3">Data!#REF!</definedName>
    <definedName name="ExternalData_322" localSheetId="3">Data!#REF!</definedName>
    <definedName name="ExternalData_323" localSheetId="3">Data!#REF!</definedName>
    <definedName name="ExternalData_324" localSheetId="3">Data!#REF!</definedName>
    <definedName name="ExternalData_325" localSheetId="3">Data!#REF!</definedName>
    <definedName name="ExternalData_326" localSheetId="3">Data!#REF!</definedName>
    <definedName name="ExternalData_327" localSheetId="3">Data!#REF!</definedName>
    <definedName name="ExternalData_328" localSheetId="3">Data!#REF!</definedName>
    <definedName name="ExternalData_329" localSheetId="3">Data!#REF!</definedName>
    <definedName name="ExternalData_33" localSheetId="3">Data!#REF!</definedName>
    <definedName name="ExternalData_330" localSheetId="3">Data!#REF!</definedName>
    <definedName name="ExternalData_331" localSheetId="3">Data!#REF!</definedName>
    <definedName name="ExternalData_332" localSheetId="3">Data!#REF!</definedName>
    <definedName name="ExternalData_333" localSheetId="3">Data!#REF!</definedName>
    <definedName name="ExternalData_334" localSheetId="3">Data!#REF!</definedName>
    <definedName name="ExternalData_335" localSheetId="3">Data!#REF!</definedName>
    <definedName name="ExternalData_336" localSheetId="3">Data!#REF!</definedName>
    <definedName name="ExternalData_337" localSheetId="3">Data!#REF!</definedName>
    <definedName name="ExternalData_338" localSheetId="3">Data!#REF!</definedName>
    <definedName name="ExternalData_339" localSheetId="3">Data!#REF!</definedName>
    <definedName name="ExternalData_34" localSheetId="3">Data!#REF!</definedName>
    <definedName name="ExternalData_340" localSheetId="3">Data!#REF!</definedName>
    <definedName name="ExternalData_341" localSheetId="3">Data!#REF!</definedName>
    <definedName name="ExternalData_342" localSheetId="3">Data!#REF!</definedName>
    <definedName name="ExternalData_343" localSheetId="3">Data!#REF!</definedName>
    <definedName name="ExternalData_344" localSheetId="3">Data!#REF!</definedName>
    <definedName name="ExternalData_345" localSheetId="3">Data!#REF!</definedName>
    <definedName name="ExternalData_346" localSheetId="3">Data!#REF!</definedName>
    <definedName name="ExternalData_347" localSheetId="3">Data!#REF!</definedName>
    <definedName name="ExternalData_348" localSheetId="3">Data!#REF!</definedName>
    <definedName name="ExternalData_349" localSheetId="3">Data!#REF!</definedName>
    <definedName name="ExternalData_35" localSheetId="3">Data!#REF!</definedName>
    <definedName name="ExternalData_350" localSheetId="3">Data!#REF!</definedName>
    <definedName name="ExternalData_351" localSheetId="3">Data!#REF!</definedName>
    <definedName name="ExternalData_352" localSheetId="3">Data!#REF!</definedName>
    <definedName name="ExternalData_353" localSheetId="3">Data!#REF!</definedName>
    <definedName name="ExternalData_354" localSheetId="3">Data!#REF!</definedName>
    <definedName name="ExternalData_355" localSheetId="3">Data!#REF!</definedName>
    <definedName name="ExternalData_356" localSheetId="3">Data!#REF!</definedName>
    <definedName name="ExternalData_357" localSheetId="3">Data!#REF!</definedName>
    <definedName name="ExternalData_358" localSheetId="3">Data!#REF!</definedName>
    <definedName name="ExternalData_359" localSheetId="3">Data!#REF!</definedName>
    <definedName name="ExternalData_36" localSheetId="3">Data!#REF!</definedName>
    <definedName name="ExternalData_360" localSheetId="3">Data!#REF!</definedName>
    <definedName name="ExternalData_361" localSheetId="3">Data!#REF!</definedName>
    <definedName name="ExternalData_362" localSheetId="3">Data!#REF!</definedName>
    <definedName name="ExternalData_363" localSheetId="3">Data!#REF!</definedName>
    <definedName name="ExternalData_364" localSheetId="3">Data!#REF!</definedName>
    <definedName name="ExternalData_365" localSheetId="3">Data!#REF!</definedName>
    <definedName name="ExternalData_366" localSheetId="3">Data!#REF!</definedName>
    <definedName name="ExternalData_367" localSheetId="3">Data!#REF!</definedName>
    <definedName name="ExternalData_368" localSheetId="3">Data!#REF!</definedName>
    <definedName name="ExternalData_369" localSheetId="3">Data!#REF!</definedName>
    <definedName name="ExternalData_37" localSheetId="3">Data!#REF!</definedName>
    <definedName name="ExternalData_370" localSheetId="3">Data!#REF!</definedName>
    <definedName name="ExternalData_371" localSheetId="3">Data!#REF!</definedName>
    <definedName name="ExternalData_372" localSheetId="3">Data!#REF!</definedName>
    <definedName name="ExternalData_373" localSheetId="3">Data!#REF!</definedName>
    <definedName name="ExternalData_374" localSheetId="3">Data!#REF!</definedName>
    <definedName name="ExternalData_375" localSheetId="3">Data!#REF!</definedName>
    <definedName name="ExternalData_376" localSheetId="3">Data!#REF!</definedName>
    <definedName name="ExternalData_377" localSheetId="3">Data!#REF!</definedName>
    <definedName name="ExternalData_378" localSheetId="3">Data!#REF!</definedName>
    <definedName name="ExternalData_379" localSheetId="3">Data!#REF!</definedName>
    <definedName name="ExternalData_38" localSheetId="3">Data!#REF!</definedName>
    <definedName name="ExternalData_380" localSheetId="3">Data!#REF!</definedName>
    <definedName name="ExternalData_381" localSheetId="3">Data!#REF!</definedName>
    <definedName name="ExternalData_382" localSheetId="3">Data!#REF!</definedName>
    <definedName name="ExternalData_383" localSheetId="3">Data!#REF!</definedName>
    <definedName name="ExternalData_384" localSheetId="3">Data!#REF!</definedName>
    <definedName name="ExternalData_385" localSheetId="3">Data!#REF!</definedName>
    <definedName name="ExternalData_386" localSheetId="3">Data!#REF!</definedName>
    <definedName name="ExternalData_387" localSheetId="3">Data!#REF!</definedName>
    <definedName name="ExternalData_388" localSheetId="3">Data!#REF!</definedName>
    <definedName name="ExternalData_389" localSheetId="3">Data!#REF!</definedName>
    <definedName name="ExternalData_39" localSheetId="3">Data!#REF!</definedName>
    <definedName name="ExternalData_390" localSheetId="3">Data!#REF!</definedName>
    <definedName name="ExternalData_391" localSheetId="3">Data!#REF!</definedName>
    <definedName name="ExternalData_392" localSheetId="3">Data!#REF!</definedName>
    <definedName name="ExternalData_393" localSheetId="3">Data!#REF!</definedName>
    <definedName name="ExternalData_394" localSheetId="3">Data!#REF!</definedName>
    <definedName name="ExternalData_395" localSheetId="3">Data!#REF!</definedName>
    <definedName name="ExternalData_396" localSheetId="3">Data!#REF!</definedName>
    <definedName name="ExternalData_397" localSheetId="3">Data!#REF!</definedName>
    <definedName name="ExternalData_398" localSheetId="3">Data!#REF!</definedName>
    <definedName name="ExternalData_399" localSheetId="3">Data!#REF!</definedName>
    <definedName name="ExternalData_4" localSheetId="3">Data!#REF!</definedName>
    <definedName name="ExternalData_40" localSheetId="3">Data!#REF!</definedName>
    <definedName name="ExternalData_400" localSheetId="3">Data!#REF!</definedName>
    <definedName name="ExternalData_401" localSheetId="3">Data!#REF!</definedName>
    <definedName name="ExternalData_402" localSheetId="3">Data!#REF!</definedName>
    <definedName name="ExternalData_403" localSheetId="3">Data!#REF!</definedName>
    <definedName name="ExternalData_404" localSheetId="3">Data!#REF!</definedName>
    <definedName name="ExternalData_405" localSheetId="3">Data!#REF!</definedName>
    <definedName name="ExternalData_406" localSheetId="3">Data!#REF!</definedName>
    <definedName name="ExternalData_407" localSheetId="3">Data!#REF!</definedName>
    <definedName name="ExternalData_408" localSheetId="3">Data!#REF!</definedName>
    <definedName name="ExternalData_409" localSheetId="3">Data!#REF!</definedName>
    <definedName name="ExternalData_41" localSheetId="3">Data!#REF!</definedName>
    <definedName name="ExternalData_410" localSheetId="3">Data!#REF!</definedName>
    <definedName name="ExternalData_411" localSheetId="3">Data!#REF!</definedName>
    <definedName name="ExternalData_412" localSheetId="3">Data!#REF!</definedName>
    <definedName name="ExternalData_413" localSheetId="3">Data!#REF!</definedName>
    <definedName name="ExternalData_414" localSheetId="3">Data!#REF!</definedName>
    <definedName name="ExternalData_415" localSheetId="3">Data!#REF!</definedName>
    <definedName name="ExternalData_416" localSheetId="3">Data!#REF!</definedName>
    <definedName name="ExternalData_417" localSheetId="3">Data!#REF!</definedName>
    <definedName name="ExternalData_418" localSheetId="3">Data!#REF!</definedName>
    <definedName name="ExternalData_419" localSheetId="3">Data!#REF!</definedName>
    <definedName name="ExternalData_42" localSheetId="3">Data!#REF!</definedName>
    <definedName name="ExternalData_420" localSheetId="3">Data!#REF!</definedName>
    <definedName name="ExternalData_421" localSheetId="3">Data!#REF!</definedName>
    <definedName name="ExternalData_422" localSheetId="3">Data!#REF!</definedName>
    <definedName name="ExternalData_423" localSheetId="3">Data!#REF!</definedName>
    <definedName name="ExternalData_424" localSheetId="3">Data!#REF!</definedName>
    <definedName name="ExternalData_425" localSheetId="3">Data!#REF!</definedName>
    <definedName name="ExternalData_426" localSheetId="3">Data!#REF!</definedName>
    <definedName name="ExternalData_427" localSheetId="3">Data!#REF!</definedName>
    <definedName name="ExternalData_428" localSheetId="3">Data!#REF!</definedName>
    <definedName name="ExternalData_429" localSheetId="3">Data!#REF!</definedName>
    <definedName name="ExternalData_43" localSheetId="3">Data!#REF!</definedName>
    <definedName name="ExternalData_430" localSheetId="3">Data!#REF!</definedName>
    <definedName name="ExternalData_431" localSheetId="3">Data!#REF!</definedName>
    <definedName name="ExternalData_432" localSheetId="3">Data!#REF!</definedName>
    <definedName name="ExternalData_433" localSheetId="3">Data!#REF!</definedName>
    <definedName name="ExternalData_434" localSheetId="3">Data!#REF!</definedName>
    <definedName name="ExternalData_435" localSheetId="3">Data!#REF!</definedName>
    <definedName name="ExternalData_436" localSheetId="3">Data!#REF!</definedName>
    <definedName name="ExternalData_437" localSheetId="3">Data!#REF!</definedName>
    <definedName name="ExternalData_438" localSheetId="3">Data!#REF!</definedName>
    <definedName name="ExternalData_439" localSheetId="3">Data!#REF!</definedName>
    <definedName name="ExternalData_44" localSheetId="3">Data!#REF!</definedName>
    <definedName name="ExternalData_440" localSheetId="3">Data!#REF!</definedName>
    <definedName name="ExternalData_441" localSheetId="3">Data!#REF!</definedName>
    <definedName name="ExternalData_442" localSheetId="3">Data!#REF!</definedName>
    <definedName name="ExternalData_443" localSheetId="3">Data!#REF!</definedName>
    <definedName name="ExternalData_444" localSheetId="3">Data!#REF!</definedName>
    <definedName name="ExternalData_445" localSheetId="3">Data!#REF!</definedName>
    <definedName name="ExternalData_446" localSheetId="3">Data!#REF!</definedName>
    <definedName name="ExternalData_447" localSheetId="3">Data!#REF!</definedName>
    <definedName name="ExternalData_448" localSheetId="3">Data!#REF!</definedName>
    <definedName name="ExternalData_449" localSheetId="3">Data!#REF!</definedName>
    <definedName name="ExternalData_45" localSheetId="3">Data!#REF!</definedName>
    <definedName name="ExternalData_450" localSheetId="3">Data!#REF!</definedName>
    <definedName name="ExternalData_451" localSheetId="3">Data!#REF!</definedName>
    <definedName name="ExternalData_452" localSheetId="3">Data!#REF!</definedName>
    <definedName name="ExternalData_453" localSheetId="3">Data!#REF!</definedName>
    <definedName name="ExternalData_454" localSheetId="3">Data!#REF!</definedName>
    <definedName name="ExternalData_455" localSheetId="3">Data!#REF!</definedName>
    <definedName name="ExternalData_456" localSheetId="3">Data!#REF!</definedName>
    <definedName name="ExternalData_457" localSheetId="3">Data!#REF!</definedName>
    <definedName name="ExternalData_458" localSheetId="3">Data!#REF!</definedName>
    <definedName name="ExternalData_459" localSheetId="3">Data!#REF!</definedName>
    <definedName name="ExternalData_46" localSheetId="3">Data!#REF!</definedName>
    <definedName name="ExternalData_460" localSheetId="3">Data!#REF!</definedName>
    <definedName name="ExternalData_461" localSheetId="3">Data!#REF!</definedName>
    <definedName name="ExternalData_462" localSheetId="3">Data!#REF!</definedName>
    <definedName name="ExternalData_463" localSheetId="3">Data!#REF!</definedName>
    <definedName name="ExternalData_464" localSheetId="3">Data!#REF!</definedName>
    <definedName name="ExternalData_465" localSheetId="3">Data!#REF!</definedName>
    <definedName name="ExternalData_466" localSheetId="3">Data!#REF!</definedName>
    <definedName name="ExternalData_467" localSheetId="3">Data!#REF!</definedName>
    <definedName name="ExternalData_468" localSheetId="3">Data!#REF!</definedName>
    <definedName name="ExternalData_469" localSheetId="3">Data!#REF!</definedName>
    <definedName name="ExternalData_47" localSheetId="3">Data!#REF!</definedName>
    <definedName name="ExternalData_470" localSheetId="3">Data!#REF!</definedName>
    <definedName name="ExternalData_471" localSheetId="3">Data!#REF!</definedName>
    <definedName name="ExternalData_472" localSheetId="3">Data!#REF!</definedName>
    <definedName name="ExternalData_473" localSheetId="3">Data!#REF!</definedName>
    <definedName name="ExternalData_474" localSheetId="3">Data!#REF!</definedName>
    <definedName name="ExternalData_475" localSheetId="3">Data!#REF!</definedName>
    <definedName name="ExternalData_476" localSheetId="3">Data!#REF!</definedName>
    <definedName name="ExternalData_477" localSheetId="3">Data!#REF!</definedName>
    <definedName name="ExternalData_478" localSheetId="3">Data!#REF!</definedName>
    <definedName name="ExternalData_479" localSheetId="3">Data!#REF!</definedName>
    <definedName name="ExternalData_48" localSheetId="3">Data!#REF!</definedName>
    <definedName name="ExternalData_480" localSheetId="3">Data!#REF!</definedName>
    <definedName name="ExternalData_481" localSheetId="3">Data!#REF!</definedName>
    <definedName name="ExternalData_482" localSheetId="3">Data!#REF!</definedName>
    <definedName name="ExternalData_483" localSheetId="3">Data!#REF!</definedName>
    <definedName name="ExternalData_484" localSheetId="3">Data!#REF!</definedName>
    <definedName name="ExternalData_485" localSheetId="3">Data!#REF!</definedName>
    <definedName name="ExternalData_486" localSheetId="3">Data!#REF!</definedName>
    <definedName name="ExternalData_487" localSheetId="3">Data!#REF!</definedName>
    <definedName name="ExternalData_488" localSheetId="3">Data!#REF!</definedName>
    <definedName name="ExternalData_489" localSheetId="3">Data!#REF!</definedName>
    <definedName name="ExternalData_49" localSheetId="3">Data!#REF!</definedName>
    <definedName name="ExternalData_490" localSheetId="3">Data!#REF!</definedName>
    <definedName name="ExternalData_491" localSheetId="3">Data!#REF!</definedName>
    <definedName name="ExternalData_492" localSheetId="3">Data!#REF!</definedName>
    <definedName name="ExternalData_493" localSheetId="3">Data!#REF!</definedName>
    <definedName name="ExternalData_494" localSheetId="3">Data!#REF!</definedName>
    <definedName name="ExternalData_495" localSheetId="3">Data!#REF!</definedName>
    <definedName name="ExternalData_496" localSheetId="3">Data!#REF!</definedName>
    <definedName name="ExternalData_497" localSheetId="3">Data!#REF!</definedName>
    <definedName name="ExternalData_498" localSheetId="3">Data!#REF!</definedName>
    <definedName name="ExternalData_499" localSheetId="3">Data!#REF!</definedName>
    <definedName name="ExternalData_5" localSheetId="3">Data!#REF!</definedName>
    <definedName name="ExternalData_50" localSheetId="3">Data!#REF!</definedName>
    <definedName name="ExternalData_500" localSheetId="3">Data!#REF!</definedName>
    <definedName name="ExternalData_501" localSheetId="3">Data!#REF!</definedName>
    <definedName name="ExternalData_502" localSheetId="3">Data!#REF!</definedName>
    <definedName name="ExternalData_503" localSheetId="3">Data!#REF!</definedName>
    <definedName name="ExternalData_504" localSheetId="3">Data!#REF!</definedName>
    <definedName name="ExternalData_505" localSheetId="3">Data!#REF!</definedName>
    <definedName name="ExternalData_506" localSheetId="3">Data!#REF!</definedName>
    <definedName name="ExternalData_507" localSheetId="3">Data!#REF!</definedName>
    <definedName name="ExternalData_508" localSheetId="3">Data!#REF!</definedName>
    <definedName name="ExternalData_509" localSheetId="3">Data!#REF!</definedName>
    <definedName name="ExternalData_51" localSheetId="3">Data!#REF!</definedName>
    <definedName name="ExternalData_510" localSheetId="3">Data!#REF!</definedName>
    <definedName name="ExternalData_511" localSheetId="3">Data!#REF!</definedName>
    <definedName name="ExternalData_512" localSheetId="3">Data!#REF!</definedName>
    <definedName name="ExternalData_513" localSheetId="3">Data!#REF!</definedName>
    <definedName name="ExternalData_514" localSheetId="3">Data!#REF!</definedName>
    <definedName name="ExternalData_515" localSheetId="3">Data!#REF!</definedName>
    <definedName name="ExternalData_516" localSheetId="3">Data!#REF!</definedName>
    <definedName name="ExternalData_517" localSheetId="3">Data!#REF!</definedName>
    <definedName name="ExternalData_518" localSheetId="3">Data!#REF!</definedName>
    <definedName name="ExternalData_519" localSheetId="3">Data!#REF!</definedName>
    <definedName name="ExternalData_52" localSheetId="3">Data!#REF!</definedName>
    <definedName name="ExternalData_520" localSheetId="3">Data!#REF!</definedName>
    <definedName name="ExternalData_521" localSheetId="3">Data!#REF!</definedName>
    <definedName name="ExternalData_522" localSheetId="3">Data!#REF!</definedName>
    <definedName name="ExternalData_523" localSheetId="3">Data!#REF!</definedName>
    <definedName name="ExternalData_524" localSheetId="3">Data!#REF!</definedName>
    <definedName name="ExternalData_525" localSheetId="3">Data!#REF!</definedName>
    <definedName name="ExternalData_526" localSheetId="3">Data!#REF!</definedName>
    <definedName name="ExternalData_527" localSheetId="3">Data!#REF!</definedName>
    <definedName name="ExternalData_528" localSheetId="3">Data!#REF!</definedName>
    <definedName name="ExternalData_529" localSheetId="3">Data!#REF!</definedName>
    <definedName name="ExternalData_53" localSheetId="3">Data!#REF!</definedName>
    <definedName name="ExternalData_530" localSheetId="3">Data!#REF!</definedName>
    <definedName name="ExternalData_531" localSheetId="3">Data!#REF!</definedName>
    <definedName name="ExternalData_532" localSheetId="3">Data!#REF!</definedName>
    <definedName name="ExternalData_533" localSheetId="3">Data!#REF!</definedName>
    <definedName name="ExternalData_534" localSheetId="3">Data!#REF!</definedName>
    <definedName name="ExternalData_535" localSheetId="3">Data!#REF!</definedName>
    <definedName name="ExternalData_536" localSheetId="3">Data!#REF!</definedName>
    <definedName name="ExternalData_537" localSheetId="3">Data!#REF!</definedName>
    <definedName name="ExternalData_538" localSheetId="3">Data!#REF!</definedName>
    <definedName name="ExternalData_539" localSheetId="3">Data!#REF!</definedName>
    <definedName name="ExternalData_54" localSheetId="3">Data!#REF!</definedName>
    <definedName name="ExternalData_540" localSheetId="3">Data!#REF!</definedName>
    <definedName name="ExternalData_541" localSheetId="3">Data!#REF!</definedName>
    <definedName name="ExternalData_542" localSheetId="3">Data!#REF!</definedName>
    <definedName name="ExternalData_543" localSheetId="3">Data!#REF!</definedName>
    <definedName name="ExternalData_544" localSheetId="3">Data!#REF!</definedName>
    <definedName name="ExternalData_545" localSheetId="3">Data!#REF!</definedName>
    <definedName name="ExternalData_546" localSheetId="3">Data!#REF!</definedName>
    <definedName name="ExternalData_547" localSheetId="3">Data!#REF!</definedName>
    <definedName name="ExternalData_548" localSheetId="3">Data!#REF!</definedName>
    <definedName name="ExternalData_549" localSheetId="3">Data!#REF!</definedName>
    <definedName name="ExternalData_55" localSheetId="3">Data!#REF!</definedName>
    <definedName name="ExternalData_550" localSheetId="3">Data!#REF!</definedName>
    <definedName name="ExternalData_551" localSheetId="3">Data!#REF!</definedName>
    <definedName name="ExternalData_552" localSheetId="3">Data!#REF!</definedName>
    <definedName name="ExternalData_553" localSheetId="3">Data!#REF!</definedName>
    <definedName name="ExternalData_554" localSheetId="3">Data!#REF!</definedName>
    <definedName name="ExternalData_555" localSheetId="3">Data!#REF!</definedName>
    <definedName name="ExternalData_556" localSheetId="3">Data!#REF!</definedName>
    <definedName name="ExternalData_557" localSheetId="3">Data!#REF!</definedName>
    <definedName name="ExternalData_558" localSheetId="3">Data!#REF!</definedName>
    <definedName name="ExternalData_559" localSheetId="3">Data!#REF!</definedName>
    <definedName name="ExternalData_56" localSheetId="3">Data!#REF!</definedName>
    <definedName name="ExternalData_560" localSheetId="3">Data!#REF!</definedName>
    <definedName name="ExternalData_561" localSheetId="3">Data!#REF!</definedName>
    <definedName name="ExternalData_562" localSheetId="3">Data!#REF!</definedName>
    <definedName name="ExternalData_563" localSheetId="3">Data!#REF!</definedName>
    <definedName name="ExternalData_564" localSheetId="3">Data!#REF!</definedName>
    <definedName name="ExternalData_565" localSheetId="3">Data!#REF!</definedName>
    <definedName name="ExternalData_566" localSheetId="3">Data!#REF!</definedName>
    <definedName name="ExternalData_567" localSheetId="3">Data!#REF!</definedName>
    <definedName name="ExternalData_568" localSheetId="3">Data!#REF!</definedName>
    <definedName name="ExternalData_569" localSheetId="3">Data!#REF!</definedName>
    <definedName name="ExternalData_57" localSheetId="3">Data!#REF!</definedName>
    <definedName name="ExternalData_570" localSheetId="3">Data!#REF!</definedName>
    <definedName name="ExternalData_571" localSheetId="3">Data!#REF!</definedName>
    <definedName name="ExternalData_572" localSheetId="3">Data!#REF!</definedName>
    <definedName name="ExternalData_573" localSheetId="3">Data!#REF!</definedName>
    <definedName name="ExternalData_574" localSheetId="3">Data!#REF!</definedName>
    <definedName name="ExternalData_575" localSheetId="3">Data!#REF!</definedName>
    <definedName name="ExternalData_576" localSheetId="3">Data!#REF!</definedName>
    <definedName name="ExternalData_577" localSheetId="3">Data!#REF!</definedName>
    <definedName name="ExternalData_578" localSheetId="3">Data!#REF!</definedName>
    <definedName name="ExternalData_579" localSheetId="3">Data!#REF!</definedName>
    <definedName name="ExternalData_58" localSheetId="3">Data!#REF!</definedName>
    <definedName name="ExternalData_580" localSheetId="3">Data!#REF!</definedName>
    <definedName name="ExternalData_581" localSheetId="3">Data!#REF!</definedName>
    <definedName name="ExternalData_582" localSheetId="3">Data!#REF!</definedName>
    <definedName name="ExternalData_583" localSheetId="3">Data!#REF!</definedName>
    <definedName name="ExternalData_584" localSheetId="3">Data!#REF!</definedName>
    <definedName name="ExternalData_585" localSheetId="3">Data!#REF!</definedName>
    <definedName name="ExternalData_586" localSheetId="3">Data!#REF!</definedName>
    <definedName name="ExternalData_587" localSheetId="3">Data!#REF!</definedName>
    <definedName name="ExternalData_588" localSheetId="3">Data!#REF!</definedName>
    <definedName name="ExternalData_589" localSheetId="3">Data!#REF!</definedName>
    <definedName name="ExternalData_59" localSheetId="3">Data!#REF!</definedName>
    <definedName name="ExternalData_590" localSheetId="3">Data!#REF!</definedName>
    <definedName name="ExternalData_591" localSheetId="3">Data!#REF!</definedName>
    <definedName name="ExternalData_592" localSheetId="3">Data!#REF!</definedName>
    <definedName name="ExternalData_593" localSheetId="3">Data!#REF!</definedName>
    <definedName name="ExternalData_594" localSheetId="3">Data!#REF!</definedName>
    <definedName name="ExternalData_595" localSheetId="3">Data!#REF!</definedName>
    <definedName name="ExternalData_596" localSheetId="3">Data!#REF!</definedName>
    <definedName name="ExternalData_597" localSheetId="3">Data!#REF!</definedName>
    <definedName name="ExternalData_598" localSheetId="3">Data!#REF!</definedName>
    <definedName name="ExternalData_599" localSheetId="3">Data!#REF!</definedName>
    <definedName name="ExternalData_6" localSheetId="3">Data!#REF!</definedName>
    <definedName name="ExternalData_60" localSheetId="3">Data!#REF!</definedName>
    <definedName name="ExternalData_600" localSheetId="3">Data!#REF!</definedName>
    <definedName name="ExternalData_601" localSheetId="3">Data!#REF!</definedName>
    <definedName name="ExternalData_602" localSheetId="3">Data!#REF!</definedName>
    <definedName name="ExternalData_603" localSheetId="3">Data!#REF!</definedName>
    <definedName name="ExternalData_604" localSheetId="3">Data!#REF!</definedName>
    <definedName name="ExternalData_605" localSheetId="3">Data!#REF!</definedName>
    <definedName name="ExternalData_606" localSheetId="3">Data!#REF!</definedName>
    <definedName name="ExternalData_607" localSheetId="3">Data!#REF!</definedName>
    <definedName name="ExternalData_608" localSheetId="3">Data!#REF!</definedName>
    <definedName name="ExternalData_609" localSheetId="3">Data!#REF!</definedName>
    <definedName name="ExternalData_61" localSheetId="3">Data!#REF!</definedName>
    <definedName name="ExternalData_610" localSheetId="3">Data!#REF!</definedName>
    <definedName name="ExternalData_611" localSheetId="3">Data!#REF!</definedName>
    <definedName name="ExternalData_612" localSheetId="3">Data!#REF!</definedName>
    <definedName name="ExternalData_613" localSheetId="3">Data!#REF!</definedName>
    <definedName name="ExternalData_614" localSheetId="3">Data!#REF!</definedName>
    <definedName name="ExternalData_615" localSheetId="3">Data!#REF!</definedName>
    <definedName name="ExternalData_616" localSheetId="3">Data!#REF!</definedName>
    <definedName name="ExternalData_617" localSheetId="3">Data!#REF!</definedName>
    <definedName name="ExternalData_618" localSheetId="3">Data!#REF!</definedName>
    <definedName name="ExternalData_619" localSheetId="3">Data!#REF!</definedName>
    <definedName name="ExternalData_62" localSheetId="3">Data!#REF!</definedName>
    <definedName name="ExternalData_620" localSheetId="3">Data!#REF!</definedName>
    <definedName name="ExternalData_621" localSheetId="3">Data!#REF!</definedName>
    <definedName name="ExternalData_622" localSheetId="3">Data!#REF!</definedName>
    <definedName name="ExternalData_623" localSheetId="3">Data!#REF!</definedName>
    <definedName name="ExternalData_624" localSheetId="3">Data!#REF!</definedName>
    <definedName name="ExternalData_625" localSheetId="3">Data!#REF!</definedName>
    <definedName name="ExternalData_626" localSheetId="3">Data!#REF!</definedName>
    <definedName name="ExternalData_627" localSheetId="3">Data!#REF!</definedName>
    <definedName name="ExternalData_628" localSheetId="3">Data!#REF!</definedName>
    <definedName name="ExternalData_629" localSheetId="3">Data!#REF!</definedName>
    <definedName name="ExternalData_63" localSheetId="3">Data!#REF!</definedName>
    <definedName name="ExternalData_630" localSheetId="3">Data!#REF!</definedName>
    <definedName name="ExternalData_631" localSheetId="3">Data!#REF!</definedName>
    <definedName name="ExternalData_632" localSheetId="3">Data!#REF!</definedName>
    <definedName name="ExternalData_633" localSheetId="3">Data!#REF!</definedName>
    <definedName name="ExternalData_634" localSheetId="3">Data!#REF!</definedName>
    <definedName name="ExternalData_635" localSheetId="3">Data!#REF!</definedName>
    <definedName name="ExternalData_636" localSheetId="3">Data!#REF!</definedName>
    <definedName name="ExternalData_637" localSheetId="3">Data!#REF!</definedName>
    <definedName name="ExternalData_638" localSheetId="3">Data!#REF!</definedName>
    <definedName name="ExternalData_639" localSheetId="3">Data!#REF!</definedName>
    <definedName name="ExternalData_64" localSheetId="3">Data!#REF!</definedName>
    <definedName name="ExternalData_640" localSheetId="3">Data!#REF!</definedName>
    <definedName name="ExternalData_641" localSheetId="3">Data!#REF!</definedName>
    <definedName name="ExternalData_642" localSheetId="3">Data!#REF!</definedName>
    <definedName name="ExternalData_643" localSheetId="3">Data!#REF!</definedName>
    <definedName name="ExternalData_644" localSheetId="3">Data!#REF!</definedName>
    <definedName name="ExternalData_645" localSheetId="3">Data!#REF!</definedName>
    <definedName name="ExternalData_646" localSheetId="3">Data!#REF!</definedName>
    <definedName name="ExternalData_647" localSheetId="3">Data!#REF!</definedName>
    <definedName name="ExternalData_648" localSheetId="3">Data!#REF!</definedName>
    <definedName name="ExternalData_649" localSheetId="3">Data!#REF!</definedName>
    <definedName name="ExternalData_65" localSheetId="3">Data!#REF!</definedName>
    <definedName name="ExternalData_650" localSheetId="3">Data!#REF!</definedName>
    <definedName name="ExternalData_651" localSheetId="3">Data!#REF!</definedName>
    <definedName name="ExternalData_652" localSheetId="3">Data!#REF!</definedName>
    <definedName name="ExternalData_653" localSheetId="3">Data!#REF!</definedName>
    <definedName name="ExternalData_654" localSheetId="3">Data!#REF!</definedName>
    <definedName name="ExternalData_655" localSheetId="3">Data!#REF!</definedName>
    <definedName name="ExternalData_656" localSheetId="3">Data!#REF!</definedName>
    <definedName name="ExternalData_657" localSheetId="3">Data!#REF!</definedName>
    <definedName name="ExternalData_658" localSheetId="3">Data!#REF!</definedName>
    <definedName name="ExternalData_659" localSheetId="3">Data!#REF!</definedName>
    <definedName name="ExternalData_66" localSheetId="3">Data!#REF!</definedName>
    <definedName name="ExternalData_660" localSheetId="3">Data!#REF!</definedName>
    <definedName name="ExternalData_661" localSheetId="3">Data!#REF!</definedName>
    <definedName name="ExternalData_662" localSheetId="3">Data!#REF!</definedName>
    <definedName name="ExternalData_663" localSheetId="3">Data!#REF!</definedName>
    <definedName name="ExternalData_664" localSheetId="3">Data!#REF!</definedName>
    <definedName name="ExternalData_665" localSheetId="3">Data!#REF!</definedName>
    <definedName name="ExternalData_666" localSheetId="3">Data!#REF!</definedName>
    <definedName name="ExternalData_667" localSheetId="3">Data!#REF!</definedName>
    <definedName name="ExternalData_668" localSheetId="3">Data!#REF!</definedName>
    <definedName name="ExternalData_669" localSheetId="3">Data!#REF!</definedName>
    <definedName name="ExternalData_67" localSheetId="3">Data!#REF!</definedName>
    <definedName name="ExternalData_670" localSheetId="3">Data!#REF!</definedName>
    <definedName name="ExternalData_671" localSheetId="3">Data!#REF!</definedName>
    <definedName name="ExternalData_672" localSheetId="3">Data!#REF!</definedName>
    <definedName name="ExternalData_673" localSheetId="3">Data!#REF!</definedName>
    <definedName name="ExternalData_674" localSheetId="3">Data!#REF!</definedName>
    <definedName name="ExternalData_675" localSheetId="3">Data!#REF!</definedName>
    <definedName name="ExternalData_676" localSheetId="3">Data!#REF!</definedName>
    <definedName name="ExternalData_677" localSheetId="3">Data!#REF!</definedName>
    <definedName name="ExternalData_678" localSheetId="3">Data!#REF!</definedName>
    <definedName name="ExternalData_679" localSheetId="3">Data!#REF!</definedName>
    <definedName name="ExternalData_68" localSheetId="3">Data!#REF!</definedName>
    <definedName name="ExternalData_680" localSheetId="3">Data!#REF!</definedName>
    <definedName name="ExternalData_681" localSheetId="3">Data!#REF!</definedName>
    <definedName name="ExternalData_682" localSheetId="3">Data!#REF!</definedName>
    <definedName name="ExternalData_683" localSheetId="3">Data!#REF!</definedName>
    <definedName name="ExternalData_684" localSheetId="3">Data!#REF!</definedName>
    <definedName name="ExternalData_685" localSheetId="3">Data!#REF!</definedName>
    <definedName name="ExternalData_686" localSheetId="3">Data!#REF!</definedName>
    <definedName name="ExternalData_687" localSheetId="3">Data!#REF!</definedName>
    <definedName name="ExternalData_688" localSheetId="3">Data!#REF!</definedName>
    <definedName name="ExternalData_689" localSheetId="3">Data!#REF!</definedName>
    <definedName name="ExternalData_69" localSheetId="3">Data!#REF!</definedName>
    <definedName name="ExternalData_690" localSheetId="3">Data!#REF!</definedName>
    <definedName name="ExternalData_691" localSheetId="3">Data!#REF!</definedName>
    <definedName name="ExternalData_692" localSheetId="3">Data!#REF!</definedName>
    <definedName name="ExternalData_693" localSheetId="3">Data!#REF!</definedName>
    <definedName name="ExternalData_694" localSheetId="3">Data!#REF!</definedName>
    <definedName name="ExternalData_695" localSheetId="3">Data!#REF!</definedName>
    <definedName name="ExternalData_696" localSheetId="3">Data!#REF!</definedName>
    <definedName name="ExternalData_697" localSheetId="3">Data!#REF!</definedName>
    <definedName name="ExternalData_698" localSheetId="3">Data!#REF!</definedName>
    <definedName name="ExternalData_699" localSheetId="3">Data!#REF!</definedName>
    <definedName name="ExternalData_7" localSheetId="3">Data!#REF!</definedName>
    <definedName name="ExternalData_70" localSheetId="3">Data!#REF!</definedName>
    <definedName name="ExternalData_700" localSheetId="3">Data!#REF!</definedName>
    <definedName name="ExternalData_701" localSheetId="3">Data!#REF!</definedName>
    <definedName name="ExternalData_702" localSheetId="3">Data!#REF!</definedName>
    <definedName name="ExternalData_703" localSheetId="3">Data!#REF!</definedName>
    <definedName name="ExternalData_704" localSheetId="3">Data!#REF!</definedName>
    <definedName name="ExternalData_705" localSheetId="3">Data!#REF!</definedName>
    <definedName name="ExternalData_706" localSheetId="3">Data!#REF!</definedName>
    <definedName name="ExternalData_707" localSheetId="3">Data!#REF!</definedName>
    <definedName name="ExternalData_708" localSheetId="3">Data!#REF!</definedName>
    <definedName name="ExternalData_709" localSheetId="3">Data!#REF!</definedName>
    <definedName name="ExternalData_71" localSheetId="3">Data!#REF!</definedName>
    <definedName name="ExternalData_710" localSheetId="3">Data!#REF!</definedName>
    <definedName name="ExternalData_711" localSheetId="3">Data!#REF!</definedName>
    <definedName name="ExternalData_712" localSheetId="3">Data!#REF!</definedName>
    <definedName name="ExternalData_713" localSheetId="3">Data!#REF!</definedName>
    <definedName name="ExternalData_714" localSheetId="3">Data!#REF!</definedName>
    <definedName name="ExternalData_715" localSheetId="3">Data!#REF!</definedName>
    <definedName name="ExternalData_716" localSheetId="3">Data!#REF!</definedName>
    <definedName name="ExternalData_717" localSheetId="3">Data!#REF!</definedName>
    <definedName name="ExternalData_718" localSheetId="3">Data!#REF!</definedName>
    <definedName name="ExternalData_719" localSheetId="3">Data!#REF!</definedName>
    <definedName name="ExternalData_72" localSheetId="3">Data!#REF!</definedName>
    <definedName name="ExternalData_720" localSheetId="3">Data!#REF!</definedName>
    <definedName name="ExternalData_721" localSheetId="3">Data!#REF!</definedName>
    <definedName name="ExternalData_722" localSheetId="3">Data!#REF!</definedName>
    <definedName name="ExternalData_723" localSheetId="3">Data!#REF!</definedName>
    <definedName name="ExternalData_724" localSheetId="3">Data!#REF!</definedName>
    <definedName name="ExternalData_725" localSheetId="3">Data!#REF!</definedName>
    <definedName name="ExternalData_726" localSheetId="3">Data!#REF!</definedName>
    <definedName name="ExternalData_727" localSheetId="3">Data!#REF!</definedName>
    <definedName name="ExternalData_728" localSheetId="3">Data!#REF!</definedName>
    <definedName name="ExternalData_729" localSheetId="3">Data!#REF!</definedName>
    <definedName name="ExternalData_73" localSheetId="3">Data!#REF!</definedName>
    <definedName name="ExternalData_730" localSheetId="3">Data!#REF!</definedName>
    <definedName name="ExternalData_731" localSheetId="3">Data!#REF!</definedName>
    <definedName name="ExternalData_732" localSheetId="3">Data!#REF!</definedName>
    <definedName name="ExternalData_733" localSheetId="3">Data!#REF!</definedName>
    <definedName name="ExternalData_734" localSheetId="3">Data!#REF!</definedName>
    <definedName name="ExternalData_735" localSheetId="3">Data!#REF!</definedName>
    <definedName name="ExternalData_736" localSheetId="3">Data!#REF!</definedName>
    <definedName name="ExternalData_737" localSheetId="3">Data!#REF!</definedName>
    <definedName name="ExternalData_738" localSheetId="3">Data!#REF!</definedName>
    <definedName name="ExternalData_739" localSheetId="3">Data!#REF!</definedName>
    <definedName name="ExternalData_74" localSheetId="3">Data!#REF!</definedName>
    <definedName name="ExternalData_740" localSheetId="3">Data!#REF!</definedName>
    <definedName name="ExternalData_741" localSheetId="3">Data!#REF!</definedName>
    <definedName name="ExternalData_742" localSheetId="3">Data!#REF!</definedName>
    <definedName name="ExternalData_743" localSheetId="3">Data!#REF!</definedName>
    <definedName name="ExternalData_744" localSheetId="3">Data!#REF!</definedName>
    <definedName name="ExternalData_745" localSheetId="3">Data!#REF!</definedName>
    <definedName name="ExternalData_746" localSheetId="3">Data!#REF!</definedName>
    <definedName name="ExternalData_747" localSheetId="3">Data!#REF!</definedName>
    <definedName name="ExternalData_748" localSheetId="3">Data!#REF!</definedName>
    <definedName name="ExternalData_749" localSheetId="3">Data!#REF!</definedName>
    <definedName name="ExternalData_75" localSheetId="3">Data!#REF!</definedName>
    <definedName name="ExternalData_750" localSheetId="3">Data!#REF!</definedName>
    <definedName name="ExternalData_751" localSheetId="3">Data!#REF!</definedName>
    <definedName name="ExternalData_752" localSheetId="3">Data!#REF!</definedName>
    <definedName name="ExternalData_753" localSheetId="3">Data!#REF!</definedName>
    <definedName name="ExternalData_754" localSheetId="3">Data!#REF!</definedName>
    <definedName name="ExternalData_755" localSheetId="3">Data!#REF!</definedName>
    <definedName name="ExternalData_756" localSheetId="3">Data!#REF!</definedName>
    <definedName name="ExternalData_757" localSheetId="3">Data!#REF!</definedName>
    <definedName name="ExternalData_758" localSheetId="3">Data!#REF!</definedName>
    <definedName name="ExternalData_759" localSheetId="3">Data!#REF!</definedName>
    <definedName name="ExternalData_76" localSheetId="3">Data!#REF!</definedName>
    <definedName name="ExternalData_760" localSheetId="3">Data!#REF!</definedName>
    <definedName name="ExternalData_761" localSheetId="3">Data!#REF!</definedName>
    <definedName name="ExternalData_762" localSheetId="3">Data!#REF!</definedName>
    <definedName name="ExternalData_763" localSheetId="3">Data!#REF!</definedName>
    <definedName name="ExternalData_764" localSheetId="3">Data!#REF!</definedName>
    <definedName name="ExternalData_765" localSheetId="3">Data!#REF!</definedName>
    <definedName name="ExternalData_766" localSheetId="3">Data!#REF!</definedName>
    <definedName name="ExternalData_767" localSheetId="3">Data!#REF!</definedName>
    <definedName name="ExternalData_768" localSheetId="3">Data!#REF!</definedName>
    <definedName name="ExternalData_769" localSheetId="3">Data!#REF!</definedName>
    <definedName name="ExternalData_77" localSheetId="3">Data!#REF!</definedName>
    <definedName name="ExternalData_770" localSheetId="3">Data!#REF!</definedName>
    <definedName name="ExternalData_771" localSheetId="3">Data!#REF!</definedName>
    <definedName name="ExternalData_772" localSheetId="3">Data!#REF!</definedName>
    <definedName name="ExternalData_773" localSheetId="3">Data!#REF!</definedName>
    <definedName name="ExternalData_774" localSheetId="3">Data!#REF!</definedName>
    <definedName name="ExternalData_775" localSheetId="3">Data!#REF!</definedName>
    <definedName name="ExternalData_776" localSheetId="3">Data!#REF!</definedName>
    <definedName name="ExternalData_777" localSheetId="3">Data!#REF!</definedName>
    <definedName name="ExternalData_778" localSheetId="3">Data!#REF!</definedName>
    <definedName name="ExternalData_779" localSheetId="3">Data!#REF!</definedName>
    <definedName name="ExternalData_780" localSheetId="3">Data!#REF!</definedName>
    <definedName name="ExternalData_781" localSheetId="3">Data!#REF!</definedName>
    <definedName name="ExternalData_782" localSheetId="3">Data!#REF!</definedName>
    <definedName name="ExternalData_783" localSheetId="3">Data!#REF!</definedName>
    <definedName name="ExternalData_784" localSheetId="3">Data!#REF!</definedName>
    <definedName name="ExternalData_785" localSheetId="3">Data!#REF!</definedName>
    <definedName name="ExternalData_786" localSheetId="3">Data!#REF!</definedName>
    <definedName name="ExternalData_787" localSheetId="3">Data!#REF!</definedName>
    <definedName name="ExternalData_788" localSheetId="3">Data!#REF!</definedName>
    <definedName name="ExternalData_789" localSheetId="3">Data!#REF!</definedName>
    <definedName name="ExternalData_79" localSheetId="3">Data!#REF!</definedName>
    <definedName name="ExternalData_790" localSheetId="3">Data!#REF!</definedName>
    <definedName name="ExternalData_791" localSheetId="3">Data!#REF!</definedName>
    <definedName name="ExternalData_792" localSheetId="3">Data!#REF!</definedName>
    <definedName name="ExternalData_793" localSheetId="3">Data!#REF!</definedName>
    <definedName name="ExternalData_794" localSheetId="3">Data!#REF!</definedName>
    <definedName name="ExternalData_795" localSheetId="3">Data!#REF!</definedName>
    <definedName name="ExternalData_796" localSheetId="3">Data!#REF!</definedName>
    <definedName name="ExternalData_797" localSheetId="3">Data!#REF!</definedName>
    <definedName name="ExternalData_798" localSheetId="3">Data!#REF!</definedName>
    <definedName name="ExternalData_799" localSheetId="3">Data!#REF!</definedName>
    <definedName name="ExternalData_8" localSheetId="3">Data!#REF!</definedName>
    <definedName name="ExternalData_80" localSheetId="3">Data!#REF!</definedName>
    <definedName name="ExternalData_800" localSheetId="3">Data!#REF!</definedName>
    <definedName name="ExternalData_801" localSheetId="3">Data!#REF!</definedName>
    <definedName name="ExternalData_802" localSheetId="3">Data!#REF!</definedName>
    <definedName name="ExternalData_803" localSheetId="3">Data!#REF!</definedName>
    <definedName name="ExternalData_804" localSheetId="3">Data!#REF!</definedName>
    <definedName name="ExternalData_805" localSheetId="3">Data!#REF!</definedName>
    <definedName name="ExternalData_806" localSheetId="3">Data!#REF!</definedName>
    <definedName name="ExternalData_807" localSheetId="3">Data!#REF!</definedName>
    <definedName name="ExternalData_808" localSheetId="3">Data!#REF!</definedName>
    <definedName name="ExternalData_809" localSheetId="3">Data!#REF!</definedName>
    <definedName name="ExternalData_81" localSheetId="3">Data!#REF!</definedName>
    <definedName name="ExternalData_810" localSheetId="3">Data!#REF!</definedName>
    <definedName name="ExternalData_811" localSheetId="3">Data!#REF!</definedName>
    <definedName name="ExternalData_812" localSheetId="3">Data!#REF!</definedName>
    <definedName name="ExternalData_813" localSheetId="3">Data!#REF!</definedName>
    <definedName name="ExternalData_814" localSheetId="3">Data!#REF!</definedName>
    <definedName name="ExternalData_815" localSheetId="3">Data!#REF!</definedName>
    <definedName name="ExternalData_816" localSheetId="3">Data!#REF!</definedName>
    <definedName name="ExternalData_817" localSheetId="3">Data!#REF!</definedName>
    <definedName name="ExternalData_818" localSheetId="3">Data!#REF!</definedName>
    <definedName name="ExternalData_819" localSheetId="3">Data!#REF!</definedName>
    <definedName name="ExternalData_82" localSheetId="3">Data!#REF!</definedName>
    <definedName name="ExternalData_820" localSheetId="3">Data!#REF!</definedName>
    <definedName name="ExternalData_821" localSheetId="3">Data!#REF!</definedName>
    <definedName name="ExternalData_822" localSheetId="3">Data!#REF!</definedName>
    <definedName name="ExternalData_823" localSheetId="3">Data!#REF!</definedName>
    <definedName name="ExternalData_824" localSheetId="3">Data!#REF!</definedName>
    <definedName name="ExternalData_825" localSheetId="3">Data!#REF!</definedName>
    <definedName name="ExternalData_826" localSheetId="3">Data!#REF!</definedName>
    <definedName name="ExternalData_827" localSheetId="3">Data!#REF!</definedName>
    <definedName name="ExternalData_828" localSheetId="3">Data!#REF!</definedName>
    <definedName name="ExternalData_829" localSheetId="3">Data!#REF!</definedName>
    <definedName name="ExternalData_83" localSheetId="3">Data!#REF!</definedName>
    <definedName name="ExternalData_830" localSheetId="3">Data!#REF!</definedName>
    <definedName name="ExternalData_831" localSheetId="3">Data!#REF!</definedName>
    <definedName name="ExternalData_832" localSheetId="3">Data!#REF!</definedName>
    <definedName name="ExternalData_833" localSheetId="3">Data!#REF!</definedName>
    <definedName name="ExternalData_834" localSheetId="3">Data!#REF!</definedName>
    <definedName name="ExternalData_835" localSheetId="3">Data!#REF!</definedName>
    <definedName name="ExternalData_836" localSheetId="3">Data!#REF!</definedName>
    <definedName name="ExternalData_837" localSheetId="3">Data!#REF!</definedName>
    <definedName name="ExternalData_838" localSheetId="3">Data!#REF!</definedName>
    <definedName name="ExternalData_839" localSheetId="3">Data!#REF!</definedName>
    <definedName name="ExternalData_84" localSheetId="3">Data!#REF!</definedName>
    <definedName name="ExternalData_840" localSheetId="3">Data!#REF!</definedName>
    <definedName name="ExternalData_841" localSheetId="3">Data!#REF!</definedName>
    <definedName name="ExternalData_842" localSheetId="3">Data!#REF!</definedName>
    <definedName name="ExternalData_843" localSheetId="3">Data!#REF!</definedName>
    <definedName name="ExternalData_844" localSheetId="3">Data!#REF!</definedName>
    <definedName name="ExternalData_845" localSheetId="3">Data!#REF!</definedName>
    <definedName name="ExternalData_846" localSheetId="3">Data!#REF!</definedName>
    <definedName name="ExternalData_847" localSheetId="3">Data!#REF!</definedName>
    <definedName name="ExternalData_848" localSheetId="3">Data!#REF!</definedName>
    <definedName name="ExternalData_849" localSheetId="3">Data!#REF!</definedName>
    <definedName name="ExternalData_85" localSheetId="3">Data!#REF!</definedName>
    <definedName name="ExternalData_850" localSheetId="3">Data!#REF!</definedName>
    <definedName name="ExternalData_851" localSheetId="3">Data!#REF!</definedName>
    <definedName name="ExternalData_852" localSheetId="3">Data!#REF!</definedName>
    <definedName name="ExternalData_853" localSheetId="3">Data!#REF!</definedName>
    <definedName name="ExternalData_854" localSheetId="3">Data!#REF!</definedName>
    <definedName name="ExternalData_855" localSheetId="3">Data!#REF!</definedName>
    <definedName name="ExternalData_856" localSheetId="3">Data!#REF!</definedName>
    <definedName name="ExternalData_857" localSheetId="3">Data!#REF!</definedName>
    <definedName name="ExternalData_858" localSheetId="3">Data!#REF!</definedName>
    <definedName name="ExternalData_859" localSheetId="3">Data!#REF!</definedName>
    <definedName name="ExternalData_86" localSheetId="3">Data!#REF!</definedName>
    <definedName name="ExternalData_860" localSheetId="3">Data!#REF!</definedName>
    <definedName name="ExternalData_861" localSheetId="3">Data!#REF!</definedName>
    <definedName name="ExternalData_862" localSheetId="3">Data!#REF!</definedName>
    <definedName name="ExternalData_863" localSheetId="3">Data!#REF!</definedName>
    <definedName name="ExternalData_864" localSheetId="3">Data!#REF!</definedName>
    <definedName name="ExternalData_865" localSheetId="3">Data!#REF!</definedName>
    <definedName name="ExternalData_866" localSheetId="3">Data!#REF!</definedName>
    <definedName name="ExternalData_867" localSheetId="3">Data!#REF!</definedName>
    <definedName name="ExternalData_868" localSheetId="3">Data!#REF!</definedName>
    <definedName name="ExternalData_869" localSheetId="3">Data!#REF!</definedName>
    <definedName name="ExternalData_87" localSheetId="3">Data!#REF!</definedName>
    <definedName name="ExternalData_870" localSheetId="3">Data!#REF!</definedName>
    <definedName name="ExternalData_871" localSheetId="3">Data!#REF!</definedName>
    <definedName name="ExternalData_872" localSheetId="3">Data!#REF!</definedName>
    <definedName name="ExternalData_873" localSheetId="3">Data!#REF!</definedName>
    <definedName name="ExternalData_874" localSheetId="3">Data!#REF!</definedName>
    <definedName name="ExternalData_875" localSheetId="3">Data!#REF!</definedName>
    <definedName name="ExternalData_876" localSheetId="3">Data!#REF!</definedName>
    <definedName name="ExternalData_877" localSheetId="3">Data!#REF!</definedName>
    <definedName name="ExternalData_878" localSheetId="3">Data!#REF!</definedName>
    <definedName name="ExternalData_879" localSheetId="3">Data!#REF!</definedName>
    <definedName name="ExternalData_88" localSheetId="3">Data!#REF!</definedName>
    <definedName name="ExternalData_880" localSheetId="3">Data!#REF!</definedName>
    <definedName name="ExternalData_881" localSheetId="3">Data!#REF!</definedName>
    <definedName name="ExternalData_882" localSheetId="3">Data!#REF!</definedName>
    <definedName name="ExternalData_883" localSheetId="3">Data!#REF!</definedName>
    <definedName name="ExternalData_884" localSheetId="3">Data!#REF!</definedName>
    <definedName name="ExternalData_885" localSheetId="3">Data!#REF!</definedName>
    <definedName name="ExternalData_886" localSheetId="3">Data!#REF!</definedName>
    <definedName name="ExternalData_887" localSheetId="3">Data!#REF!</definedName>
    <definedName name="ExternalData_888" localSheetId="3">Data!#REF!</definedName>
    <definedName name="ExternalData_889" localSheetId="3">Data!#REF!</definedName>
    <definedName name="ExternalData_89" localSheetId="3">Data!#REF!</definedName>
    <definedName name="ExternalData_890" localSheetId="3">Data!#REF!</definedName>
    <definedName name="ExternalData_891" localSheetId="3">Data!#REF!</definedName>
    <definedName name="ExternalData_892" localSheetId="3">Data!#REF!</definedName>
    <definedName name="ExternalData_893" localSheetId="3">Data!#REF!</definedName>
    <definedName name="ExternalData_894" localSheetId="3">Data!#REF!</definedName>
    <definedName name="ExternalData_895" localSheetId="3">Data!#REF!</definedName>
    <definedName name="ExternalData_896" localSheetId="3">Data!#REF!</definedName>
    <definedName name="ExternalData_897" localSheetId="3">Data!#REF!</definedName>
    <definedName name="ExternalData_898" localSheetId="3">Data!#REF!</definedName>
    <definedName name="ExternalData_899" localSheetId="3">Data!#REF!</definedName>
    <definedName name="ExternalData_9" localSheetId="3">Data!#REF!</definedName>
    <definedName name="ExternalData_90" localSheetId="3">Data!#REF!</definedName>
    <definedName name="ExternalData_900" localSheetId="3">Data!#REF!</definedName>
    <definedName name="ExternalData_901" localSheetId="3">Data!#REF!</definedName>
    <definedName name="ExternalData_902" localSheetId="3">Data!#REF!</definedName>
    <definedName name="ExternalData_903" localSheetId="3">Data!#REF!</definedName>
    <definedName name="ExternalData_904" localSheetId="3">Data!#REF!</definedName>
    <definedName name="ExternalData_905" localSheetId="3">Data!#REF!</definedName>
    <definedName name="ExternalData_906" localSheetId="3">Data!#REF!</definedName>
    <definedName name="ExternalData_907" localSheetId="3">Data!#REF!</definedName>
    <definedName name="ExternalData_908" localSheetId="3">Data!#REF!</definedName>
    <definedName name="ExternalData_909" localSheetId="3">Data!#REF!</definedName>
    <definedName name="ExternalData_91" localSheetId="3">Data!#REF!</definedName>
    <definedName name="ExternalData_910" localSheetId="3">Data!#REF!</definedName>
    <definedName name="ExternalData_911" localSheetId="3">Data!#REF!</definedName>
    <definedName name="ExternalData_912" localSheetId="3">Data!#REF!</definedName>
    <definedName name="ExternalData_913" localSheetId="3">Data!#REF!</definedName>
    <definedName name="ExternalData_914" localSheetId="3">Data!#REF!</definedName>
    <definedName name="ExternalData_915" localSheetId="3">Data!#REF!</definedName>
    <definedName name="ExternalData_916" localSheetId="3">Data!#REF!</definedName>
    <definedName name="ExternalData_917" localSheetId="3">Data!#REF!</definedName>
    <definedName name="ExternalData_918" localSheetId="3">Data!#REF!</definedName>
    <definedName name="ExternalData_919" localSheetId="3">Data!#REF!</definedName>
    <definedName name="ExternalData_92" localSheetId="3">Data!#REF!</definedName>
    <definedName name="ExternalData_920" localSheetId="3">Data!#REF!</definedName>
    <definedName name="ExternalData_921" localSheetId="3">Data!#REF!</definedName>
    <definedName name="ExternalData_922" localSheetId="3">Data!#REF!</definedName>
    <definedName name="ExternalData_923" localSheetId="3">Data!#REF!</definedName>
    <definedName name="ExternalData_924" localSheetId="3">Data!#REF!</definedName>
    <definedName name="ExternalData_925" localSheetId="3">Data!#REF!</definedName>
    <definedName name="ExternalData_926" localSheetId="3">Data!#REF!</definedName>
    <definedName name="ExternalData_927" localSheetId="3">Data!#REF!</definedName>
    <definedName name="ExternalData_928" localSheetId="3">Data!#REF!</definedName>
    <definedName name="ExternalData_929" localSheetId="3">Data!#REF!</definedName>
    <definedName name="ExternalData_93" localSheetId="3">Data!#REF!</definedName>
    <definedName name="ExternalData_930" localSheetId="3">Data!#REF!</definedName>
    <definedName name="ExternalData_931" localSheetId="3">Data!#REF!</definedName>
    <definedName name="ExternalData_932" localSheetId="3">Data!#REF!</definedName>
    <definedName name="ExternalData_933" localSheetId="3">Data!#REF!</definedName>
    <definedName name="ExternalData_934" localSheetId="3">Data!#REF!</definedName>
    <definedName name="ExternalData_935" localSheetId="3">Data!#REF!</definedName>
    <definedName name="ExternalData_936" localSheetId="3">Data!#REF!</definedName>
    <definedName name="ExternalData_937" localSheetId="3">Data!#REF!</definedName>
    <definedName name="ExternalData_938" localSheetId="3">Data!#REF!</definedName>
    <definedName name="ExternalData_939" localSheetId="3">Data!#REF!</definedName>
    <definedName name="ExternalData_94" localSheetId="3">Data!#REF!</definedName>
    <definedName name="ExternalData_940" localSheetId="3">Data!#REF!</definedName>
    <definedName name="ExternalData_941" localSheetId="3">Data!#REF!</definedName>
    <definedName name="ExternalData_942" localSheetId="3">Data!#REF!</definedName>
    <definedName name="ExternalData_943" localSheetId="3">Data!#REF!</definedName>
    <definedName name="ExternalData_944" localSheetId="3">Data!#REF!</definedName>
    <definedName name="ExternalData_945" localSheetId="3">Data!#REF!</definedName>
    <definedName name="ExternalData_946" localSheetId="3">Data!#REF!</definedName>
    <definedName name="ExternalData_947" localSheetId="3">Data!#REF!</definedName>
    <definedName name="ExternalData_948" localSheetId="3">Data!#REF!</definedName>
    <definedName name="ExternalData_949" localSheetId="3">Data!#REF!</definedName>
    <definedName name="ExternalData_95" localSheetId="3">Data!#REF!</definedName>
    <definedName name="ExternalData_950" localSheetId="3">Data!#REF!</definedName>
    <definedName name="ExternalData_951" localSheetId="3">Data!#REF!</definedName>
    <definedName name="ExternalData_952" localSheetId="3">Data!#REF!</definedName>
    <definedName name="ExternalData_953" localSheetId="3">Data!#REF!</definedName>
    <definedName name="ExternalData_954" localSheetId="3">Data!#REF!</definedName>
    <definedName name="ExternalData_955" localSheetId="3">Data!#REF!</definedName>
    <definedName name="ExternalData_956" localSheetId="3">Data!#REF!</definedName>
    <definedName name="ExternalData_957" localSheetId="3">Data!#REF!</definedName>
    <definedName name="ExternalData_958" localSheetId="3">Data!#REF!</definedName>
    <definedName name="ExternalData_959" localSheetId="3">Data!#REF!</definedName>
    <definedName name="ExternalData_96" localSheetId="3">Data!#REF!</definedName>
    <definedName name="ExternalData_960" localSheetId="3">Data!#REF!</definedName>
    <definedName name="ExternalData_961" localSheetId="3">Data!#REF!</definedName>
    <definedName name="ExternalData_962" localSheetId="3">Data!#REF!</definedName>
    <definedName name="ExternalData_963" localSheetId="3">Data!#REF!</definedName>
    <definedName name="ExternalData_964" localSheetId="3">Data!#REF!</definedName>
    <definedName name="ExternalData_965" localSheetId="3">Data!#REF!</definedName>
    <definedName name="ExternalData_966" localSheetId="3">Data!#REF!</definedName>
    <definedName name="ExternalData_967" localSheetId="3">Data!#REF!</definedName>
    <definedName name="ExternalData_968" localSheetId="3">Data!#REF!</definedName>
    <definedName name="ExternalData_969" localSheetId="3">Data!#REF!</definedName>
    <definedName name="ExternalData_97" localSheetId="3">Data!#REF!</definedName>
    <definedName name="ExternalData_970" localSheetId="3">Data!#REF!</definedName>
    <definedName name="ExternalData_971" localSheetId="3">Data!#REF!</definedName>
    <definedName name="ExternalData_972" localSheetId="3">Data!#REF!</definedName>
    <definedName name="ExternalData_973" localSheetId="3">Data!#REF!</definedName>
    <definedName name="ExternalData_974" localSheetId="3">Data!#REF!</definedName>
    <definedName name="ExternalData_975" localSheetId="3">Data!#REF!</definedName>
    <definedName name="ExternalData_976" localSheetId="3">Data!#REF!</definedName>
    <definedName name="ExternalData_977" localSheetId="3">Data!#REF!</definedName>
    <definedName name="ExternalData_978" localSheetId="3">Data!#REF!</definedName>
    <definedName name="ExternalData_979" localSheetId="3">Data!#REF!</definedName>
    <definedName name="ExternalData_98" localSheetId="3">Data!#REF!</definedName>
    <definedName name="ExternalData_980" localSheetId="3">Data!#REF!</definedName>
    <definedName name="ExternalData_981" localSheetId="3">Data!#REF!</definedName>
    <definedName name="ExternalData_982" localSheetId="3">Data!#REF!</definedName>
    <definedName name="ExternalData_983" localSheetId="3">Data!#REF!</definedName>
    <definedName name="ExternalData_984" localSheetId="3">Data!#REF!</definedName>
    <definedName name="ExternalData_985" localSheetId="3">Data!#REF!</definedName>
    <definedName name="ExternalData_986" localSheetId="3">Data!#REF!</definedName>
    <definedName name="ExternalData_987" localSheetId="3">Data!#REF!</definedName>
    <definedName name="ExternalData_988" localSheetId="3">Data!#REF!</definedName>
    <definedName name="ExternalData_989" localSheetId="3">Data!#REF!</definedName>
    <definedName name="ExternalData_99" localSheetId="3">Data!#REF!</definedName>
    <definedName name="ExternalData_990" localSheetId="3">Data!#REF!</definedName>
    <definedName name="ExternalData_991" localSheetId="3">Data!#REF!</definedName>
    <definedName name="ExternalData_992" localSheetId="3">Data!#REF!</definedName>
    <definedName name="ExternalData_993" localSheetId="3">Data!#REF!</definedName>
    <definedName name="ExternalData_994" localSheetId="3">Data!#REF!</definedName>
    <definedName name="ExternalData_995" localSheetId="3">Data!#REF!</definedName>
    <definedName name="ExternalData_996" localSheetId="3">Data!#REF!</definedName>
    <definedName name="ExternalData_997" localSheetId="3">Data!#REF!</definedName>
    <definedName name="ExternalData_998" localSheetId="3">Data!#REF!</definedName>
    <definedName name="ExternalData_999" localSheetId="3">Data!#REF!</definedName>
    <definedName name="_xlnm.Extract" localSheetId="3">Data!$P$4:$AB$4</definedName>
    <definedName name="_xlnm.Print_Area" localSheetId="11">'Dir Quality Report'!$P$60:$AF$92</definedName>
  </definedNames>
  <calcPr calcId="145621"/>
</workbook>
</file>

<file path=xl/calcChain.xml><?xml version="1.0" encoding="utf-8"?>
<calcChain xmlns="http://schemas.openxmlformats.org/spreadsheetml/2006/main">
  <c r="L48" i="20" l="1"/>
  <c r="M48" i="20"/>
  <c r="L49" i="20"/>
  <c r="M49" i="20"/>
  <c r="L50" i="20"/>
  <c r="M50" i="20"/>
  <c r="L51" i="20"/>
  <c r="M51" i="20"/>
  <c r="L52" i="20"/>
  <c r="M52" i="20"/>
  <c r="L53" i="20"/>
  <c r="M53" i="20"/>
  <c r="L54" i="20"/>
  <c r="M54" i="20"/>
  <c r="L55" i="20"/>
  <c r="M55" i="20"/>
  <c r="L56" i="20"/>
  <c r="M56" i="20"/>
  <c r="K205" i="2" l="1"/>
  <c r="K204" i="2"/>
  <c r="K203" i="2"/>
  <c r="K202" i="2"/>
  <c r="K201" i="2"/>
  <c r="K200" i="2"/>
  <c r="K199" i="2"/>
  <c r="K198" i="2"/>
  <c r="K197" i="2"/>
  <c r="K196" i="2"/>
  <c r="K195" i="2"/>
  <c r="K194" i="2"/>
  <c r="K193" i="2"/>
  <c r="K192" i="2"/>
  <c r="K191" i="2"/>
  <c r="K190" i="2"/>
  <c r="K189" i="2"/>
  <c r="K188" i="2"/>
  <c r="K187" i="2"/>
  <c r="K186" i="2"/>
  <c r="K185" i="2"/>
  <c r="K184" i="2"/>
  <c r="K183" i="2"/>
  <c r="K182" i="2"/>
  <c r="K181" i="2"/>
  <c r="K180" i="2"/>
  <c r="K179" i="2"/>
  <c r="K178" i="2"/>
  <c r="K177" i="2"/>
  <c r="J136" i="45" l="1"/>
  <c r="L136" i="45"/>
  <c r="P13" i="45"/>
  <c r="O13" i="45"/>
  <c r="L6" i="20"/>
  <c r="L20" i="20"/>
  <c r="M20" i="20"/>
  <c r="L22" i="20"/>
  <c r="M22" i="20"/>
  <c r="L26" i="20"/>
  <c r="M26" i="20"/>
  <c r="L27" i="20"/>
  <c r="M27" i="20"/>
  <c r="L29" i="20"/>
  <c r="M29" i="20"/>
  <c r="L31" i="20"/>
  <c r="M31" i="20"/>
  <c r="L34" i="20"/>
  <c r="M34" i="20"/>
  <c r="L35" i="20"/>
  <c r="M35" i="20"/>
  <c r="L38" i="20"/>
  <c r="M38" i="20"/>
  <c r="L39" i="20"/>
  <c r="M39" i="20"/>
  <c r="L41" i="20"/>
  <c r="M41" i="20"/>
  <c r="L43" i="20"/>
  <c r="M43" i="20"/>
  <c r="L45" i="20"/>
  <c r="M45" i="20"/>
  <c r="L57" i="20"/>
  <c r="M57" i="20"/>
  <c r="L58" i="20"/>
  <c r="M58" i="20"/>
  <c r="L60" i="20"/>
  <c r="M60" i="20"/>
  <c r="L62" i="20"/>
  <c r="M62" i="20"/>
  <c r="L64" i="20"/>
  <c r="M64" i="20"/>
  <c r="L66" i="20"/>
  <c r="M66" i="20"/>
  <c r="L68" i="20"/>
  <c r="M68" i="20"/>
  <c r="L70" i="20"/>
  <c r="M70" i="20"/>
  <c r="L74" i="20"/>
  <c r="M74" i="20"/>
  <c r="L75" i="20"/>
  <c r="M75" i="20"/>
  <c r="L78" i="20"/>
  <c r="M78" i="20"/>
  <c r="L79" i="20"/>
  <c r="M79" i="20"/>
  <c r="L81" i="20"/>
  <c r="M81" i="20"/>
  <c r="L83" i="20"/>
  <c r="M83" i="20"/>
  <c r="L84" i="20"/>
  <c r="M84" i="20"/>
  <c r="L85" i="20"/>
  <c r="M85" i="20"/>
  <c r="L92" i="20"/>
  <c r="M92" i="20"/>
  <c r="L93" i="20"/>
  <c r="M93" i="20"/>
  <c r="L97" i="20"/>
  <c r="M97" i="20"/>
  <c r="L98" i="20"/>
  <c r="M98" i="20"/>
  <c r="L99" i="20"/>
  <c r="M99" i="20"/>
  <c r="L102" i="20"/>
  <c r="M102" i="20"/>
  <c r="L103" i="20"/>
  <c r="M103" i="20"/>
  <c r="L106" i="20"/>
  <c r="M106" i="20"/>
  <c r="L107" i="20"/>
  <c r="M107" i="20"/>
  <c r="L109" i="20"/>
  <c r="M109" i="20"/>
  <c r="L114" i="20"/>
  <c r="M114" i="20"/>
  <c r="L119" i="20"/>
  <c r="M119" i="20"/>
  <c r="L121" i="20"/>
  <c r="M121" i="20"/>
  <c r="L143" i="20"/>
  <c r="M143" i="20"/>
  <c r="F64" i="50" a="1"/>
  <c r="J64" i="50"/>
  <c r="F25" i="50" a="1"/>
  <c r="G25" i="50"/>
  <c r="K15" i="20"/>
  <c r="B2" i="50"/>
  <c r="F124" i="50" a="1"/>
  <c r="H124" i="50"/>
  <c r="F130" i="50" a="1"/>
  <c r="F129" i="50" a="1"/>
  <c r="H129" i="50"/>
  <c r="E130" i="50"/>
  <c r="E129" i="50"/>
  <c r="F128" i="50" a="1"/>
  <c r="F127" i="50" a="1"/>
  <c r="H127" i="50"/>
  <c r="E128" i="50"/>
  <c r="E127" i="50"/>
  <c r="F126" i="50" a="1"/>
  <c r="F125" i="50" a="1"/>
  <c r="H125" i="50"/>
  <c r="E126" i="50"/>
  <c r="E125" i="50"/>
  <c r="F123" i="50" a="1"/>
  <c r="E124" i="50"/>
  <c r="E123" i="50"/>
  <c r="F122" i="50" a="1"/>
  <c r="H122" i="50"/>
  <c r="F121" i="50" a="1"/>
  <c r="E122" i="50"/>
  <c r="E121" i="50"/>
  <c r="F120" i="50" a="1"/>
  <c r="H120" i="50"/>
  <c r="F119" i="50" a="1"/>
  <c r="E120" i="50"/>
  <c r="E119" i="50"/>
  <c r="F118" i="50" a="1"/>
  <c r="H118" i="50"/>
  <c r="F117" i="50" a="1"/>
  <c r="F114" i="50" a="1"/>
  <c r="H114" i="50"/>
  <c r="F113" i="50" a="1"/>
  <c r="E114" i="50"/>
  <c r="E113" i="50"/>
  <c r="F112" i="50" a="1"/>
  <c r="H112" i="50"/>
  <c r="F111" i="50" a="1"/>
  <c r="E112" i="50"/>
  <c r="E111" i="50"/>
  <c r="F110" i="50" a="1"/>
  <c r="H110" i="50"/>
  <c r="F109" i="50" a="1"/>
  <c r="E110" i="50"/>
  <c r="E109" i="50"/>
  <c r="F108" i="50" a="1"/>
  <c r="H108" i="50"/>
  <c r="E108" i="50"/>
  <c r="F107" i="50" a="1"/>
  <c r="H107" i="50"/>
  <c r="E107" i="50"/>
  <c r="F106" i="50" a="1"/>
  <c r="F105" i="50" a="1"/>
  <c r="H105" i="50"/>
  <c r="E106" i="50"/>
  <c r="E105" i="50"/>
  <c r="F104" i="50" a="1"/>
  <c r="J104" i="50"/>
  <c r="F103" i="50" a="1"/>
  <c r="H103" i="50"/>
  <c r="F102" i="50" a="1"/>
  <c r="E104" i="50"/>
  <c r="E103" i="50"/>
  <c r="F101" i="50" a="1"/>
  <c r="F98" i="50" a="1"/>
  <c r="F97" i="50" a="1"/>
  <c r="H97" i="50"/>
  <c r="E98" i="50"/>
  <c r="E97" i="50"/>
  <c r="F96" i="50" a="1"/>
  <c r="F95" i="50" a="1"/>
  <c r="H95" i="50"/>
  <c r="E96" i="50"/>
  <c r="E95" i="50"/>
  <c r="F94" i="50" a="1"/>
  <c r="F93" i="50" a="1"/>
  <c r="H93" i="50"/>
  <c r="E94" i="50"/>
  <c r="E93" i="50"/>
  <c r="F92" i="50" a="1"/>
  <c r="F91" i="50" a="1"/>
  <c r="H91" i="50"/>
  <c r="E92" i="50"/>
  <c r="E91" i="50"/>
  <c r="F90" i="50" a="1"/>
  <c r="F89" i="50" a="1"/>
  <c r="E90" i="50"/>
  <c r="E89" i="50"/>
  <c r="F88" i="50" a="1"/>
  <c r="E88" i="50"/>
  <c r="F87" i="50" a="1"/>
  <c r="E87" i="50"/>
  <c r="F82" i="50" a="1"/>
  <c r="H82" i="50"/>
  <c r="F81" i="50" a="1"/>
  <c r="E82" i="50"/>
  <c r="E81" i="50"/>
  <c r="F80" i="50" a="1"/>
  <c r="H80" i="50"/>
  <c r="F79" i="50" a="1"/>
  <c r="E80" i="50"/>
  <c r="E79" i="50"/>
  <c r="F78" i="50" a="1"/>
  <c r="H78" i="50"/>
  <c r="F77" i="50" a="1"/>
  <c r="E78" i="50"/>
  <c r="E77" i="50"/>
  <c r="F76" i="50" a="1"/>
  <c r="F75" i="50" a="1"/>
  <c r="E76" i="50"/>
  <c r="E75" i="50"/>
  <c r="F74" i="50" a="1"/>
  <c r="H74" i="50"/>
  <c r="E74" i="50"/>
  <c r="F73" i="50" a="1"/>
  <c r="H73" i="50"/>
  <c r="E73" i="50"/>
  <c r="F72" i="50" a="1"/>
  <c r="F71" i="50" a="1"/>
  <c r="E72" i="50"/>
  <c r="E71" i="50"/>
  <c r="F70" i="50" a="1"/>
  <c r="F69" i="50" a="1"/>
  <c r="H69" i="50"/>
  <c r="F66" i="50" a="1"/>
  <c r="H66" i="50"/>
  <c r="E66" i="50"/>
  <c r="F65" i="50" a="1"/>
  <c r="H65" i="50"/>
  <c r="E65" i="50"/>
  <c r="F63" i="50" a="1"/>
  <c r="H63" i="50"/>
  <c r="E64" i="50"/>
  <c r="E63" i="50"/>
  <c r="F62" i="50" a="1"/>
  <c r="E62" i="50"/>
  <c r="F61" i="50" a="1"/>
  <c r="H61" i="50"/>
  <c r="E61" i="50"/>
  <c r="F60" i="50" a="1"/>
  <c r="H60" i="50"/>
  <c r="E60" i="50"/>
  <c r="F59" i="50" a="1"/>
  <c r="H59" i="50"/>
  <c r="E59" i="50"/>
  <c r="F58" i="50" a="1"/>
  <c r="H58" i="50"/>
  <c r="E58" i="50"/>
  <c r="F57" i="50" a="1"/>
  <c r="G57" i="50"/>
  <c r="E57" i="50"/>
  <c r="F56" i="50" a="1"/>
  <c r="H56" i="50"/>
  <c r="E56" i="50"/>
  <c r="E55" i="50"/>
  <c r="F55" i="50" a="1"/>
  <c r="H55" i="50"/>
  <c r="F54" i="50" a="1"/>
  <c r="H54" i="50"/>
  <c r="F53" i="50" a="1"/>
  <c r="H53" i="50"/>
  <c r="F50" i="50" a="1"/>
  <c r="H50" i="50"/>
  <c r="E50" i="50"/>
  <c r="E49" i="50"/>
  <c r="F49" i="50" a="1"/>
  <c r="H49" i="50"/>
  <c r="F38" i="50" a="1"/>
  <c r="H38" i="50"/>
  <c r="F37" i="50" a="1"/>
  <c r="F16" i="50" a="1"/>
  <c r="H16" i="50"/>
  <c r="F15" i="50" a="1"/>
  <c r="H15" i="50"/>
  <c r="F14" i="50" a="1"/>
  <c r="F13" i="50" a="1"/>
  <c r="F12" i="50" a="1"/>
  <c r="H12" i="50"/>
  <c r="F11" i="50" a="1"/>
  <c r="H11" i="50"/>
  <c r="F10" i="50" a="1"/>
  <c r="H10" i="50"/>
  <c r="F9" i="50" a="1"/>
  <c r="H9" i="50"/>
  <c r="F8" i="50" a="1"/>
  <c r="H8" i="50"/>
  <c r="F7" i="50" a="1"/>
  <c r="F34" i="50" a="1"/>
  <c r="H34" i="50"/>
  <c r="E34" i="50"/>
  <c r="E33" i="50"/>
  <c r="F33" i="50" a="1"/>
  <c r="E18" i="50"/>
  <c r="E17" i="50"/>
  <c r="F18" i="50" a="1"/>
  <c r="H18" i="50"/>
  <c r="F17" i="50" a="1"/>
  <c r="H17" i="50"/>
  <c r="F22" i="50" a="1"/>
  <c r="H22" i="50"/>
  <c r="F21" i="50" a="1"/>
  <c r="F6" i="50" a="1"/>
  <c r="H6" i="50"/>
  <c r="F5" i="50" a="1"/>
  <c r="H5" i="50"/>
  <c r="F48" i="50" a="1"/>
  <c r="H48" i="50"/>
  <c r="E48" i="50"/>
  <c r="F46" i="50" a="1"/>
  <c r="E46" i="50"/>
  <c r="F44" i="50" a="1"/>
  <c r="H44" i="50"/>
  <c r="E44" i="50"/>
  <c r="F42" i="50" a="1"/>
  <c r="E42" i="50"/>
  <c r="F40" i="50" a="1"/>
  <c r="H40" i="50"/>
  <c r="E40" i="50"/>
  <c r="F47" i="50" a="1"/>
  <c r="E47" i="50"/>
  <c r="F45" i="50" a="1"/>
  <c r="H45" i="50"/>
  <c r="E45" i="50"/>
  <c r="F43" i="50" a="1"/>
  <c r="E43" i="50"/>
  <c r="F41" i="50" a="1"/>
  <c r="H41" i="50"/>
  <c r="E41" i="50"/>
  <c r="F39" i="50" a="1"/>
  <c r="E39" i="50"/>
  <c r="F32" i="50" a="1"/>
  <c r="H32" i="50"/>
  <c r="E32" i="50"/>
  <c r="F30" i="50" a="1"/>
  <c r="E30" i="50"/>
  <c r="F28" i="50" a="1"/>
  <c r="H28" i="50"/>
  <c r="E28" i="50"/>
  <c r="F26" i="50" a="1"/>
  <c r="E26" i="50"/>
  <c r="F24" i="50" a="1"/>
  <c r="H24" i="50"/>
  <c r="E24" i="50"/>
  <c r="F31" i="50" a="1"/>
  <c r="E31" i="50"/>
  <c r="F29" i="50" a="1"/>
  <c r="H29" i="50"/>
  <c r="E29" i="50"/>
  <c r="F27" i="50" a="1"/>
  <c r="E27" i="50"/>
  <c r="E25" i="50"/>
  <c r="E23" i="50"/>
  <c r="F23" i="50" a="1"/>
  <c r="H23" i="50"/>
  <c r="E16" i="50"/>
  <c r="E14" i="50"/>
  <c r="E12" i="50"/>
  <c r="E10" i="50"/>
  <c r="E8" i="50"/>
  <c r="E15" i="50"/>
  <c r="E13" i="50"/>
  <c r="E11" i="50"/>
  <c r="E9" i="50"/>
  <c r="E7" i="50"/>
  <c r="H106" i="42" a="1"/>
  <c r="J106" i="42"/>
  <c r="V69" i="42"/>
  <c r="V68" i="42"/>
  <c r="V66" i="42"/>
  <c r="V67" i="42"/>
  <c r="V70" i="42"/>
  <c r="V71" i="42"/>
  <c r="V72" i="42"/>
  <c r="V73" i="42"/>
  <c r="V65" i="42"/>
  <c r="V52" i="42"/>
  <c r="V51" i="42"/>
  <c r="V49" i="42"/>
  <c r="V50" i="42"/>
  <c r="V53" i="42"/>
  <c r="V54" i="42"/>
  <c r="V55" i="42"/>
  <c r="V56" i="42"/>
  <c r="V48" i="42"/>
  <c r="V32" i="42"/>
  <c r="V31" i="42"/>
  <c r="V29" i="42"/>
  <c r="V30" i="42"/>
  <c r="V33" i="42"/>
  <c r="V34" i="42"/>
  <c r="V35" i="42"/>
  <c r="V36" i="42"/>
  <c r="V28" i="42"/>
  <c r="V15" i="42"/>
  <c r="V14" i="42"/>
  <c r="V12" i="42"/>
  <c r="V13" i="42"/>
  <c r="V16" i="42"/>
  <c r="V17" i="42"/>
  <c r="V18" i="42"/>
  <c r="V19" i="42"/>
  <c r="V11" i="42"/>
  <c r="F135" i="42"/>
  <c r="F134" i="42"/>
  <c r="F132" i="42"/>
  <c r="F133" i="42"/>
  <c r="F136" i="42"/>
  <c r="F137" i="42"/>
  <c r="F138" i="42"/>
  <c r="F139" i="42"/>
  <c r="F131" i="42"/>
  <c r="F121" i="42"/>
  <c r="F120" i="42"/>
  <c r="F118" i="42"/>
  <c r="F119" i="42"/>
  <c r="F122" i="42"/>
  <c r="F123" i="42"/>
  <c r="F124" i="42"/>
  <c r="F125" i="42"/>
  <c r="F117" i="42"/>
  <c r="F104" i="42"/>
  <c r="F103" i="42"/>
  <c r="F101" i="42"/>
  <c r="F102" i="42"/>
  <c r="F105" i="42"/>
  <c r="F106" i="42"/>
  <c r="F107" i="42"/>
  <c r="F108" i="42"/>
  <c r="F100" i="42"/>
  <c r="F88" i="42"/>
  <c r="F87" i="42"/>
  <c r="F85" i="42"/>
  <c r="F86" i="42"/>
  <c r="F89" i="42"/>
  <c r="F90" i="42"/>
  <c r="F91" i="42"/>
  <c r="F92" i="42"/>
  <c r="F84" i="42"/>
  <c r="F69" i="42"/>
  <c r="F68" i="42"/>
  <c r="F66" i="42"/>
  <c r="F67" i="42"/>
  <c r="F70" i="42"/>
  <c r="F71" i="42"/>
  <c r="F72" i="42"/>
  <c r="F73" i="42"/>
  <c r="F65" i="42"/>
  <c r="F52" i="42"/>
  <c r="F51" i="42"/>
  <c r="F49" i="42"/>
  <c r="F50" i="42"/>
  <c r="F53" i="42"/>
  <c r="F54" i="42"/>
  <c r="F55" i="42"/>
  <c r="F56" i="42"/>
  <c r="F48" i="42"/>
  <c r="F32" i="42"/>
  <c r="F31" i="42"/>
  <c r="F29" i="42"/>
  <c r="F30" i="42"/>
  <c r="F33" i="42"/>
  <c r="F34" i="42"/>
  <c r="F35" i="42"/>
  <c r="F36" i="42"/>
  <c r="F28" i="42"/>
  <c r="F19" i="42"/>
  <c r="F16" i="42"/>
  <c r="F15" i="42"/>
  <c r="F14" i="42"/>
  <c r="F17" i="42"/>
  <c r="F18" i="42"/>
  <c r="F13" i="42"/>
  <c r="F12" i="42"/>
  <c r="F11" i="42"/>
  <c r="H15" i="20"/>
  <c r="M44" i="42"/>
  <c r="K27" i="44"/>
  <c r="E27" i="44" a="1"/>
  <c r="D44" i="44"/>
  <c r="D36" i="44"/>
  <c r="D28" i="44"/>
  <c r="D20" i="44"/>
  <c r="D12" i="44"/>
  <c r="D40" i="44"/>
  <c r="D24" i="44"/>
  <c r="D16" i="44"/>
  <c r="D8" i="44"/>
  <c r="P18" i="20"/>
  <c r="G16" i="20"/>
  <c r="E26" i="44" a="1"/>
  <c r="E26" i="44"/>
  <c r="L28" i="20"/>
  <c r="L30" i="20"/>
  <c r="L32" i="20"/>
  <c r="L33" i="20"/>
  <c r="L36" i="20"/>
  <c r="L37" i="20"/>
  <c r="L40" i="20"/>
  <c r="L42" i="20"/>
  <c r="L44" i="20"/>
  <c r="L46" i="20"/>
  <c r="L47" i="20"/>
  <c r="L59" i="20"/>
  <c r="L61" i="20"/>
  <c r="L63" i="20"/>
  <c r="L19" i="20"/>
  <c r="M19" i="20"/>
  <c r="L21" i="20"/>
  <c r="M21" i="20"/>
  <c r="L23" i="20"/>
  <c r="M23" i="20"/>
  <c r="L24" i="20"/>
  <c r="M24" i="20"/>
  <c r="L25" i="20"/>
  <c r="M25" i="20"/>
  <c r="M28" i="20"/>
  <c r="M30" i="20"/>
  <c r="M32" i="20"/>
  <c r="M33" i="20"/>
  <c r="M36" i="20"/>
  <c r="M37" i="20"/>
  <c r="K56" i="47"/>
  <c r="K55" i="47"/>
  <c r="K54" i="47"/>
  <c r="K53" i="47"/>
  <c r="K52" i="47"/>
  <c r="K51" i="47"/>
  <c r="K50" i="47"/>
  <c r="K49" i="47"/>
  <c r="K48" i="47"/>
  <c r="K47" i="47"/>
  <c r="K46" i="47"/>
  <c r="K45" i="47"/>
  <c r="K44" i="47"/>
  <c r="K43" i="47"/>
  <c r="K42" i="47"/>
  <c r="K41" i="47"/>
  <c r="K40" i="47"/>
  <c r="K39" i="47"/>
  <c r="K38" i="47"/>
  <c r="K37" i="47"/>
  <c r="K36" i="47"/>
  <c r="K35" i="47"/>
  <c r="K34" i="47"/>
  <c r="K33" i="47"/>
  <c r="K32" i="47"/>
  <c r="K31" i="47"/>
  <c r="K30" i="47"/>
  <c r="K29" i="47"/>
  <c r="AC39" i="47"/>
  <c r="AC40" i="47"/>
  <c r="AC41" i="47"/>
  <c r="AC42" i="47"/>
  <c r="AC43" i="47"/>
  <c r="AC44" i="47"/>
  <c r="AC45" i="47"/>
  <c r="AC46" i="47"/>
  <c r="AC47" i="47"/>
  <c r="AC48" i="47"/>
  <c r="AC49" i="47"/>
  <c r="AC50" i="47"/>
  <c r="AC51" i="47"/>
  <c r="AC52" i="47"/>
  <c r="AC53" i="47"/>
  <c r="AC27" i="47"/>
  <c r="AC28" i="47"/>
  <c r="AC29" i="47"/>
  <c r="AC30" i="47"/>
  <c r="AC31" i="47"/>
  <c r="AC32" i="47"/>
  <c r="AC33" i="47"/>
  <c r="AC34" i="47"/>
  <c r="AC35" i="47"/>
  <c r="AC36" i="47"/>
  <c r="AC37" i="47"/>
  <c r="AC38" i="47"/>
  <c r="AC26" i="47"/>
  <c r="M1211" i="20"/>
  <c r="M1212" i="20"/>
  <c r="M1213" i="20"/>
  <c r="M1214" i="20"/>
  <c r="M1215" i="20"/>
  <c r="M1216" i="20"/>
  <c r="M1217" i="20"/>
  <c r="M1218" i="20"/>
  <c r="M1219" i="20"/>
  <c r="M1220" i="20"/>
  <c r="M1221" i="20"/>
  <c r="M1222" i="20"/>
  <c r="M1223" i="20"/>
  <c r="M1224" i="20"/>
  <c r="M1225" i="20"/>
  <c r="M1226" i="20"/>
  <c r="M1227" i="20"/>
  <c r="M1228" i="20"/>
  <c r="M1229" i="20"/>
  <c r="M1230" i="20"/>
  <c r="M1231" i="20"/>
  <c r="M1232" i="20"/>
  <c r="M1233" i="20"/>
  <c r="M1234" i="20"/>
  <c r="M1235" i="20"/>
  <c r="M1236" i="20"/>
  <c r="M1237" i="20"/>
  <c r="M1238" i="20"/>
  <c r="M1239" i="20"/>
  <c r="M1240" i="20"/>
  <c r="M1241" i="20"/>
  <c r="M1242" i="20"/>
  <c r="M1243" i="20"/>
  <c r="M1244" i="20"/>
  <c r="M1245" i="20"/>
  <c r="M1246" i="20"/>
  <c r="M1247" i="20"/>
  <c r="M1248" i="20"/>
  <c r="M1249" i="20"/>
  <c r="M1250" i="20"/>
  <c r="M1251" i="20"/>
  <c r="M1252" i="20"/>
  <c r="M1253" i="20"/>
  <c r="M1254" i="20"/>
  <c r="M1255" i="20"/>
  <c r="M1256" i="20"/>
  <c r="M1257" i="20"/>
  <c r="M1258" i="20"/>
  <c r="M1259" i="20"/>
  <c r="M1260" i="20"/>
  <c r="M1261" i="20"/>
  <c r="M1262" i="20"/>
  <c r="M1263" i="20"/>
  <c r="M1264" i="20"/>
  <c r="M1265" i="20"/>
  <c r="M1266" i="20"/>
  <c r="M1267" i="20"/>
  <c r="M1268" i="20"/>
  <c r="M1269" i="20"/>
  <c r="M1270" i="20"/>
  <c r="M1271" i="20"/>
  <c r="M1272" i="20"/>
  <c r="M1273" i="20"/>
  <c r="M1274" i="20"/>
  <c r="M1275" i="20"/>
  <c r="M1276" i="20"/>
  <c r="M1277" i="20"/>
  <c r="M1278" i="20"/>
  <c r="M1279" i="20"/>
  <c r="M1280" i="20"/>
  <c r="M1281" i="20"/>
  <c r="M1282" i="20"/>
  <c r="M1283" i="20"/>
  <c r="M1284" i="20"/>
  <c r="M1285" i="20"/>
  <c r="M1286" i="20"/>
  <c r="M1287" i="20"/>
  <c r="M1288" i="20"/>
  <c r="M1289" i="20"/>
  <c r="M1290" i="20"/>
  <c r="M1291" i="20"/>
  <c r="M1292" i="20"/>
  <c r="M1293" i="20"/>
  <c r="M1294" i="20"/>
  <c r="M1295" i="20"/>
  <c r="M1296" i="20"/>
  <c r="M1297" i="20"/>
  <c r="M1298" i="20"/>
  <c r="M1299" i="20"/>
  <c r="M1300" i="20"/>
  <c r="M1301" i="20"/>
  <c r="M1302" i="20"/>
  <c r="M1303" i="20"/>
  <c r="M1304" i="20"/>
  <c r="M1305" i="20"/>
  <c r="M1306" i="20"/>
  <c r="M1307" i="20"/>
  <c r="M1308" i="20"/>
  <c r="M1309" i="20"/>
  <c r="M1310" i="20"/>
  <c r="M1311" i="20"/>
  <c r="M1312" i="20"/>
  <c r="M1313" i="20"/>
  <c r="M1314" i="20"/>
  <c r="M1315" i="20"/>
  <c r="M1316" i="20"/>
  <c r="M1317" i="20"/>
  <c r="M1318" i="20"/>
  <c r="M1319" i="20"/>
  <c r="M1320" i="20"/>
  <c r="M1321" i="20"/>
  <c r="M1322" i="20"/>
  <c r="M1323" i="20"/>
  <c r="M1324" i="20"/>
  <c r="M1325" i="20"/>
  <c r="M1326" i="20"/>
  <c r="M1327" i="20"/>
  <c r="M1328" i="20"/>
  <c r="M1329" i="20"/>
  <c r="M1330" i="20"/>
  <c r="M1331" i="20"/>
  <c r="M1332" i="20"/>
  <c r="M1333" i="20"/>
  <c r="M1334" i="20"/>
  <c r="M1335" i="20"/>
  <c r="M1336" i="20"/>
  <c r="M1337" i="20"/>
  <c r="M1338" i="20"/>
  <c r="M1339" i="20"/>
  <c r="M1340" i="20"/>
  <c r="M1341" i="20"/>
  <c r="M1342" i="20"/>
  <c r="M1343" i="20"/>
  <c r="M1344" i="20"/>
  <c r="M1345" i="20"/>
  <c r="M1346" i="20"/>
  <c r="M1347" i="20"/>
  <c r="M1348" i="20"/>
  <c r="M1349" i="20"/>
  <c r="M1350" i="20"/>
  <c r="M1351" i="20"/>
  <c r="M1352" i="20"/>
  <c r="M1353" i="20"/>
  <c r="M1354" i="20"/>
  <c r="M1355" i="20"/>
  <c r="M1356" i="20"/>
  <c r="M1357" i="20"/>
  <c r="M1358" i="20"/>
  <c r="M1359" i="20"/>
  <c r="M1360" i="20"/>
  <c r="M1361" i="20"/>
  <c r="M1362" i="20"/>
  <c r="M1363" i="20"/>
  <c r="M1364" i="20"/>
  <c r="M1365" i="20"/>
  <c r="M1366" i="20"/>
  <c r="M1367" i="20"/>
  <c r="M1368" i="20"/>
  <c r="M1369" i="20"/>
  <c r="M1370" i="20"/>
  <c r="M1371" i="20"/>
  <c r="M1372" i="20"/>
  <c r="M1373" i="20"/>
  <c r="M1374" i="20"/>
  <c r="M1375" i="20"/>
  <c r="M1376" i="20"/>
  <c r="M1377" i="20"/>
  <c r="M1378" i="20"/>
  <c r="M1379" i="20"/>
  <c r="M1380" i="20"/>
  <c r="M1381" i="20"/>
  <c r="M1382" i="20"/>
  <c r="M1383" i="20"/>
  <c r="M1384" i="20"/>
  <c r="M1385" i="20"/>
  <c r="M1386" i="20"/>
  <c r="M1387" i="20"/>
  <c r="M1388" i="20"/>
  <c r="M1389" i="20"/>
  <c r="M1390" i="20"/>
  <c r="M1391" i="20"/>
  <c r="M1392" i="20"/>
  <c r="M1393" i="20"/>
  <c r="M1394" i="20"/>
  <c r="M1395" i="20"/>
  <c r="M1396" i="20"/>
  <c r="M1397" i="20"/>
  <c r="M1398" i="20"/>
  <c r="M1399" i="20"/>
  <c r="M1400" i="20"/>
  <c r="M1401" i="20"/>
  <c r="M1402" i="20"/>
  <c r="M1403" i="20"/>
  <c r="M1404" i="20"/>
  <c r="M1405" i="20"/>
  <c r="M1406" i="20"/>
  <c r="M1407" i="20"/>
  <c r="M1408" i="20"/>
  <c r="M1409" i="20"/>
  <c r="M1410" i="20"/>
  <c r="M1411" i="20"/>
  <c r="M1412" i="20"/>
  <c r="M1413" i="20"/>
  <c r="M1414" i="20"/>
  <c r="M1415" i="20"/>
  <c r="M1416" i="20"/>
  <c r="M1417" i="20"/>
  <c r="M1418" i="20"/>
  <c r="M1419" i="20"/>
  <c r="M1420" i="20"/>
  <c r="M1421" i="20"/>
  <c r="M1422" i="20"/>
  <c r="M1423" i="20"/>
  <c r="M1424" i="20"/>
  <c r="M1425" i="20"/>
  <c r="M1426" i="20"/>
  <c r="M1427" i="20"/>
  <c r="M1428" i="20"/>
  <c r="M1429" i="20"/>
  <c r="M1430" i="20"/>
  <c r="M1431" i="20"/>
  <c r="M1432" i="20"/>
  <c r="M1433" i="20"/>
  <c r="M1434" i="20"/>
  <c r="M1435" i="20"/>
  <c r="M1436" i="20"/>
  <c r="M1437" i="20"/>
  <c r="M1438" i="20"/>
  <c r="M1439" i="20"/>
  <c r="M1440" i="20"/>
  <c r="M1441" i="20"/>
  <c r="M1442" i="20"/>
  <c r="M1443" i="20"/>
  <c r="M1444" i="20"/>
  <c r="M1445" i="20"/>
  <c r="M1446" i="20"/>
  <c r="M1447" i="20"/>
  <c r="M1448" i="20"/>
  <c r="M1449" i="20"/>
  <c r="M1450" i="20"/>
  <c r="M1451" i="20"/>
  <c r="M1452" i="20"/>
  <c r="M1453" i="20"/>
  <c r="M1454" i="20"/>
  <c r="M1455" i="20"/>
  <c r="M1456" i="20"/>
  <c r="M1457" i="20"/>
  <c r="M1458" i="20"/>
  <c r="M1459" i="20"/>
  <c r="M1460" i="20"/>
  <c r="M1461" i="20"/>
  <c r="M1462" i="20"/>
  <c r="M1463" i="20"/>
  <c r="M1464" i="20"/>
  <c r="M1465" i="20"/>
  <c r="M1466" i="20"/>
  <c r="M1467" i="20"/>
  <c r="M1468" i="20"/>
  <c r="M1469" i="20"/>
  <c r="M1470" i="20"/>
  <c r="M1471" i="20"/>
  <c r="M1472" i="20"/>
  <c r="M1473" i="20"/>
  <c r="M1474" i="20"/>
  <c r="M1475" i="20"/>
  <c r="M1476" i="20"/>
  <c r="M1477" i="20"/>
  <c r="M1478" i="20"/>
  <c r="M1479" i="20"/>
  <c r="M1480" i="20"/>
  <c r="M1481" i="20"/>
  <c r="M1482" i="20"/>
  <c r="M1483" i="20"/>
  <c r="M1484" i="20"/>
  <c r="M1485" i="20"/>
  <c r="M1486" i="20"/>
  <c r="M1487" i="20"/>
  <c r="M1488" i="20"/>
  <c r="M1489" i="20"/>
  <c r="M1490" i="20"/>
  <c r="M1491" i="20"/>
  <c r="M1492" i="20"/>
  <c r="M1493" i="20"/>
  <c r="M1494" i="20"/>
  <c r="M1495" i="20"/>
  <c r="M1496" i="20"/>
  <c r="M1497" i="20"/>
  <c r="M1498" i="20"/>
  <c r="M1499" i="20"/>
  <c r="M1500" i="20"/>
  <c r="M1501" i="20"/>
  <c r="M1502" i="20"/>
  <c r="M1503" i="20"/>
  <c r="M1504" i="20"/>
  <c r="M1505" i="20"/>
  <c r="M1506" i="20"/>
  <c r="M1507" i="20"/>
  <c r="M1508" i="20"/>
  <c r="M1509" i="20"/>
  <c r="M1510" i="20"/>
  <c r="M1511" i="20"/>
  <c r="M1512" i="20"/>
  <c r="M1513" i="20"/>
  <c r="M1514" i="20"/>
  <c r="M1515" i="20"/>
  <c r="M1516" i="20"/>
  <c r="M1517" i="20"/>
  <c r="M1518" i="20"/>
  <c r="M1519" i="20"/>
  <c r="M1520" i="20"/>
  <c r="M1521" i="20"/>
  <c r="M1522" i="20"/>
  <c r="M1523" i="20"/>
  <c r="M1524" i="20"/>
  <c r="M1525" i="20"/>
  <c r="M1526" i="20"/>
  <c r="M1527" i="20"/>
  <c r="M1528" i="20"/>
  <c r="M1529" i="20"/>
  <c r="M1530" i="20"/>
  <c r="M1531" i="20"/>
  <c r="M1532" i="20"/>
  <c r="M1533" i="20"/>
  <c r="M1534" i="20"/>
  <c r="M1535" i="20"/>
  <c r="M1536" i="20"/>
  <c r="M1537" i="20"/>
  <c r="M1538" i="20"/>
  <c r="M1539" i="20"/>
  <c r="M1540" i="20"/>
  <c r="M1541" i="20"/>
  <c r="M1542" i="20"/>
  <c r="M1543" i="20"/>
  <c r="M1544" i="20"/>
  <c r="M1545" i="20"/>
  <c r="M1546" i="20"/>
  <c r="M1547" i="20"/>
  <c r="M1548" i="20"/>
  <c r="M1549" i="20"/>
  <c r="M1550" i="20"/>
  <c r="M1551" i="20"/>
  <c r="M1552" i="20"/>
  <c r="M1553" i="20"/>
  <c r="M1554" i="20"/>
  <c r="M1555" i="20"/>
  <c r="M1556" i="20"/>
  <c r="M1557" i="20"/>
  <c r="M1558" i="20"/>
  <c r="M1559" i="20"/>
  <c r="M1560" i="20"/>
  <c r="M1561" i="20"/>
  <c r="M1562" i="20"/>
  <c r="M1563" i="20"/>
  <c r="M1564" i="20"/>
  <c r="M1565" i="20"/>
  <c r="M1566" i="20"/>
  <c r="M1567" i="20"/>
  <c r="M1568" i="20"/>
  <c r="M1569" i="20"/>
  <c r="M1570" i="20"/>
  <c r="M1571" i="20"/>
  <c r="M1572" i="20"/>
  <c r="M1573" i="20"/>
  <c r="M1574" i="20"/>
  <c r="M1575" i="20"/>
  <c r="M1576" i="20"/>
  <c r="M1577" i="20"/>
  <c r="M1578" i="20"/>
  <c r="M1579" i="20"/>
  <c r="M1580" i="20"/>
  <c r="M1581" i="20"/>
  <c r="M1582" i="20"/>
  <c r="M1583" i="20"/>
  <c r="M1584" i="20"/>
  <c r="M1585" i="20"/>
  <c r="M1586" i="20"/>
  <c r="M1587" i="20"/>
  <c r="M1588" i="20"/>
  <c r="M1589" i="20"/>
  <c r="M1590" i="20"/>
  <c r="M1591" i="20"/>
  <c r="M1592" i="20"/>
  <c r="M1593" i="20"/>
  <c r="M1594" i="20"/>
  <c r="M1595" i="20"/>
  <c r="M1596" i="20"/>
  <c r="M1597" i="20"/>
  <c r="M1598" i="20"/>
  <c r="M1599" i="20"/>
  <c r="M1600" i="20"/>
  <c r="M1601" i="20"/>
  <c r="M1602" i="20"/>
  <c r="M1603" i="20"/>
  <c r="M1604" i="20"/>
  <c r="M1605" i="20"/>
  <c r="M1606" i="20"/>
  <c r="M1607" i="20"/>
  <c r="M1608" i="20"/>
  <c r="M1609" i="20"/>
  <c r="M1610" i="20"/>
  <c r="M1611" i="20"/>
  <c r="M1612" i="20"/>
  <c r="M1613" i="20"/>
  <c r="M1614" i="20"/>
  <c r="M1615" i="20"/>
  <c r="M1616" i="20"/>
  <c r="M1617" i="20"/>
  <c r="M1618" i="20"/>
  <c r="M1619" i="20"/>
  <c r="M1620" i="20"/>
  <c r="M1621" i="20"/>
  <c r="M1622" i="20"/>
  <c r="M1623" i="20"/>
  <c r="M1624" i="20"/>
  <c r="M1625" i="20"/>
  <c r="M1626" i="20"/>
  <c r="M1627" i="20"/>
  <c r="M1628" i="20"/>
  <c r="M1629" i="20"/>
  <c r="M1630" i="20"/>
  <c r="M1631" i="20"/>
  <c r="M1632" i="20"/>
  <c r="M1633" i="20"/>
  <c r="M1634" i="20"/>
  <c r="M1635" i="20"/>
  <c r="M1636" i="20"/>
  <c r="M1637" i="20"/>
  <c r="M1638" i="20"/>
  <c r="M1639" i="20"/>
  <c r="M1640" i="20"/>
  <c r="M1641" i="20"/>
  <c r="M1642" i="20"/>
  <c r="M1643" i="20"/>
  <c r="M1644" i="20"/>
  <c r="M1645" i="20"/>
  <c r="M1646" i="20"/>
  <c r="M1647" i="20"/>
  <c r="M1648" i="20"/>
  <c r="M1649" i="20"/>
  <c r="M1650" i="20"/>
  <c r="M1651" i="20"/>
  <c r="M1652" i="20"/>
  <c r="M1653" i="20"/>
  <c r="M1654" i="20"/>
  <c r="M1655" i="20"/>
  <c r="M1656" i="20"/>
  <c r="M1657" i="20"/>
  <c r="M1658" i="20"/>
  <c r="M1659" i="20"/>
  <c r="M1660" i="20"/>
  <c r="M1661" i="20"/>
  <c r="M1662" i="20"/>
  <c r="M1663" i="20"/>
  <c r="M1664" i="20"/>
  <c r="M1665" i="20"/>
  <c r="M1666" i="20"/>
  <c r="M1667" i="20"/>
  <c r="M1668" i="20"/>
  <c r="M1669" i="20"/>
  <c r="M1670" i="20"/>
  <c r="M1671" i="20"/>
  <c r="M1672" i="20"/>
  <c r="M1673" i="20"/>
  <c r="M1674" i="20"/>
  <c r="M1675" i="20"/>
  <c r="M1676" i="20"/>
  <c r="M1677" i="20"/>
  <c r="M1678" i="20"/>
  <c r="M1679" i="20"/>
  <c r="M1680" i="20"/>
  <c r="M1681" i="20"/>
  <c r="M1682" i="20"/>
  <c r="M1683" i="20"/>
  <c r="M1684" i="20"/>
  <c r="M1685" i="20"/>
  <c r="M1686" i="20"/>
  <c r="M1687" i="20"/>
  <c r="M1688" i="20"/>
  <c r="M1689" i="20"/>
  <c r="M1690" i="20"/>
  <c r="M1691" i="20"/>
  <c r="M1692" i="20"/>
  <c r="M1693" i="20"/>
  <c r="M1694" i="20"/>
  <c r="M1695" i="20"/>
  <c r="M1696" i="20"/>
  <c r="M1697" i="20"/>
  <c r="M1698" i="20"/>
  <c r="M1699" i="20"/>
  <c r="M1700" i="20"/>
  <c r="M1701" i="20"/>
  <c r="M1702" i="20"/>
  <c r="M1703" i="20"/>
  <c r="M1704" i="20"/>
  <c r="M1705" i="20"/>
  <c r="M1706" i="20"/>
  <c r="M1707" i="20"/>
  <c r="M1708" i="20"/>
  <c r="M1709" i="20"/>
  <c r="M1710" i="20"/>
  <c r="M1711" i="20"/>
  <c r="M1712" i="20"/>
  <c r="M1713" i="20"/>
  <c r="M1714" i="20"/>
  <c r="M1715" i="20"/>
  <c r="M1716" i="20"/>
  <c r="M1717" i="20"/>
  <c r="M1718" i="20"/>
  <c r="M1719" i="20"/>
  <c r="M1720" i="20"/>
  <c r="M1721" i="20"/>
  <c r="M1722" i="20"/>
  <c r="M1723" i="20"/>
  <c r="M1724" i="20"/>
  <c r="M1725" i="20"/>
  <c r="M1726" i="20"/>
  <c r="M1727" i="20"/>
  <c r="M1728" i="20"/>
  <c r="M1729" i="20"/>
  <c r="M1730" i="20"/>
  <c r="M1731" i="20"/>
  <c r="M1732" i="20"/>
  <c r="M1733" i="20"/>
  <c r="M1734" i="20"/>
  <c r="M1735" i="20"/>
  <c r="M1736" i="20"/>
  <c r="M1737" i="20"/>
  <c r="M1738" i="20"/>
  <c r="M1739" i="20"/>
  <c r="M1740" i="20"/>
  <c r="M1741" i="20"/>
  <c r="M1742" i="20"/>
  <c r="M1743" i="20"/>
  <c r="M1744" i="20"/>
  <c r="M1745" i="20"/>
  <c r="M1746" i="20"/>
  <c r="M1747" i="20"/>
  <c r="M1748" i="20"/>
  <c r="M1749" i="20"/>
  <c r="M1750" i="20"/>
  <c r="M1751" i="20"/>
  <c r="M1752" i="20"/>
  <c r="M1753" i="20"/>
  <c r="M1754" i="20"/>
  <c r="M1755" i="20"/>
  <c r="M1756" i="20"/>
  <c r="M1757" i="20"/>
  <c r="M1758" i="20"/>
  <c r="M1759" i="20"/>
  <c r="M1760" i="20"/>
  <c r="M1761" i="20"/>
  <c r="M1762" i="20"/>
  <c r="M1763" i="20"/>
  <c r="M1764" i="20"/>
  <c r="M1765" i="20"/>
  <c r="M1766" i="20"/>
  <c r="M1767" i="20"/>
  <c r="M1768" i="20"/>
  <c r="M1769" i="20"/>
  <c r="M1770" i="20"/>
  <c r="M1771" i="20"/>
  <c r="M1772" i="20"/>
  <c r="M1773" i="20"/>
  <c r="M1774" i="20"/>
  <c r="M1775" i="20"/>
  <c r="M1776" i="20"/>
  <c r="M1777" i="20"/>
  <c r="M1778" i="20"/>
  <c r="M1779" i="20"/>
  <c r="M1780" i="20"/>
  <c r="M1781" i="20"/>
  <c r="M1782" i="20"/>
  <c r="M1783" i="20"/>
  <c r="M1784" i="20"/>
  <c r="M1785" i="20"/>
  <c r="M1786" i="20"/>
  <c r="M1787" i="20"/>
  <c r="M1788" i="20"/>
  <c r="M1789" i="20"/>
  <c r="M1790" i="20"/>
  <c r="M1791" i="20"/>
  <c r="M1792" i="20"/>
  <c r="M1793" i="20"/>
  <c r="M1794" i="20"/>
  <c r="M1795" i="20"/>
  <c r="M1796" i="20"/>
  <c r="M1797" i="20"/>
  <c r="M1798" i="20"/>
  <c r="M1799" i="20"/>
  <c r="M1800" i="20"/>
  <c r="M1801" i="20"/>
  <c r="M1802" i="20"/>
  <c r="M1803" i="20"/>
  <c r="M1804" i="20"/>
  <c r="M1805" i="20"/>
  <c r="M1806" i="20"/>
  <c r="M1807" i="20"/>
  <c r="M1808" i="20"/>
  <c r="M1809" i="20"/>
  <c r="M1810" i="20"/>
  <c r="M1811" i="20"/>
  <c r="M1812" i="20"/>
  <c r="M1813" i="20"/>
  <c r="M1814" i="20"/>
  <c r="M1815" i="20"/>
  <c r="M1816" i="20"/>
  <c r="M1817" i="20"/>
  <c r="M1818" i="20"/>
  <c r="M1819" i="20"/>
  <c r="M1820" i="20"/>
  <c r="M1821" i="20"/>
  <c r="M1822" i="20"/>
  <c r="M1823" i="20"/>
  <c r="M1824" i="20"/>
  <c r="M1825" i="20"/>
  <c r="M1826" i="20"/>
  <c r="M1827" i="20"/>
  <c r="M1828" i="20"/>
  <c r="M1829" i="20"/>
  <c r="M1830" i="20"/>
  <c r="M1831" i="20"/>
  <c r="M1832" i="20"/>
  <c r="M1833" i="20"/>
  <c r="M1834" i="20"/>
  <c r="M1835" i="20"/>
  <c r="M1836" i="20"/>
  <c r="M1837" i="20"/>
  <c r="M1838" i="20"/>
  <c r="M1839" i="20"/>
  <c r="M1840" i="20"/>
  <c r="M1841" i="20"/>
  <c r="M1842" i="20"/>
  <c r="M1843" i="20"/>
  <c r="M1844" i="20"/>
  <c r="M1845" i="20"/>
  <c r="M1846" i="20"/>
  <c r="M1847" i="20"/>
  <c r="M1848" i="20"/>
  <c r="M1849" i="20"/>
  <c r="M1850" i="20"/>
  <c r="M1851" i="20"/>
  <c r="M1852" i="20"/>
  <c r="M1853" i="20"/>
  <c r="M1854" i="20"/>
  <c r="M1855" i="20"/>
  <c r="M1856" i="20"/>
  <c r="M1857" i="20"/>
  <c r="M1858" i="20"/>
  <c r="M1859" i="20"/>
  <c r="M1860" i="20"/>
  <c r="M1861" i="20"/>
  <c r="M1862" i="20"/>
  <c r="M1863" i="20"/>
  <c r="M1864" i="20"/>
  <c r="M1865" i="20"/>
  <c r="M1866" i="20"/>
  <c r="M1867" i="20"/>
  <c r="M1868" i="20"/>
  <c r="M1869" i="20"/>
  <c r="M1870" i="20"/>
  <c r="M1871" i="20"/>
  <c r="M1872" i="20"/>
  <c r="M1873" i="20"/>
  <c r="M1874" i="20"/>
  <c r="M1875" i="20"/>
  <c r="M1876" i="20"/>
  <c r="M1877" i="20"/>
  <c r="M1878" i="20"/>
  <c r="M1879" i="20"/>
  <c r="M1880" i="20"/>
  <c r="M1881" i="20"/>
  <c r="M1882" i="20"/>
  <c r="M1883" i="20"/>
  <c r="M1884" i="20"/>
  <c r="M1885" i="20"/>
  <c r="M1886" i="20"/>
  <c r="M1887" i="20"/>
  <c r="M1888" i="20"/>
  <c r="M1889" i="20"/>
  <c r="M1890" i="20"/>
  <c r="M1891" i="20"/>
  <c r="M1892" i="20"/>
  <c r="M1893" i="20"/>
  <c r="M1894" i="20"/>
  <c r="M1895" i="20"/>
  <c r="M1896" i="20"/>
  <c r="M1897" i="20"/>
  <c r="M1898" i="20"/>
  <c r="M1899" i="20"/>
  <c r="M1900" i="20"/>
  <c r="M1901" i="20"/>
  <c r="M1902" i="20"/>
  <c r="M1903" i="20"/>
  <c r="M1904" i="20"/>
  <c r="M1905" i="20"/>
  <c r="M1906" i="20"/>
  <c r="M1907" i="20"/>
  <c r="M1908" i="20"/>
  <c r="M1909" i="20"/>
  <c r="M1910" i="20"/>
  <c r="M1911" i="20"/>
  <c r="M1912" i="20"/>
  <c r="M1913" i="20"/>
  <c r="M1914" i="20"/>
  <c r="M1915" i="20"/>
  <c r="M1916" i="20"/>
  <c r="M1917" i="20"/>
  <c r="M1918" i="20"/>
  <c r="M1919" i="20"/>
  <c r="M1920" i="20"/>
  <c r="M1921" i="20"/>
  <c r="M1922" i="20"/>
  <c r="M1923" i="20"/>
  <c r="M1924" i="20"/>
  <c r="M1925" i="20"/>
  <c r="M1926" i="20"/>
  <c r="M1927" i="20"/>
  <c r="M1928" i="20"/>
  <c r="M1929" i="20"/>
  <c r="M1930" i="20"/>
  <c r="M1931" i="20"/>
  <c r="M1932" i="20"/>
  <c r="M1933" i="20"/>
  <c r="M1934" i="20"/>
  <c r="M1935" i="20"/>
  <c r="M1936" i="20"/>
  <c r="M1937" i="20"/>
  <c r="M1938" i="20"/>
  <c r="M1939" i="20"/>
  <c r="M1940" i="20"/>
  <c r="M1941" i="20"/>
  <c r="M1942" i="20"/>
  <c r="M1943" i="20"/>
  <c r="M1944" i="20"/>
  <c r="M1945" i="20"/>
  <c r="M1946" i="20"/>
  <c r="M1947" i="20"/>
  <c r="M1948" i="20"/>
  <c r="M1949" i="20"/>
  <c r="M1950" i="20"/>
  <c r="M1951" i="20"/>
  <c r="M1952" i="20"/>
  <c r="M1953" i="20"/>
  <c r="M1954" i="20"/>
  <c r="M1955" i="20"/>
  <c r="M1956" i="20"/>
  <c r="M1957" i="20"/>
  <c r="M1958" i="20"/>
  <c r="M1959" i="20"/>
  <c r="M1960" i="20"/>
  <c r="M1961" i="20"/>
  <c r="M1962" i="20"/>
  <c r="M1963" i="20"/>
  <c r="M1964" i="20"/>
  <c r="M1965" i="20"/>
  <c r="M1966" i="20"/>
  <c r="M1967" i="20"/>
  <c r="M1968" i="20"/>
  <c r="M1969" i="20"/>
  <c r="M1970" i="20"/>
  <c r="M1971" i="20"/>
  <c r="M1972" i="20"/>
  <c r="M1973" i="20"/>
  <c r="M1974" i="20"/>
  <c r="M1975" i="20"/>
  <c r="M1976" i="20"/>
  <c r="M1977" i="20"/>
  <c r="M1978" i="20"/>
  <c r="M1979" i="20"/>
  <c r="M1980" i="20"/>
  <c r="M1981" i="20"/>
  <c r="M1982" i="20"/>
  <c r="M1983" i="20"/>
  <c r="M1984" i="20"/>
  <c r="M1985" i="20"/>
  <c r="M1986" i="20"/>
  <c r="M1987" i="20"/>
  <c r="M1988" i="20"/>
  <c r="M1989" i="20"/>
  <c r="M1990" i="20"/>
  <c r="M1991" i="20"/>
  <c r="M1992" i="20"/>
  <c r="M1993" i="20"/>
  <c r="M1994" i="20"/>
  <c r="M1995" i="20"/>
  <c r="M1996" i="20"/>
  <c r="M1997" i="20"/>
  <c r="M1998" i="20"/>
  <c r="M1999" i="20"/>
  <c r="M2000" i="20"/>
  <c r="M2001" i="20"/>
  <c r="M2002" i="20"/>
  <c r="M2003" i="20"/>
  <c r="M2004" i="20"/>
  <c r="M2005" i="20"/>
  <c r="M2006" i="20"/>
  <c r="M2007" i="20"/>
  <c r="M2008" i="20"/>
  <c r="M2009" i="20"/>
  <c r="M2010" i="20"/>
  <c r="M2011" i="20"/>
  <c r="M2012" i="20"/>
  <c r="M2013" i="20"/>
  <c r="M2014" i="20"/>
  <c r="M2015" i="20"/>
  <c r="M2016" i="20"/>
  <c r="M2017" i="20"/>
  <c r="M2018" i="20"/>
  <c r="M2019" i="20"/>
  <c r="M2020" i="20"/>
  <c r="M2021" i="20"/>
  <c r="M2022" i="20"/>
  <c r="M2023" i="20"/>
  <c r="M2024" i="20"/>
  <c r="M2025" i="20"/>
  <c r="M2026" i="20"/>
  <c r="M2027" i="20"/>
  <c r="M2028" i="20"/>
  <c r="M2029" i="20"/>
  <c r="M2030" i="20"/>
  <c r="M2031" i="20"/>
  <c r="M2032" i="20"/>
  <c r="M2033" i="20"/>
  <c r="M2034" i="20"/>
  <c r="M2035" i="20"/>
  <c r="M2036" i="20"/>
  <c r="M2037" i="20"/>
  <c r="M2038" i="20"/>
  <c r="M2039" i="20"/>
  <c r="M2040" i="20"/>
  <c r="M2041" i="20"/>
  <c r="M2042" i="20"/>
  <c r="M2043" i="20"/>
  <c r="M2044" i="20"/>
  <c r="M2045" i="20"/>
  <c r="M2046" i="20"/>
  <c r="M2047" i="20"/>
  <c r="M2048" i="20"/>
  <c r="M2049" i="20"/>
  <c r="M2050" i="20"/>
  <c r="M2051" i="20"/>
  <c r="M2052" i="20"/>
  <c r="M2053" i="20"/>
  <c r="M2054" i="20"/>
  <c r="M2055" i="20"/>
  <c r="M2056" i="20"/>
  <c r="M2057" i="20"/>
  <c r="M2058" i="20"/>
  <c r="M2059" i="20"/>
  <c r="M2060" i="20"/>
  <c r="M2061" i="20"/>
  <c r="M2062" i="20"/>
  <c r="M2063" i="20"/>
  <c r="M2064" i="20"/>
  <c r="M2065" i="20"/>
  <c r="M2066" i="20"/>
  <c r="M2067" i="20"/>
  <c r="M2068" i="20"/>
  <c r="M2069" i="20"/>
  <c r="M2070" i="20"/>
  <c r="M2071" i="20"/>
  <c r="M2072" i="20"/>
  <c r="M2073" i="20"/>
  <c r="M2074" i="20"/>
  <c r="M2075" i="20"/>
  <c r="M2076" i="20"/>
  <c r="M2077" i="20"/>
  <c r="M2078" i="20"/>
  <c r="M2079" i="20"/>
  <c r="M2080" i="20"/>
  <c r="M2081" i="20"/>
  <c r="M2082" i="20"/>
  <c r="M2083" i="20"/>
  <c r="M2084" i="20"/>
  <c r="M2085" i="20"/>
  <c r="M2086" i="20"/>
  <c r="M2087" i="20"/>
  <c r="M2088" i="20"/>
  <c r="M2089" i="20"/>
  <c r="M2090" i="20"/>
  <c r="M2091" i="20"/>
  <c r="M2092" i="20"/>
  <c r="M2093" i="20"/>
  <c r="M2094" i="20"/>
  <c r="M2095" i="20"/>
  <c r="M2096" i="20"/>
  <c r="M2097" i="20"/>
  <c r="M2098" i="20"/>
  <c r="M2099" i="20"/>
  <c r="M2100" i="20"/>
  <c r="M2101" i="20"/>
  <c r="M2102" i="20"/>
  <c r="M2103" i="20"/>
  <c r="M2104" i="20"/>
  <c r="M2105" i="20"/>
  <c r="M2106" i="20"/>
  <c r="M2107" i="20"/>
  <c r="M2108" i="20"/>
  <c r="M2109" i="20"/>
  <c r="M2110" i="20"/>
  <c r="M2111" i="20"/>
  <c r="M2112" i="20"/>
  <c r="M2113" i="20"/>
  <c r="M2114" i="20"/>
  <c r="M2115" i="20"/>
  <c r="M2116" i="20"/>
  <c r="M2117" i="20"/>
  <c r="M2118" i="20"/>
  <c r="M2119" i="20"/>
  <c r="M2120" i="20"/>
  <c r="M2121" i="20"/>
  <c r="M2122" i="20"/>
  <c r="M2123" i="20"/>
  <c r="M2124" i="20"/>
  <c r="M2125" i="20"/>
  <c r="M2126" i="20"/>
  <c r="M2127" i="20"/>
  <c r="M2128" i="20"/>
  <c r="M2129" i="20"/>
  <c r="M2130" i="20"/>
  <c r="M2131" i="20"/>
  <c r="M2132" i="20"/>
  <c r="M2133" i="20"/>
  <c r="M2134" i="20"/>
  <c r="M2135" i="20"/>
  <c r="M2136" i="20"/>
  <c r="M2137" i="20"/>
  <c r="M2138" i="20"/>
  <c r="M2139" i="20"/>
  <c r="M2140" i="20"/>
  <c r="M2141" i="20"/>
  <c r="M2142" i="20"/>
  <c r="M2143" i="20"/>
  <c r="M2144" i="20"/>
  <c r="M2145" i="20"/>
  <c r="M2146" i="20"/>
  <c r="M2147" i="20"/>
  <c r="M2148" i="20"/>
  <c r="M2149" i="20"/>
  <c r="M2150" i="20"/>
  <c r="M2151" i="20"/>
  <c r="M2152" i="20"/>
  <c r="M2153" i="20"/>
  <c r="M2154" i="20"/>
  <c r="M2155" i="20"/>
  <c r="M2156" i="20"/>
  <c r="M2157" i="20"/>
  <c r="M2158" i="20"/>
  <c r="M2159" i="20"/>
  <c r="M2160" i="20"/>
  <c r="M2161" i="20"/>
  <c r="M2162" i="20"/>
  <c r="M2163" i="20"/>
  <c r="M2164" i="20"/>
  <c r="M2165" i="20"/>
  <c r="M2166" i="20"/>
  <c r="M2167" i="20"/>
  <c r="M2168" i="20"/>
  <c r="M2169" i="20"/>
  <c r="M2170" i="20"/>
  <c r="M2171" i="20"/>
  <c r="M2172" i="20"/>
  <c r="M2173" i="20"/>
  <c r="M2174" i="20"/>
  <c r="M2175" i="20"/>
  <c r="M2176" i="20"/>
  <c r="M2177" i="20"/>
  <c r="M2178" i="20"/>
  <c r="M2179" i="20"/>
  <c r="M2180" i="20"/>
  <c r="M2181" i="20"/>
  <c r="M2182" i="20"/>
  <c r="M2183" i="20"/>
  <c r="M2184" i="20"/>
  <c r="M2185" i="20"/>
  <c r="M2186" i="20"/>
  <c r="M2187" i="20"/>
  <c r="M2188" i="20"/>
  <c r="M2189" i="20"/>
  <c r="M2190" i="20"/>
  <c r="M2191" i="20"/>
  <c r="M2192" i="20"/>
  <c r="M2193" i="20"/>
  <c r="M2194" i="20"/>
  <c r="M2195" i="20"/>
  <c r="M2196" i="20"/>
  <c r="M2197" i="20"/>
  <c r="M2198" i="20"/>
  <c r="M2199" i="20"/>
  <c r="M2200" i="20"/>
  <c r="M2201" i="20"/>
  <c r="M2202" i="20"/>
  <c r="M2203" i="20"/>
  <c r="M2204" i="20"/>
  <c r="M2205" i="20"/>
  <c r="M2206" i="20"/>
  <c r="M2207" i="20"/>
  <c r="M2208" i="20"/>
  <c r="M2209" i="20"/>
  <c r="M2210" i="20"/>
  <c r="M2211" i="20"/>
  <c r="M2212" i="20"/>
  <c r="M2213" i="20"/>
  <c r="M2214" i="20"/>
  <c r="M2215" i="20"/>
  <c r="M2216" i="20"/>
  <c r="M2217" i="20"/>
  <c r="M2218" i="20"/>
  <c r="M2219" i="20"/>
  <c r="M2220" i="20"/>
  <c r="M2221" i="20"/>
  <c r="M2222" i="20"/>
  <c r="M2223" i="20"/>
  <c r="M2224" i="20"/>
  <c r="M2225" i="20"/>
  <c r="M2226" i="20"/>
  <c r="M2227" i="20"/>
  <c r="M2228" i="20"/>
  <c r="M2229" i="20"/>
  <c r="M2230" i="20"/>
  <c r="M2231" i="20"/>
  <c r="M2232" i="20"/>
  <c r="M2233" i="20"/>
  <c r="M2234" i="20"/>
  <c r="M2235" i="20"/>
  <c r="M2236" i="20"/>
  <c r="M2237" i="20"/>
  <c r="M2238" i="20"/>
  <c r="M2239" i="20"/>
  <c r="M2240" i="20"/>
  <c r="M2241" i="20"/>
  <c r="M2242" i="20"/>
  <c r="M2243" i="20"/>
  <c r="M2244" i="20"/>
  <c r="M2245" i="20"/>
  <c r="M2246" i="20"/>
  <c r="M2247" i="20"/>
  <c r="M2248" i="20"/>
  <c r="M2249" i="20"/>
  <c r="M2250" i="20"/>
  <c r="M2251" i="20"/>
  <c r="M2252" i="20"/>
  <c r="M2253" i="20"/>
  <c r="M2254" i="20"/>
  <c r="M2255" i="20"/>
  <c r="M2256" i="20"/>
  <c r="M2257" i="20"/>
  <c r="M2258" i="20"/>
  <c r="M2259" i="20"/>
  <c r="M2260" i="20"/>
  <c r="M2261" i="20"/>
  <c r="M2262" i="20"/>
  <c r="M2263" i="20"/>
  <c r="M2264" i="20"/>
  <c r="M2265" i="20"/>
  <c r="M2266" i="20"/>
  <c r="M2267" i="20"/>
  <c r="M2268" i="20"/>
  <c r="M2269" i="20"/>
  <c r="M2270" i="20"/>
  <c r="M2271" i="20"/>
  <c r="M2272" i="20"/>
  <c r="M2273" i="20"/>
  <c r="M2274" i="20"/>
  <c r="M2275" i="20"/>
  <c r="M2276" i="20"/>
  <c r="M2277" i="20"/>
  <c r="M2278" i="20"/>
  <c r="M2279" i="20"/>
  <c r="M2280" i="20"/>
  <c r="M2281" i="20"/>
  <c r="M2282" i="20"/>
  <c r="M2283" i="20"/>
  <c r="M2284" i="20"/>
  <c r="M2285" i="20"/>
  <c r="M2286" i="20"/>
  <c r="M2287" i="20"/>
  <c r="M2288" i="20"/>
  <c r="M2289" i="20"/>
  <c r="M2290" i="20"/>
  <c r="M2291" i="20"/>
  <c r="M2292" i="20"/>
  <c r="M2293" i="20"/>
  <c r="M2294" i="20"/>
  <c r="M2295" i="20"/>
  <c r="M2296" i="20"/>
  <c r="M2297" i="20"/>
  <c r="M2298" i="20"/>
  <c r="M2299" i="20"/>
  <c r="M2300" i="20"/>
  <c r="M2301" i="20"/>
  <c r="M2302" i="20"/>
  <c r="M2303" i="20"/>
  <c r="M2304" i="20"/>
  <c r="M2305" i="20"/>
  <c r="M2306" i="20"/>
  <c r="M2307" i="20"/>
  <c r="M2308" i="20"/>
  <c r="M2309" i="20"/>
  <c r="M2310" i="20"/>
  <c r="M2311" i="20"/>
  <c r="M2312" i="20"/>
  <c r="M2313" i="20"/>
  <c r="M2314" i="20"/>
  <c r="M2315" i="20"/>
  <c r="M2316" i="20"/>
  <c r="M2317" i="20"/>
  <c r="M2318" i="20"/>
  <c r="M2319" i="20"/>
  <c r="M2320" i="20"/>
  <c r="M2321" i="20"/>
  <c r="M2322" i="20"/>
  <c r="M2323" i="20"/>
  <c r="M2324" i="20"/>
  <c r="M2325" i="20"/>
  <c r="M2326" i="20"/>
  <c r="M2327" i="20"/>
  <c r="M2328" i="20"/>
  <c r="M2329" i="20"/>
  <c r="M2330" i="20"/>
  <c r="M2331" i="20"/>
  <c r="M2332" i="20"/>
  <c r="M2333" i="20"/>
  <c r="M2334" i="20"/>
  <c r="M2335" i="20"/>
  <c r="M2336" i="20"/>
  <c r="M2337" i="20"/>
  <c r="M2338" i="20"/>
  <c r="M2339" i="20"/>
  <c r="M2340" i="20"/>
  <c r="M2341" i="20"/>
  <c r="M2342" i="20"/>
  <c r="M2343" i="20"/>
  <c r="M2344" i="20"/>
  <c r="M2345" i="20"/>
  <c r="M2346" i="20"/>
  <c r="M2347" i="20"/>
  <c r="M2348" i="20"/>
  <c r="M2349" i="20"/>
  <c r="M2350" i="20"/>
  <c r="M2351" i="20"/>
  <c r="M2352" i="20"/>
  <c r="M2353" i="20"/>
  <c r="M2354" i="20"/>
  <c r="M2355" i="20"/>
  <c r="M2356" i="20"/>
  <c r="M2357" i="20"/>
  <c r="M2358" i="20"/>
  <c r="M2359" i="20"/>
  <c r="M2360" i="20"/>
  <c r="M2361" i="20"/>
  <c r="M2362" i="20"/>
  <c r="M2363" i="20"/>
  <c r="M2364" i="20"/>
  <c r="M2365" i="20"/>
  <c r="M2366" i="20"/>
  <c r="M2367" i="20"/>
  <c r="M2368" i="20"/>
  <c r="M2369" i="20"/>
  <c r="M2370" i="20"/>
  <c r="M2371" i="20"/>
  <c r="M2372" i="20"/>
  <c r="M2373" i="20"/>
  <c r="M2374" i="20"/>
  <c r="M2375" i="20"/>
  <c r="M2376" i="20"/>
  <c r="M2377" i="20"/>
  <c r="M2378" i="20"/>
  <c r="M2379" i="20"/>
  <c r="M2380" i="20"/>
  <c r="M2381" i="20"/>
  <c r="M2382" i="20"/>
  <c r="M2383" i="20"/>
  <c r="M2384" i="20"/>
  <c r="M2385" i="20"/>
  <c r="M2386" i="20"/>
  <c r="M2387" i="20"/>
  <c r="M2388" i="20"/>
  <c r="M2389" i="20"/>
  <c r="M2390" i="20"/>
  <c r="M2391" i="20"/>
  <c r="M2392" i="20"/>
  <c r="M2393" i="20"/>
  <c r="M2394" i="20"/>
  <c r="M2395" i="20"/>
  <c r="M2396" i="20"/>
  <c r="M2397" i="20"/>
  <c r="M2398" i="20"/>
  <c r="M2399" i="20"/>
  <c r="M2400" i="20"/>
  <c r="M2401" i="20"/>
  <c r="M2402" i="20"/>
  <c r="M2403" i="20"/>
  <c r="M2404" i="20"/>
  <c r="M2405" i="20"/>
  <c r="M2406" i="20"/>
  <c r="M2407" i="20"/>
  <c r="M2408" i="20"/>
  <c r="M2409" i="20"/>
  <c r="M2410" i="20"/>
  <c r="M2411" i="20"/>
  <c r="M2412" i="20"/>
  <c r="M2413" i="20"/>
  <c r="M2414" i="20"/>
  <c r="M2415" i="20"/>
  <c r="M2416" i="20"/>
  <c r="M2417" i="20"/>
  <c r="M2418" i="20"/>
  <c r="M2419" i="20"/>
  <c r="M2420" i="20"/>
  <c r="M2421" i="20"/>
  <c r="M2422" i="20"/>
  <c r="M2423" i="20"/>
  <c r="M2424" i="20"/>
  <c r="M2425" i="20"/>
  <c r="M2426" i="20"/>
  <c r="M2427" i="20"/>
  <c r="M2428" i="20"/>
  <c r="M2429" i="20"/>
  <c r="M2430" i="20"/>
  <c r="M2431" i="20"/>
  <c r="M2432" i="20"/>
  <c r="M2433" i="20"/>
  <c r="M2434" i="20"/>
  <c r="M2435" i="20"/>
  <c r="M2436" i="20"/>
  <c r="M2437" i="20"/>
  <c r="M2438" i="20"/>
  <c r="M2439" i="20"/>
  <c r="M2440" i="20"/>
  <c r="M2441" i="20"/>
  <c r="M2442" i="20"/>
  <c r="M2443" i="20"/>
  <c r="M2444" i="20"/>
  <c r="M2445" i="20"/>
  <c r="M2446" i="20"/>
  <c r="M2447" i="20"/>
  <c r="M2448" i="20"/>
  <c r="M2449" i="20"/>
  <c r="M2450" i="20"/>
  <c r="M2451" i="20"/>
  <c r="M2452" i="20"/>
  <c r="M2453" i="20"/>
  <c r="M2454" i="20"/>
  <c r="M2455" i="20"/>
  <c r="M2456" i="20"/>
  <c r="M2457" i="20"/>
  <c r="M2458" i="20"/>
  <c r="M2459" i="20"/>
  <c r="M2460" i="20"/>
  <c r="M2461" i="20"/>
  <c r="M2462" i="20"/>
  <c r="M2463" i="20"/>
  <c r="M2464" i="20"/>
  <c r="M2465" i="20"/>
  <c r="M2466" i="20"/>
  <c r="M2467" i="20"/>
  <c r="M2468" i="20"/>
  <c r="M2469" i="20"/>
  <c r="M2470" i="20"/>
  <c r="M2471" i="20"/>
  <c r="M2472" i="20"/>
  <c r="M2473" i="20"/>
  <c r="M2474" i="20"/>
  <c r="M2475" i="20"/>
  <c r="M2476" i="20"/>
  <c r="M2477" i="20"/>
  <c r="M2478" i="20"/>
  <c r="M2479" i="20"/>
  <c r="M2480" i="20"/>
  <c r="M2481" i="20"/>
  <c r="M2482" i="20"/>
  <c r="M2483" i="20"/>
  <c r="M2484" i="20"/>
  <c r="M2485" i="20"/>
  <c r="M2486" i="20"/>
  <c r="M2487" i="20"/>
  <c r="M2488" i="20"/>
  <c r="M2489" i="20"/>
  <c r="M2490" i="20"/>
  <c r="M2491" i="20"/>
  <c r="M2492" i="20"/>
  <c r="M2493" i="20"/>
  <c r="M2494" i="20"/>
  <c r="M2495" i="20"/>
  <c r="M2496" i="20"/>
  <c r="M2497" i="20"/>
  <c r="M2498" i="20"/>
  <c r="M2499" i="20"/>
  <c r="M2500" i="20"/>
  <c r="M2501" i="20"/>
  <c r="M2502" i="20"/>
  <c r="M2503" i="20"/>
  <c r="M2504" i="20"/>
  <c r="M2505" i="20"/>
  <c r="M2506" i="20"/>
  <c r="M2507" i="20"/>
  <c r="M2508" i="20"/>
  <c r="M2509" i="20"/>
  <c r="M2510" i="20"/>
  <c r="M2511" i="20"/>
  <c r="M2512" i="20"/>
  <c r="M2513" i="20"/>
  <c r="M2514" i="20"/>
  <c r="M2515" i="20"/>
  <c r="M2516" i="20"/>
  <c r="M2517" i="20"/>
  <c r="M2518" i="20"/>
  <c r="M2519" i="20"/>
  <c r="M2520" i="20"/>
  <c r="M2521" i="20"/>
  <c r="M2522" i="20"/>
  <c r="M2523" i="20"/>
  <c r="M2524" i="20"/>
  <c r="M2525" i="20"/>
  <c r="M2526" i="20"/>
  <c r="M2527" i="20"/>
  <c r="M2528" i="20"/>
  <c r="M2529" i="20"/>
  <c r="M2530" i="20"/>
  <c r="M2531" i="20"/>
  <c r="M2532" i="20"/>
  <c r="M2533" i="20"/>
  <c r="M2534" i="20"/>
  <c r="M2535" i="20"/>
  <c r="M2536" i="20"/>
  <c r="M2537" i="20"/>
  <c r="M2538" i="20"/>
  <c r="M2539" i="20"/>
  <c r="M2540" i="20"/>
  <c r="M2541" i="20"/>
  <c r="M2542" i="20"/>
  <c r="M2543" i="20"/>
  <c r="M2544" i="20"/>
  <c r="M2545" i="20"/>
  <c r="M2546" i="20"/>
  <c r="M2547" i="20"/>
  <c r="M2548" i="20"/>
  <c r="M2549" i="20"/>
  <c r="M2550" i="20"/>
  <c r="M2551" i="20"/>
  <c r="M2552" i="20"/>
  <c r="M2553" i="20"/>
  <c r="M2554" i="20"/>
  <c r="M2555" i="20"/>
  <c r="M2556" i="20"/>
  <c r="M2557" i="20"/>
  <c r="M2558" i="20"/>
  <c r="M2559" i="20"/>
  <c r="M2560" i="20"/>
  <c r="M2561" i="20"/>
  <c r="M2562" i="20"/>
  <c r="M2563" i="20"/>
  <c r="M2564" i="20"/>
  <c r="M2565" i="20"/>
  <c r="M2566" i="20"/>
  <c r="M2567" i="20"/>
  <c r="M2568" i="20"/>
  <c r="M2569" i="20"/>
  <c r="M2570" i="20"/>
  <c r="M2571" i="20"/>
  <c r="M2572" i="20"/>
  <c r="M2573" i="20"/>
  <c r="M2574" i="20"/>
  <c r="M2575" i="20"/>
  <c r="M2576" i="20"/>
  <c r="M2577" i="20"/>
  <c r="M2578" i="20"/>
  <c r="M2579" i="20"/>
  <c r="M2580" i="20"/>
  <c r="M2581" i="20"/>
  <c r="M2582" i="20"/>
  <c r="M2583" i="20"/>
  <c r="M2584" i="20"/>
  <c r="M2585" i="20"/>
  <c r="M2586" i="20"/>
  <c r="M2587" i="20"/>
  <c r="M2588" i="20"/>
  <c r="M2589" i="20"/>
  <c r="M2590" i="20"/>
  <c r="M2591" i="20"/>
  <c r="M2592" i="20"/>
  <c r="M2593" i="20"/>
  <c r="M2594" i="20"/>
  <c r="M2595" i="20"/>
  <c r="M2596" i="20"/>
  <c r="M2597" i="20"/>
  <c r="M2598" i="20"/>
  <c r="M2599" i="20"/>
  <c r="M2600" i="20"/>
  <c r="M2601" i="20"/>
  <c r="M2602" i="20"/>
  <c r="M2603" i="20"/>
  <c r="M2604" i="20"/>
  <c r="M2605" i="20"/>
  <c r="M2606" i="20"/>
  <c r="M2607" i="20"/>
  <c r="M2608" i="20"/>
  <c r="M2609" i="20"/>
  <c r="M2610" i="20"/>
  <c r="M2611" i="20"/>
  <c r="M2612" i="20"/>
  <c r="M2613" i="20"/>
  <c r="M2614" i="20"/>
  <c r="M2615" i="20"/>
  <c r="M2616" i="20"/>
  <c r="M2617" i="20"/>
  <c r="M2618" i="20"/>
  <c r="M2619" i="20"/>
  <c r="M2620" i="20"/>
  <c r="M2621" i="20"/>
  <c r="M2622" i="20"/>
  <c r="M2623" i="20"/>
  <c r="M2624" i="20"/>
  <c r="M2625" i="20"/>
  <c r="M2626" i="20"/>
  <c r="M2627" i="20"/>
  <c r="M2628" i="20"/>
  <c r="M2629" i="20"/>
  <c r="M2630" i="20"/>
  <c r="M2631" i="20"/>
  <c r="M2632" i="20"/>
  <c r="M2633" i="20"/>
  <c r="M2634" i="20"/>
  <c r="M2635" i="20"/>
  <c r="M2636" i="20"/>
  <c r="M2637" i="20"/>
  <c r="M2638" i="20"/>
  <c r="M2639" i="20"/>
  <c r="M2640" i="20"/>
  <c r="M2641" i="20"/>
  <c r="M2642" i="20"/>
  <c r="M2643" i="20"/>
  <c r="M2644" i="20"/>
  <c r="M2645" i="20"/>
  <c r="M2646" i="20"/>
  <c r="M2647" i="20"/>
  <c r="M2648" i="20"/>
  <c r="M2649" i="20"/>
  <c r="M2650" i="20"/>
  <c r="M2651" i="20"/>
  <c r="M2652" i="20"/>
  <c r="M2653" i="20"/>
  <c r="M2654" i="20"/>
  <c r="M2655" i="20"/>
  <c r="M2656" i="20"/>
  <c r="M2657" i="20"/>
  <c r="M2658" i="20"/>
  <c r="M2659" i="20"/>
  <c r="M2660" i="20"/>
  <c r="M2661" i="20"/>
  <c r="M2662" i="20"/>
  <c r="M2663" i="20"/>
  <c r="M2664" i="20"/>
  <c r="M2665" i="20"/>
  <c r="M2666" i="20"/>
  <c r="M2667" i="20"/>
  <c r="M2668" i="20"/>
  <c r="M2669" i="20"/>
  <c r="M2670" i="20"/>
  <c r="M2671" i="20"/>
  <c r="M2672" i="20"/>
  <c r="M2673" i="20"/>
  <c r="M2674" i="20"/>
  <c r="M2675" i="20"/>
  <c r="M2676" i="20"/>
  <c r="M2677" i="20"/>
  <c r="M2678" i="20"/>
  <c r="M2679" i="20"/>
  <c r="M2680" i="20"/>
  <c r="M2681" i="20"/>
  <c r="M2682" i="20"/>
  <c r="M2683" i="20"/>
  <c r="M2684" i="20"/>
  <c r="M2685" i="20"/>
  <c r="M2686" i="20"/>
  <c r="M2687" i="20"/>
  <c r="M2688" i="20"/>
  <c r="M2689" i="20"/>
  <c r="M2690" i="20"/>
  <c r="M2691" i="20"/>
  <c r="M2692" i="20"/>
  <c r="M2693" i="20"/>
  <c r="M2694" i="20"/>
  <c r="M2695" i="20"/>
  <c r="M2696" i="20"/>
  <c r="M2697" i="20"/>
  <c r="M2698" i="20"/>
  <c r="M2699" i="20"/>
  <c r="M2700" i="20"/>
  <c r="M2701" i="20"/>
  <c r="M2702" i="20"/>
  <c r="M2703" i="20"/>
  <c r="M2704" i="20"/>
  <c r="M2705" i="20"/>
  <c r="M2706" i="20"/>
  <c r="M2707" i="20"/>
  <c r="M2708" i="20"/>
  <c r="M2709" i="20"/>
  <c r="M2710" i="20"/>
  <c r="M2711" i="20"/>
  <c r="M2712" i="20"/>
  <c r="M2713" i="20"/>
  <c r="M2714" i="20"/>
  <c r="M2715" i="20"/>
  <c r="M2716" i="20"/>
  <c r="M2717" i="20"/>
  <c r="M2718" i="20"/>
  <c r="M2719" i="20"/>
  <c r="M2720" i="20"/>
  <c r="M2721" i="20"/>
  <c r="M2722" i="20"/>
  <c r="M2723" i="20"/>
  <c r="M2724" i="20"/>
  <c r="M2725" i="20"/>
  <c r="M2726" i="20"/>
  <c r="M2727" i="20"/>
  <c r="M2728" i="20"/>
  <c r="M2729" i="20"/>
  <c r="M2730" i="20"/>
  <c r="M2731" i="20"/>
  <c r="M2732" i="20"/>
  <c r="M2733" i="20"/>
  <c r="M2734" i="20"/>
  <c r="M2735" i="20"/>
  <c r="M2736" i="20"/>
  <c r="M2737" i="20"/>
  <c r="M2738" i="20"/>
  <c r="M2739" i="20"/>
  <c r="M2740" i="20"/>
  <c r="M2741" i="20"/>
  <c r="M2742" i="20"/>
  <c r="M2743" i="20"/>
  <c r="M2744" i="20"/>
  <c r="M2745" i="20"/>
  <c r="M2746" i="20"/>
  <c r="M2747" i="20"/>
  <c r="M2748" i="20"/>
  <c r="M2749" i="20"/>
  <c r="M2750" i="20"/>
  <c r="M2751" i="20"/>
  <c r="M2752" i="20"/>
  <c r="M2753" i="20"/>
  <c r="M2754" i="20"/>
  <c r="M2755" i="20"/>
  <c r="M2756" i="20"/>
  <c r="M2757" i="20"/>
  <c r="M2758" i="20"/>
  <c r="M2759" i="20"/>
  <c r="M2760" i="20"/>
  <c r="M2761" i="20"/>
  <c r="M2762" i="20"/>
  <c r="M2763" i="20"/>
  <c r="M2764" i="20"/>
  <c r="M2765" i="20"/>
  <c r="M2766" i="20"/>
  <c r="M2767" i="20"/>
  <c r="M2768" i="20"/>
  <c r="M2769" i="20"/>
  <c r="M2770" i="20"/>
  <c r="M2771" i="20"/>
  <c r="M2772" i="20"/>
  <c r="M2773" i="20"/>
  <c r="M2774" i="20"/>
  <c r="M2775" i="20"/>
  <c r="M2776" i="20"/>
  <c r="M2777" i="20"/>
  <c r="M2778" i="20"/>
  <c r="M2779" i="20"/>
  <c r="M2780" i="20"/>
  <c r="M2781" i="20"/>
  <c r="M2782" i="20"/>
  <c r="M2783" i="20"/>
  <c r="M2784" i="20"/>
  <c r="M2785" i="20"/>
  <c r="M2786" i="20"/>
  <c r="M2787" i="20"/>
  <c r="M2788" i="20"/>
  <c r="M2789" i="20"/>
  <c r="M2790" i="20"/>
  <c r="M2791" i="20"/>
  <c r="M2792" i="20"/>
  <c r="M2793" i="20"/>
  <c r="M2794" i="20"/>
  <c r="M2795" i="20"/>
  <c r="M2796" i="20"/>
  <c r="M2797" i="20"/>
  <c r="M2798" i="20"/>
  <c r="M2799" i="20"/>
  <c r="M2800" i="20"/>
  <c r="M2801" i="20"/>
  <c r="M2802" i="20"/>
  <c r="M2803" i="20"/>
  <c r="M2804" i="20"/>
  <c r="M2805" i="20"/>
  <c r="M2806" i="20"/>
  <c r="M2807" i="20"/>
  <c r="M2808" i="20"/>
  <c r="M2809" i="20"/>
  <c r="M2810" i="20"/>
  <c r="M2811" i="20"/>
  <c r="M2812" i="20"/>
  <c r="M2813" i="20"/>
  <c r="M2814" i="20"/>
  <c r="M2815" i="20"/>
  <c r="M2816" i="20"/>
  <c r="M2817" i="20"/>
  <c r="M2818" i="20"/>
  <c r="M2819" i="20"/>
  <c r="M2820" i="20"/>
  <c r="M2821" i="20"/>
  <c r="M2822" i="20"/>
  <c r="M2823" i="20"/>
  <c r="M2824" i="20"/>
  <c r="M2825" i="20"/>
  <c r="M2826" i="20"/>
  <c r="M2827" i="20"/>
  <c r="M2828" i="20"/>
  <c r="M2829" i="20"/>
  <c r="M2830" i="20"/>
  <c r="M2831" i="20"/>
  <c r="M2832" i="20"/>
  <c r="M2833" i="20"/>
  <c r="M2834" i="20"/>
  <c r="M2835" i="20"/>
  <c r="M2836" i="20"/>
  <c r="M2837" i="20"/>
  <c r="M2838" i="20"/>
  <c r="M2839" i="20"/>
  <c r="M2840" i="20"/>
  <c r="M2841" i="20"/>
  <c r="M2842" i="20"/>
  <c r="M2843" i="20"/>
  <c r="M2844" i="20"/>
  <c r="M2845" i="20"/>
  <c r="M2846" i="20"/>
  <c r="M2847" i="20"/>
  <c r="M2848" i="20"/>
  <c r="M2849" i="20"/>
  <c r="M2850" i="20"/>
  <c r="M2851" i="20"/>
  <c r="M2852" i="20"/>
  <c r="M2853" i="20"/>
  <c r="M2854" i="20"/>
  <c r="M2855" i="20"/>
  <c r="M2856" i="20"/>
  <c r="M2857" i="20"/>
  <c r="M2858" i="20"/>
  <c r="M2859" i="20"/>
  <c r="M2860" i="20"/>
  <c r="M2861" i="20"/>
  <c r="M2862" i="20"/>
  <c r="M2863" i="20"/>
  <c r="M2864" i="20"/>
  <c r="M2865" i="20"/>
  <c r="M2866" i="20"/>
  <c r="M2867" i="20"/>
  <c r="M2868" i="20"/>
  <c r="M2869" i="20"/>
  <c r="M2870" i="20"/>
  <c r="M2871" i="20"/>
  <c r="M2872" i="20"/>
  <c r="M2873" i="20"/>
  <c r="M2874" i="20"/>
  <c r="M2875" i="20"/>
  <c r="M2876" i="20"/>
  <c r="M2877" i="20"/>
  <c r="M2878" i="20"/>
  <c r="M2879" i="20"/>
  <c r="M2880" i="20"/>
  <c r="M2881" i="20"/>
  <c r="M2882" i="20"/>
  <c r="M2883" i="20"/>
  <c r="M2884" i="20"/>
  <c r="M2885" i="20"/>
  <c r="M2886" i="20"/>
  <c r="M2887" i="20"/>
  <c r="M2888" i="20"/>
  <c r="M2889" i="20"/>
  <c r="M2890" i="20"/>
  <c r="M2891" i="20"/>
  <c r="M2892" i="20"/>
  <c r="M2893" i="20"/>
  <c r="M2894" i="20"/>
  <c r="M2895" i="20"/>
  <c r="M2896" i="20"/>
  <c r="M2897" i="20"/>
  <c r="M2898" i="20"/>
  <c r="M2899" i="20"/>
  <c r="M2900" i="20"/>
  <c r="M2901" i="20"/>
  <c r="M2902" i="20"/>
  <c r="M2903" i="20"/>
  <c r="M2904" i="20"/>
  <c r="M2905" i="20"/>
  <c r="M2906" i="20"/>
  <c r="M2907" i="20"/>
  <c r="M2908" i="20"/>
  <c r="M2909" i="20"/>
  <c r="M2910" i="20"/>
  <c r="M2911" i="20"/>
  <c r="M2912" i="20"/>
  <c r="M2913" i="20"/>
  <c r="M2914" i="20"/>
  <c r="M2915" i="20"/>
  <c r="M2916" i="20"/>
  <c r="M2917" i="20"/>
  <c r="M2918" i="20"/>
  <c r="M2919" i="20"/>
  <c r="M2920" i="20"/>
  <c r="M2921" i="20"/>
  <c r="M2922" i="20"/>
  <c r="M2923" i="20"/>
  <c r="M2924" i="20"/>
  <c r="M2925" i="20"/>
  <c r="M2926" i="20"/>
  <c r="M2927" i="20"/>
  <c r="M2928" i="20"/>
  <c r="M2929" i="20"/>
  <c r="M2930" i="20"/>
  <c r="M2931" i="20"/>
  <c r="M2932" i="20"/>
  <c r="M2933" i="20"/>
  <c r="M2934" i="20"/>
  <c r="M2935" i="20"/>
  <c r="M2936" i="20"/>
  <c r="M2937" i="20"/>
  <c r="M2938" i="20"/>
  <c r="M2939" i="20"/>
  <c r="M2940" i="20"/>
  <c r="M2941" i="20"/>
  <c r="M2942" i="20"/>
  <c r="M2943" i="20"/>
  <c r="M2944" i="20"/>
  <c r="M2945" i="20"/>
  <c r="M2946" i="20"/>
  <c r="M2947" i="20"/>
  <c r="M2948" i="20"/>
  <c r="M2949" i="20"/>
  <c r="M2950" i="20"/>
  <c r="M2951" i="20"/>
  <c r="M2952" i="20"/>
  <c r="M2953" i="20"/>
  <c r="M2954" i="20"/>
  <c r="M2955" i="20"/>
  <c r="M2956" i="20"/>
  <c r="M2957" i="20"/>
  <c r="M2958" i="20"/>
  <c r="M2959" i="20"/>
  <c r="M2960" i="20"/>
  <c r="M2961" i="20"/>
  <c r="M2962" i="20"/>
  <c r="M2963" i="20"/>
  <c r="M2964" i="20"/>
  <c r="M2965" i="20"/>
  <c r="M2966" i="20"/>
  <c r="M2967" i="20"/>
  <c r="M2968" i="20"/>
  <c r="M2969" i="20"/>
  <c r="M2970" i="20"/>
  <c r="M2971" i="20"/>
  <c r="M2972" i="20"/>
  <c r="M2973" i="20"/>
  <c r="M2974" i="20"/>
  <c r="M2975" i="20"/>
  <c r="M2976" i="20"/>
  <c r="M2977" i="20"/>
  <c r="M2978" i="20"/>
  <c r="M2979" i="20"/>
  <c r="M2980" i="20"/>
  <c r="M2981" i="20"/>
  <c r="M2982" i="20"/>
  <c r="M2983" i="20"/>
  <c r="M2984" i="20"/>
  <c r="M2985" i="20"/>
  <c r="M2986" i="20"/>
  <c r="M2987" i="20"/>
  <c r="M2988" i="20"/>
  <c r="M2989" i="20"/>
  <c r="M2990" i="20"/>
  <c r="M2991" i="20"/>
  <c r="M2992" i="20"/>
  <c r="M2993" i="20"/>
  <c r="M2994" i="20"/>
  <c r="M2995" i="20"/>
  <c r="M2996" i="20"/>
  <c r="M2997" i="20"/>
  <c r="M2998" i="20"/>
  <c r="M2999" i="20"/>
  <c r="M3000" i="20"/>
  <c r="M3001" i="20"/>
  <c r="M3002" i="20"/>
  <c r="M3003" i="20"/>
  <c r="M3004" i="20"/>
  <c r="M3005" i="20"/>
  <c r="M3006" i="20"/>
  <c r="M3007" i="20"/>
  <c r="M3008" i="20"/>
  <c r="M3009" i="20"/>
  <c r="M3010" i="20"/>
  <c r="M3011" i="20"/>
  <c r="M3012" i="20"/>
  <c r="M3013" i="20"/>
  <c r="M3014" i="20"/>
  <c r="M3015" i="20"/>
  <c r="M3016" i="20"/>
  <c r="M3017" i="20"/>
  <c r="M3018" i="20"/>
  <c r="M3019" i="20"/>
  <c r="M3020" i="20"/>
  <c r="M3021" i="20"/>
  <c r="M3022" i="20"/>
  <c r="M3023" i="20"/>
  <c r="M3024" i="20"/>
  <c r="M3025" i="20"/>
  <c r="M3026" i="20"/>
  <c r="M3027" i="20"/>
  <c r="M3028" i="20"/>
  <c r="M3029" i="20"/>
  <c r="M3030" i="20"/>
  <c r="M3031" i="20"/>
  <c r="M3032" i="20"/>
  <c r="M3033" i="20"/>
  <c r="M3034" i="20"/>
  <c r="M3035" i="20"/>
  <c r="M3036" i="20"/>
  <c r="M3037" i="20"/>
  <c r="M3038" i="20"/>
  <c r="M3039" i="20"/>
  <c r="M3040" i="20"/>
  <c r="M3041" i="20"/>
  <c r="M3042" i="20"/>
  <c r="M3043" i="20"/>
  <c r="M3044" i="20"/>
  <c r="M3045" i="20"/>
  <c r="M3046" i="20"/>
  <c r="M3047" i="20"/>
  <c r="M3048" i="20"/>
  <c r="M3049" i="20"/>
  <c r="M3050" i="20"/>
  <c r="M3051" i="20"/>
  <c r="M3052" i="20"/>
  <c r="M3053" i="20"/>
  <c r="M3054" i="20"/>
  <c r="M3055" i="20"/>
  <c r="M3056" i="20"/>
  <c r="M3057" i="20"/>
  <c r="M3058" i="20"/>
  <c r="M3059" i="20"/>
  <c r="M3060" i="20"/>
  <c r="M3061" i="20"/>
  <c r="M3062" i="20"/>
  <c r="M3063" i="20"/>
  <c r="M3064" i="20"/>
  <c r="M3065" i="20"/>
  <c r="M3066" i="20"/>
  <c r="M3067" i="20"/>
  <c r="M3068" i="20"/>
  <c r="M3069" i="20"/>
  <c r="M3070" i="20"/>
  <c r="M3071" i="20"/>
  <c r="M3072" i="20"/>
  <c r="M3073" i="20"/>
  <c r="M3074" i="20"/>
  <c r="M3075" i="20"/>
  <c r="M3076" i="20"/>
  <c r="M3077" i="20"/>
  <c r="M3078" i="20"/>
  <c r="M3079" i="20"/>
  <c r="M3080" i="20"/>
  <c r="M3081" i="20"/>
  <c r="M3082" i="20"/>
  <c r="M3083" i="20"/>
  <c r="M3084" i="20"/>
  <c r="M3085" i="20"/>
  <c r="M3086" i="20"/>
  <c r="M3087" i="20"/>
  <c r="M3088" i="20"/>
  <c r="M3089" i="20"/>
  <c r="M3090" i="20"/>
  <c r="M3091" i="20"/>
  <c r="M3092" i="20"/>
  <c r="M3093" i="20"/>
  <c r="M3094" i="20"/>
  <c r="M3095" i="20"/>
  <c r="M3096" i="20"/>
  <c r="M3097" i="20"/>
  <c r="M3098" i="20"/>
  <c r="M3099" i="20"/>
  <c r="M3100" i="20"/>
  <c r="M3101" i="20"/>
  <c r="M3102" i="20"/>
  <c r="M3103" i="20"/>
  <c r="M3104" i="20"/>
  <c r="M3105" i="20"/>
  <c r="M3106" i="20"/>
  <c r="M3107" i="20"/>
  <c r="M3108" i="20"/>
  <c r="M3109" i="20"/>
  <c r="M3110" i="20"/>
  <c r="M3111" i="20"/>
  <c r="M3112" i="20"/>
  <c r="M3113" i="20"/>
  <c r="M3114" i="20"/>
  <c r="M3115" i="20"/>
  <c r="M3116" i="20"/>
  <c r="M3117" i="20"/>
  <c r="M3118" i="20"/>
  <c r="M3119" i="20"/>
  <c r="M3120" i="20"/>
  <c r="M3121" i="20"/>
  <c r="M3122" i="20"/>
  <c r="M3123" i="20"/>
  <c r="M3124" i="20"/>
  <c r="M3125" i="20"/>
  <c r="M3126" i="20"/>
  <c r="M3127" i="20"/>
  <c r="M3128" i="20"/>
  <c r="M3129" i="20"/>
  <c r="M3130" i="20"/>
  <c r="M3131" i="20"/>
  <c r="M3132" i="20"/>
  <c r="M3133" i="20"/>
  <c r="M3134" i="20"/>
  <c r="M3135" i="20"/>
  <c r="M3136" i="20"/>
  <c r="M3137" i="20"/>
  <c r="M3138" i="20"/>
  <c r="M3139" i="20"/>
  <c r="M3140" i="20"/>
  <c r="M3141" i="20"/>
  <c r="M3142" i="20"/>
  <c r="M3143" i="20"/>
  <c r="M3144" i="20"/>
  <c r="M3145" i="20"/>
  <c r="M3146" i="20"/>
  <c r="M3147" i="20"/>
  <c r="M3148" i="20"/>
  <c r="M3149" i="20"/>
  <c r="M3150" i="20"/>
  <c r="M3151" i="20"/>
  <c r="M3152" i="20"/>
  <c r="M3153" i="20"/>
  <c r="M3154" i="20"/>
  <c r="M3155" i="20"/>
  <c r="M3156" i="20"/>
  <c r="M3157" i="20"/>
  <c r="M3158" i="20"/>
  <c r="M3159" i="20"/>
  <c r="M3160" i="20"/>
  <c r="M3161" i="20"/>
  <c r="M3162" i="20"/>
  <c r="M3163" i="20"/>
  <c r="M3164" i="20"/>
  <c r="M3165" i="20"/>
  <c r="M3166" i="20"/>
  <c r="M3167" i="20"/>
  <c r="M3168" i="20"/>
  <c r="M3169" i="20"/>
  <c r="M3170" i="20"/>
  <c r="M3171" i="20"/>
  <c r="M3172" i="20"/>
  <c r="M3173" i="20"/>
  <c r="M3174" i="20"/>
  <c r="M3175" i="20"/>
  <c r="M3176" i="20"/>
  <c r="M3177" i="20"/>
  <c r="M3178" i="20"/>
  <c r="M3179" i="20"/>
  <c r="M3180" i="20"/>
  <c r="M3181" i="20"/>
  <c r="M3182" i="20"/>
  <c r="M3183" i="20"/>
  <c r="M3184" i="20"/>
  <c r="M3185" i="20"/>
  <c r="M3186" i="20"/>
  <c r="M3187" i="20"/>
  <c r="M3188" i="20"/>
  <c r="M3189" i="20"/>
  <c r="M3190" i="20"/>
  <c r="M3191" i="20"/>
  <c r="M3192" i="20"/>
  <c r="M3193" i="20"/>
  <c r="M3194" i="20"/>
  <c r="M3195" i="20"/>
  <c r="M3196" i="20"/>
  <c r="M3197" i="20"/>
  <c r="M3198" i="20"/>
  <c r="M3199" i="20"/>
  <c r="M3200" i="20"/>
  <c r="M3201" i="20"/>
  <c r="M3202" i="20"/>
  <c r="M3203" i="20"/>
  <c r="M3204" i="20"/>
  <c r="M3205" i="20"/>
  <c r="M3206" i="20"/>
  <c r="M3207" i="20"/>
  <c r="M3208" i="20"/>
  <c r="M3209" i="20"/>
  <c r="M3210" i="20"/>
  <c r="M3211" i="20"/>
  <c r="M3212" i="20"/>
  <c r="M3213" i="20"/>
  <c r="M3214" i="20"/>
  <c r="M3215" i="20"/>
  <c r="M3216" i="20"/>
  <c r="M3217" i="20"/>
  <c r="M3218" i="20"/>
  <c r="M3219" i="20"/>
  <c r="M3220" i="20"/>
  <c r="M3221" i="20"/>
  <c r="M3222" i="20"/>
  <c r="M3223" i="20"/>
  <c r="M3224" i="20"/>
  <c r="M3225" i="20"/>
  <c r="M3226" i="20"/>
  <c r="M3227" i="20"/>
  <c r="M3228" i="20"/>
  <c r="M3229" i="20"/>
  <c r="M3230" i="20"/>
  <c r="M3231" i="20"/>
  <c r="M3232" i="20"/>
  <c r="M3233" i="20"/>
  <c r="M3234" i="20"/>
  <c r="M3235" i="20"/>
  <c r="M3236" i="20"/>
  <c r="M3237" i="20"/>
  <c r="M3238" i="20"/>
  <c r="M3239" i="20"/>
  <c r="M3240" i="20"/>
  <c r="M3241" i="20"/>
  <c r="M3242" i="20"/>
  <c r="M3243" i="20"/>
  <c r="M3244" i="20"/>
  <c r="M3245" i="20"/>
  <c r="M3246" i="20"/>
  <c r="M3247" i="20"/>
  <c r="M3248" i="20"/>
  <c r="M3249" i="20"/>
  <c r="M3250" i="20"/>
  <c r="M3251" i="20"/>
  <c r="M3252" i="20"/>
  <c r="M3253" i="20"/>
  <c r="M3254" i="20"/>
  <c r="M3255" i="20"/>
  <c r="M3256" i="20"/>
  <c r="M3257" i="20"/>
  <c r="M3258" i="20"/>
  <c r="M3259" i="20"/>
  <c r="M3260" i="20"/>
  <c r="M3261" i="20"/>
  <c r="M3262" i="20"/>
  <c r="M3263" i="20"/>
  <c r="M3264" i="20"/>
  <c r="M3265" i="20"/>
  <c r="M3266" i="20"/>
  <c r="M3267" i="20"/>
  <c r="M3268" i="20"/>
  <c r="M3269" i="20"/>
  <c r="M3270" i="20"/>
  <c r="M3271" i="20"/>
  <c r="M3272" i="20"/>
  <c r="M3273" i="20"/>
  <c r="M3274" i="20"/>
  <c r="M3275" i="20"/>
  <c r="M3276" i="20"/>
  <c r="M3277" i="20"/>
  <c r="M3278" i="20"/>
  <c r="M3279" i="20"/>
  <c r="M3280" i="20"/>
  <c r="M3281" i="20"/>
  <c r="M3282" i="20"/>
  <c r="M3283" i="20"/>
  <c r="M3284" i="20"/>
  <c r="M3285" i="20"/>
  <c r="M3286" i="20"/>
  <c r="M3287" i="20"/>
  <c r="M3288" i="20"/>
  <c r="M3289" i="20"/>
  <c r="M3290" i="20"/>
  <c r="M3291" i="20"/>
  <c r="M3292" i="20"/>
  <c r="M3293" i="20"/>
  <c r="M3294" i="20"/>
  <c r="M3295" i="20"/>
  <c r="M3296" i="20"/>
  <c r="M3297" i="20"/>
  <c r="M3298" i="20"/>
  <c r="M3299" i="20"/>
  <c r="M3300" i="20"/>
  <c r="M3301" i="20"/>
  <c r="M3302" i="20"/>
  <c r="M3303" i="20"/>
  <c r="M3304" i="20"/>
  <c r="M3305" i="20"/>
  <c r="M3306" i="20"/>
  <c r="M3307" i="20"/>
  <c r="M3308" i="20"/>
  <c r="M3309" i="20"/>
  <c r="M3310" i="20"/>
  <c r="M3311" i="20"/>
  <c r="M3312" i="20"/>
  <c r="M3313" i="20"/>
  <c r="M3314" i="20"/>
  <c r="M3315" i="20"/>
  <c r="M3316" i="20"/>
  <c r="M3317" i="20"/>
  <c r="M3318" i="20"/>
  <c r="M3319" i="20"/>
  <c r="M3320" i="20"/>
  <c r="M3321" i="20"/>
  <c r="M3322" i="20"/>
  <c r="M3323" i="20"/>
  <c r="M3324" i="20"/>
  <c r="M3325" i="20"/>
  <c r="M3326" i="20"/>
  <c r="M3327" i="20"/>
  <c r="M3328" i="20"/>
  <c r="M3329" i="20"/>
  <c r="M3330" i="20"/>
  <c r="M3331" i="20"/>
  <c r="M3332" i="20"/>
  <c r="M3333" i="20"/>
  <c r="M3334" i="20"/>
  <c r="M3335" i="20"/>
  <c r="M3336" i="20"/>
  <c r="M3337" i="20"/>
  <c r="M3338" i="20"/>
  <c r="M3339" i="20"/>
  <c r="M3340" i="20"/>
  <c r="M3341" i="20"/>
  <c r="M3342" i="20"/>
  <c r="M3343" i="20"/>
  <c r="M3344" i="20"/>
  <c r="M3345" i="20"/>
  <c r="M3346" i="20"/>
  <c r="M3347" i="20"/>
  <c r="M3348" i="20"/>
  <c r="M3349" i="20"/>
  <c r="M3350" i="20"/>
  <c r="M3351" i="20"/>
  <c r="M3352" i="20"/>
  <c r="M3353" i="20"/>
  <c r="M3354" i="20"/>
  <c r="M3355" i="20"/>
  <c r="M3356" i="20"/>
  <c r="M3357" i="20"/>
  <c r="M3358" i="20"/>
  <c r="M3359" i="20"/>
  <c r="M3360" i="20"/>
  <c r="M3361" i="20"/>
  <c r="M3362" i="20"/>
  <c r="M3363" i="20"/>
  <c r="M3364" i="20"/>
  <c r="M3365" i="20"/>
  <c r="M3366" i="20"/>
  <c r="M3367" i="20"/>
  <c r="M3368" i="20"/>
  <c r="M3369" i="20"/>
  <c r="M3370" i="20"/>
  <c r="M3371" i="20"/>
  <c r="M3372" i="20"/>
  <c r="M3373" i="20"/>
  <c r="M3374" i="20"/>
  <c r="M3375" i="20"/>
  <c r="M3376" i="20"/>
  <c r="M3377" i="20"/>
  <c r="M3378" i="20"/>
  <c r="M3379" i="20"/>
  <c r="M3380" i="20"/>
  <c r="M3381" i="20"/>
  <c r="M3382" i="20"/>
  <c r="M3383" i="20"/>
  <c r="M3384" i="20"/>
  <c r="M3385" i="20"/>
  <c r="M3386" i="20"/>
  <c r="M3387" i="20"/>
  <c r="M3388" i="20"/>
  <c r="M3389" i="20"/>
  <c r="M3390" i="20"/>
  <c r="M3391" i="20"/>
  <c r="M3392" i="20"/>
  <c r="M3393" i="20"/>
  <c r="M3394" i="20"/>
  <c r="M3395" i="20"/>
  <c r="M3396" i="20"/>
  <c r="M3397" i="20"/>
  <c r="M3398" i="20"/>
  <c r="M3399" i="20"/>
  <c r="M3400" i="20"/>
  <c r="M3401" i="20"/>
  <c r="M3402" i="20"/>
  <c r="M3403" i="20"/>
  <c r="M3404" i="20"/>
  <c r="M3405" i="20"/>
  <c r="M3406" i="20"/>
  <c r="M3407" i="20"/>
  <c r="M3408" i="20"/>
  <c r="M3409" i="20"/>
  <c r="M3410" i="20"/>
  <c r="M3411" i="20"/>
  <c r="M3412" i="20"/>
  <c r="M3413" i="20"/>
  <c r="M3414" i="20"/>
  <c r="M3415" i="20"/>
  <c r="M3416" i="20"/>
  <c r="M3417" i="20"/>
  <c r="M3418" i="20"/>
  <c r="M3419" i="20"/>
  <c r="M3420" i="20"/>
  <c r="M3421" i="20"/>
  <c r="M3422" i="20"/>
  <c r="M3423" i="20"/>
  <c r="M3424" i="20"/>
  <c r="M3425" i="20"/>
  <c r="M3426" i="20"/>
  <c r="M3427" i="20"/>
  <c r="M3428" i="20"/>
  <c r="M3429" i="20"/>
  <c r="M3430" i="20"/>
  <c r="M3431" i="20"/>
  <c r="M3432" i="20"/>
  <c r="M3433" i="20"/>
  <c r="M3434" i="20"/>
  <c r="M3435" i="20"/>
  <c r="M3436" i="20"/>
  <c r="M3437" i="20"/>
  <c r="M3438" i="20"/>
  <c r="M3439" i="20"/>
  <c r="M3440" i="20"/>
  <c r="M3441" i="20"/>
  <c r="M3442" i="20"/>
  <c r="M3443" i="20"/>
  <c r="M3444" i="20"/>
  <c r="M3445" i="20"/>
  <c r="M3446" i="20"/>
  <c r="M3447" i="20"/>
  <c r="M3448" i="20"/>
  <c r="M3449" i="20"/>
  <c r="M3450" i="20"/>
  <c r="M3451" i="20"/>
  <c r="M3452" i="20"/>
  <c r="M3453" i="20"/>
  <c r="L835" i="20"/>
  <c r="L836" i="20"/>
  <c r="L837" i="20"/>
  <c r="L838" i="20"/>
  <c r="L839" i="20"/>
  <c r="L840" i="20"/>
  <c r="L841" i="20"/>
  <c r="L842" i="20"/>
  <c r="L843" i="20"/>
  <c r="L844" i="20"/>
  <c r="L845" i="20"/>
  <c r="L846" i="20"/>
  <c r="L847" i="20"/>
  <c r="L848" i="20"/>
  <c r="L849" i="20"/>
  <c r="L850" i="20"/>
  <c r="L851" i="20"/>
  <c r="L852" i="20"/>
  <c r="L853" i="20"/>
  <c r="L854" i="20"/>
  <c r="L855" i="20"/>
  <c r="L856" i="20"/>
  <c r="L857" i="20"/>
  <c r="L858" i="20"/>
  <c r="L859" i="20"/>
  <c r="L860" i="20"/>
  <c r="L861" i="20"/>
  <c r="L862" i="20"/>
  <c r="L863" i="20"/>
  <c r="L864" i="20"/>
  <c r="L865" i="20"/>
  <c r="L866" i="20"/>
  <c r="L867" i="20"/>
  <c r="L868" i="20"/>
  <c r="L869" i="20"/>
  <c r="L870" i="20"/>
  <c r="L871" i="20"/>
  <c r="L872" i="20"/>
  <c r="L873" i="20"/>
  <c r="L874" i="20"/>
  <c r="L875" i="20"/>
  <c r="L876" i="20"/>
  <c r="L877" i="20"/>
  <c r="L878" i="20"/>
  <c r="L879" i="20"/>
  <c r="L880" i="20"/>
  <c r="L881" i="20"/>
  <c r="L882" i="20"/>
  <c r="L883" i="20"/>
  <c r="L884" i="20"/>
  <c r="L885" i="20"/>
  <c r="L886" i="20"/>
  <c r="L887" i="20"/>
  <c r="L888" i="20"/>
  <c r="L889" i="20"/>
  <c r="L890" i="20"/>
  <c r="L891" i="20"/>
  <c r="L892" i="20"/>
  <c r="L893" i="20"/>
  <c r="L894" i="20"/>
  <c r="L895" i="20"/>
  <c r="L896" i="20"/>
  <c r="L897" i="20"/>
  <c r="L898" i="20"/>
  <c r="L899" i="20"/>
  <c r="L900" i="20"/>
  <c r="L901" i="20"/>
  <c r="L902" i="20"/>
  <c r="L903" i="20"/>
  <c r="L904" i="20"/>
  <c r="L905" i="20"/>
  <c r="L906" i="20"/>
  <c r="L907" i="20"/>
  <c r="L908" i="20"/>
  <c r="L909" i="20"/>
  <c r="L910" i="20"/>
  <c r="L911" i="20"/>
  <c r="L912" i="20"/>
  <c r="L913" i="20"/>
  <c r="L914" i="20"/>
  <c r="L915" i="20"/>
  <c r="L916" i="20"/>
  <c r="L917" i="20"/>
  <c r="L918" i="20"/>
  <c r="L919" i="20"/>
  <c r="L920" i="20"/>
  <c r="L921" i="20"/>
  <c r="L922" i="20"/>
  <c r="L923" i="20"/>
  <c r="L924" i="20"/>
  <c r="L925" i="20"/>
  <c r="L926" i="20"/>
  <c r="L927" i="20"/>
  <c r="L928" i="20"/>
  <c r="L929" i="20"/>
  <c r="L930" i="20"/>
  <c r="L931" i="20"/>
  <c r="L932" i="20"/>
  <c r="L933" i="20"/>
  <c r="L934" i="20"/>
  <c r="L935" i="20"/>
  <c r="L936" i="20"/>
  <c r="L937" i="20"/>
  <c r="L938" i="20"/>
  <c r="L939" i="20"/>
  <c r="L940" i="20"/>
  <c r="L941" i="20"/>
  <c r="L942" i="20"/>
  <c r="L943" i="20"/>
  <c r="L944" i="20"/>
  <c r="L945" i="20"/>
  <c r="L946" i="20"/>
  <c r="L947" i="20"/>
  <c r="L948" i="20"/>
  <c r="L949" i="20"/>
  <c r="L950" i="20"/>
  <c r="L951" i="20"/>
  <c r="L952" i="20"/>
  <c r="L953" i="20"/>
  <c r="L954" i="20"/>
  <c r="L955" i="20"/>
  <c r="L956" i="20"/>
  <c r="L957" i="20"/>
  <c r="L958" i="20"/>
  <c r="L959" i="20"/>
  <c r="L960" i="20"/>
  <c r="L961" i="20"/>
  <c r="L962" i="20"/>
  <c r="L963" i="20"/>
  <c r="L964" i="20"/>
  <c r="L965" i="20"/>
  <c r="L966" i="20"/>
  <c r="L967" i="20"/>
  <c r="L968" i="20"/>
  <c r="L969" i="20"/>
  <c r="L970" i="20"/>
  <c r="L971" i="20"/>
  <c r="L972" i="20"/>
  <c r="L973" i="20"/>
  <c r="L974" i="20"/>
  <c r="L975" i="20"/>
  <c r="L976" i="20"/>
  <c r="L977" i="20"/>
  <c r="L978" i="20"/>
  <c r="L979" i="20"/>
  <c r="L980" i="20"/>
  <c r="L981" i="20"/>
  <c r="L982" i="20"/>
  <c r="L983" i="20"/>
  <c r="L984" i="20"/>
  <c r="L985" i="20"/>
  <c r="L986" i="20"/>
  <c r="L987" i="20"/>
  <c r="L988" i="20"/>
  <c r="L989" i="20"/>
  <c r="L990" i="20"/>
  <c r="L991" i="20"/>
  <c r="L992" i="20"/>
  <c r="L993" i="20"/>
  <c r="L994" i="20"/>
  <c r="L995" i="20"/>
  <c r="L996" i="20"/>
  <c r="L997" i="20"/>
  <c r="L998" i="20"/>
  <c r="L999" i="20"/>
  <c r="L1000" i="20"/>
  <c r="L1001" i="20"/>
  <c r="L1002" i="20"/>
  <c r="L1003" i="20"/>
  <c r="L1004" i="20"/>
  <c r="L1005" i="20"/>
  <c r="L1006" i="20"/>
  <c r="L1007" i="20"/>
  <c r="L1008" i="20"/>
  <c r="L1009" i="20"/>
  <c r="L1010" i="20"/>
  <c r="L1011" i="20"/>
  <c r="L1012" i="20"/>
  <c r="L1013" i="20"/>
  <c r="L1014" i="20"/>
  <c r="L1015" i="20"/>
  <c r="L1016" i="20"/>
  <c r="L1017" i="20"/>
  <c r="L1018" i="20"/>
  <c r="L1019" i="20"/>
  <c r="L1020" i="20"/>
  <c r="L1021" i="20"/>
  <c r="L1022" i="20"/>
  <c r="L1023" i="20"/>
  <c r="L1024" i="20"/>
  <c r="L1025" i="20"/>
  <c r="L1026" i="20"/>
  <c r="L1027" i="20"/>
  <c r="L1028" i="20"/>
  <c r="L1029" i="20"/>
  <c r="L1030" i="20"/>
  <c r="L1031" i="20"/>
  <c r="L1032" i="20"/>
  <c r="L1033" i="20"/>
  <c r="L1034" i="20"/>
  <c r="L1035" i="20"/>
  <c r="L1036" i="20"/>
  <c r="L1037" i="20"/>
  <c r="L1038" i="20"/>
  <c r="L1039" i="20"/>
  <c r="L1040" i="20"/>
  <c r="L1041" i="20"/>
  <c r="L1042" i="20"/>
  <c r="L1043" i="20"/>
  <c r="L1044" i="20"/>
  <c r="L1045" i="20"/>
  <c r="L1046" i="20"/>
  <c r="L1047" i="20"/>
  <c r="L1048" i="20"/>
  <c r="L1049" i="20"/>
  <c r="L1050" i="20"/>
  <c r="L1051" i="20"/>
  <c r="L1052" i="20"/>
  <c r="L1053" i="20"/>
  <c r="L1054" i="20"/>
  <c r="L1055" i="20"/>
  <c r="L1056" i="20"/>
  <c r="L1057" i="20"/>
  <c r="L1058" i="20"/>
  <c r="L1059" i="20"/>
  <c r="L1060" i="20"/>
  <c r="L1061" i="20"/>
  <c r="L1062" i="20"/>
  <c r="L1063" i="20"/>
  <c r="L1064" i="20"/>
  <c r="L1065" i="20"/>
  <c r="L1066" i="20"/>
  <c r="L1067" i="20"/>
  <c r="L1068" i="20"/>
  <c r="L1069" i="20"/>
  <c r="L1070" i="20"/>
  <c r="L1071" i="20"/>
  <c r="L1072" i="20"/>
  <c r="L1073" i="20"/>
  <c r="L1074" i="20"/>
  <c r="L1075" i="20"/>
  <c r="L1076" i="20"/>
  <c r="L1077" i="20"/>
  <c r="L1078" i="20"/>
  <c r="L1079" i="20"/>
  <c r="L1080" i="20"/>
  <c r="L1081" i="20"/>
  <c r="L1082" i="20"/>
  <c r="L1083" i="20"/>
  <c r="L1084" i="20"/>
  <c r="L1085" i="20"/>
  <c r="L1086" i="20"/>
  <c r="L1087" i="20"/>
  <c r="L1088" i="20"/>
  <c r="L1089" i="20"/>
  <c r="L1090" i="20"/>
  <c r="L1091" i="20"/>
  <c r="L1092" i="20"/>
  <c r="L1093" i="20"/>
  <c r="L1094" i="20"/>
  <c r="L1095" i="20"/>
  <c r="L1096" i="20"/>
  <c r="L1097" i="20"/>
  <c r="L1098" i="20"/>
  <c r="L1099" i="20"/>
  <c r="L1100" i="20"/>
  <c r="L1101" i="20"/>
  <c r="L1102" i="20"/>
  <c r="L1103" i="20"/>
  <c r="L1104" i="20"/>
  <c r="L1105" i="20"/>
  <c r="L1106" i="20"/>
  <c r="L1107" i="20"/>
  <c r="L1108" i="20"/>
  <c r="L1109" i="20"/>
  <c r="L1110" i="20"/>
  <c r="L1111" i="20"/>
  <c r="L1112" i="20"/>
  <c r="L1113" i="20"/>
  <c r="L1114" i="20"/>
  <c r="L1115" i="20"/>
  <c r="L1116" i="20"/>
  <c r="L1117" i="20"/>
  <c r="L1118" i="20"/>
  <c r="L1119" i="20"/>
  <c r="L1120" i="20"/>
  <c r="L1121" i="20"/>
  <c r="L1122" i="20"/>
  <c r="L1123" i="20"/>
  <c r="L1124" i="20"/>
  <c r="L1125" i="20"/>
  <c r="L1126" i="20"/>
  <c r="L1127" i="20"/>
  <c r="L1128" i="20"/>
  <c r="L1129" i="20"/>
  <c r="L1130" i="20"/>
  <c r="L1131" i="20"/>
  <c r="L1132" i="20"/>
  <c r="L1133" i="20"/>
  <c r="L1134" i="20"/>
  <c r="L1135" i="20"/>
  <c r="L1136" i="20"/>
  <c r="L1137" i="20"/>
  <c r="L1138" i="20"/>
  <c r="L1139" i="20"/>
  <c r="L1140" i="20"/>
  <c r="L1141" i="20"/>
  <c r="L1142" i="20"/>
  <c r="L1143" i="20"/>
  <c r="L1144" i="20"/>
  <c r="L1145" i="20"/>
  <c r="L1146" i="20"/>
  <c r="L1147" i="20"/>
  <c r="L1148" i="20"/>
  <c r="L1149" i="20"/>
  <c r="L1150" i="20"/>
  <c r="L1151" i="20"/>
  <c r="L1152" i="20"/>
  <c r="L1153" i="20"/>
  <c r="L1154" i="20"/>
  <c r="L1155" i="20"/>
  <c r="L1156" i="20"/>
  <c r="L1157" i="20"/>
  <c r="L1158" i="20"/>
  <c r="L1159" i="20"/>
  <c r="L1160" i="20"/>
  <c r="L1161" i="20"/>
  <c r="L1162" i="20"/>
  <c r="L1163" i="20"/>
  <c r="L1164" i="20"/>
  <c r="L1165" i="20"/>
  <c r="L1166" i="20"/>
  <c r="L1167" i="20"/>
  <c r="L1168" i="20"/>
  <c r="L1169" i="20"/>
  <c r="L1170" i="20"/>
  <c r="L1171" i="20"/>
  <c r="L1172" i="20"/>
  <c r="L1173" i="20"/>
  <c r="L1174" i="20"/>
  <c r="L1175" i="20"/>
  <c r="L1176" i="20"/>
  <c r="L1177" i="20"/>
  <c r="L1178" i="20"/>
  <c r="L1179" i="20"/>
  <c r="L1180" i="20"/>
  <c r="L1181" i="20"/>
  <c r="L1182" i="20"/>
  <c r="L1183" i="20"/>
  <c r="L1184" i="20"/>
  <c r="L1185" i="20"/>
  <c r="L1186" i="20"/>
  <c r="L1187" i="20"/>
  <c r="L1188" i="20"/>
  <c r="L1189" i="20"/>
  <c r="L1190" i="20"/>
  <c r="L1191" i="20"/>
  <c r="L1192" i="20"/>
  <c r="L1193" i="20"/>
  <c r="L1194" i="20"/>
  <c r="L1195" i="20"/>
  <c r="L1196" i="20"/>
  <c r="L1197" i="20"/>
  <c r="L1198" i="20"/>
  <c r="L1199" i="20"/>
  <c r="L1200" i="20"/>
  <c r="L1201" i="20"/>
  <c r="L1202" i="20"/>
  <c r="L1203" i="20"/>
  <c r="L1204" i="20"/>
  <c r="L1205" i="20"/>
  <c r="L1206" i="20"/>
  <c r="L1207" i="20"/>
  <c r="L1208" i="20"/>
  <c r="L1209" i="20"/>
  <c r="L1210" i="20"/>
  <c r="L1211" i="20"/>
  <c r="L1212" i="20"/>
  <c r="L1213" i="20"/>
  <c r="L1214" i="20"/>
  <c r="L1215" i="20"/>
  <c r="L1216" i="20"/>
  <c r="L1217" i="20"/>
  <c r="L1218" i="20"/>
  <c r="L1219" i="20"/>
  <c r="L1220" i="20"/>
  <c r="L1221" i="20"/>
  <c r="L1222" i="20"/>
  <c r="L1223" i="20"/>
  <c r="L1224" i="20"/>
  <c r="L1225" i="20"/>
  <c r="L1226" i="20"/>
  <c r="L1227" i="20"/>
  <c r="L1228" i="20"/>
  <c r="L1229" i="20"/>
  <c r="L1230" i="20"/>
  <c r="L1231" i="20"/>
  <c r="L1232" i="20"/>
  <c r="L1233" i="20"/>
  <c r="L1234" i="20"/>
  <c r="L1235" i="20"/>
  <c r="L1236" i="20"/>
  <c r="L1237" i="20"/>
  <c r="L1238" i="20"/>
  <c r="L1239" i="20"/>
  <c r="L1240" i="20"/>
  <c r="L1241" i="20"/>
  <c r="L1242" i="20"/>
  <c r="L1243" i="20"/>
  <c r="L1244" i="20"/>
  <c r="L1245" i="20"/>
  <c r="L1246" i="20"/>
  <c r="L1247" i="20"/>
  <c r="L1248" i="20"/>
  <c r="L1249" i="20"/>
  <c r="L1250" i="20"/>
  <c r="L1251" i="20"/>
  <c r="L1252" i="20"/>
  <c r="L1253" i="20"/>
  <c r="L1254" i="20"/>
  <c r="L1255" i="20"/>
  <c r="L1256" i="20"/>
  <c r="L1257" i="20"/>
  <c r="L1258" i="20"/>
  <c r="L1259" i="20"/>
  <c r="L1260" i="20"/>
  <c r="L1261" i="20"/>
  <c r="L1262" i="20"/>
  <c r="L1263" i="20"/>
  <c r="L1264" i="20"/>
  <c r="L1265" i="20"/>
  <c r="L1266" i="20"/>
  <c r="L1267" i="20"/>
  <c r="L1268" i="20"/>
  <c r="L1269" i="20"/>
  <c r="L1270" i="20"/>
  <c r="L1271" i="20"/>
  <c r="L1272" i="20"/>
  <c r="L1273" i="20"/>
  <c r="L1274" i="20"/>
  <c r="L1275" i="20"/>
  <c r="L1276" i="20"/>
  <c r="L1277" i="20"/>
  <c r="L1278" i="20"/>
  <c r="L1279" i="20"/>
  <c r="L1280" i="20"/>
  <c r="L1281" i="20"/>
  <c r="L1282" i="20"/>
  <c r="L1283" i="20"/>
  <c r="L1284" i="20"/>
  <c r="L1285" i="20"/>
  <c r="L1286" i="20"/>
  <c r="L1287" i="20"/>
  <c r="L1288" i="20"/>
  <c r="L1289" i="20"/>
  <c r="L1290" i="20"/>
  <c r="L1291" i="20"/>
  <c r="L1292" i="20"/>
  <c r="L1293" i="20"/>
  <c r="L1294" i="20"/>
  <c r="L1295" i="20"/>
  <c r="L1296" i="20"/>
  <c r="L1297" i="20"/>
  <c r="L1298" i="20"/>
  <c r="L1299" i="20"/>
  <c r="L1300" i="20"/>
  <c r="L1301" i="20"/>
  <c r="L1302" i="20"/>
  <c r="L1303" i="20"/>
  <c r="L1304" i="20"/>
  <c r="L1305" i="20"/>
  <c r="L1306" i="20"/>
  <c r="L1307" i="20"/>
  <c r="L1308" i="20"/>
  <c r="L1309" i="20"/>
  <c r="L1310" i="20"/>
  <c r="L1311" i="20"/>
  <c r="L1312" i="20"/>
  <c r="L1313" i="20"/>
  <c r="L1314" i="20"/>
  <c r="L1315" i="20"/>
  <c r="L1316" i="20"/>
  <c r="L1317" i="20"/>
  <c r="L1318" i="20"/>
  <c r="L1319" i="20"/>
  <c r="L1320" i="20"/>
  <c r="L1321" i="20"/>
  <c r="L1322" i="20"/>
  <c r="L1323" i="20"/>
  <c r="L1324" i="20"/>
  <c r="L1325" i="20"/>
  <c r="L1326" i="20"/>
  <c r="L1327" i="20"/>
  <c r="L1328" i="20"/>
  <c r="L1329" i="20"/>
  <c r="L1330" i="20"/>
  <c r="L1331" i="20"/>
  <c r="L1332" i="20"/>
  <c r="L1333" i="20"/>
  <c r="L1334" i="20"/>
  <c r="L1335" i="20"/>
  <c r="L1336" i="20"/>
  <c r="L1337" i="20"/>
  <c r="L1338" i="20"/>
  <c r="L1339" i="20"/>
  <c r="L1340" i="20"/>
  <c r="L1341" i="20"/>
  <c r="L1342" i="20"/>
  <c r="L1343" i="20"/>
  <c r="L1344" i="20"/>
  <c r="L1345" i="20"/>
  <c r="L1346" i="20"/>
  <c r="L1347" i="20"/>
  <c r="L1348" i="20"/>
  <c r="L1349" i="20"/>
  <c r="L1350" i="20"/>
  <c r="L1351" i="20"/>
  <c r="L1352" i="20"/>
  <c r="L1353" i="20"/>
  <c r="L1354" i="20"/>
  <c r="L1355" i="20"/>
  <c r="L1356" i="20"/>
  <c r="L1357" i="20"/>
  <c r="L1358" i="20"/>
  <c r="L1359" i="20"/>
  <c r="L1360" i="20"/>
  <c r="L1361" i="20"/>
  <c r="L1362" i="20"/>
  <c r="L1363" i="20"/>
  <c r="L1364" i="20"/>
  <c r="L1365" i="20"/>
  <c r="L1366" i="20"/>
  <c r="L1367" i="20"/>
  <c r="L1368" i="20"/>
  <c r="L1369" i="20"/>
  <c r="L1370" i="20"/>
  <c r="L1371" i="20"/>
  <c r="L1372" i="20"/>
  <c r="L1373" i="20"/>
  <c r="L1374" i="20"/>
  <c r="L1375" i="20"/>
  <c r="L1376" i="20"/>
  <c r="L1377" i="20"/>
  <c r="L1378" i="20"/>
  <c r="L1379" i="20"/>
  <c r="L1380" i="20"/>
  <c r="L1381" i="20"/>
  <c r="L1382" i="20"/>
  <c r="L1383" i="20"/>
  <c r="L1384" i="20"/>
  <c r="L1385" i="20"/>
  <c r="L1386" i="20"/>
  <c r="L1387" i="20"/>
  <c r="L1388" i="20"/>
  <c r="L1389" i="20"/>
  <c r="L1390" i="20"/>
  <c r="L1391" i="20"/>
  <c r="L1392" i="20"/>
  <c r="L1393" i="20"/>
  <c r="L1394" i="20"/>
  <c r="L1395" i="20"/>
  <c r="L1396" i="20"/>
  <c r="L1397" i="20"/>
  <c r="L1398" i="20"/>
  <c r="L1399" i="20"/>
  <c r="L1400" i="20"/>
  <c r="L1401" i="20"/>
  <c r="L1402" i="20"/>
  <c r="L1403" i="20"/>
  <c r="L1404" i="20"/>
  <c r="L1405" i="20"/>
  <c r="L1406" i="20"/>
  <c r="L1407" i="20"/>
  <c r="L1408" i="20"/>
  <c r="L1409" i="20"/>
  <c r="L1410" i="20"/>
  <c r="L1411" i="20"/>
  <c r="L1412" i="20"/>
  <c r="L1413" i="20"/>
  <c r="L1414" i="20"/>
  <c r="L1415" i="20"/>
  <c r="L1416" i="20"/>
  <c r="L1417" i="20"/>
  <c r="L1418" i="20"/>
  <c r="L1419" i="20"/>
  <c r="L1420" i="20"/>
  <c r="L1421" i="20"/>
  <c r="L1422" i="20"/>
  <c r="L1423" i="20"/>
  <c r="L1424" i="20"/>
  <c r="L1425" i="20"/>
  <c r="L1426" i="20"/>
  <c r="L1427" i="20"/>
  <c r="L1428" i="20"/>
  <c r="L1429" i="20"/>
  <c r="L1430" i="20"/>
  <c r="L1431" i="20"/>
  <c r="L1432" i="20"/>
  <c r="L1433" i="20"/>
  <c r="L1434" i="20"/>
  <c r="L1435" i="20"/>
  <c r="L1436" i="20"/>
  <c r="L1437" i="20"/>
  <c r="L1438" i="20"/>
  <c r="L1439" i="20"/>
  <c r="L1440" i="20"/>
  <c r="L1441" i="20"/>
  <c r="L1442" i="20"/>
  <c r="L1443" i="20"/>
  <c r="L1444" i="20"/>
  <c r="L1445" i="20"/>
  <c r="L1446" i="20"/>
  <c r="L1447" i="20"/>
  <c r="L1448" i="20"/>
  <c r="L1449" i="20"/>
  <c r="L1450" i="20"/>
  <c r="L1451" i="20"/>
  <c r="L1452" i="20"/>
  <c r="L1453" i="20"/>
  <c r="L1454" i="20"/>
  <c r="L1455" i="20"/>
  <c r="L1456" i="20"/>
  <c r="L1457" i="20"/>
  <c r="L1458" i="20"/>
  <c r="L1459" i="20"/>
  <c r="L1460" i="20"/>
  <c r="L1461" i="20"/>
  <c r="L1462" i="20"/>
  <c r="L1463" i="20"/>
  <c r="L1464" i="20"/>
  <c r="L1465" i="20"/>
  <c r="L1466" i="20"/>
  <c r="L1467" i="20"/>
  <c r="L1468" i="20"/>
  <c r="L1469" i="20"/>
  <c r="L1470" i="20"/>
  <c r="L1471" i="20"/>
  <c r="L1472" i="20"/>
  <c r="L1473" i="20"/>
  <c r="L1474" i="20"/>
  <c r="L1475" i="20"/>
  <c r="L1476" i="20"/>
  <c r="L1477" i="20"/>
  <c r="L1478" i="20"/>
  <c r="L1479" i="20"/>
  <c r="L1480" i="20"/>
  <c r="L1481" i="20"/>
  <c r="L1482" i="20"/>
  <c r="L1483" i="20"/>
  <c r="L1484" i="20"/>
  <c r="L1485" i="20"/>
  <c r="L1486" i="20"/>
  <c r="L1487" i="20"/>
  <c r="L1488" i="20"/>
  <c r="L1489" i="20"/>
  <c r="L1490" i="20"/>
  <c r="L1491" i="20"/>
  <c r="L1492" i="20"/>
  <c r="L1493" i="20"/>
  <c r="L1494" i="20"/>
  <c r="L1495" i="20"/>
  <c r="L1496" i="20"/>
  <c r="L1497" i="20"/>
  <c r="L1498" i="20"/>
  <c r="L1499" i="20"/>
  <c r="L1500" i="20"/>
  <c r="L1501" i="20"/>
  <c r="L1502" i="20"/>
  <c r="L1503" i="20"/>
  <c r="L1504" i="20"/>
  <c r="L1505" i="20"/>
  <c r="L1506" i="20"/>
  <c r="L1507" i="20"/>
  <c r="L1508" i="20"/>
  <c r="L1509" i="20"/>
  <c r="L1510" i="20"/>
  <c r="L1511" i="20"/>
  <c r="L1512" i="20"/>
  <c r="L1513" i="20"/>
  <c r="L1514" i="20"/>
  <c r="L1515" i="20"/>
  <c r="L1516" i="20"/>
  <c r="L1517" i="20"/>
  <c r="L1518" i="20"/>
  <c r="L1519" i="20"/>
  <c r="L1520" i="20"/>
  <c r="L1521" i="20"/>
  <c r="L1522" i="20"/>
  <c r="L1523" i="20"/>
  <c r="L1524" i="20"/>
  <c r="L1525" i="20"/>
  <c r="L1526" i="20"/>
  <c r="L1527" i="20"/>
  <c r="L1528" i="20"/>
  <c r="L1529" i="20"/>
  <c r="L1530" i="20"/>
  <c r="L1531" i="20"/>
  <c r="L1532" i="20"/>
  <c r="L1533" i="20"/>
  <c r="L1534" i="20"/>
  <c r="L1535" i="20"/>
  <c r="L1536" i="20"/>
  <c r="L1537" i="20"/>
  <c r="L1538" i="20"/>
  <c r="L1539" i="20"/>
  <c r="L1540" i="20"/>
  <c r="L1541" i="20"/>
  <c r="L1542" i="20"/>
  <c r="L1543" i="20"/>
  <c r="L1544" i="20"/>
  <c r="L1545" i="20"/>
  <c r="L1546" i="20"/>
  <c r="L1547" i="20"/>
  <c r="L1548" i="20"/>
  <c r="L1549" i="20"/>
  <c r="L1550" i="20"/>
  <c r="L1551" i="20"/>
  <c r="L1552" i="20"/>
  <c r="L1553" i="20"/>
  <c r="L1554" i="20"/>
  <c r="L1555" i="20"/>
  <c r="L1556" i="20"/>
  <c r="L1557" i="20"/>
  <c r="L1558" i="20"/>
  <c r="L1559" i="20"/>
  <c r="L1560" i="20"/>
  <c r="L1561" i="20"/>
  <c r="L1562" i="20"/>
  <c r="L1563" i="20"/>
  <c r="L1564" i="20"/>
  <c r="L1565" i="20"/>
  <c r="L1566" i="20"/>
  <c r="L1567" i="20"/>
  <c r="L1568" i="20"/>
  <c r="L1569" i="20"/>
  <c r="L1570" i="20"/>
  <c r="L1571" i="20"/>
  <c r="L1572" i="20"/>
  <c r="L1573" i="20"/>
  <c r="L1574" i="20"/>
  <c r="L1575" i="20"/>
  <c r="L1576" i="20"/>
  <c r="L1577" i="20"/>
  <c r="L1578" i="20"/>
  <c r="L1579" i="20"/>
  <c r="L1580" i="20"/>
  <c r="L1581" i="20"/>
  <c r="L1582" i="20"/>
  <c r="L1583" i="20"/>
  <c r="L1584" i="20"/>
  <c r="L1585" i="20"/>
  <c r="L1586" i="20"/>
  <c r="L1587" i="20"/>
  <c r="L1588" i="20"/>
  <c r="L1589" i="20"/>
  <c r="L1590" i="20"/>
  <c r="L1591" i="20"/>
  <c r="L1592" i="20"/>
  <c r="L1593" i="20"/>
  <c r="L1594" i="20"/>
  <c r="L1595" i="20"/>
  <c r="L1596" i="20"/>
  <c r="L1597" i="20"/>
  <c r="L1598" i="20"/>
  <c r="L1599" i="20"/>
  <c r="L1600" i="20"/>
  <c r="L1601" i="20"/>
  <c r="L1602" i="20"/>
  <c r="L1603" i="20"/>
  <c r="L1604" i="20"/>
  <c r="L1605" i="20"/>
  <c r="L1606" i="20"/>
  <c r="L1607" i="20"/>
  <c r="L1608" i="20"/>
  <c r="L1609" i="20"/>
  <c r="L1610" i="20"/>
  <c r="L1611" i="20"/>
  <c r="L1612" i="20"/>
  <c r="L1613" i="20"/>
  <c r="L1614" i="20"/>
  <c r="L1615" i="20"/>
  <c r="L1616" i="20"/>
  <c r="L1617" i="20"/>
  <c r="L1618" i="20"/>
  <c r="L1619" i="20"/>
  <c r="L1620" i="20"/>
  <c r="L1621" i="20"/>
  <c r="L1622" i="20"/>
  <c r="L1623" i="20"/>
  <c r="L1624" i="20"/>
  <c r="L1625" i="20"/>
  <c r="L1626" i="20"/>
  <c r="L1627" i="20"/>
  <c r="L1628" i="20"/>
  <c r="L1629" i="20"/>
  <c r="L1630" i="20"/>
  <c r="L1631" i="20"/>
  <c r="L1632" i="20"/>
  <c r="L1633" i="20"/>
  <c r="L1634" i="20"/>
  <c r="L1635" i="20"/>
  <c r="L1636" i="20"/>
  <c r="L1637" i="20"/>
  <c r="L1638" i="20"/>
  <c r="L1639" i="20"/>
  <c r="L1640" i="20"/>
  <c r="L1641" i="20"/>
  <c r="L1642" i="20"/>
  <c r="L1643" i="20"/>
  <c r="L1644" i="20"/>
  <c r="L1645" i="20"/>
  <c r="L1646" i="20"/>
  <c r="L1647" i="20"/>
  <c r="L1648" i="20"/>
  <c r="L1649" i="20"/>
  <c r="L1650" i="20"/>
  <c r="L1651" i="20"/>
  <c r="L1652" i="20"/>
  <c r="L1653" i="20"/>
  <c r="L1654" i="20"/>
  <c r="L1655" i="20"/>
  <c r="L1656" i="20"/>
  <c r="L1657" i="20"/>
  <c r="L1658" i="20"/>
  <c r="L1659" i="20"/>
  <c r="L1660" i="20"/>
  <c r="L1661" i="20"/>
  <c r="L1662" i="20"/>
  <c r="L1663" i="20"/>
  <c r="L1664" i="20"/>
  <c r="L1665" i="20"/>
  <c r="L1666" i="20"/>
  <c r="L1667" i="20"/>
  <c r="L1668" i="20"/>
  <c r="L1669" i="20"/>
  <c r="L1670" i="20"/>
  <c r="L1671" i="20"/>
  <c r="L1672" i="20"/>
  <c r="L1673" i="20"/>
  <c r="L1674" i="20"/>
  <c r="L1675" i="20"/>
  <c r="L1676" i="20"/>
  <c r="L1677" i="20"/>
  <c r="L1678" i="20"/>
  <c r="L1679" i="20"/>
  <c r="L1680" i="20"/>
  <c r="L1681" i="20"/>
  <c r="L1682" i="20"/>
  <c r="L1683" i="20"/>
  <c r="L1684" i="20"/>
  <c r="L1685" i="20"/>
  <c r="L1686" i="20"/>
  <c r="L1687" i="20"/>
  <c r="L1688" i="20"/>
  <c r="L1689" i="20"/>
  <c r="L1690" i="20"/>
  <c r="L1691" i="20"/>
  <c r="L1692" i="20"/>
  <c r="L1693" i="20"/>
  <c r="L1694" i="20"/>
  <c r="L1695" i="20"/>
  <c r="L1696" i="20"/>
  <c r="L1697" i="20"/>
  <c r="L1698" i="20"/>
  <c r="L1699" i="20"/>
  <c r="L1700" i="20"/>
  <c r="L1701" i="20"/>
  <c r="L1702" i="20"/>
  <c r="L1703" i="20"/>
  <c r="L1704" i="20"/>
  <c r="L1705" i="20"/>
  <c r="L1706" i="20"/>
  <c r="L1707" i="20"/>
  <c r="L1708" i="20"/>
  <c r="L1709" i="20"/>
  <c r="L1710" i="20"/>
  <c r="L1711" i="20"/>
  <c r="L1712" i="20"/>
  <c r="L1713" i="20"/>
  <c r="L1714" i="20"/>
  <c r="L1715" i="20"/>
  <c r="L1716" i="20"/>
  <c r="L1717" i="20"/>
  <c r="L1718" i="20"/>
  <c r="L1719" i="20"/>
  <c r="L1720" i="20"/>
  <c r="L1721" i="20"/>
  <c r="L1722" i="20"/>
  <c r="L1723" i="20"/>
  <c r="L1724" i="20"/>
  <c r="L1725" i="20"/>
  <c r="L1726" i="20"/>
  <c r="L1727" i="20"/>
  <c r="L1728" i="20"/>
  <c r="L1729" i="20"/>
  <c r="L1730" i="20"/>
  <c r="L1731" i="20"/>
  <c r="L1732" i="20"/>
  <c r="L1733" i="20"/>
  <c r="L1734" i="20"/>
  <c r="L1735" i="20"/>
  <c r="L1736" i="20"/>
  <c r="L1737" i="20"/>
  <c r="L1738" i="20"/>
  <c r="L1739" i="20"/>
  <c r="L1740" i="20"/>
  <c r="L1741" i="20"/>
  <c r="L1742" i="20"/>
  <c r="L1743" i="20"/>
  <c r="L1744" i="20"/>
  <c r="L1745" i="20"/>
  <c r="L1746" i="20"/>
  <c r="L1747" i="20"/>
  <c r="L1748" i="20"/>
  <c r="L1749" i="20"/>
  <c r="L1750" i="20"/>
  <c r="L1751" i="20"/>
  <c r="L1752" i="20"/>
  <c r="L1753" i="20"/>
  <c r="L1754" i="20"/>
  <c r="L1755" i="20"/>
  <c r="L1756" i="20"/>
  <c r="L1757" i="20"/>
  <c r="L1758" i="20"/>
  <c r="L1759" i="20"/>
  <c r="L1760" i="20"/>
  <c r="L1761" i="20"/>
  <c r="L1762" i="20"/>
  <c r="L1763" i="20"/>
  <c r="L1764" i="20"/>
  <c r="L1765" i="20"/>
  <c r="L1766" i="20"/>
  <c r="L1767" i="20"/>
  <c r="L1768" i="20"/>
  <c r="L1769" i="20"/>
  <c r="L1770" i="20"/>
  <c r="L1771" i="20"/>
  <c r="L1772" i="20"/>
  <c r="L1773" i="20"/>
  <c r="L1774" i="20"/>
  <c r="L1775" i="20"/>
  <c r="L1776" i="20"/>
  <c r="L1777" i="20"/>
  <c r="L1778" i="20"/>
  <c r="L1779" i="20"/>
  <c r="L1780" i="20"/>
  <c r="L1781" i="20"/>
  <c r="L1782" i="20"/>
  <c r="L1783" i="20"/>
  <c r="L1784" i="20"/>
  <c r="L1785" i="20"/>
  <c r="L1786" i="20"/>
  <c r="L1787" i="20"/>
  <c r="L1788" i="20"/>
  <c r="L1789" i="20"/>
  <c r="L1790" i="20"/>
  <c r="L1791" i="20"/>
  <c r="L1792" i="20"/>
  <c r="L1793" i="20"/>
  <c r="L1794" i="20"/>
  <c r="L1795" i="20"/>
  <c r="L1796" i="20"/>
  <c r="L1797" i="20"/>
  <c r="L1798" i="20"/>
  <c r="L1799" i="20"/>
  <c r="L1800" i="20"/>
  <c r="L1801" i="20"/>
  <c r="L1802" i="20"/>
  <c r="L1803" i="20"/>
  <c r="L1804" i="20"/>
  <c r="L1805" i="20"/>
  <c r="L1806" i="20"/>
  <c r="L1807" i="20"/>
  <c r="L1808" i="20"/>
  <c r="L1809" i="20"/>
  <c r="L1810" i="20"/>
  <c r="L1811" i="20"/>
  <c r="L1812" i="20"/>
  <c r="L1813" i="20"/>
  <c r="L1814" i="20"/>
  <c r="L1815" i="20"/>
  <c r="L1816" i="20"/>
  <c r="L1817" i="20"/>
  <c r="L1818" i="20"/>
  <c r="L1819" i="20"/>
  <c r="L1820" i="20"/>
  <c r="L1821" i="20"/>
  <c r="L1822" i="20"/>
  <c r="L1823" i="20"/>
  <c r="L1824" i="20"/>
  <c r="L1825" i="20"/>
  <c r="L1826" i="20"/>
  <c r="L1827" i="20"/>
  <c r="L1828" i="20"/>
  <c r="L1829" i="20"/>
  <c r="L1830" i="20"/>
  <c r="L1831" i="20"/>
  <c r="L1832" i="20"/>
  <c r="L1833" i="20"/>
  <c r="L1834" i="20"/>
  <c r="L1835" i="20"/>
  <c r="L1836" i="20"/>
  <c r="L1837" i="20"/>
  <c r="L1838" i="20"/>
  <c r="L1839" i="20"/>
  <c r="L1840" i="20"/>
  <c r="L1841" i="20"/>
  <c r="L1842" i="20"/>
  <c r="L1843" i="20"/>
  <c r="L1844" i="20"/>
  <c r="L1845" i="20"/>
  <c r="L1846" i="20"/>
  <c r="L1847" i="20"/>
  <c r="L1848" i="20"/>
  <c r="L1849" i="20"/>
  <c r="L1850" i="20"/>
  <c r="L1851" i="20"/>
  <c r="L1852" i="20"/>
  <c r="L1853" i="20"/>
  <c r="L1854" i="20"/>
  <c r="L1855" i="20"/>
  <c r="L1856" i="20"/>
  <c r="L1857" i="20"/>
  <c r="L1858" i="20"/>
  <c r="L1859" i="20"/>
  <c r="L1860" i="20"/>
  <c r="L1861" i="20"/>
  <c r="L1862" i="20"/>
  <c r="L1863" i="20"/>
  <c r="L1864" i="20"/>
  <c r="L1865" i="20"/>
  <c r="L1866" i="20"/>
  <c r="L1867" i="20"/>
  <c r="L1868" i="20"/>
  <c r="L1869" i="20"/>
  <c r="L1870" i="20"/>
  <c r="L1871" i="20"/>
  <c r="L1872" i="20"/>
  <c r="L1873" i="20"/>
  <c r="L1874" i="20"/>
  <c r="L1875" i="20"/>
  <c r="L1876" i="20"/>
  <c r="L1877" i="20"/>
  <c r="L1878" i="20"/>
  <c r="L1879" i="20"/>
  <c r="L1880" i="20"/>
  <c r="L1881" i="20"/>
  <c r="L1882" i="20"/>
  <c r="L1883" i="20"/>
  <c r="L1884" i="20"/>
  <c r="L1885" i="20"/>
  <c r="L1886" i="20"/>
  <c r="L1887" i="20"/>
  <c r="L1888" i="20"/>
  <c r="L1889" i="20"/>
  <c r="L1890" i="20"/>
  <c r="L1891" i="20"/>
  <c r="L1892" i="20"/>
  <c r="L1893" i="20"/>
  <c r="L1894" i="20"/>
  <c r="L1895" i="20"/>
  <c r="L1896" i="20"/>
  <c r="L1897" i="20"/>
  <c r="L1898" i="20"/>
  <c r="L1899" i="20"/>
  <c r="L1900" i="20"/>
  <c r="L1901" i="20"/>
  <c r="L1902" i="20"/>
  <c r="L1903" i="20"/>
  <c r="L1904" i="20"/>
  <c r="L1905" i="20"/>
  <c r="L1906" i="20"/>
  <c r="L1907" i="20"/>
  <c r="L1908" i="20"/>
  <c r="L1909" i="20"/>
  <c r="L1910" i="20"/>
  <c r="L1911" i="20"/>
  <c r="L1912" i="20"/>
  <c r="L1913" i="20"/>
  <c r="L1914" i="20"/>
  <c r="L1915" i="20"/>
  <c r="L1916" i="20"/>
  <c r="L1917" i="20"/>
  <c r="L1918" i="20"/>
  <c r="L1919" i="20"/>
  <c r="L1920" i="20"/>
  <c r="L1921" i="20"/>
  <c r="L1922" i="20"/>
  <c r="L1923" i="20"/>
  <c r="L1924" i="20"/>
  <c r="L1925" i="20"/>
  <c r="L1926" i="20"/>
  <c r="L1927" i="20"/>
  <c r="L1928" i="20"/>
  <c r="L1929" i="20"/>
  <c r="L1930" i="20"/>
  <c r="L1931" i="20"/>
  <c r="L1932" i="20"/>
  <c r="L1933" i="20"/>
  <c r="L1934" i="20"/>
  <c r="L1935" i="20"/>
  <c r="L1936" i="20"/>
  <c r="L1937" i="20"/>
  <c r="L1938" i="20"/>
  <c r="L1939" i="20"/>
  <c r="L1940" i="20"/>
  <c r="L1941" i="20"/>
  <c r="L1942" i="20"/>
  <c r="L1943" i="20"/>
  <c r="L1944" i="20"/>
  <c r="L1945" i="20"/>
  <c r="L1946" i="20"/>
  <c r="L1947" i="20"/>
  <c r="L1948" i="20"/>
  <c r="L1949" i="20"/>
  <c r="L1950" i="20"/>
  <c r="L1951" i="20"/>
  <c r="L1952" i="20"/>
  <c r="L1953" i="20"/>
  <c r="L1954" i="20"/>
  <c r="L1955" i="20"/>
  <c r="L1956" i="20"/>
  <c r="L1957" i="20"/>
  <c r="L1958" i="20"/>
  <c r="L1959" i="20"/>
  <c r="L1960" i="20"/>
  <c r="L1961" i="20"/>
  <c r="L1962" i="20"/>
  <c r="L1963" i="20"/>
  <c r="L1964" i="20"/>
  <c r="L1965" i="20"/>
  <c r="L1966" i="20"/>
  <c r="L1967" i="20"/>
  <c r="L1968" i="20"/>
  <c r="L1969" i="20"/>
  <c r="L1970" i="20"/>
  <c r="L1971" i="20"/>
  <c r="L1972" i="20"/>
  <c r="L1973" i="20"/>
  <c r="L1974" i="20"/>
  <c r="L1975" i="20"/>
  <c r="L1976" i="20"/>
  <c r="L1977" i="20"/>
  <c r="L1978" i="20"/>
  <c r="L1979" i="20"/>
  <c r="L1980" i="20"/>
  <c r="L1981" i="20"/>
  <c r="L1982" i="20"/>
  <c r="L1983" i="20"/>
  <c r="L1984" i="20"/>
  <c r="L1985" i="20"/>
  <c r="L1986" i="20"/>
  <c r="L1987" i="20"/>
  <c r="L1988" i="20"/>
  <c r="L1989" i="20"/>
  <c r="L1990" i="20"/>
  <c r="L1991" i="20"/>
  <c r="L1992" i="20"/>
  <c r="L1993" i="20"/>
  <c r="L1994" i="20"/>
  <c r="L1995" i="20"/>
  <c r="L1996" i="20"/>
  <c r="L1997" i="20"/>
  <c r="L1998" i="20"/>
  <c r="L1999" i="20"/>
  <c r="L2000" i="20"/>
  <c r="L2001" i="20"/>
  <c r="L2002" i="20"/>
  <c r="L2003" i="20"/>
  <c r="L2004" i="20"/>
  <c r="L2005" i="20"/>
  <c r="L2006" i="20"/>
  <c r="L2007" i="20"/>
  <c r="L2008" i="20"/>
  <c r="L2009" i="20"/>
  <c r="L2010" i="20"/>
  <c r="L2011" i="20"/>
  <c r="L2012" i="20"/>
  <c r="L2013" i="20"/>
  <c r="L2014" i="20"/>
  <c r="L2015" i="20"/>
  <c r="L2016" i="20"/>
  <c r="L2017" i="20"/>
  <c r="L2018" i="20"/>
  <c r="L2019" i="20"/>
  <c r="L2020" i="20"/>
  <c r="L2021" i="20"/>
  <c r="L2022" i="20"/>
  <c r="L2023" i="20"/>
  <c r="L2024" i="20"/>
  <c r="L2025" i="20"/>
  <c r="L2026" i="20"/>
  <c r="L2027" i="20"/>
  <c r="L2028" i="20"/>
  <c r="L2029" i="20"/>
  <c r="L2030" i="20"/>
  <c r="L2031" i="20"/>
  <c r="L2032" i="20"/>
  <c r="L2033" i="20"/>
  <c r="L2034" i="20"/>
  <c r="L2035" i="20"/>
  <c r="L2036" i="20"/>
  <c r="L2037" i="20"/>
  <c r="L2038" i="20"/>
  <c r="L2039" i="20"/>
  <c r="L2040" i="20"/>
  <c r="L2041" i="20"/>
  <c r="L2042" i="20"/>
  <c r="L2043" i="20"/>
  <c r="L2044" i="20"/>
  <c r="L2045" i="20"/>
  <c r="L2046" i="20"/>
  <c r="L2047" i="20"/>
  <c r="L2048" i="20"/>
  <c r="L2049" i="20"/>
  <c r="L2050" i="20"/>
  <c r="L2051" i="20"/>
  <c r="L2052" i="20"/>
  <c r="L2053" i="20"/>
  <c r="L2054" i="20"/>
  <c r="L2055" i="20"/>
  <c r="L2056" i="20"/>
  <c r="L2057" i="20"/>
  <c r="L2058" i="20"/>
  <c r="L2059" i="20"/>
  <c r="L2060" i="20"/>
  <c r="L2061" i="20"/>
  <c r="L2062" i="20"/>
  <c r="L2063" i="20"/>
  <c r="L2064" i="20"/>
  <c r="L2065" i="20"/>
  <c r="L2066" i="20"/>
  <c r="L2067" i="20"/>
  <c r="L2068" i="20"/>
  <c r="L2069" i="20"/>
  <c r="L2070" i="20"/>
  <c r="L2071" i="20"/>
  <c r="L2072" i="20"/>
  <c r="L2073" i="20"/>
  <c r="L2074" i="20"/>
  <c r="L2075" i="20"/>
  <c r="L2076" i="20"/>
  <c r="L2077" i="20"/>
  <c r="L2078" i="20"/>
  <c r="L2079" i="20"/>
  <c r="L2080" i="20"/>
  <c r="L2081" i="20"/>
  <c r="L2082" i="20"/>
  <c r="L2083" i="20"/>
  <c r="L2084" i="20"/>
  <c r="L2085" i="20"/>
  <c r="L2086" i="20"/>
  <c r="L2087" i="20"/>
  <c r="L2088" i="20"/>
  <c r="L2089" i="20"/>
  <c r="L2090" i="20"/>
  <c r="L2091" i="20"/>
  <c r="L2092" i="20"/>
  <c r="L2093" i="20"/>
  <c r="L2094" i="20"/>
  <c r="L2095" i="20"/>
  <c r="L2096" i="20"/>
  <c r="L2097" i="20"/>
  <c r="L2098" i="20"/>
  <c r="L2099" i="20"/>
  <c r="L2100" i="20"/>
  <c r="L2101" i="20"/>
  <c r="L2102" i="20"/>
  <c r="L2103" i="20"/>
  <c r="L2104" i="20"/>
  <c r="L2105" i="20"/>
  <c r="L2106" i="20"/>
  <c r="L2107" i="20"/>
  <c r="L2108" i="20"/>
  <c r="L2109" i="20"/>
  <c r="L2110" i="20"/>
  <c r="L2111" i="20"/>
  <c r="L2112" i="20"/>
  <c r="L2113" i="20"/>
  <c r="L2114" i="20"/>
  <c r="L2115" i="20"/>
  <c r="L2116" i="20"/>
  <c r="L2117" i="20"/>
  <c r="L2118" i="20"/>
  <c r="L2119" i="20"/>
  <c r="L2120" i="20"/>
  <c r="L2121" i="20"/>
  <c r="L2122" i="20"/>
  <c r="L2123" i="20"/>
  <c r="L2124" i="20"/>
  <c r="L2125" i="20"/>
  <c r="L2126" i="20"/>
  <c r="L2127" i="20"/>
  <c r="L2128" i="20"/>
  <c r="L2129" i="20"/>
  <c r="L2130" i="20"/>
  <c r="L2131" i="20"/>
  <c r="L2132" i="20"/>
  <c r="L2133" i="20"/>
  <c r="L2134" i="20"/>
  <c r="L2135" i="20"/>
  <c r="L2136" i="20"/>
  <c r="L2137" i="20"/>
  <c r="L2138" i="20"/>
  <c r="L2139" i="20"/>
  <c r="L2140" i="20"/>
  <c r="L2141" i="20"/>
  <c r="L2142" i="20"/>
  <c r="L2143" i="20"/>
  <c r="L2144" i="20"/>
  <c r="L2145" i="20"/>
  <c r="L2146" i="20"/>
  <c r="L2147" i="20"/>
  <c r="L2148" i="20"/>
  <c r="L2149" i="20"/>
  <c r="L2150" i="20"/>
  <c r="L2151" i="20"/>
  <c r="L2152" i="20"/>
  <c r="L2153" i="20"/>
  <c r="L2154" i="20"/>
  <c r="L2155" i="20"/>
  <c r="L2156" i="20"/>
  <c r="L2157" i="20"/>
  <c r="L2158" i="20"/>
  <c r="L2159" i="20"/>
  <c r="L2160" i="20"/>
  <c r="L2161" i="20"/>
  <c r="L2162" i="20"/>
  <c r="L2163" i="20"/>
  <c r="L2164" i="20"/>
  <c r="L2165" i="20"/>
  <c r="L2166" i="20"/>
  <c r="L2167" i="20"/>
  <c r="L2168" i="20"/>
  <c r="L2169" i="20"/>
  <c r="L2170" i="20"/>
  <c r="L2171" i="20"/>
  <c r="L2172" i="20"/>
  <c r="L2173" i="20"/>
  <c r="L2174" i="20"/>
  <c r="L2175" i="20"/>
  <c r="L2176" i="20"/>
  <c r="L2177" i="20"/>
  <c r="L2178" i="20"/>
  <c r="L2179" i="20"/>
  <c r="L2180" i="20"/>
  <c r="L2181" i="20"/>
  <c r="L2182" i="20"/>
  <c r="L2183" i="20"/>
  <c r="L2184" i="20"/>
  <c r="L2185" i="20"/>
  <c r="L2186" i="20"/>
  <c r="L2187" i="20"/>
  <c r="L2188" i="20"/>
  <c r="L2189" i="20"/>
  <c r="L2190" i="20"/>
  <c r="L2191" i="20"/>
  <c r="L2192" i="20"/>
  <c r="L2193" i="20"/>
  <c r="L2194" i="20"/>
  <c r="L2195" i="20"/>
  <c r="L2196" i="20"/>
  <c r="L2197" i="20"/>
  <c r="L2198" i="20"/>
  <c r="L2199" i="20"/>
  <c r="L2200" i="20"/>
  <c r="L2201" i="20"/>
  <c r="L2202" i="20"/>
  <c r="L2203" i="20"/>
  <c r="L2204" i="20"/>
  <c r="L2205" i="20"/>
  <c r="L2206" i="20"/>
  <c r="L2207" i="20"/>
  <c r="L2208" i="20"/>
  <c r="L2209" i="20"/>
  <c r="L2210" i="20"/>
  <c r="L2211" i="20"/>
  <c r="L2212" i="20"/>
  <c r="L2213" i="20"/>
  <c r="L2214" i="20"/>
  <c r="L2215" i="20"/>
  <c r="L2216" i="20"/>
  <c r="L2217" i="20"/>
  <c r="L2218" i="20"/>
  <c r="L2219" i="20"/>
  <c r="L2220" i="20"/>
  <c r="L2221" i="20"/>
  <c r="L2222" i="20"/>
  <c r="L2223" i="20"/>
  <c r="L2224" i="20"/>
  <c r="L2225" i="20"/>
  <c r="L2226" i="20"/>
  <c r="L2227" i="20"/>
  <c r="L2228" i="20"/>
  <c r="L2229" i="20"/>
  <c r="L2230" i="20"/>
  <c r="L2231" i="20"/>
  <c r="L2232" i="20"/>
  <c r="L2233" i="20"/>
  <c r="L2234" i="20"/>
  <c r="L2235" i="20"/>
  <c r="L2236" i="20"/>
  <c r="L2237" i="20"/>
  <c r="L2238" i="20"/>
  <c r="L2239" i="20"/>
  <c r="L2240" i="20"/>
  <c r="L2241" i="20"/>
  <c r="L2242" i="20"/>
  <c r="L2243" i="20"/>
  <c r="L2244" i="20"/>
  <c r="L2245" i="20"/>
  <c r="L2246" i="20"/>
  <c r="L2247" i="20"/>
  <c r="L2248" i="20"/>
  <c r="L2249" i="20"/>
  <c r="L2250" i="20"/>
  <c r="L2251" i="20"/>
  <c r="L2252" i="20"/>
  <c r="L2253" i="20"/>
  <c r="L2254" i="20"/>
  <c r="L2255" i="20"/>
  <c r="L2256" i="20"/>
  <c r="L2257" i="20"/>
  <c r="L2258" i="20"/>
  <c r="L2259" i="20"/>
  <c r="L2260" i="20"/>
  <c r="L2261" i="20"/>
  <c r="L2262" i="20"/>
  <c r="L2263" i="20"/>
  <c r="L2264" i="20"/>
  <c r="L2265" i="20"/>
  <c r="L2266" i="20"/>
  <c r="L2267" i="20"/>
  <c r="L2268" i="20"/>
  <c r="L2269" i="20"/>
  <c r="L2270" i="20"/>
  <c r="L2271" i="20"/>
  <c r="L2272" i="20"/>
  <c r="L2273" i="20"/>
  <c r="L2274" i="20"/>
  <c r="L2275" i="20"/>
  <c r="L2276" i="20"/>
  <c r="L2277" i="20"/>
  <c r="L2278" i="20"/>
  <c r="L2279" i="20"/>
  <c r="L2280" i="20"/>
  <c r="L2281" i="20"/>
  <c r="L2282" i="20"/>
  <c r="L2283" i="20"/>
  <c r="L2284" i="20"/>
  <c r="L2285" i="20"/>
  <c r="L2286" i="20"/>
  <c r="L2287" i="20"/>
  <c r="L2288" i="20"/>
  <c r="L2289" i="20"/>
  <c r="L2290" i="20"/>
  <c r="L2291" i="20"/>
  <c r="L2292" i="20"/>
  <c r="L2293" i="20"/>
  <c r="L2294" i="20"/>
  <c r="L2295" i="20"/>
  <c r="L2296" i="20"/>
  <c r="L2297" i="20"/>
  <c r="L2298" i="20"/>
  <c r="L2299" i="20"/>
  <c r="L2300" i="20"/>
  <c r="L2301" i="20"/>
  <c r="L2302" i="20"/>
  <c r="L2303" i="20"/>
  <c r="L2304" i="20"/>
  <c r="L2305" i="20"/>
  <c r="L2306" i="20"/>
  <c r="L2307" i="20"/>
  <c r="L2308" i="20"/>
  <c r="L2309" i="20"/>
  <c r="L2310" i="20"/>
  <c r="L2311" i="20"/>
  <c r="L2312" i="20"/>
  <c r="L2313" i="20"/>
  <c r="L2314" i="20"/>
  <c r="L2315" i="20"/>
  <c r="L2316" i="20"/>
  <c r="L2317" i="20"/>
  <c r="L2318" i="20"/>
  <c r="L2319" i="20"/>
  <c r="L2320" i="20"/>
  <c r="L2321" i="20"/>
  <c r="L2322" i="20"/>
  <c r="L2323" i="20"/>
  <c r="L2324" i="20"/>
  <c r="L2325" i="20"/>
  <c r="L2326" i="20"/>
  <c r="L2327" i="20"/>
  <c r="L2328" i="20"/>
  <c r="L2329" i="20"/>
  <c r="L2330" i="20"/>
  <c r="L2331" i="20"/>
  <c r="L2332" i="20"/>
  <c r="L2333" i="20"/>
  <c r="L2334" i="20"/>
  <c r="L2335" i="20"/>
  <c r="L2336" i="20"/>
  <c r="L2337" i="20"/>
  <c r="L2338" i="20"/>
  <c r="L2339" i="20"/>
  <c r="L2340" i="20"/>
  <c r="L2341" i="20"/>
  <c r="L2342" i="20"/>
  <c r="L2343" i="20"/>
  <c r="L2344" i="20"/>
  <c r="L2345" i="20"/>
  <c r="L2346" i="20"/>
  <c r="L2347" i="20"/>
  <c r="L2348" i="20"/>
  <c r="L2349" i="20"/>
  <c r="L2350" i="20"/>
  <c r="L2351" i="20"/>
  <c r="L2352" i="20"/>
  <c r="L2353" i="20"/>
  <c r="L2354" i="20"/>
  <c r="L2355" i="20"/>
  <c r="L2356" i="20"/>
  <c r="L2357" i="20"/>
  <c r="L2358" i="20"/>
  <c r="L2359" i="20"/>
  <c r="L2360" i="20"/>
  <c r="L2361" i="20"/>
  <c r="L2362" i="20"/>
  <c r="L2363" i="20"/>
  <c r="L2364" i="20"/>
  <c r="L2365" i="20"/>
  <c r="L2366" i="20"/>
  <c r="L2367" i="20"/>
  <c r="L2368" i="20"/>
  <c r="L2369" i="20"/>
  <c r="L2370" i="20"/>
  <c r="L2371" i="20"/>
  <c r="L2372" i="20"/>
  <c r="L2373" i="20"/>
  <c r="L2374" i="20"/>
  <c r="L2375" i="20"/>
  <c r="L2376" i="20"/>
  <c r="L2377" i="20"/>
  <c r="L2378" i="20"/>
  <c r="L2379" i="20"/>
  <c r="L2380" i="20"/>
  <c r="L2381" i="20"/>
  <c r="L2382" i="20"/>
  <c r="L2383" i="20"/>
  <c r="L2384" i="20"/>
  <c r="L2385" i="20"/>
  <c r="L2386" i="20"/>
  <c r="L2387" i="20"/>
  <c r="L2388" i="20"/>
  <c r="L2389" i="20"/>
  <c r="L2390" i="20"/>
  <c r="L2391" i="20"/>
  <c r="L2392" i="20"/>
  <c r="L2393" i="20"/>
  <c r="L2394" i="20"/>
  <c r="L2395" i="20"/>
  <c r="L2396" i="20"/>
  <c r="L2397" i="20"/>
  <c r="L2398" i="20"/>
  <c r="L2399" i="20"/>
  <c r="L2400" i="20"/>
  <c r="L2401" i="20"/>
  <c r="L2402" i="20"/>
  <c r="L2403" i="20"/>
  <c r="L2404" i="20"/>
  <c r="L2405" i="20"/>
  <c r="L2406" i="20"/>
  <c r="L2407" i="20"/>
  <c r="L2408" i="20"/>
  <c r="L2409" i="20"/>
  <c r="L2410" i="20"/>
  <c r="L2411" i="20"/>
  <c r="L2412" i="20"/>
  <c r="L2413" i="20"/>
  <c r="L2414" i="20"/>
  <c r="L2415" i="20"/>
  <c r="L2416" i="20"/>
  <c r="L2417" i="20"/>
  <c r="L2418" i="20"/>
  <c r="L2419" i="20"/>
  <c r="L2420" i="20"/>
  <c r="L2421" i="20"/>
  <c r="L2422" i="20"/>
  <c r="L2423" i="20"/>
  <c r="L2424" i="20"/>
  <c r="L2425" i="20"/>
  <c r="L2426" i="20"/>
  <c r="L2427" i="20"/>
  <c r="L2428" i="20"/>
  <c r="L2429" i="20"/>
  <c r="L2430" i="20"/>
  <c r="L2431" i="20"/>
  <c r="L2432" i="20"/>
  <c r="L2433" i="20"/>
  <c r="L2434" i="20"/>
  <c r="L2435" i="20"/>
  <c r="L2436" i="20"/>
  <c r="L2437" i="20"/>
  <c r="L2438" i="20"/>
  <c r="L2439" i="20"/>
  <c r="L2440" i="20"/>
  <c r="L2441" i="20"/>
  <c r="L2442" i="20"/>
  <c r="L2443" i="20"/>
  <c r="L2444" i="20"/>
  <c r="L2445" i="20"/>
  <c r="L2446" i="20"/>
  <c r="L2447" i="20"/>
  <c r="L2448" i="20"/>
  <c r="L2449" i="20"/>
  <c r="L2450" i="20"/>
  <c r="L2451" i="20"/>
  <c r="L2452" i="20"/>
  <c r="L2453" i="20"/>
  <c r="L2454" i="20"/>
  <c r="L2455" i="20"/>
  <c r="L2456" i="20"/>
  <c r="L2457" i="20"/>
  <c r="L2458" i="20"/>
  <c r="L2459" i="20"/>
  <c r="L2460" i="20"/>
  <c r="L2461" i="20"/>
  <c r="L2462" i="20"/>
  <c r="L2463" i="20"/>
  <c r="L2464" i="20"/>
  <c r="L2465" i="20"/>
  <c r="L2466" i="20"/>
  <c r="L2467" i="20"/>
  <c r="L2468" i="20"/>
  <c r="L2469" i="20"/>
  <c r="L2470" i="20"/>
  <c r="L2471" i="20"/>
  <c r="L2472" i="20"/>
  <c r="L2473" i="20"/>
  <c r="L2474" i="20"/>
  <c r="L2475" i="20"/>
  <c r="L2476" i="20"/>
  <c r="L2477" i="20"/>
  <c r="L2478" i="20"/>
  <c r="L2479" i="20"/>
  <c r="L2480" i="20"/>
  <c r="L2481" i="20"/>
  <c r="L2482" i="20"/>
  <c r="L2483" i="20"/>
  <c r="L2484" i="20"/>
  <c r="L2485" i="20"/>
  <c r="L2486" i="20"/>
  <c r="L2487" i="20"/>
  <c r="L2488" i="20"/>
  <c r="L2489" i="20"/>
  <c r="L2490" i="20"/>
  <c r="L2491" i="20"/>
  <c r="L2492" i="20"/>
  <c r="L2493" i="20"/>
  <c r="L2494" i="20"/>
  <c r="L2495" i="20"/>
  <c r="L2496" i="20"/>
  <c r="L2497" i="20"/>
  <c r="L2498" i="20"/>
  <c r="L2499" i="20"/>
  <c r="L2500" i="20"/>
  <c r="L2501" i="20"/>
  <c r="L2502" i="20"/>
  <c r="L2503" i="20"/>
  <c r="L2504" i="20"/>
  <c r="L2505" i="20"/>
  <c r="L2506" i="20"/>
  <c r="L2507" i="20"/>
  <c r="L2508" i="20"/>
  <c r="L2509" i="20"/>
  <c r="L2510" i="20"/>
  <c r="L2511" i="20"/>
  <c r="L2512" i="20"/>
  <c r="L2513" i="20"/>
  <c r="L2514" i="20"/>
  <c r="L2515" i="20"/>
  <c r="L2516" i="20"/>
  <c r="L2517" i="20"/>
  <c r="L2518" i="20"/>
  <c r="L2519" i="20"/>
  <c r="L2520" i="20"/>
  <c r="L2521" i="20"/>
  <c r="L2522" i="20"/>
  <c r="L2523" i="20"/>
  <c r="L2524" i="20"/>
  <c r="L2525" i="20"/>
  <c r="L2526" i="20"/>
  <c r="L2527" i="20"/>
  <c r="L2528" i="20"/>
  <c r="L2529" i="20"/>
  <c r="L2530" i="20"/>
  <c r="L2531" i="20"/>
  <c r="L2532" i="20"/>
  <c r="L2533" i="20"/>
  <c r="L2534" i="20"/>
  <c r="L2535" i="20"/>
  <c r="L2536" i="20"/>
  <c r="L2537" i="20"/>
  <c r="L2538" i="20"/>
  <c r="L2539" i="20"/>
  <c r="L2540" i="20"/>
  <c r="L2541" i="20"/>
  <c r="L2542" i="20"/>
  <c r="L2543" i="20"/>
  <c r="L2544" i="20"/>
  <c r="L2545" i="20"/>
  <c r="L2546" i="20"/>
  <c r="L2547" i="20"/>
  <c r="L2548" i="20"/>
  <c r="L2549" i="20"/>
  <c r="L2550" i="20"/>
  <c r="L2551" i="20"/>
  <c r="L2552" i="20"/>
  <c r="L2553" i="20"/>
  <c r="L2554" i="20"/>
  <c r="L2555" i="20"/>
  <c r="L2556" i="20"/>
  <c r="L2557" i="20"/>
  <c r="L2558" i="20"/>
  <c r="L2559" i="20"/>
  <c r="L2560" i="20"/>
  <c r="L2561" i="20"/>
  <c r="L2562" i="20"/>
  <c r="L2563" i="20"/>
  <c r="L2564" i="20"/>
  <c r="L2565" i="20"/>
  <c r="L2566" i="20"/>
  <c r="L2567" i="20"/>
  <c r="L2568" i="20"/>
  <c r="L2569" i="20"/>
  <c r="L2570" i="20"/>
  <c r="L2571" i="20"/>
  <c r="L2572" i="20"/>
  <c r="L2573" i="20"/>
  <c r="L2574" i="20"/>
  <c r="L2575" i="20"/>
  <c r="L2576" i="20"/>
  <c r="L2577" i="20"/>
  <c r="L2578" i="20"/>
  <c r="L2579" i="20"/>
  <c r="L2580" i="20"/>
  <c r="L2581" i="20"/>
  <c r="L2582" i="20"/>
  <c r="L2583" i="20"/>
  <c r="L2584" i="20"/>
  <c r="L2585" i="20"/>
  <c r="L2586" i="20"/>
  <c r="L2587" i="20"/>
  <c r="L2588" i="20"/>
  <c r="L2589" i="20"/>
  <c r="L2590" i="20"/>
  <c r="L2591" i="20"/>
  <c r="L2592" i="20"/>
  <c r="L2593" i="20"/>
  <c r="L2594" i="20"/>
  <c r="L2595" i="20"/>
  <c r="L2596" i="20"/>
  <c r="L2597" i="20"/>
  <c r="L2598" i="20"/>
  <c r="L2599" i="20"/>
  <c r="L2600" i="20"/>
  <c r="L2601" i="20"/>
  <c r="L2602" i="20"/>
  <c r="L2603" i="20"/>
  <c r="L2604" i="20"/>
  <c r="L2605" i="20"/>
  <c r="L2606" i="20"/>
  <c r="L2607" i="20"/>
  <c r="L2608" i="20"/>
  <c r="L2609" i="20"/>
  <c r="L2610" i="20"/>
  <c r="L2611" i="20"/>
  <c r="L2612" i="20"/>
  <c r="L2613" i="20"/>
  <c r="L2614" i="20"/>
  <c r="L2615" i="20"/>
  <c r="L2616" i="20"/>
  <c r="L2617" i="20"/>
  <c r="L2618" i="20"/>
  <c r="L2619" i="20"/>
  <c r="L2620" i="20"/>
  <c r="L2621" i="20"/>
  <c r="L2622" i="20"/>
  <c r="L2623" i="20"/>
  <c r="L2624" i="20"/>
  <c r="L2625" i="20"/>
  <c r="L2626" i="20"/>
  <c r="L2627" i="20"/>
  <c r="L2628" i="20"/>
  <c r="L2629" i="20"/>
  <c r="L2630" i="20"/>
  <c r="L2631" i="20"/>
  <c r="L2632" i="20"/>
  <c r="L2633" i="20"/>
  <c r="L2634" i="20"/>
  <c r="L2635" i="20"/>
  <c r="L2636" i="20"/>
  <c r="L2637" i="20"/>
  <c r="L2638" i="20"/>
  <c r="L2639" i="20"/>
  <c r="L2640" i="20"/>
  <c r="L2641" i="20"/>
  <c r="L2642" i="20"/>
  <c r="L2643" i="20"/>
  <c r="L2644" i="20"/>
  <c r="L2645" i="20"/>
  <c r="L2646" i="20"/>
  <c r="L2647" i="20"/>
  <c r="L2648" i="20"/>
  <c r="L2649" i="20"/>
  <c r="L2650" i="20"/>
  <c r="L2651" i="20"/>
  <c r="L2652" i="20"/>
  <c r="L2653" i="20"/>
  <c r="L2654" i="20"/>
  <c r="L2655" i="20"/>
  <c r="L2656" i="20"/>
  <c r="L2657" i="20"/>
  <c r="L2658" i="20"/>
  <c r="L2659" i="20"/>
  <c r="L2660" i="20"/>
  <c r="L2661" i="20"/>
  <c r="L2662" i="20"/>
  <c r="L2663" i="20"/>
  <c r="L2664" i="20"/>
  <c r="L2665" i="20"/>
  <c r="L2666" i="20"/>
  <c r="L2667" i="20"/>
  <c r="L2668" i="20"/>
  <c r="L2669" i="20"/>
  <c r="L2670" i="20"/>
  <c r="L2671" i="20"/>
  <c r="L2672" i="20"/>
  <c r="L2673" i="20"/>
  <c r="L2674" i="20"/>
  <c r="L2675" i="20"/>
  <c r="L2676" i="20"/>
  <c r="L2677" i="20"/>
  <c r="L2678" i="20"/>
  <c r="L2679" i="20"/>
  <c r="L2680" i="20"/>
  <c r="L2681" i="20"/>
  <c r="L2682" i="20"/>
  <c r="L2683" i="20"/>
  <c r="L2684" i="20"/>
  <c r="L2685" i="20"/>
  <c r="L2686" i="20"/>
  <c r="L2687" i="20"/>
  <c r="L2688" i="20"/>
  <c r="L2689" i="20"/>
  <c r="L2690" i="20"/>
  <c r="L2691" i="20"/>
  <c r="L2692" i="20"/>
  <c r="L2693" i="20"/>
  <c r="L2694" i="20"/>
  <c r="L2695" i="20"/>
  <c r="L2696" i="20"/>
  <c r="L2697" i="20"/>
  <c r="L2698" i="20"/>
  <c r="L2699" i="20"/>
  <c r="L2700" i="20"/>
  <c r="L2701" i="20"/>
  <c r="L2702" i="20"/>
  <c r="L2703" i="20"/>
  <c r="L2704" i="20"/>
  <c r="L2705" i="20"/>
  <c r="L2706" i="20"/>
  <c r="L2707" i="20"/>
  <c r="L2708" i="20"/>
  <c r="L2709" i="20"/>
  <c r="L2710" i="20"/>
  <c r="L2711" i="20"/>
  <c r="L2712" i="20"/>
  <c r="L2713" i="20"/>
  <c r="L2714" i="20"/>
  <c r="L2715" i="20"/>
  <c r="L2716" i="20"/>
  <c r="L2717" i="20"/>
  <c r="L2718" i="20"/>
  <c r="L2719" i="20"/>
  <c r="L2720" i="20"/>
  <c r="L2721" i="20"/>
  <c r="L2722" i="20"/>
  <c r="L2723" i="20"/>
  <c r="L2724" i="20"/>
  <c r="L2725" i="20"/>
  <c r="L2726" i="20"/>
  <c r="L2727" i="20"/>
  <c r="L2728" i="20"/>
  <c r="L2729" i="20"/>
  <c r="L2730" i="20"/>
  <c r="L2731" i="20"/>
  <c r="L2732" i="20"/>
  <c r="L2733" i="20"/>
  <c r="L2734" i="20"/>
  <c r="L2735" i="20"/>
  <c r="L2736" i="20"/>
  <c r="L2737" i="20"/>
  <c r="L2738" i="20"/>
  <c r="L2739" i="20"/>
  <c r="L2740" i="20"/>
  <c r="L2741" i="20"/>
  <c r="L2742" i="20"/>
  <c r="L2743" i="20"/>
  <c r="L2744" i="20"/>
  <c r="L2745" i="20"/>
  <c r="L2746" i="20"/>
  <c r="L2747" i="20"/>
  <c r="L2748" i="20"/>
  <c r="L2749" i="20"/>
  <c r="L2750" i="20"/>
  <c r="L2751" i="20"/>
  <c r="L2752" i="20"/>
  <c r="L2753" i="20"/>
  <c r="L2754" i="20"/>
  <c r="L2755" i="20"/>
  <c r="L2756" i="20"/>
  <c r="L2757" i="20"/>
  <c r="L2758" i="20"/>
  <c r="L2759" i="20"/>
  <c r="L2760" i="20"/>
  <c r="L2761" i="20"/>
  <c r="L2762" i="20"/>
  <c r="L2763" i="20"/>
  <c r="L2764" i="20"/>
  <c r="L2765" i="20"/>
  <c r="L2766" i="20"/>
  <c r="L2767" i="20"/>
  <c r="L2768" i="20"/>
  <c r="L2769" i="20"/>
  <c r="L2770" i="20"/>
  <c r="L2771" i="20"/>
  <c r="L2772" i="20"/>
  <c r="L2773" i="20"/>
  <c r="L2774" i="20"/>
  <c r="L2775" i="20"/>
  <c r="L2776" i="20"/>
  <c r="L2777" i="20"/>
  <c r="L2778" i="20"/>
  <c r="L2779" i="20"/>
  <c r="L2780" i="20"/>
  <c r="L2781" i="20"/>
  <c r="L2782" i="20"/>
  <c r="L2783" i="20"/>
  <c r="L2784" i="20"/>
  <c r="L2785" i="20"/>
  <c r="L2786" i="20"/>
  <c r="L2787" i="20"/>
  <c r="L2788" i="20"/>
  <c r="L2789" i="20"/>
  <c r="L2790" i="20"/>
  <c r="L2791" i="20"/>
  <c r="L2792" i="20"/>
  <c r="L2793" i="20"/>
  <c r="L2794" i="20"/>
  <c r="L2795" i="20"/>
  <c r="L2796" i="20"/>
  <c r="L2797" i="20"/>
  <c r="L2798" i="20"/>
  <c r="L2799" i="20"/>
  <c r="L2800" i="20"/>
  <c r="L2801" i="20"/>
  <c r="L2802" i="20"/>
  <c r="L2803" i="20"/>
  <c r="L2804" i="20"/>
  <c r="L2805" i="20"/>
  <c r="L2806" i="20"/>
  <c r="L2807" i="20"/>
  <c r="L2808" i="20"/>
  <c r="L2809" i="20"/>
  <c r="L2810" i="20"/>
  <c r="L2811" i="20"/>
  <c r="L2812" i="20"/>
  <c r="L2813" i="20"/>
  <c r="L2814" i="20"/>
  <c r="L2815" i="20"/>
  <c r="L2816" i="20"/>
  <c r="L2817" i="20"/>
  <c r="L2818" i="20"/>
  <c r="L2819" i="20"/>
  <c r="L2820" i="20"/>
  <c r="L2821" i="20"/>
  <c r="L2822" i="20"/>
  <c r="L2823" i="20"/>
  <c r="L2824" i="20"/>
  <c r="L2825" i="20"/>
  <c r="L2826" i="20"/>
  <c r="L2827" i="20"/>
  <c r="L2828" i="20"/>
  <c r="L2829" i="20"/>
  <c r="L2830" i="20"/>
  <c r="L2831" i="20"/>
  <c r="L2832" i="20"/>
  <c r="L2833" i="20"/>
  <c r="L2834" i="20"/>
  <c r="L2835" i="20"/>
  <c r="L2836" i="20"/>
  <c r="L2837" i="20"/>
  <c r="L2838" i="20"/>
  <c r="L2839" i="20"/>
  <c r="L2840" i="20"/>
  <c r="L2841" i="20"/>
  <c r="L2842" i="20"/>
  <c r="L2843" i="20"/>
  <c r="L2844" i="20"/>
  <c r="L2845" i="20"/>
  <c r="L2846" i="20"/>
  <c r="L2847" i="20"/>
  <c r="L2848" i="20"/>
  <c r="L2849" i="20"/>
  <c r="L2850" i="20"/>
  <c r="L2851" i="20"/>
  <c r="L2852" i="20"/>
  <c r="L2853" i="20"/>
  <c r="L2854" i="20"/>
  <c r="L2855" i="20"/>
  <c r="L2856" i="20"/>
  <c r="L2857" i="20"/>
  <c r="L2858" i="20"/>
  <c r="L2859" i="20"/>
  <c r="L2860" i="20"/>
  <c r="L2861" i="20"/>
  <c r="L2862" i="20"/>
  <c r="L2863" i="20"/>
  <c r="L2864" i="20"/>
  <c r="L2865" i="20"/>
  <c r="L2866" i="20"/>
  <c r="L2867" i="20"/>
  <c r="L2868" i="20"/>
  <c r="L2869" i="20"/>
  <c r="L2870" i="20"/>
  <c r="L2871" i="20"/>
  <c r="L2872" i="20"/>
  <c r="L2873" i="20"/>
  <c r="L2874" i="20"/>
  <c r="L2875" i="20"/>
  <c r="L2876" i="20"/>
  <c r="L2877" i="20"/>
  <c r="L2878" i="20"/>
  <c r="L2879" i="20"/>
  <c r="L2880" i="20"/>
  <c r="L2881" i="20"/>
  <c r="L2882" i="20"/>
  <c r="L2883" i="20"/>
  <c r="L2884" i="20"/>
  <c r="L2885" i="20"/>
  <c r="L2886" i="20"/>
  <c r="L2887" i="20"/>
  <c r="L2888" i="20"/>
  <c r="L2889" i="20"/>
  <c r="L2890" i="20"/>
  <c r="L2891" i="20"/>
  <c r="L2892" i="20"/>
  <c r="L2893" i="20"/>
  <c r="L2894" i="20"/>
  <c r="L2895" i="20"/>
  <c r="L2896" i="20"/>
  <c r="L2897" i="20"/>
  <c r="L2898" i="20"/>
  <c r="L2899" i="20"/>
  <c r="L2900" i="20"/>
  <c r="L2901" i="20"/>
  <c r="L2902" i="20"/>
  <c r="L2903" i="20"/>
  <c r="L2904" i="20"/>
  <c r="L2905" i="20"/>
  <c r="L2906" i="20"/>
  <c r="L2907" i="20"/>
  <c r="L2908" i="20"/>
  <c r="L2909" i="20"/>
  <c r="L2910" i="20"/>
  <c r="L2911" i="20"/>
  <c r="L2912" i="20"/>
  <c r="L2913" i="20"/>
  <c r="L2914" i="20"/>
  <c r="L2915" i="20"/>
  <c r="L2916" i="20"/>
  <c r="L2917" i="20"/>
  <c r="L2918" i="20"/>
  <c r="L2919" i="20"/>
  <c r="L2920" i="20"/>
  <c r="L2921" i="20"/>
  <c r="L2922" i="20"/>
  <c r="L2923" i="20"/>
  <c r="L2924" i="20"/>
  <c r="L2925" i="20"/>
  <c r="L2926" i="20"/>
  <c r="L2927" i="20"/>
  <c r="L2928" i="20"/>
  <c r="L2929" i="20"/>
  <c r="L2930" i="20"/>
  <c r="L2931" i="20"/>
  <c r="L2932" i="20"/>
  <c r="L2933" i="20"/>
  <c r="L2934" i="20"/>
  <c r="L2935" i="20"/>
  <c r="L2936" i="20"/>
  <c r="L2937" i="20"/>
  <c r="L2938" i="20"/>
  <c r="L2939" i="20"/>
  <c r="L2940" i="20"/>
  <c r="L2941" i="20"/>
  <c r="L2942" i="20"/>
  <c r="L2943" i="20"/>
  <c r="L2944" i="20"/>
  <c r="L2945" i="20"/>
  <c r="L2946" i="20"/>
  <c r="L2947" i="20"/>
  <c r="L2948" i="20"/>
  <c r="L2949" i="20"/>
  <c r="L2950" i="20"/>
  <c r="L2951" i="20"/>
  <c r="L2952" i="20"/>
  <c r="L2953" i="20"/>
  <c r="L2954" i="20"/>
  <c r="L2955" i="20"/>
  <c r="L2956" i="20"/>
  <c r="L2957" i="20"/>
  <c r="L2958" i="20"/>
  <c r="L2959" i="20"/>
  <c r="L2960" i="20"/>
  <c r="L2961" i="20"/>
  <c r="L2962" i="20"/>
  <c r="L2963" i="20"/>
  <c r="L2964" i="20"/>
  <c r="L2965" i="20"/>
  <c r="L2966" i="20"/>
  <c r="L2967" i="20"/>
  <c r="L2968" i="20"/>
  <c r="L2969" i="20"/>
  <c r="L2970" i="20"/>
  <c r="L2971" i="20"/>
  <c r="L2972" i="20"/>
  <c r="L2973" i="20"/>
  <c r="L2974" i="20"/>
  <c r="L2975" i="20"/>
  <c r="L2976" i="20"/>
  <c r="L2977" i="20"/>
  <c r="L2978" i="20"/>
  <c r="L2979" i="20"/>
  <c r="L2980" i="20"/>
  <c r="L2981" i="20"/>
  <c r="L2982" i="20"/>
  <c r="L2983" i="20"/>
  <c r="L2984" i="20"/>
  <c r="L2985" i="20"/>
  <c r="L2986" i="20"/>
  <c r="L2987" i="20"/>
  <c r="L2988" i="20"/>
  <c r="L2989" i="20"/>
  <c r="L2990" i="20"/>
  <c r="L2991" i="20"/>
  <c r="L2992" i="20"/>
  <c r="L2993" i="20"/>
  <c r="L2994" i="20"/>
  <c r="L2995" i="20"/>
  <c r="L2996" i="20"/>
  <c r="L2997" i="20"/>
  <c r="L2998" i="20"/>
  <c r="L2999" i="20"/>
  <c r="L3000" i="20"/>
  <c r="L3001" i="20"/>
  <c r="L3002" i="20"/>
  <c r="L3003" i="20"/>
  <c r="L3004" i="20"/>
  <c r="L3005" i="20"/>
  <c r="L3006" i="20"/>
  <c r="L3007" i="20"/>
  <c r="L3008" i="20"/>
  <c r="L3009" i="20"/>
  <c r="L3010" i="20"/>
  <c r="L3011" i="20"/>
  <c r="L3012" i="20"/>
  <c r="L3013" i="20"/>
  <c r="L3014" i="20"/>
  <c r="L3015" i="20"/>
  <c r="L3016" i="20"/>
  <c r="L3017" i="20"/>
  <c r="L3018" i="20"/>
  <c r="L3019" i="20"/>
  <c r="L3020" i="20"/>
  <c r="L3021" i="20"/>
  <c r="L3022" i="20"/>
  <c r="L3023" i="20"/>
  <c r="L3024" i="20"/>
  <c r="L3025" i="20"/>
  <c r="L3026" i="20"/>
  <c r="L3027" i="20"/>
  <c r="L3028" i="20"/>
  <c r="L3029" i="20"/>
  <c r="L3030" i="20"/>
  <c r="L3031" i="20"/>
  <c r="L3032" i="20"/>
  <c r="L3033" i="20"/>
  <c r="L3034" i="20"/>
  <c r="L3035" i="20"/>
  <c r="L3036" i="20"/>
  <c r="L3037" i="20"/>
  <c r="L3038" i="20"/>
  <c r="L3039" i="20"/>
  <c r="L3040" i="20"/>
  <c r="L3041" i="20"/>
  <c r="L3042" i="20"/>
  <c r="L3043" i="20"/>
  <c r="L3044" i="20"/>
  <c r="L3045" i="20"/>
  <c r="L3046" i="20"/>
  <c r="L3047" i="20"/>
  <c r="L3048" i="20"/>
  <c r="L3049" i="20"/>
  <c r="L3050" i="20"/>
  <c r="L3051" i="20"/>
  <c r="L3052" i="20"/>
  <c r="L3053" i="20"/>
  <c r="L3054" i="20"/>
  <c r="L3055" i="20"/>
  <c r="L3056" i="20"/>
  <c r="L3057" i="20"/>
  <c r="L3058" i="20"/>
  <c r="L3059" i="20"/>
  <c r="L3060" i="20"/>
  <c r="L3061" i="20"/>
  <c r="L3062" i="20"/>
  <c r="L3063" i="20"/>
  <c r="L3064" i="20"/>
  <c r="L3065" i="20"/>
  <c r="L3066" i="20"/>
  <c r="L3067" i="20"/>
  <c r="L3068" i="20"/>
  <c r="L3069" i="20"/>
  <c r="L3070" i="20"/>
  <c r="L3071" i="20"/>
  <c r="L3072" i="20"/>
  <c r="L3073" i="20"/>
  <c r="L3074" i="20"/>
  <c r="L3075" i="20"/>
  <c r="L3076" i="20"/>
  <c r="L3077" i="20"/>
  <c r="L3078" i="20"/>
  <c r="L3079" i="20"/>
  <c r="L3080" i="20"/>
  <c r="L3081" i="20"/>
  <c r="L3082" i="20"/>
  <c r="L3083" i="20"/>
  <c r="L3084" i="20"/>
  <c r="L3085" i="20"/>
  <c r="L3086" i="20"/>
  <c r="L3087" i="20"/>
  <c r="L3088" i="20"/>
  <c r="L3089" i="20"/>
  <c r="L3090" i="20"/>
  <c r="L3091" i="20"/>
  <c r="L3092" i="20"/>
  <c r="L3093" i="20"/>
  <c r="L3094" i="20"/>
  <c r="L3095" i="20"/>
  <c r="L3096" i="20"/>
  <c r="L3097" i="20"/>
  <c r="L3098" i="20"/>
  <c r="L3099" i="20"/>
  <c r="L3100" i="20"/>
  <c r="L3101" i="20"/>
  <c r="L3102" i="20"/>
  <c r="L3103" i="20"/>
  <c r="L3104" i="20"/>
  <c r="L3105" i="20"/>
  <c r="L3106" i="20"/>
  <c r="L3107" i="20"/>
  <c r="L3108" i="20"/>
  <c r="L3109" i="20"/>
  <c r="L3110" i="20"/>
  <c r="L3111" i="20"/>
  <c r="L3112" i="20"/>
  <c r="L3113" i="20"/>
  <c r="L3114" i="20"/>
  <c r="L3115" i="20"/>
  <c r="L3116" i="20"/>
  <c r="L3117" i="20"/>
  <c r="L3118" i="20"/>
  <c r="L3119" i="20"/>
  <c r="L3120" i="20"/>
  <c r="L3121" i="20"/>
  <c r="L3122" i="20"/>
  <c r="L3123" i="20"/>
  <c r="L3124" i="20"/>
  <c r="L3125" i="20"/>
  <c r="L3126" i="20"/>
  <c r="L3127" i="20"/>
  <c r="L3128" i="20"/>
  <c r="L3129" i="20"/>
  <c r="L3130" i="20"/>
  <c r="L3131" i="20"/>
  <c r="L3132" i="20"/>
  <c r="L3133" i="20"/>
  <c r="L3134" i="20"/>
  <c r="L3135" i="20"/>
  <c r="L3136" i="20"/>
  <c r="L3137" i="20"/>
  <c r="L3138" i="20"/>
  <c r="L3139" i="20"/>
  <c r="L3140" i="20"/>
  <c r="L3141" i="20"/>
  <c r="L3142" i="20"/>
  <c r="L3143" i="20"/>
  <c r="L3144" i="20"/>
  <c r="L3145" i="20"/>
  <c r="L3146" i="20"/>
  <c r="L3147" i="20"/>
  <c r="L3148" i="20"/>
  <c r="L3149" i="20"/>
  <c r="L3150" i="20"/>
  <c r="L3151" i="20"/>
  <c r="L3152" i="20"/>
  <c r="L3153" i="20"/>
  <c r="L3154" i="20"/>
  <c r="L3155" i="20"/>
  <c r="L3156" i="20"/>
  <c r="L3157" i="20"/>
  <c r="L3158" i="20"/>
  <c r="L3159" i="20"/>
  <c r="L3160" i="20"/>
  <c r="L3161" i="20"/>
  <c r="L3162" i="20"/>
  <c r="L3163" i="20"/>
  <c r="L3164" i="20"/>
  <c r="L3165" i="20"/>
  <c r="L3166" i="20"/>
  <c r="L3167" i="20"/>
  <c r="L3168" i="20"/>
  <c r="L3169" i="20"/>
  <c r="L3170" i="20"/>
  <c r="L3171" i="20"/>
  <c r="L3172" i="20"/>
  <c r="L3173" i="20"/>
  <c r="L3174" i="20"/>
  <c r="L3175" i="20"/>
  <c r="L3176" i="20"/>
  <c r="L3177" i="20"/>
  <c r="L3178" i="20"/>
  <c r="L3179" i="20"/>
  <c r="L3180" i="20"/>
  <c r="L3181" i="20"/>
  <c r="L3182" i="20"/>
  <c r="L3183" i="20"/>
  <c r="L3184" i="20"/>
  <c r="L3185" i="20"/>
  <c r="L3186" i="20"/>
  <c r="L3187" i="20"/>
  <c r="L3188" i="20"/>
  <c r="L3189" i="20"/>
  <c r="L3190" i="20"/>
  <c r="L3191" i="20"/>
  <c r="L3192" i="20"/>
  <c r="L3193" i="20"/>
  <c r="L3194" i="20"/>
  <c r="L3195" i="20"/>
  <c r="L3196" i="20"/>
  <c r="L3197" i="20"/>
  <c r="L3198" i="20"/>
  <c r="L3199" i="20"/>
  <c r="L3200" i="20"/>
  <c r="L3201" i="20"/>
  <c r="L3202" i="20"/>
  <c r="L3203" i="20"/>
  <c r="L3204" i="20"/>
  <c r="L3205" i="20"/>
  <c r="L3206" i="20"/>
  <c r="L3207" i="20"/>
  <c r="L3208" i="20"/>
  <c r="L3209" i="20"/>
  <c r="L3210" i="20"/>
  <c r="L3211" i="20"/>
  <c r="L3212" i="20"/>
  <c r="L3213" i="20"/>
  <c r="L3214" i="20"/>
  <c r="L3215" i="20"/>
  <c r="L3216" i="20"/>
  <c r="L3217" i="20"/>
  <c r="L3218" i="20"/>
  <c r="L3219" i="20"/>
  <c r="L3220" i="20"/>
  <c r="L3221" i="20"/>
  <c r="L3222" i="20"/>
  <c r="L3223" i="20"/>
  <c r="L3224" i="20"/>
  <c r="L3225" i="20"/>
  <c r="L3226" i="20"/>
  <c r="L3227" i="20"/>
  <c r="L3228" i="20"/>
  <c r="L3229" i="20"/>
  <c r="L3230" i="20"/>
  <c r="L3231" i="20"/>
  <c r="L3232" i="20"/>
  <c r="L3233" i="20"/>
  <c r="L3234" i="20"/>
  <c r="L3235" i="20"/>
  <c r="L3236" i="20"/>
  <c r="L3237" i="20"/>
  <c r="L3238" i="20"/>
  <c r="L3239" i="20"/>
  <c r="L3240" i="20"/>
  <c r="L3241" i="20"/>
  <c r="L3242" i="20"/>
  <c r="L3243" i="20"/>
  <c r="L3244" i="20"/>
  <c r="L3245" i="20"/>
  <c r="L3246" i="20"/>
  <c r="L3247" i="20"/>
  <c r="L3248" i="20"/>
  <c r="L3249" i="20"/>
  <c r="L3250" i="20"/>
  <c r="L3251" i="20"/>
  <c r="L3252" i="20"/>
  <c r="L3253" i="20"/>
  <c r="L3254" i="20"/>
  <c r="L3255" i="20"/>
  <c r="L3256" i="20"/>
  <c r="L3257" i="20"/>
  <c r="L3258" i="20"/>
  <c r="L3259" i="20"/>
  <c r="L3260" i="20"/>
  <c r="L3261" i="20"/>
  <c r="L3262" i="20"/>
  <c r="L3263" i="20"/>
  <c r="L3264" i="20"/>
  <c r="L3265" i="20"/>
  <c r="L3266" i="20"/>
  <c r="L3267" i="20"/>
  <c r="L3268" i="20"/>
  <c r="L3269" i="20"/>
  <c r="L3270" i="20"/>
  <c r="L3271" i="20"/>
  <c r="L3272" i="20"/>
  <c r="L3273" i="20"/>
  <c r="L3274" i="20"/>
  <c r="L3275" i="20"/>
  <c r="L3276" i="20"/>
  <c r="L3277" i="20"/>
  <c r="L3278" i="20"/>
  <c r="L3279" i="20"/>
  <c r="L3280" i="20"/>
  <c r="L3281" i="20"/>
  <c r="L3282" i="20"/>
  <c r="L3283" i="20"/>
  <c r="L3284" i="20"/>
  <c r="L3285" i="20"/>
  <c r="L3286" i="20"/>
  <c r="L3287" i="20"/>
  <c r="L3288" i="20"/>
  <c r="L3289" i="20"/>
  <c r="L3290" i="20"/>
  <c r="L3291" i="20"/>
  <c r="L3292" i="20"/>
  <c r="L3293" i="20"/>
  <c r="L3294" i="20"/>
  <c r="L3295" i="20"/>
  <c r="L3296" i="20"/>
  <c r="L3297" i="20"/>
  <c r="L3298" i="20"/>
  <c r="L3299" i="20"/>
  <c r="L3300" i="20"/>
  <c r="L3301" i="20"/>
  <c r="L3302" i="20"/>
  <c r="L3303" i="20"/>
  <c r="L3304" i="20"/>
  <c r="L3305" i="20"/>
  <c r="L3306" i="20"/>
  <c r="L3307" i="20"/>
  <c r="L3308" i="20"/>
  <c r="L3309" i="20"/>
  <c r="L3310" i="20"/>
  <c r="L3311" i="20"/>
  <c r="L3312" i="20"/>
  <c r="L3313" i="20"/>
  <c r="L3314" i="20"/>
  <c r="L3315" i="20"/>
  <c r="L3316" i="20"/>
  <c r="L3317" i="20"/>
  <c r="L3318" i="20"/>
  <c r="L3319" i="20"/>
  <c r="L3320" i="20"/>
  <c r="L3321" i="20"/>
  <c r="L3322" i="20"/>
  <c r="L3323" i="20"/>
  <c r="L3324" i="20"/>
  <c r="L3325" i="20"/>
  <c r="L3326" i="20"/>
  <c r="L3327" i="20"/>
  <c r="L3328" i="20"/>
  <c r="L3329" i="20"/>
  <c r="L3330" i="20"/>
  <c r="L3331" i="20"/>
  <c r="L3332" i="20"/>
  <c r="L3333" i="20"/>
  <c r="L3334" i="20"/>
  <c r="L3335" i="20"/>
  <c r="L3336" i="20"/>
  <c r="L3337" i="20"/>
  <c r="L3338" i="20"/>
  <c r="L3339" i="20"/>
  <c r="L3340" i="20"/>
  <c r="L3341" i="20"/>
  <c r="L3342" i="20"/>
  <c r="L3343" i="20"/>
  <c r="L3344" i="20"/>
  <c r="L3345" i="20"/>
  <c r="L3346" i="20"/>
  <c r="L3347" i="20"/>
  <c r="L3348" i="20"/>
  <c r="L3349" i="20"/>
  <c r="L3350" i="20"/>
  <c r="L3351" i="20"/>
  <c r="L3352" i="20"/>
  <c r="L3353" i="20"/>
  <c r="L3354" i="20"/>
  <c r="L3355" i="20"/>
  <c r="L3356" i="20"/>
  <c r="L3357" i="20"/>
  <c r="L3358" i="20"/>
  <c r="L3359" i="20"/>
  <c r="L3360" i="20"/>
  <c r="L3361" i="20"/>
  <c r="L3362" i="20"/>
  <c r="L3363" i="20"/>
  <c r="L3364" i="20"/>
  <c r="L3365" i="20"/>
  <c r="L3366" i="20"/>
  <c r="L3367" i="20"/>
  <c r="L3368" i="20"/>
  <c r="L3369" i="20"/>
  <c r="L3370" i="20"/>
  <c r="L3371" i="20"/>
  <c r="L3372" i="20"/>
  <c r="L3373" i="20"/>
  <c r="L3374" i="20"/>
  <c r="L3375" i="20"/>
  <c r="L3376" i="20"/>
  <c r="L3377" i="20"/>
  <c r="L3378" i="20"/>
  <c r="L3379" i="20"/>
  <c r="L3380" i="20"/>
  <c r="L3381" i="20"/>
  <c r="L3382" i="20"/>
  <c r="L3383" i="20"/>
  <c r="L3384" i="20"/>
  <c r="L3385" i="20"/>
  <c r="L3386" i="20"/>
  <c r="L3387" i="20"/>
  <c r="L3388" i="20"/>
  <c r="L3389" i="20"/>
  <c r="L3390" i="20"/>
  <c r="L3391" i="20"/>
  <c r="L3392" i="20"/>
  <c r="L3393" i="20"/>
  <c r="L3394" i="20"/>
  <c r="L3395" i="20"/>
  <c r="L3396" i="20"/>
  <c r="L3397" i="20"/>
  <c r="L3398" i="20"/>
  <c r="L3399" i="20"/>
  <c r="L3400" i="20"/>
  <c r="L3401" i="20"/>
  <c r="L3402" i="20"/>
  <c r="L3403" i="20"/>
  <c r="L3404" i="20"/>
  <c r="L3405" i="20"/>
  <c r="L3406" i="20"/>
  <c r="L3407" i="20"/>
  <c r="L3408" i="20"/>
  <c r="L3409" i="20"/>
  <c r="L3410" i="20"/>
  <c r="L3411" i="20"/>
  <c r="L3412" i="20"/>
  <c r="L3413" i="20"/>
  <c r="L3414" i="20"/>
  <c r="L3415" i="20"/>
  <c r="L3416" i="20"/>
  <c r="L3417" i="20"/>
  <c r="L3418" i="20"/>
  <c r="L3419" i="20"/>
  <c r="L3420" i="20"/>
  <c r="L3421" i="20"/>
  <c r="L3422" i="20"/>
  <c r="L3423" i="20"/>
  <c r="L3424" i="20"/>
  <c r="L3425" i="20"/>
  <c r="L3426" i="20"/>
  <c r="L3427" i="20"/>
  <c r="L3428" i="20"/>
  <c r="L3429" i="20"/>
  <c r="L3430" i="20"/>
  <c r="L3431" i="20"/>
  <c r="L3432" i="20"/>
  <c r="L3433" i="20"/>
  <c r="L3434" i="20"/>
  <c r="L3435" i="20"/>
  <c r="L3436" i="20"/>
  <c r="L3437" i="20"/>
  <c r="L3438" i="20"/>
  <c r="L3439" i="20"/>
  <c r="L3440" i="20"/>
  <c r="L3441" i="20"/>
  <c r="L3442" i="20"/>
  <c r="L3443" i="20"/>
  <c r="L3444" i="20"/>
  <c r="L3445" i="20"/>
  <c r="L3446" i="20"/>
  <c r="L3447" i="20"/>
  <c r="L3448" i="20"/>
  <c r="L3449" i="20"/>
  <c r="L3450" i="20"/>
  <c r="L3451" i="20"/>
  <c r="L3452" i="20"/>
  <c r="L3453" i="20"/>
  <c r="M196" i="20"/>
  <c r="M197" i="20"/>
  <c r="M198" i="20"/>
  <c r="M199" i="20"/>
  <c r="M200" i="20"/>
  <c r="M201" i="20"/>
  <c r="M202" i="20"/>
  <c r="M203" i="20"/>
  <c r="M204" i="20"/>
  <c r="M205" i="20"/>
  <c r="M206" i="20"/>
  <c r="M207" i="20"/>
  <c r="M208" i="20"/>
  <c r="M209" i="20"/>
  <c r="M210" i="20"/>
  <c r="M211" i="20"/>
  <c r="M212" i="20"/>
  <c r="M213" i="20"/>
  <c r="M214" i="20"/>
  <c r="M215" i="20"/>
  <c r="M216" i="20"/>
  <c r="M217" i="20"/>
  <c r="M218" i="20"/>
  <c r="M219" i="20"/>
  <c r="M220" i="20"/>
  <c r="M221" i="20"/>
  <c r="M222" i="20"/>
  <c r="M223" i="20"/>
  <c r="M224" i="20"/>
  <c r="M225" i="20"/>
  <c r="M226" i="20"/>
  <c r="M227" i="20"/>
  <c r="M228" i="20"/>
  <c r="M229" i="20"/>
  <c r="M230" i="20"/>
  <c r="M231" i="20"/>
  <c r="M232" i="20"/>
  <c r="M233" i="20"/>
  <c r="M234" i="20"/>
  <c r="M235" i="20"/>
  <c r="M236" i="20"/>
  <c r="M237" i="20"/>
  <c r="M238" i="20"/>
  <c r="M239" i="20"/>
  <c r="M240" i="20"/>
  <c r="M241" i="20"/>
  <c r="M242" i="20"/>
  <c r="M243" i="20"/>
  <c r="M244" i="20"/>
  <c r="M245" i="20"/>
  <c r="M246" i="20"/>
  <c r="M247" i="20"/>
  <c r="M248" i="20"/>
  <c r="M249" i="20"/>
  <c r="M250" i="20"/>
  <c r="M251" i="20"/>
  <c r="M252" i="20"/>
  <c r="M253" i="20"/>
  <c r="M254" i="20"/>
  <c r="M255" i="20"/>
  <c r="M256" i="20"/>
  <c r="M257" i="20"/>
  <c r="M258" i="20"/>
  <c r="M259" i="20"/>
  <c r="M260" i="20"/>
  <c r="M261" i="20"/>
  <c r="M262" i="20"/>
  <c r="M263" i="20"/>
  <c r="M264" i="20"/>
  <c r="M265" i="20"/>
  <c r="M266" i="20"/>
  <c r="M267" i="20"/>
  <c r="M268" i="20"/>
  <c r="M269" i="20"/>
  <c r="M270" i="20"/>
  <c r="M271" i="20"/>
  <c r="M272" i="20"/>
  <c r="M273" i="20"/>
  <c r="M274" i="20"/>
  <c r="M275" i="20"/>
  <c r="M276" i="20"/>
  <c r="M277" i="20"/>
  <c r="M278" i="20"/>
  <c r="M279" i="20"/>
  <c r="M280" i="20"/>
  <c r="M281" i="20"/>
  <c r="M282" i="20"/>
  <c r="M283" i="20"/>
  <c r="M284" i="20"/>
  <c r="M285" i="20"/>
  <c r="M286" i="20"/>
  <c r="M287" i="20"/>
  <c r="M288" i="20"/>
  <c r="M289" i="20"/>
  <c r="M290" i="20"/>
  <c r="M291" i="20"/>
  <c r="M292" i="20"/>
  <c r="M293" i="20"/>
  <c r="M294" i="20"/>
  <c r="M295" i="20"/>
  <c r="M296" i="20"/>
  <c r="M297" i="20"/>
  <c r="M298" i="20"/>
  <c r="M299" i="20"/>
  <c r="M300" i="20"/>
  <c r="M301" i="20"/>
  <c r="M302" i="20"/>
  <c r="M303" i="20"/>
  <c r="M304" i="20"/>
  <c r="M305" i="20"/>
  <c r="M306" i="20"/>
  <c r="M307" i="20"/>
  <c r="M308" i="20"/>
  <c r="M309" i="20"/>
  <c r="M310" i="20"/>
  <c r="M311" i="20"/>
  <c r="M312" i="20"/>
  <c r="M313" i="20"/>
  <c r="M314" i="20"/>
  <c r="M315" i="20"/>
  <c r="M316" i="20"/>
  <c r="M317" i="20"/>
  <c r="M318" i="20"/>
  <c r="M319" i="20"/>
  <c r="M320" i="20"/>
  <c r="M321" i="20"/>
  <c r="M322" i="20"/>
  <c r="M323" i="20"/>
  <c r="M324" i="20"/>
  <c r="M325" i="20"/>
  <c r="M326" i="20"/>
  <c r="M327" i="20"/>
  <c r="M328" i="20"/>
  <c r="M329" i="20"/>
  <c r="M330" i="20"/>
  <c r="M331" i="20"/>
  <c r="M332" i="20"/>
  <c r="M333" i="20"/>
  <c r="M334" i="20"/>
  <c r="M335" i="20"/>
  <c r="M336" i="20"/>
  <c r="M337" i="20"/>
  <c r="M338" i="20"/>
  <c r="M339" i="20"/>
  <c r="M340" i="20"/>
  <c r="M341" i="20"/>
  <c r="M342" i="20"/>
  <c r="M343" i="20"/>
  <c r="M344" i="20"/>
  <c r="M345" i="20"/>
  <c r="M346" i="20"/>
  <c r="M347" i="20"/>
  <c r="M348" i="20"/>
  <c r="M349" i="20"/>
  <c r="M350" i="20"/>
  <c r="M351" i="20"/>
  <c r="M352" i="20"/>
  <c r="M353" i="20"/>
  <c r="M354" i="20"/>
  <c r="M355" i="20"/>
  <c r="M356" i="20"/>
  <c r="M357" i="20"/>
  <c r="M358" i="20"/>
  <c r="M359" i="20"/>
  <c r="M360" i="20"/>
  <c r="M361" i="20"/>
  <c r="M362" i="20"/>
  <c r="M363" i="20"/>
  <c r="M364" i="20"/>
  <c r="M365" i="20"/>
  <c r="M366" i="20"/>
  <c r="M367" i="20"/>
  <c r="M368" i="20"/>
  <c r="M369" i="20"/>
  <c r="M370" i="20"/>
  <c r="M371" i="20"/>
  <c r="M372" i="20"/>
  <c r="M373" i="20"/>
  <c r="M374" i="20"/>
  <c r="M375" i="20"/>
  <c r="M376" i="20"/>
  <c r="M377" i="20"/>
  <c r="M378" i="20"/>
  <c r="M379" i="20"/>
  <c r="M380" i="20"/>
  <c r="M381" i="20"/>
  <c r="M382" i="20"/>
  <c r="M383" i="20"/>
  <c r="M384" i="20"/>
  <c r="M385" i="20"/>
  <c r="M386" i="20"/>
  <c r="M387" i="20"/>
  <c r="M388" i="20"/>
  <c r="M389" i="20"/>
  <c r="M390" i="20"/>
  <c r="M391" i="20"/>
  <c r="M392" i="20"/>
  <c r="M393" i="20"/>
  <c r="M394" i="20"/>
  <c r="M395" i="20"/>
  <c r="M396" i="20"/>
  <c r="M397" i="20"/>
  <c r="M398" i="20"/>
  <c r="M399" i="20"/>
  <c r="M400" i="20"/>
  <c r="M401" i="20"/>
  <c r="M402" i="20"/>
  <c r="M403" i="20"/>
  <c r="M404" i="20"/>
  <c r="M405" i="20"/>
  <c r="M406" i="20"/>
  <c r="M407" i="20"/>
  <c r="M408" i="20"/>
  <c r="M409" i="20"/>
  <c r="M410" i="20"/>
  <c r="M411" i="20"/>
  <c r="M412" i="20"/>
  <c r="M413" i="20"/>
  <c r="M414" i="20"/>
  <c r="M415" i="20"/>
  <c r="M416" i="20"/>
  <c r="M417" i="20"/>
  <c r="M418" i="20"/>
  <c r="M419" i="20"/>
  <c r="M420" i="20"/>
  <c r="M421" i="20"/>
  <c r="M422" i="20"/>
  <c r="M423" i="20"/>
  <c r="M424" i="20"/>
  <c r="M425" i="20"/>
  <c r="M426" i="20"/>
  <c r="M427" i="20"/>
  <c r="M428" i="20"/>
  <c r="M429" i="20"/>
  <c r="M430" i="20"/>
  <c r="M431" i="20"/>
  <c r="M432" i="20"/>
  <c r="M433" i="20"/>
  <c r="M434" i="20"/>
  <c r="M435" i="20"/>
  <c r="M436" i="20"/>
  <c r="M437" i="20"/>
  <c r="M438" i="20"/>
  <c r="M439" i="20"/>
  <c r="M440" i="20"/>
  <c r="M441" i="20"/>
  <c r="M442" i="20"/>
  <c r="M443" i="20"/>
  <c r="M444" i="20"/>
  <c r="M445" i="20"/>
  <c r="M446" i="20"/>
  <c r="M447" i="20"/>
  <c r="M448" i="20"/>
  <c r="M449" i="20"/>
  <c r="M450" i="20"/>
  <c r="M451" i="20"/>
  <c r="M452" i="20"/>
  <c r="M453" i="20"/>
  <c r="M454" i="20"/>
  <c r="M455" i="20"/>
  <c r="M456" i="20"/>
  <c r="M457" i="20"/>
  <c r="M458" i="20"/>
  <c r="M459" i="20"/>
  <c r="M460" i="20"/>
  <c r="M461" i="20"/>
  <c r="M462" i="20"/>
  <c r="M463" i="20"/>
  <c r="M464" i="20"/>
  <c r="M465" i="20"/>
  <c r="M466" i="20"/>
  <c r="M467" i="20"/>
  <c r="M468" i="20"/>
  <c r="M469" i="20"/>
  <c r="M470" i="20"/>
  <c r="M471" i="20"/>
  <c r="M472" i="20"/>
  <c r="M473" i="20"/>
  <c r="M474" i="20"/>
  <c r="M475" i="20"/>
  <c r="M476" i="20"/>
  <c r="M477" i="20"/>
  <c r="M478" i="20"/>
  <c r="M479" i="20"/>
  <c r="M480" i="20"/>
  <c r="M481" i="20"/>
  <c r="M482" i="20"/>
  <c r="M483" i="20"/>
  <c r="M484" i="20"/>
  <c r="M485" i="20"/>
  <c r="M486" i="20"/>
  <c r="M487" i="20"/>
  <c r="M488" i="20"/>
  <c r="M489" i="20"/>
  <c r="M490" i="20"/>
  <c r="M491" i="20"/>
  <c r="M492" i="20"/>
  <c r="M493" i="20"/>
  <c r="M494" i="20"/>
  <c r="M495" i="20"/>
  <c r="M496" i="20"/>
  <c r="M497" i="20"/>
  <c r="M498" i="20"/>
  <c r="M499" i="20"/>
  <c r="M500" i="20"/>
  <c r="M501" i="20"/>
  <c r="M502" i="20"/>
  <c r="M503" i="20"/>
  <c r="M504" i="20"/>
  <c r="M505" i="20"/>
  <c r="M506" i="20"/>
  <c r="M507" i="20"/>
  <c r="M508" i="20"/>
  <c r="M509" i="20"/>
  <c r="M510" i="20"/>
  <c r="M511" i="20"/>
  <c r="M512" i="20"/>
  <c r="M513" i="20"/>
  <c r="M514" i="20"/>
  <c r="M515" i="20"/>
  <c r="M516" i="20"/>
  <c r="M517" i="20"/>
  <c r="M518" i="20"/>
  <c r="M519" i="20"/>
  <c r="M520" i="20"/>
  <c r="M521" i="20"/>
  <c r="M522" i="20"/>
  <c r="M523" i="20"/>
  <c r="M524" i="20"/>
  <c r="M525" i="20"/>
  <c r="M526" i="20"/>
  <c r="M527" i="20"/>
  <c r="M528" i="20"/>
  <c r="M529" i="20"/>
  <c r="M530" i="20"/>
  <c r="M531" i="20"/>
  <c r="M532" i="20"/>
  <c r="M533" i="20"/>
  <c r="M534" i="20"/>
  <c r="M535" i="20"/>
  <c r="M536" i="20"/>
  <c r="M537" i="20"/>
  <c r="M538" i="20"/>
  <c r="M539" i="20"/>
  <c r="M540" i="20"/>
  <c r="M541" i="20"/>
  <c r="M542" i="20"/>
  <c r="M543" i="20"/>
  <c r="M544" i="20"/>
  <c r="M545" i="20"/>
  <c r="M546" i="20"/>
  <c r="M547" i="20"/>
  <c r="M548" i="20"/>
  <c r="M549" i="20"/>
  <c r="M550" i="20"/>
  <c r="M551" i="20"/>
  <c r="M552" i="20"/>
  <c r="M553" i="20"/>
  <c r="M554" i="20"/>
  <c r="M555" i="20"/>
  <c r="M556" i="20"/>
  <c r="M557" i="20"/>
  <c r="M558" i="20"/>
  <c r="M559" i="20"/>
  <c r="M560" i="20"/>
  <c r="M561" i="20"/>
  <c r="M562" i="20"/>
  <c r="M563" i="20"/>
  <c r="M564" i="20"/>
  <c r="M565" i="20"/>
  <c r="M566" i="20"/>
  <c r="M567" i="20"/>
  <c r="M568" i="20"/>
  <c r="M569" i="20"/>
  <c r="M570" i="20"/>
  <c r="M571" i="20"/>
  <c r="M572" i="20"/>
  <c r="M573" i="20"/>
  <c r="M574" i="20"/>
  <c r="M575" i="20"/>
  <c r="M576" i="20"/>
  <c r="M577" i="20"/>
  <c r="M578" i="20"/>
  <c r="M579" i="20"/>
  <c r="M580" i="20"/>
  <c r="M581" i="20"/>
  <c r="M582" i="20"/>
  <c r="M583" i="20"/>
  <c r="M584" i="20"/>
  <c r="M585" i="20"/>
  <c r="M586" i="20"/>
  <c r="M587" i="20"/>
  <c r="M588" i="20"/>
  <c r="M589" i="20"/>
  <c r="M590" i="20"/>
  <c r="M591" i="20"/>
  <c r="M592" i="20"/>
  <c r="M593" i="20"/>
  <c r="M594" i="20"/>
  <c r="M595" i="20"/>
  <c r="M596" i="20"/>
  <c r="M597" i="20"/>
  <c r="M598" i="20"/>
  <c r="M599" i="20"/>
  <c r="M600" i="20"/>
  <c r="M601" i="20"/>
  <c r="M602" i="20"/>
  <c r="M603" i="20"/>
  <c r="M604" i="20"/>
  <c r="M605" i="20"/>
  <c r="M606" i="20"/>
  <c r="M607" i="20"/>
  <c r="M608" i="20"/>
  <c r="M609" i="20"/>
  <c r="M610" i="20"/>
  <c r="M611" i="20"/>
  <c r="M612" i="20"/>
  <c r="M613" i="20"/>
  <c r="M614" i="20"/>
  <c r="M615" i="20"/>
  <c r="M616" i="20"/>
  <c r="M617" i="20"/>
  <c r="M618" i="20"/>
  <c r="M619" i="20"/>
  <c r="M620" i="20"/>
  <c r="M621" i="20"/>
  <c r="M622" i="20"/>
  <c r="M623" i="20"/>
  <c r="M624" i="20"/>
  <c r="M625" i="20"/>
  <c r="M626" i="20"/>
  <c r="M627" i="20"/>
  <c r="M628" i="20"/>
  <c r="M629" i="20"/>
  <c r="M630" i="20"/>
  <c r="M631" i="20"/>
  <c r="M632" i="20"/>
  <c r="M633" i="20"/>
  <c r="M634" i="20"/>
  <c r="M635" i="20"/>
  <c r="M636" i="20"/>
  <c r="M637" i="20"/>
  <c r="M638" i="20"/>
  <c r="M639" i="20"/>
  <c r="M640" i="20"/>
  <c r="M641" i="20"/>
  <c r="M642" i="20"/>
  <c r="M643" i="20"/>
  <c r="M644" i="20"/>
  <c r="M645" i="20"/>
  <c r="M646" i="20"/>
  <c r="M647" i="20"/>
  <c r="M648" i="20"/>
  <c r="M649" i="20"/>
  <c r="M650" i="20"/>
  <c r="M651" i="20"/>
  <c r="M652" i="20"/>
  <c r="M653" i="20"/>
  <c r="M654" i="20"/>
  <c r="M655" i="20"/>
  <c r="M656" i="20"/>
  <c r="M657" i="20"/>
  <c r="M658" i="20"/>
  <c r="M659" i="20"/>
  <c r="M660" i="20"/>
  <c r="M661" i="20"/>
  <c r="M662" i="20"/>
  <c r="M663" i="20"/>
  <c r="M664" i="20"/>
  <c r="M665" i="20"/>
  <c r="M666" i="20"/>
  <c r="M667" i="20"/>
  <c r="M668" i="20"/>
  <c r="M669" i="20"/>
  <c r="M670" i="20"/>
  <c r="M671" i="20"/>
  <c r="M672" i="20"/>
  <c r="M673" i="20"/>
  <c r="M674" i="20"/>
  <c r="M675" i="20"/>
  <c r="M676" i="20"/>
  <c r="M677" i="20"/>
  <c r="M678" i="20"/>
  <c r="M679" i="20"/>
  <c r="M680" i="20"/>
  <c r="M681" i="20"/>
  <c r="M682" i="20"/>
  <c r="M683" i="20"/>
  <c r="M684" i="20"/>
  <c r="M685" i="20"/>
  <c r="M686" i="20"/>
  <c r="M687" i="20"/>
  <c r="M688" i="20"/>
  <c r="M689" i="20"/>
  <c r="M690" i="20"/>
  <c r="M691" i="20"/>
  <c r="M692" i="20"/>
  <c r="M693" i="20"/>
  <c r="M694" i="20"/>
  <c r="M695" i="20"/>
  <c r="M696" i="20"/>
  <c r="M697" i="20"/>
  <c r="M698" i="20"/>
  <c r="M699" i="20"/>
  <c r="M700" i="20"/>
  <c r="M701" i="20"/>
  <c r="M702" i="20"/>
  <c r="M703" i="20"/>
  <c r="M704" i="20"/>
  <c r="M705" i="20"/>
  <c r="M706" i="20"/>
  <c r="M707" i="20"/>
  <c r="M708" i="20"/>
  <c r="M709" i="20"/>
  <c r="M710" i="20"/>
  <c r="M711" i="20"/>
  <c r="M712" i="20"/>
  <c r="M713" i="20"/>
  <c r="M714" i="20"/>
  <c r="M715" i="20"/>
  <c r="M716" i="20"/>
  <c r="M717" i="20"/>
  <c r="M718" i="20"/>
  <c r="M719" i="20"/>
  <c r="M720" i="20"/>
  <c r="M721" i="20"/>
  <c r="M722" i="20"/>
  <c r="M723" i="20"/>
  <c r="M724" i="20"/>
  <c r="M725" i="20"/>
  <c r="M726" i="20"/>
  <c r="M727" i="20"/>
  <c r="M728" i="20"/>
  <c r="M729" i="20"/>
  <c r="M730" i="20"/>
  <c r="M731" i="20"/>
  <c r="M732" i="20"/>
  <c r="M733" i="20"/>
  <c r="M734" i="20"/>
  <c r="M735" i="20"/>
  <c r="M736" i="20"/>
  <c r="M737" i="20"/>
  <c r="M738" i="20"/>
  <c r="M739" i="20"/>
  <c r="M740" i="20"/>
  <c r="M741" i="20"/>
  <c r="M742" i="20"/>
  <c r="M743" i="20"/>
  <c r="M744" i="20"/>
  <c r="M745" i="20"/>
  <c r="M746" i="20"/>
  <c r="M747" i="20"/>
  <c r="M748" i="20"/>
  <c r="M749" i="20"/>
  <c r="M750" i="20"/>
  <c r="M751" i="20"/>
  <c r="M752" i="20"/>
  <c r="M753" i="20"/>
  <c r="M754" i="20"/>
  <c r="M755" i="20"/>
  <c r="M756" i="20"/>
  <c r="M757" i="20"/>
  <c r="M758" i="20"/>
  <c r="M759" i="20"/>
  <c r="M760" i="20"/>
  <c r="M761" i="20"/>
  <c r="M762" i="20"/>
  <c r="M763" i="20"/>
  <c r="M764" i="20"/>
  <c r="M765" i="20"/>
  <c r="M766" i="20"/>
  <c r="M767" i="20"/>
  <c r="M768" i="20"/>
  <c r="M769" i="20"/>
  <c r="M770" i="20"/>
  <c r="M771" i="20"/>
  <c r="M772" i="20"/>
  <c r="M773" i="20"/>
  <c r="M774" i="20"/>
  <c r="M775" i="20"/>
  <c r="M776" i="20"/>
  <c r="M777" i="20"/>
  <c r="M778" i="20"/>
  <c r="M779" i="20"/>
  <c r="M780" i="20"/>
  <c r="M781" i="20"/>
  <c r="M782" i="20"/>
  <c r="M783" i="20"/>
  <c r="M784" i="20"/>
  <c r="M785" i="20"/>
  <c r="M786" i="20"/>
  <c r="M787" i="20"/>
  <c r="M788" i="20"/>
  <c r="M789" i="20"/>
  <c r="M790" i="20"/>
  <c r="M791" i="20"/>
  <c r="M792" i="20"/>
  <c r="M793" i="20"/>
  <c r="M794" i="20"/>
  <c r="M795" i="20"/>
  <c r="M796" i="20"/>
  <c r="M797" i="20"/>
  <c r="M798" i="20"/>
  <c r="M799" i="20"/>
  <c r="M800" i="20"/>
  <c r="M801" i="20"/>
  <c r="M802" i="20"/>
  <c r="M803" i="20"/>
  <c r="M804" i="20"/>
  <c r="M805" i="20"/>
  <c r="M806" i="20"/>
  <c r="M807" i="20"/>
  <c r="M808" i="20"/>
  <c r="M809" i="20"/>
  <c r="M810" i="20"/>
  <c r="M811" i="20"/>
  <c r="M812" i="20"/>
  <c r="M813" i="20"/>
  <c r="M814" i="20"/>
  <c r="M815" i="20"/>
  <c r="M816" i="20"/>
  <c r="M817" i="20"/>
  <c r="M818" i="20"/>
  <c r="M819" i="20"/>
  <c r="M820" i="20"/>
  <c r="M821" i="20"/>
  <c r="M822" i="20"/>
  <c r="M823" i="20"/>
  <c r="M824" i="20"/>
  <c r="M825" i="20"/>
  <c r="M826" i="20"/>
  <c r="M827" i="20"/>
  <c r="M828" i="20"/>
  <c r="M829" i="20"/>
  <c r="M830" i="20"/>
  <c r="M831" i="20"/>
  <c r="M832" i="20"/>
  <c r="M833" i="20"/>
  <c r="M834" i="20"/>
  <c r="M835" i="20"/>
  <c r="M836" i="20"/>
  <c r="M837" i="20"/>
  <c r="M838" i="20"/>
  <c r="M839" i="20"/>
  <c r="M840" i="20"/>
  <c r="M841" i="20"/>
  <c r="M842" i="20"/>
  <c r="M843" i="20"/>
  <c r="M844" i="20"/>
  <c r="M845" i="20"/>
  <c r="M846" i="20"/>
  <c r="M847" i="20"/>
  <c r="M848" i="20"/>
  <c r="M849" i="20"/>
  <c r="M850" i="20"/>
  <c r="M851" i="20"/>
  <c r="M852" i="20"/>
  <c r="M853" i="20"/>
  <c r="M854" i="20"/>
  <c r="M855" i="20"/>
  <c r="M856" i="20"/>
  <c r="M857" i="20"/>
  <c r="M858" i="20"/>
  <c r="M859" i="20"/>
  <c r="M860" i="20"/>
  <c r="M861" i="20"/>
  <c r="M862" i="20"/>
  <c r="M863" i="20"/>
  <c r="M864" i="20"/>
  <c r="M865" i="20"/>
  <c r="M866" i="20"/>
  <c r="M867" i="20"/>
  <c r="M868" i="20"/>
  <c r="M869" i="20"/>
  <c r="M870" i="20"/>
  <c r="M871" i="20"/>
  <c r="M872" i="20"/>
  <c r="M873" i="20"/>
  <c r="M874" i="20"/>
  <c r="M875" i="20"/>
  <c r="M876" i="20"/>
  <c r="M877" i="20"/>
  <c r="M878" i="20"/>
  <c r="M879" i="20"/>
  <c r="M880" i="20"/>
  <c r="M881" i="20"/>
  <c r="M882" i="20"/>
  <c r="M883" i="20"/>
  <c r="M884" i="20"/>
  <c r="M885" i="20"/>
  <c r="M886" i="20"/>
  <c r="M887" i="20"/>
  <c r="M888" i="20"/>
  <c r="M889" i="20"/>
  <c r="M890" i="20"/>
  <c r="M891" i="20"/>
  <c r="M892" i="20"/>
  <c r="M893" i="20"/>
  <c r="M894" i="20"/>
  <c r="M895" i="20"/>
  <c r="M896" i="20"/>
  <c r="M897" i="20"/>
  <c r="M898" i="20"/>
  <c r="M899" i="20"/>
  <c r="M900" i="20"/>
  <c r="M901" i="20"/>
  <c r="M902" i="20"/>
  <c r="M903" i="20"/>
  <c r="M904" i="20"/>
  <c r="M905" i="20"/>
  <c r="M906" i="20"/>
  <c r="M907" i="20"/>
  <c r="M908" i="20"/>
  <c r="M909" i="20"/>
  <c r="M910" i="20"/>
  <c r="M911" i="20"/>
  <c r="M912" i="20"/>
  <c r="M913" i="20"/>
  <c r="M914" i="20"/>
  <c r="M915" i="20"/>
  <c r="M916" i="20"/>
  <c r="M917" i="20"/>
  <c r="M918" i="20"/>
  <c r="M919" i="20"/>
  <c r="M920" i="20"/>
  <c r="M921" i="20"/>
  <c r="M922" i="20"/>
  <c r="M923" i="20"/>
  <c r="M924" i="20"/>
  <c r="M925" i="20"/>
  <c r="M926" i="20"/>
  <c r="M927" i="20"/>
  <c r="M928" i="20"/>
  <c r="M929" i="20"/>
  <c r="M930" i="20"/>
  <c r="M931" i="20"/>
  <c r="M932" i="20"/>
  <c r="M933" i="20"/>
  <c r="M934" i="20"/>
  <c r="M935" i="20"/>
  <c r="M936" i="20"/>
  <c r="M937" i="20"/>
  <c r="M938" i="20"/>
  <c r="M939" i="20"/>
  <c r="M940" i="20"/>
  <c r="M941" i="20"/>
  <c r="M942" i="20"/>
  <c r="M943" i="20"/>
  <c r="M944" i="20"/>
  <c r="M945" i="20"/>
  <c r="M946" i="20"/>
  <c r="M947" i="20"/>
  <c r="M948" i="20"/>
  <c r="M949" i="20"/>
  <c r="M950" i="20"/>
  <c r="M951" i="20"/>
  <c r="M952" i="20"/>
  <c r="M953" i="20"/>
  <c r="M954" i="20"/>
  <c r="M955" i="20"/>
  <c r="M956" i="20"/>
  <c r="M957" i="20"/>
  <c r="M958" i="20"/>
  <c r="M959" i="20"/>
  <c r="M960" i="20"/>
  <c r="M961" i="20"/>
  <c r="M962" i="20"/>
  <c r="M963" i="20"/>
  <c r="M964" i="20"/>
  <c r="M965" i="20"/>
  <c r="M966" i="20"/>
  <c r="M967" i="20"/>
  <c r="M968" i="20"/>
  <c r="M969" i="20"/>
  <c r="M970" i="20"/>
  <c r="M971" i="20"/>
  <c r="M972" i="20"/>
  <c r="M973" i="20"/>
  <c r="M974" i="20"/>
  <c r="M975" i="20"/>
  <c r="M976" i="20"/>
  <c r="M977" i="20"/>
  <c r="M978" i="20"/>
  <c r="M979" i="20"/>
  <c r="M980" i="20"/>
  <c r="M981" i="20"/>
  <c r="M982" i="20"/>
  <c r="M983" i="20"/>
  <c r="M984" i="20"/>
  <c r="M985" i="20"/>
  <c r="M986" i="20"/>
  <c r="M987" i="20"/>
  <c r="M988" i="20"/>
  <c r="M989" i="20"/>
  <c r="M990" i="20"/>
  <c r="M991" i="20"/>
  <c r="M992" i="20"/>
  <c r="M993" i="20"/>
  <c r="M994" i="20"/>
  <c r="M995" i="20"/>
  <c r="M996" i="20"/>
  <c r="M997" i="20"/>
  <c r="M998" i="20"/>
  <c r="M999" i="20"/>
  <c r="M1000" i="20"/>
  <c r="M1001" i="20"/>
  <c r="M1002" i="20"/>
  <c r="M1003" i="20"/>
  <c r="M1004" i="20"/>
  <c r="M1005" i="20"/>
  <c r="M1006" i="20"/>
  <c r="M1007" i="20"/>
  <c r="M1008" i="20"/>
  <c r="M1009" i="20"/>
  <c r="M1010" i="20"/>
  <c r="M1011" i="20"/>
  <c r="M1012" i="20"/>
  <c r="M1013" i="20"/>
  <c r="M1014" i="20"/>
  <c r="M1015" i="20"/>
  <c r="M1016" i="20"/>
  <c r="M1017" i="20"/>
  <c r="M1018" i="20"/>
  <c r="M1019" i="20"/>
  <c r="M1020" i="20"/>
  <c r="M1021" i="20"/>
  <c r="M1022" i="20"/>
  <c r="M1023" i="20"/>
  <c r="M1024" i="20"/>
  <c r="M1025" i="20"/>
  <c r="M1026" i="20"/>
  <c r="M1027" i="20"/>
  <c r="M1028" i="20"/>
  <c r="M1029" i="20"/>
  <c r="M1030" i="20"/>
  <c r="M1031" i="20"/>
  <c r="M1032" i="20"/>
  <c r="M1033" i="20"/>
  <c r="M1034" i="20"/>
  <c r="M1035" i="20"/>
  <c r="M1036" i="20"/>
  <c r="M1037" i="20"/>
  <c r="M1038" i="20"/>
  <c r="M1039" i="20"/>
  <c r="M1040" i="20"/>
  <c r="M1041" i="20"/>
  <c r="M1042" i="20"/>
  <c r="M1043" i="20"/>
  <c r="M1044" i="20"/>
  <c r="M1045" i="20"/>
  <c r="M1046" i="20"/>
  <c r="M1047" i="20"/>
  <c r="M1048" i="20"/>
  <c r="M1049" i="20"/>
  <c r="M1050" i="20"/>
  <c r="M1051" i="20"/>
  <c r="M1052" i="20"/>
  <c r="M1053" i="20"/>
  <c r="M1054" i="20"/>
  <c r="M1055" i="20"/>
  <c r="M1056" i="20"/>
  <c r="M1057" i="20"/>
  <c r="M1058" i="20"/>
  <c r="M1059" i="20"/>
  <c r="M1060" i="20"/>
  <c r="M1061" i="20"/>
  <c r="M1062" i="20"/>
  <c r="M1063" i="20"/>
  <c r="M1064" i="20"/>
  <c r="M1065" i="20"/>
  <c r="M1066" i="20"/>
  <c r="M1067" i="20"/>
  <c r="M1068" i="20"/>
  <c r="M1069" i="20"/>
  <c r="M1070" i="20"/>
  <c r="M1071" i="20"/>
  <c r="M1072" i="20"/>
  <c r="M1073" i="20"/>
  <c r="M1074" i="20"/>
  <c r="M1075" i="20"/>
  <c r="M1076" i="20"/>
  <c r="M1077" i="20"/>
  <c r="M1078" i="20"/>
  <c r="M1079" i="20"/>
  <c r="M1080" i="20"/>
  <c r="M1081" i="20"/>
  <c r="M1082" i="20"/>
  <c r="M1083" i="20"/>
  <c r="M1084" i="20"/>
  <c r="M1085" i="20"/>
  <c r="M1086" i="20"/>
  <c r="M1087" i="20"/>
  <c r="M1088" i="20"/>
  <c r="M1089" i="20"/>
  <c r="M1090" i="20"/>
  <c r="M1091" i="20"/>
  <c r="M1092" i="20"/>
  <c r="M1093" i="20"/>
  <c r="M1094" i="20"/>
  <c r="M1095" i="20"/>
  <c r="M1096" i="20"/>
  <c r="M1097" i="20"/>
  <c r="M1098" i="20"/>
  <c r="M1099" i="20"/>
  <c r="M1100" i="20"/>
  <c r="M1101" i="20"/>
  <c r="M1102" i="20"/>
  <c r="M1103" i="20"/>
  <c r="M1104" i="20"/>
  <c r="M1105" i="20"/>
  <c r="M1106" i="20"/>
  <c r="M1107" i="20"/>
  <c r="M1108" i="20"/>
  <c r="M1109" i="20"/>
  <c r="M1110" i="20"/>
  <c r="M1111" i="20"/>
  <c r="M1112" i="20"/>
  <c r="M1113" i="20"/>
  <c r="M1114" i="20"/>
  <c r="M1115" i="20"/>
  <c r="M1116" i="20"/>
  <c r="M1117" i="20"/>
  <c r="M1118" i="20"/>
  <c r="M1119" i="20"/>
  <c r="M1120" i="20"/>
  <c r="M1121" i="20"/>
  <c r="M1122" i="20"/>
  <c r="M1123" i="20"/>
  <c r="M1124" i="20"/>
  <c r="M1125" i="20"/>
  <c r="M1126" i="20"/>
  <c r="M1127" i="20"/>
  <c r="M1128" i="20"/>
  <c r="M1129" i="20"/>
  <c r="M1130" i="20"/>
  <c r="M1131" i="20"/>
  <c r="M1132" i="20"/>
  <c r="M1133" i="20"/>
  <c r="M1134" i="20"/>
  <c r="M1135" i="20"/>
  <c r="M1136" i="20"/>
  <c r="M1137" i="20"/>
  <c r="M1138" i="20"/>
  <c r="M1139" i="20"/>
  <c r="M1140" i="20"/>
  <c r="M1141" i="20"/>
  <c r="M1142" i="20"/>
  <c r="M1143" i="20"/>
  <c r="M1144" i="20"/>
  <c r="M1145" i="20"/>
  <c r="M1146" i="20"/>
  <c r="M1147" i="20"/>
  <c r="M1148" i="20"/>
  <c r="M1149" i="20"/>
  <c r="M1150" i="20"/>
  <c r="M1151" i="20"/>
  <c r="M1152" i="20"/>
  <c r="M1153" i="20"/>
  <c r="M1154" i="20"/>
  <c r="M1155" i="20"/>
  <c r="M1156" i="20"/>
  <c r="M1157" i="20"/>
  <c r="M1158" i="20"/>
  <c r="M1159" i="20"/>
  <c r="M1160" i="20"/>
  <c r="M1161" i="20"/>
  <c r="M1162" i="20"/>
  <c r="M1163" i="20"/>
  <c r="M1164" i="20"/>
  <c r="M1165" i="20"/>
  <c r="M1166" i="20"/>
  <c r="M1167" i="20"/>
  <c r="M1168" i="20"/>
  <c r="M1169" i="20"/>
  <c r="M1170" i="20"/>
  <c r="M1171" i="20"/>
  <c r="M1172" i="20"/>
  <c r="M1173" i="20"/>
  <c r="M1174" i="20"/>
  <c r="M1175" i="20"/>
  <c r="M1176" i="20"/>
  <c r="M1177" i="20"/>
  <c r="M1178" i="20"/>
  <c r="M1179" i="20"/>
  <c r="M1180" i="20"/>
  <c r="M1181" i="20"/>
  <c r="M1182" i="20"/>
  <c r="M1183" i="20"/>
  <c r="M1184" i="20"/>
  <c r="M1185" i="20"/>
  <c r="M1186" i="20"/>
  <c r="M1187" i="20"/>
  <c r="M1188" i="20"/>
  <c r="M1189" i="20"/>
  <c r="M1190" i="20"/>
  <c r="M1191" i="20"/>
  <c r="M1192" i="20"/>
  <c r="M1193" i="20"/>
  <c r="M1194" i="20"/>
  <c r="M1195" i="20"/>
  <c r="M1196" i="20"/>
  <c r="M1197" i="20"/>
  <c r="M1198" i="20"/>
  <c r="M1199" i="20"/>
  <c r="M1200" i="20"/>
  <c r="M1201" i="20"/>
  <c r="M1202" i="20"/>
  <c r="M1203" i="20"/>
  <c r="M1204" i="20"/>
  <c r="M1205" i="20"/>
  <c r="M1206" i="20"/>
  <c r="M1207" i="20"/>
  <c r="M1208" i="20"/>
  <c r="M1209" i="20"/>
  <c r="M1210" i="20"/>
  <c r="M195" i="20"/>
  <c r="M193" i="20"/>
  <c r="M194" i="20"/>
  <c r="V107" i="42"/>
  <c r="V106" i="42"/>
  <c r="V105" i="42"/>
  <c r="V102" i="42"/>
  <c r="V100" i="42"/>
  <c r="W100" i="42" s="1"/>
  <c r="V91" i="42"/>
  <c r="V88" i="42"/>
  <c r="V87" i="42"/>
  <c r="V85" i="42"/>
  <c r="P2" i="20"/>
  <c r="I100" i="42"/>
  <c r="J100" i="42"/>
  <c r="K100" i="42"/>
  <c r="L100" i="42"/>
  <c r="B112" i="42"/>
  <c r="R76" i="42"/>
  <c r="B76" i="42"/>
  <c r="R40" i="42"/>
  <c r="B40" i="42"/>
  <c r="R2" i="42"/>
  <c r="B2" i="42"/>
  <c r="Y92" i="44"/>
  <c r="Y84" i="44"/>
  <c r="Y76" i="44"/>
  <c r="Y68" i="44"/>
  <c r="P92" i="44"/>
  <c r="P84" i="44"/>
  <c r="P76" i="44"/>
  <c r="Y88" i="44"/>
  <c r="Y80" i="44"/>
  <c r="Y72" i="44"/>
  <c r="Y64" i="44"/>
  <c r="P88" i="44"/>
  <c r="P80" i="44"/>
  <c r="P72" i="44"/>
  <c r="P68" i="44"/>
  <c r="P64" i="44"/>
  <c r="D32" i="44"/>
  <c r="H17" i="20"/>
  <c r="U37" i="20" s="1"/>
  <c r="I17" i="20"/>
  <c r="V37" i="20" s="1"/>
  <c r="J17" i="20"/>
  <c r="X37" i="20" s="1"/>
  <c r="K17" i="20"/>
  <c r="Y37" i="20" s="1"/>
  <c r="I4" i="20"/>
  <c r="H18" i="20"/>
  <c r="I18" i="20"/>
  <c r="J18" i="20"/>
  <c r="K18" i="20"/>
  <c r="G18" i="20"/>
  <c r="E43" i="44" a="1"/>
  <c r="F43" i="44"/>
  <c r="E39" i="44" a="1"/>
  <c r="E35" i="44" a="1"/>
  <c r="G35" i="44"/>
  <c r="E31" i="44" a="1"/>
  <c r="E23" i="44" a="1"/>
  <c r="E19" i="44" a="1"/>
  <c r="E15" i="44" a="1"/>
  <c r="I15" i="44"/>
  <c r="E11" i="44" a="1"/>
  <c r="E7" i="44" a="1"/>
  <c r="F7" i="44"/>
  <c r="E42" i="44" a="1"/>
  <c r="E38" i="44" a="1"/>
  <c r="G38" i="44"/>
  <c r="E34" i="44" a="1"/>
  <c r="E34" i="44"/>
  <c r="E30" i="44" a="1"/>
  <c r="E22" i="44" a="1"/>
  <c r="F22" i="44"/>
  <c r="E18" i="44" a="1"/>
  <c r="I18" i="44"/>
  <c r="E14" i="44" a="1"/>
  <c r="E10" i="44" a="1"/>
  <c r="I10" i="44"/>
  <c r="E6" i="44" a="1"/>
  <c r="J7" i="44"/>
  <c r="J11" i="44"/>
  <c r="J15" i="44"/>
  <c r="J19" i="44"/>
  <c r="J23" i="44"/>
  <c r="J31" i="44"/>
  <c r="J35" i="44"/>
  <c r="J39" i="44"/>
  <c r="J43" i="44"/>
  <c r="AE60" i="44"/>
  <c r="AD90" i="44"/>
  <c r="AD91" i="44"/>
  <c r="AC91" i="44"/>
  <c r="AC90" i="44"/>
  <c r="AD86" i="44"/>
  <c r="AD87" i="44"/>
  <c r="AC87" i="44"/>
  <c r="AC86" i="44"/>
  <c r="AD82" i="44"/>
  <c r="AD83" i="44"/>
  <c r="AC83" i="44"/>
  <c r="AC82" i="44"/>
  <c r="AD78" i="44"/>
  <c r="AD79" i="44"/>
  <c r="AC79" i="44"/>
  <c r="AC78" i="44"/>
  <c r="AD74" i="44"/>
  <c r="AD75" i="44"/>
  <c r="AC75" i="44"/>
  <c r="AC74" i="44"/>
  <c r="AD70" i="44"/>
  <c r="AD71" i="44"/>
  <c r="AC71" i="44"/>
  <c r="AC70" i="44"/>
  <c r="AD66" i="44"/>
  <c r="AD67" i="44"/>
  <c r="AC67" i="44"/>
  <c r="AC66" i="44"/>
  <c r="AD62" i="44"/>
  <c r="AD63" i="44"/>
  <c r="AC63" i="44"/>
  <c r="AC62" i="44"/>
  <c r="U90" i="44"/>
  <c r="U91" i="44"/>
  <c r="T91" i="44"/>
  <c r="T90" i="44"/>
  <c r="U86" i="44"/>
  <c r="U87" i="44"/>
  <c r="T87" i="44"/>
  <c r="T86" i="44"/>
  <c r="U82" i="44"/>
  <c r="U83" i="44"/>
  <c r="T83" i="44"/>
  <c r="T82" i="44"/>
  <c r="U79" i="44"/>
  <c r="T79" i="44"/>
  <c r="U78" i="44"/>
  <c r="T78" i="44"/>
  <c r="U75" i="44"/>
  <c r="T75" i="44"/>
  <c r="U74" i="44"/>
  <c r="T74" i="44"/>
  <c r="U70" i="44"/>
  <c r="U71" i="44"/>
  <c r="T71" i="44"/>
  <c r="T70" i="44"/>
  <c r="U67" i="44"/>
  <c r="T67" i="44"/>
  <c r="U66" i="44"/>
  <c r="T66" i="44"/>
  <c r="U63" i="44"/>
  <c r="T63" i="44"/>
  <c r="U62" i="44"/>
  <c r="T62" i="44"/>
  <c r="Z91" i="44" a="1"/>
  <c r="AB91" i="44"/>
  <c r="AA91" i="44"/>
  <c r="Z83" i="44" a="1"/>
  <c r="AB83" i="44"/>
  <c r="Z75" i="44" a="1"/>
  <c r="AA75" i="44"/>
  <c r="Z67" i="44" a="1"/>
  <c r="AB67" i="44"/>
  <c r="Q91" i="44" a="1"/>
  <c r="Q91" i="44"/>
  <c r="Q83" i="44" a="1"/>
  <c r="R83" i="44"/>
  <c r="Q75" i="44" a="1"/>
  <c r="Q75" i="44"/>
  <c r="Q67" i="44" a="1"/>
  <c r="R67" i="44"/>
  <c r="Z87" i="44" a="1"/>
  <c r="Z87" i="44"/>
  <c r="Z79" i="44" a="1"/>
  <c r="AA79" i="44"/>
  <c r="Z71" i="44" a="1"/>
  <c r="AA71" i="44"/>
  <c r="Z63" i="44" a="1"/>
  <c r="Z63" i="44"/>
  <c r="Q87" i="44" a="1"/>
  <c r="Q87" i="44"/>
  <c r="Q79" i="44" a="1"/>
  <c r="Q71" i="44" a="1"/>
  <c r="R71" i="44"/>
  <c r="Q63" i="44" a="1"/>
  <c r="Q63" i="44"/>
  <c r="Z90" i="44" a="1"/>
  <c r="Z90" i="44"/>
  <c r="Z86" i="44" a="1"/>
  <c r="Z82" i="44" a="1"/>
  <c r="Z82" i="44"/>
  <c r="Z78" i="44" a="1"/>
  <c r="Z78" i="44"/>
  <c r="Z74" i="44" a="1"/>
  <c r="Z74" i="44"/>
  <c r="Z70" i="44" a="1"/>
  <c r="Z66" i="44" a="1"/>
  <c r="AB66" i="44"/>
  <c r="Z62" i="44" a="1"/>
  <c r="AA62" i="44"/>
  <c r="Q90" i="44" a="1"/>
  <c r="Q90" i="44"/>
  <c r="Q86" i="44" a="1"/>
  <c r="Q86" i="44"/>
  <c r="Q82" i="44" a="1"/>
  <c r="R82" i="44"/>
  <c r="Q78" i="44" a="1"/>
  <c r="Q78" i="44"/>
  <c r="Q74" i="44" a="1"/>
  <c r="R74" i="44"/>
  <c r="Q70" i="44" a="1"/>
  <c r="Q66" i="44" a="1"/>
  <c r="Q66" i="44"/>
  <c r="Q62" i="44" a="1"/>
  <c r="S62" i="44"/>
  <c r="W62" i="44" s="1"/>
  <c r="X107" i="42" a="1"/>
  <c r="X107" i="42"/>
  <c r="X106" i="42" a="1"/>
  <c r="AA106" i="42"/>
  <c r="X105" i="42" a="1"/>
  <c r="Y105" i="42"/>
  <c r="AC104" i="42"/>
  <c r="AC103" i="42"/>
  <c r="X88" i="42" a="1"/>
  <c r="AA88" i="42"/>
  <c r="X102" i="42" a="1"/>
  <c r="Y102" i="42"/>
  <c r="X100" i="42" a="1"/>
  <c r="AA100" i="42"/>
  <c r="X95" i="42" a="1"/>
  <c r="AC91" i="42"/>
  <c r="AC90" i="42"/>
  <c r="X85" i="42" a="1"/>
  <c r="Y85" i="42"/>
  <c r="X87" i="42" a="1"/>
  <c r="Z87" i="42"/>
  <c r="AB101" i="42"/>
  <c r="AA101" i="42"/>
  <c r="Z101" i="42"/>
  <c r="Y101" i="42"/>
  <c r="AC101" i="42"/>
  <c r="X101" i="42"/>
  <c r="AB86" i="42"/>
  <c r="AA86" i="42"/>
  <c r="Z86" i="42"/>
  <c r="Y86" i="42"/>
  <c r="X86" i="42"/>
  <c r="AB84" i="42"/>
  <c r="AA84" i="42"/>
  <c r="Z84" i="42"/>
  <c r="AC84" i="42" s="1"/>
  <c r="Y84" i="42"/>
  <c r="X84" i="42"/>
  <c r="H34" i="42"/>
  <c r="E126" i="45"/>
  <c r="L2" i="44"/>
  <c r="L622" i="20"/>
  <c r="L623" i="20"/>
  <c r="L624" i="20"/>
  <c r="L625" i="20"/>
  <c r="L626" i="20"/>
  <c r="L627" i="20"/>
  <c r="L628" i="20"/>
  <c r="L629" i="20"/>
  <c r="L630" i="20"/>
  <c r="L631" i="20"/>
  <c r="L632" i="20"/>
  <c r="L633" i="20"/>
  <c r="L634" i="20"/>
  <c r="L635" i="20"/>
  <c r="L636" i="20"/>
  <c r="L637" i="20"/>
  <c r="L638" i="20"/>
  <c r="L639" i="20"/>
  <c r="L640" i="20"/>
  <c r="L641" i="20"/>
  <c r="L642" i="20"/>
  <c r="L643" i="20"/>
  <c r="L644" i="20"/>
  <c r="L645" i="20"/>
  <c r="L646" i="20"/>
  <c r="L647" i="20"/>
  <c r="L648" i="20"/>
  <c r="L649" i="20"/>
  <c r="L650" i="20"/>
  <c r="L651" i="20"/>
  <c r="L652" i="20"/>
  <c r="L653" i="20"/>
  <c r="L654" i="20"/>
  <c r="L655" i="20"/>
  <c r="L656" i="20"/>
  <c r="L657" i="20"/>
  <c r="L658" i="20"/>
  <c r="L659" i="20"/>
  <c r="L660" i="20"/>
  <c r="L661" i="20"/>
  <c r="L662" i="20"/>
  <c r="L663" i="20"/>
  <c r="L664" i="20"/>
  <c r="L665" i="20"/>
  <c r="L666" i="20"/>
  <c r="L667" i="20"/>
  <c r="L668" i="20"/>
  <c r="L669" i="20"/>
  <c r="L670" i="20"/>
  <c r="L671" i="20"/>
  <c r="L672" i="20"/>
  <c r="L673" i="20"/>
  <c r="L674" i="20"/>
  <c r="L675" i="20"/>
  <c r="L676" i="20"/>
  <c r="L677" i="20"/>
  <c r="L678" i="20"/>
  <c r="L679" i="20"/>
  <c r="L680" i="20"/>
  <c r="L681" i="20"/>
  <c r="L682" i="20"/>
  <c r="L683" i="20"/>
  <c r="L684" i="20"/>
  <c r="L685" i="20"/>
  <c r="L686" i="20"/>
  <c r="L687" i="20"/>
  <c r="L688" i="20"/>
  <c r="L689" i="20"/>
  <c r="L690" i="20"/>
  <c r="L691" i="20"/>
  <c r="L692" i="20"/>
  <c r="L693" i="20"/>
  <c r="L694" i="20"/>
  <c r="L695" i="20"/>
  <c r="L696" i="20"/>
  <c r="L697" i="20"/>
  <c r="L698" i="20"/>
  <c r="L699" i="20"/>
  <c r="L700" i="20"/>
  <c r="L701" i="20"/>
  <c r="L702" i="20"/>
  <c r="L703" i="20"/>
  <c r="L704" i="20"/>
  <c r="L705" i="20"/>
  <c r="L706" i="20"/>
  <c r="L707" i="20"/>
  <c r="L708" i="20"/>
  <c r="L709" i="20"/>
  <c r="L710" i="20"/>
  <c r="L711" i="20"/>
  <c r="L712" i="20"/>
  <c r="L713" i="20"/>
  <c r="L714" i="20"/>
  <c r="L715" i="20"/>
  <c r="L716" i="20"/>
  <c r="L717" i="20"/>
  <c r="L718" i="20"/>
  <c r="L719" i="20"/>
  <c r="L720" i="20"/>
  <c r="L721" i="20"/>
  <c r="L722" i="20"/>
  <c r="L723" i="20"/>
  <c r="L724" i="20"/>
  <c r="L725" i="20"/>
  <c r="L726" i="20"/>
  <c r="L727" i="20"/>
  <c r="L728" i="20"/>
  <c r="L729" i="20"/>
  <c r="L730" i="20"/>
  <c r="L731" i="20"/>
  <c r="L732" i="20"/>
  <c r="L733" i="20"/>
  <c r="L734" i="20"/>
  <c r="L735" i="20"/>
  <c r="L736" i="20"/>
  <c r="L737" i="20"/>
  <c r="L738" i="20"/>
  <c r="L739" i="20"/>
  <c r="L740" i="20"/>
  <c r="L741" i="20"/>
  <c r="L742" i="20"/>
  <c r="L743" i="20"/>
  <c r="L744" i="20"/>
  <c r="L745" i="20"/>
  <c r="L746" i="20"/>
  <c r="L747" i="20"/>
  <c r="L748" i="20"/>
  <c r="L749" i="20"/>
  <c r="L750" i="20"/>
  <c r="L751" i="20"/>
  <c r="L752" i="20"/>
  <c r="L753" i="20"/>
  <c r="L754" i="20"/>
  <c r="L755" i="20"/>
  <c r="L756" i="20"/>
  <c r="L757" i="20"/>
  <c r="L758" i="20"/>
  <c r="L759" i="20"/>
  <c r="L760" i="20"/>
  <c r="L761" i="20"/>
  <c r="L762" i="20"/>
  <c r="L763" i="20"/>
  <c r="L764" i="20"/>
  <c r="L765" i="20"/>
  <c r="L766" i="20"/>
  <c r="L767" i="20"/>
  <c r="L768" i="20"/>
  <c r="L769" i="20"/>
  <c r="L770" i="20"/>
  <c r="L771" i="20"/>
  <c r="L772" i="20"/>
  <c r="L773" i="20"/>
  <c r="L774" i="20"/>
  <c r="L775" i="20"/>
  <c r="L776" i="20"/>
  <c r="L777" i="20"/>
  <c r="L778" i="20"/>
  <c r="L779" i="20"/>
  <c r="L780" i="20"/>
  <c r="L781" i="20"/>
  <c r="L782" i="20"/>
  <c r="L783" i="20"/>
  <c r="L784" i="20"/>
  <c r="L785" i="20"/>
  <c r="L786" i="20"/>
  <c r="L787" i="20"/>
  <c r="L788" i="20"/>
  <c r="L789" i="20"/>
  <c r="L790" i="20"/>
  <c r="L791" i="20"/>
  <c r="L792" i="20"/>
  <c r="L793" i="20"/>
  <c r="L794" i="20"/>
  <c r="L795" i="20"/>
  <c r="L796" i="20"/>
  <c r="L797" i="20"/>
  <c r="L798" i="20"/>
  <c r="L799" i="20"/>
  <c r="L800" i="20"/>
  <c r="L801" i="20"/>
  <c r="L802" i="20"/>
  <c r="L803" i="20"/>
  <c r="L804" i="20"/>
  <c r="L805" i="20"/>
  <c r="L806" i="20"/>
  <c r="L807" i="20"/>
  <c r="L808" i="20"/>
  <c r="L809" i="20"/>
  <c r="L810" i="20"/>
  <c r="L811" i="20"/>
  <c r="L812" i="20"/>
  <c r="L813" i="20"/>
  <c r="L814" i="20"/>
  <c r="L815" i="20"/>
  <c r="L816" i="20"/>
  <c r="L817" i="20"/>
  <c r="L818" i="20"/>
  <c r="L819" i="20"/>
  <c r="L820" i="20"/>
  <c r="L821" i="20"/>
  <c r="L822" i="20"/>
  <c r="L823" i="20"/>
  <c r="L824" i="20"/>
  <c r="L825" i="20"/>
  <c r="L826" i="20"/>
  <c r="L827" i="20"/>
  <c r="L828" i="20"/>
  <c r="L829" i="20"/>
  <c r="L830" i="20"/>
  <c r="L831" i="20"/>
  <c r="L832" i="20"/>
  <c r="L833" i="20"/>
  <c r="L834" i="20"/>
  <c r="L545" i="20"/>
  <c r="L546" i="20"/>
  <c r="L547" i="20"/>
  <c r="L548" i="20"/>
  <c r="L549" i="20"/>
  <c r="L550" i="20"/>
  <c r="L551" i="20"/>
  <c r="L552" i="20"/>
  <c r="L553" i="20"/>
  <c r="L554" i="20"/>
  <c r="L555" i="20"/>
  <c r="L556" i="20"/>
  <c r="L557" i="20"/>
  <c r="L558" i="20"/>
  <c r="L559" i="20"/>
  <c r="L560" i="20"/>
  <c r="L561" i="20"/>
  <c r="L562" i="20"/>
  <c r="L563" i="20"/>
  <c r="L564" i="20"/>
  <c r="L565" i="20"/>
  <c r="L566" i="20"/>
  <c r="L567" i="20"/>
  <c r="L568" i="20"/>
  <c r="L569" i="20"/>
  <c r="L570" i="20"/>
  <c r="L571" i="20"/>
  <c r="L572" i="20"/>
  <c r="L573" i="20"/>
  <c r="L574" i="20"/>
  <c r="L575" i="20"/>
  <c r="L576" i="20"/>
  <c r="L577" i="20"/>
  <c r="L578" i="20"/>
  <c r="L579" i="20"/>
  <c r="L580" i="20"/>
  <c r="L581" i="20"/>
  <c r="L582" i="20"/>
  <c r="L583" i="20"/>
  <c r="L584" i="20"/>
  <c r="L585" i="20"/>
  <c r="L586" i="20"/>
  <c r="L587" i="20"/>
  <c r="L588" i="20"/>
  <c r="L589" i="20"/>
  <c r="L590" i="20"/>
  <c r="L591" i="20"/>
  <c r="L592" i="20"/>
  <c r="L593" i="20"/>
  <c r="L594" i="20"/>
  <c r="L595" i="20"/>
  <c r="L596" i="20"/>
  <c r="L597" i="20"/>
  <c r="L598" i="20"/>
  <c r="L599" i="20"/>
  <c r="L600" i="20"/>
  <c r="L601" i="20"/>
  <c r="L602" i="20"/>
  <c r="L603" i="20"/>
  <c r="L604" i="20"/>
  <c r="L605" i="20"/>
  <c r="L606" i="20"/>
  <c r="L607" i="20"/>
  <c r="L608" i="20"/>
  <c r="L609" i="20"/>
  <c r="L610" i="20"/>
  <c r="L611" i="20"/>
  <c r="L612" i="20"/>
  <c r="L613" i="20"/>
  <c r="L614" i="20"/>
  <c r="L615" i="20"/>
  <c r="L616" i="20"/>
  <c r="L617" i="20"/>
  <c r="L618" i="20"/>
  <c r="L619" i="20"/>
  <c r="L620" i="20"/>
  <c r="L621" i="20"/>
  <c r="E4" i="44"/>
  <c r="D31" i="44" s="1"/>
  <c r="Y11" i="42"/>
  <c r="Z11" i="42"/>
  <c r="AA11" i="42"/>
  <c r="AB11" i="42"/>
  <c r="AC11" i="42"/>
  <c r="AD11" i="42"/>
  <c r="Y12" i="42"/>
  <c r="Z12" i="42"/>
  <c r="AA12" i="42"/>
  <c r="AB12" i="42"/>
  <c r="AC12" i="42"/>
  <c r="AD12" i="42"/>
  <c r="Y13" i="42"/>
  <c r="Z13" i="42"/>
  <c r="AA13" i="42"/>
  <c r="AB13" i="42"/>
  <c r="AC13" i="42"/>
  <c r="AD13" i="42"/>
  <c r="Y14" i="42"/>
  <c r="Z14" i="42"/>
  <c r="AA14" i="42"/>
  <c r="AB14" i="42"/>
  <c r="AC14" i="42"/>
  <c r="AD14" i="42"/>
  <c r="Y15" i="42"/>
  <c r="Z15" i="42"/>
  <c r="AA15" i="42"/>
  <c r="AB15" i="42"/>
  <c r="AC15" i="42"/>
  <c r="AD15" i="42"/>
  <c r="Y16" i="42"/>
  <c r="Z16" i="42"/>
  <c r="AA16" i="42"/>
  <c r="AB16" i="42"/>
  <c r="AC16" i="42"/>
  <c r="AD16" i="42"/>
  <c r="Y17" i="42"/>
  <c r="Z17" i="42"/>
  <c r="AA17" i="42"/>
  <c r="AB17" i="42"/>
  <c r="AC17" i="42"/>
  <c r="AD17" i="42"/>
  <c r="Y18" i="42"/>
  <c r="Z18" i="42"/>
  <c r="AA18" i="42"/>
  <c r="AB18" i="42"/>
  <c r="AC18" i="42"/>
  <c r="AD18" i="42"/>
  <c r="X15" i="42"/>
  <c r="X14" i="42"/>
  <c r="X12" i="42"/>
  <c r="X13" i="42"/>
  <c r="X16" i="42"/>
  <c r="X17" i="42"/>
  <c r="X18" i="42"/>
  <c r="X11" i="42"/>
  <c r="Y7" i="42"/>
  <c r="Z7" i="42"/>
  <c r="AA7" i="42"/>
  <c r="AB7" i="42"/>
  <c r="AC7" i="42"/>
  <c r="AD7" i="42"/>
  <c r="X7" i="42"/>
  <c r="Y28" i="42"/>
  <c r="Z28" i="42"/>
  <c r="AA28" i="42"/>
  <c r="AB28" i="42"/>
  <c r="AC28" i="42"/>
  <c r="AD28" i="42"/>
  <c r="Y29" i="42"/>
  <c r="Z29" i="42"/>
  <c r="AA29" i="42"/>
  <c r="AB29" i="42"/>
  <c r="AC29" i="42"/>
  <c r="AD29" i="42"/>
  <c r="Y30" i="42"/>
  <c r="Z30" i="42"/>
  <c r="AA30" i="42"/>
  <c r="AB30" i="42"/>
  <c r="AC30" i="42"/>
  <c r="AD30" i="42"/>
  <c r="Y31" i="42"/>
  <c r="Z31" i="42"/>
  <c r="AA31" i="42"/>
  <c r="AB31" i="42"/>
  <c r="AC31" i="42"/>
  <c r="AD31" i="42"/>
  <c r="Y32" i="42"/>
  <c r="Z32" i="42"/>
  <c r="AA32" i="42"/>
  <c r="AB32" i="42"/>
  <c r="AC32" i="42"/>
  <c r="AD32" i="42"/>
  <c r="Y33" i="42"/>
  <c r="Z33" i="42"/>
  <c r="AA33" i="42"/>
  <c r="AB33" i="42"/>
  <c r="AC33" i="42"/>
  <c r="AD33" i="42"/>
  <c r="Y34" i="42"/>
  <c r="Z34" i="42"/>
  <c r="AA34" i="42"/>
  <c r="AB34" i="42"/>
  <c r="AC34" i="42"/>
  <c r="AD34" i="42"/>
  <c r="Y35" i="42"/>
  <c r="Z35" i="42"/>
  <c r="AA35" i="42"/>
  <c r="AB35" i="42"/>
  <c r="AC35" i="42"/>
  <c r="AD35" i="42"/>
  <c r="X32" i="42"/>
  <c r="X31" i="42"/>
  <c r="X29" i="42"/>
  <c r="X30" i="42"/>
  <c r="X33" i="42"/>
  <c r="X34" i="42"/>
  <c r="X35" i="42"/>
  <c r="X28" i="42"/>
  <c r="Y24" i="42"/>
  <c r="Z24" i="42"/>
  <c r="AA24" i="42"/>
  <c r="AB24" i="42"/>
  <c r="AC24" i="42"/>
  <c r="AD24" i="42"/>
  <c r="X24" i="42"/>
  <c r="Y48" i="42"/>
  <c r="Z48" i="42"/>
  <c r="AA48" i="42"/>
  <c r="AB48" i="42"/>
  <c r="AC48" i="42"/>
  <c r="AD48" i="42"/>
  <c r="Y49" i="42"/>
  <c r="Z49" i="42"/>
  <c r="AA49" i="42"/>
  <c r="AB49" i="42"/>
  <c r="AC49" i="42"/>
  <c r="AD49" i="42"/>
  <c r="Y50" i="42"/>
  <c r="Z50" i="42"/>
  <c r="AA50" i="42"/>
  <c r="AB50" i="42"/>
  <c r="AC50" i="42"/>
  <c r="AD50" i="42"/>
  <c r="Y51" i="42"/>
  <c r="Z51" i="42"/>
  <c r="AA51" i="42"/>
  <c r="AB51" i="42"/>
  <c r="AC51" i="42"/>
  <c r="AD51" i="42"/>
  <c r="Y52" i="42"/>
  <c r="Z52" i="42"/>
  <c r="AA52" i="42"/>
  <c r="AB52" i="42"/>
  <c r="AC52" i="42"/>
  <c r="AD52" i="42"/>
  <c r="Y53" i="42"/>
  <c r="Z53" i="42"/>
  <c r="AA53" i="42"/>
  <c r="AB53" i="42"/>
  <c r="AC53" i="42"/>
  <c r="AD53" i="42"/>
  <c r="Y54" i="42"/>
  <c r="Z54" i="42"/>
  <c r="AA54" i="42"/>
  <c r="AB54" i="42"/>
  <c r="AC54" i="42"/>
  <c r="AD54" i="42"/>
  <c r="Y55" i="42"/>
  <c r="Z55" i="42"/>
  <c r="AA55" i="42"/>
  <c r="AB55" i="42"/>
  <c r="AC55" i="42"/>
  <c r="AD55" i="42"/>
  <c r="X52" i="42"/>
  <c r="X51" i="42"/>
  <c r="X49" i="42"/>
  <c r="X50" i="42"/>
  <c r="X53" i="42"/>
  <c r="X54" i="42"/>
  <c r="X55" i="42"/>
  <c r="X48" i="42"/>
  <c r="Y44" i="42"/>
  <c r="Z44" i="42"/>
  <c r="AA44" i="42"/>
  <c r="AB44" i="42"/>
  <c r="AC44" i="42"/>
  <c r="AD44" i="42"/>
  <c r="X44" i="42"/>
  <c r="Y65" i="42"/>
  <c r="Z65" i="42"/>
  <c r="AA65" i="42"/>
  <c r="AB65" i="42"/>
  <c r="AC65" i="42"/>
  <c r="AD65" i="42"/>
  <c r="Y66" i="42"/>
  <c r="Z66" i="42"/>
  <c r="AA66" i="42"/>
  <c r="AB66" i="42"/>
  <c r="AC66" i="42"/>
  <c r="AD66" i="42"/>
  <c r="Y67" i="42"/>
  <c r="Z67" i="42"/>
  <c r="AA67" i="42"/>
  <c r="AB67" i="42"/>
  <c r="AC67" i="42"/>
  <c r="AD67" i="42"/>
  <c r="Y68" i="42"/>
  <c r="Z68" i="42"/>
  <c r="AA68" i="42"/>
  <c r="AB68" i="42"/>
  <c r="AC68" i="42"/>
  <c r="AD68" i="42"/>
  <c r="Y69" i="42"/>
  <c r="Z69" i="42"/>
  <c r="AA69" i="42"/>
  <c r="AB69" i="42"/>
  <c r="AC69" i="42"/>
  <c r="AD69" i="42"/>
  <c r="Y70" i="42"/>
  <c r="Z70" i="42"/>
  <c r="AA70" i="42"/>
  <c r="AB70" i="42"/>
  <c r="AC70" i="42"/>
  <c r="AD70" i="42"/>
  <c r="Y71" i="42"/>
  <c r="Z71" i="42"/>
  <c r="AA71" i="42"/>
  <c r="AB71" i="42"/>
  <c r="AC71" i="42"/>
  <c r="AD71" i="42"/>
  <c r="Y72" i="42"/>
  <c r="Z72" i="42"/>
  <c r="AA72" i="42"/>
  <c r="AB72" i="42"/>
  <c r="AC72" i="42"/>
  <c r="AD72" i="42"/>
  <c r="X69" i="42"/>
  <c r="X68" i="42"/>
  <c r="X66" i="42"/>
  <c r="X67" i="42"/>
  <c r="X70" i="42"/>
  <c r="X71" i="42"/>
  <c r="X72" i="42"/>
  <c r="X65" i="42"/>
  <c r="Y61" i="42"/>
  <c r="Z61" i="42"/>
  <c r="AA61" i="42"/>
  <c r="AB61" i="42"/>
  <c r="AC61" i="42"/>
  <c r="AD61" i="42"/>
  <c r="X61" i="42"/>
  <c r="I131" i="42"/>
  <c r="J131" i="42"/>
  <c r="K131" i="42"/>
  <c r="L131" i="42"/>
  <c r="M131" i="42"/>
  <c r="N131" i="42"/>
  <c r="I132" i="42"/>
  <c r="J132" i="42"/>
  <c r="K132" i="42"/>
  <c r="L132" i="42"/>
  <c r="M132" i="42"/>
  <c r="N132" i="42"/>
  <c r="I133" i="42"/>
  <c r="J133" i="42"/>
  <c r="K133" i="42"/>
  <c r="L133" i="42"/>
  <c r="M133" i="42"/>
  <c r="N133" i="42"/>
  <c r="I134" i="42"/>
  <c r="J134" i="42"/>
  <c r="K134" i="42"/>
  <c r="L134" i="42"/>
  <c r="M134" i="42"/>
  <c r="N134" i="42"/>
  <c r="I135" i="42"/>
  <c r="J135" i="42"/>
  <c r="K135" i="42"/>
  <c r="L135" i="42"/>
  <c r="M135" i="42"/>
  <c r="N135" i="42"/>
  <c r="I136" i="42"/>
  <c r="J136" i="42"/>
  <c r="K136" i="42"/>
  <c r="L136" i="42"/>
  <c r="M136" i="42"/>
  <c r="N136" i="42"/>
  <c r="I137" i="42"/>
  <c r="J137" i="42"/>
  <c r="K137" i="42"/>
  <c r="L137" i="42"/>
  <c r="M137" i="42"/>
  <c r="N137" i="42"/>
  <c r="I138" i="42"/>
  <c r="J138" i="42"/>
  <c r="K138" i="42"/>
  <c r="L138" i="42"/>
  <c r="M138" i="42"/>
  <c r="N138" i="42"/>
  <c r="H135" i="42"/>
  <c r="H134" i="42"/>
  <c r="H132" i="42"/>
  <c r="H133" i="42"/>
  <c r="H136" i="42"/>
  <c r="H137" i="42"/>
  <c r="H138" i="42"/>
  <c r="H131" i="42"/>
  <c r="I117" i="42"/>
  <c r="J117" i="42"/>
  <c r="K117" i="42"/>
  <c r="L117" i="42"/>
  <c r="M117" i="42"/>
  <c r="N117" i="42"/>
  <c r="I118" i="42"/>
  <c r="J118" i="42"/>
  <c r="K118" i="42"/>
  <c r="L118" i="42"/>
  <c r="M118" i="42"/>
  <c r="N118" i="42"/>
  <c r="I119" i="42"/>
  <c r="J119" i="42"/>
  <c r="K119" i="42"/>
  <c r="L119" i="42"/>
  <c r="M119" i="42"/>
  <c r="N119" i="42"/>
  <c r="I120" i="42"/>
  <c r="J120" i="42"/>
  <c r="K120" i="42"/>
  <c r="L120" i="42"/>
  <c r="M120" i="42"/>
  <c r="N120" i="42"/>
  <c r="I121" i="42"/>
  <c r="J121" i="42"/>
  <c r="K121" i="42"/>
  <c r="L121" i="42"/>
  <c r="M121" i="42"/>
  <c r="N121" i="42"/>
  <c r="I122" i="42"/>
  <c r="J122" i="42"/>
  <c r="K122" i="42"/>
  <c r="L122" i="42"/>
  <c r="M122" i="42"/>
  <c r="N122" i="42"/>
  <c r="I123" i="42"/>
  <c r="J123" i="42"/>
  <c r="K123" i="42"/>
  <c r="L123" i="42"/>
  <c r="M123" i="42"/>
  <c r="N123" i="42"/>
  <c r="I124" i="42"/>
  <c r="J124" i="42"/>
  <c r="K124" i="42"/>
  <c r="L124" i="42"/>
  <c r="M124" i="42"/>
  <c r="N124" i="42"/>
  <c r="H121" i="42"/>
  <c r="H120" i="42"/>
  <c r="H118" i="42"/>
  <c r="H119" i="42"/>
  <c r="H122" i="42"/>
  <c r="H123" i="42"/>
  <c r="H124" i="42"/>
  <c r="H117" i="42"/>
  <c r="H104" i="42"/>
  <c r="H103" i="42"/>
  <c r="H101" i="42"/>
  <c r="H102" i="42"/>
  <c r="H105" i="42"/>
  <c r="H107" i="42"/>
  <c r="H100" i="42"/>
  <c r="I96" i="42"/>
  <c r="J96" i="42"/>
  <c r="K96" i="42"/>
  <c r="L96" i="42"/>
  <c r="M96" i="42"/>
  <c r="N96" i="42"/>
  <c r="H96" i="42"/>
  <c r="I84" i="42"/>
  <c r="J84" i="42"/>
  <c r="K84" i="42"/>
  <c r="L84" i="42"/>
  <c r="M84" i="42"/>
  <c r="N84" i="42"/>
  <c r="I85" i="42"/>
  <c r="J85" i="42"/>
  <c r="K85" i="42"/>
  <c r="L85" i="42"/>
  <c r="M85" i="42"/>
  <c r="N85" i="42"/>
  <c r="I86" i="42"/>
  <c r="J86" i="42"/>
  <c r="K86" i="42"/>
  <c r="L86" i="42"/>
  <c r="M86" i="42"/>
  <c r="N86" i="42"/>
  <c r="I87" i="42"/>
  <c r="J87" i="42"/>
  <c r="K87" i="42"/>
  <c r="L87" i="42"/>
  <c r="M87" i="42"/>
  <c r="N87" i="42"/>
  <c r="I88" i="42"/>
  <c r="J88" i="42"/>
  <c r="K88" i="42"/>
  <c r="L88" i="42"/>
  <c r="M88" i="42"/>
  <c r="N88" i="42"/>
  <c r="I89" i="42"/>
  <c r="J89" i="42"/>
  <c r="K89" i="42"/>
  <c r="L89" i="42"/>
  <c r="M89" i="42"/>
  <c r="N89" i="42"/>
  <c r="I90" i="42"/>
  <c r="J90" i="42"/>
  <c r="K90" i="42"/>
  <c r="L90" i="42"/>
  <c r="M90" i="42"/>
  <c r="N90" i="42"/>
  <c r="I91" i="42"/>
  <c r="J91" i="42"/>
  <c r="K91" i="42"/>
  <c r="L91" i="42"/>
  <c r="M91" i="42"/>
  <c r="N91" i="42"/>
  <c r="H88" i="42"/>
  <c r="H87" i="42"/>
  <c r="H85" i="42"/>
  <c r="H86" i="42"/>
  <c r="H89" i="42"/>
  <c r="H90" i="42"/>
  <c r="H91" i="42"/>
  <c r="H84" i="42"/>
  <c r="I80" i="42"/>
  <c r="J80" i="42"/>
  <c r="K80" i="42"/>
  <c r="L80" i="42"/>
  <c r="M80" i="42"/>
  <c r="N80" i="42"/>
  <c r="H80" i="42"/>
  <c r="I65" i="42"/>
  <c r="J65" i="42"/>
  <c r="K65" i="42"/>
  <c r="L65" i="42"/>
  <c r="M65" i="42"/>
  <c r="N65" i="42"/>
  <c r="I66" i="42"/>
  <c r="J66" i="42"/>
  <c r="K66" i="42"/>
  <c r="L66" i="42"/>
  <c r="M66" i="42"/>
  <c r="N66" i="42"/>
  <c r="I67" i="42"/>
  <c r="J67" i="42"/>
  <c r="K67" i="42"/>
  <c r="L67" i="42"/>
  <c r="M67" i="42"/>
  <c r="N67" i="42"/>
  <c r="I68" i="42"/>
  <c r="J68" i="42"/>
  <c r="K68" i="42"/>
  <c r="L68" i="42"/>
  <c r="M68" i="42"/>
  <c r="N68" i="42"/>
  <c r="I69" i="42"/>
  <c r="J69" i="42"/>
  <c r="K69" i="42"/>
  <c r="L69" i="42"/>
  <c r="M69" i="42"/>
  <c r="N69" i="42"/>
  <c r="I70" i="42"/>
  <c r="J70" i="42"/>
  <c r="K70" i="42"/>
  <c r="L70" i="42"/>
  <c r="M70" i="42"/>
  <c r="N70" i="42"/>
  <c r="I71" i="42"/>
  <c r="J71" i="42"/>
  <c r="K71" i="42"/>
  <c r="L71" i="42"/>
  <c r="M71" i="42"/>
  <c r="N71" i="42"/>
  <c r="I72" i="42"/>
  <c r="J72" i="42"/>
  <c r="K72" i="42"/>
  <c r="L72" i="42"/>
  <c r="M72" i="42"/>
  <c r="N72" i="42"/>
  <c r="H69" i="42"/>
  <c r="H68" i="42"/>
  <c r="H66" i="42"/>
  <c r="H67" i="42"/>
  <c r="H70" i="42"/>
  <c r="H71" i="42"/>
  <c r="H72" i="42"/>
  <c r="H65" i="42"/>
  <c r="I61" i="42"/>
  <c r="J61" i="42"/>
  <c r="K61" i="42"/>
  <c r="L61" i="42"/>
  <c r="M61" i="42"/>
  <c r="N61" i="42"/>
  <c r="H61" i="42"/>
  <c r="I48" i="42"/>
  <c r="J48" i="42"/>
  <c r="K48" i="42"/>
  <c r="L48" i="42"/>
  <c r="M48" i="42"/>
  <c r="N48" i="42"/>
  <c r="I49" i="42"/>
  <c r="J49" i="42"/>
  <c r="K49" i="42"/>
  <c r="L49" i="42"/>
  <c r="M49" i="42"/>
  <c r="N49" i="42"/>
  <c r="I50" i="42"/>
  <c r="J50" i="42"/>
  <c r="K50" i="42"/>
  <c r="L50" i="42"/>
  <c r="M50" i="42"/>
  <c r="N50" i="42"/>
  <c r="I51" i="42"/>
  <c r="J51" i="42"/>
  <c r="K51" i="42"/>
  <c r="L51" i="42"/>
  <c r="M51" i="42"/>
  <c r="N51" i="42"/>
  <c r="I52" i="42"/>
  <c r="J52" i="42"/>
  <c r="K52" i="42"/>
  <c r="L52" i="42"/>
  <c r="M52" i="42"/>
  <c r="N52" i="42"/>
  <c r="I53" i="42"/>
  <c r="J53" i="42"/>
  <c r="K53" i="42"/>
  <c r="L53" i="42"/>
  <c r="M53" i="42"/>
  <c r="N53" i="42"/>
  <c r="I54" i="42"/>
  <c r="J54" i="42"/>
  <c r="K54" i="42"/>
  <c r="L54" i="42"/>
  <c r="M54" i="42"/>
  <c r="N54" i="42"/>
  <c r="I55" i="42"/>
  <c r="J55" i="42"/>
  <c r="K55" i="42"/>
  <c r="L55" i="42"/>
  <c r="M55" i="42"/>
  <c r="N55" i="42"/>
  <c r="H52" i="42"/>
  <c r="H51" i="42"/>
  <c r="H49" i="42"/>
  <c r="H50" i="42"/>
  <c r="H53" i="42"/>
  <c r="H54" i="42"/>
  <c r="H55" i="42"/>
  <c r="H48" i="42"/>
  <c r="I44" i="42"/>
  <c r="J44" i="42"/>
  <c r="K44" i="42"/>
  <c r="L44" i="42"/>
  <c r="N44" i="42"/>
  <c r="H44" i="42"/>
  <c r="I28" i="42"/>
  <c r="J28" i="42"/>
  <c r="K28" i="42"/>
  <c r="L28" i="42"/>
  <c r="M28" i="42"/>
  <c r="N28" i="42"/>
  <c r="I29" i="42"/>
  <c r="J29" i="42"/>
  <c r="K29" i="42"/>
  <c r="L29" i="42"/>
  <c r="M29" i="42"/>
  <c r="N29" i="42"/>
  <c r="I30" i="42"/>
  <c r="J30" i="42"/>
  <c r="K30" i="42"/>
  <c r="L30" i="42"/>
  <c r="M30" i="42"/>
  <c r="N30" i="42"/>
  <c r="I31" i="42"/>
  <c r="J31" i="42"/>
  <c r="K31" i="42"/>
  <c r="L31" i="42"/>
  <c r="M31" i="42"/>
  <c r="N31" i="42"/>
  <c r="I32" i="42"/>
  <c r="J32" i="42"/>
  <c r="K32" i="42"/>
  <c r="L32" i="42"/>
  <c r="M32" i="42"/>
  <c r="N32" i="42"/>
  <c r="I33" i="42"/>
  <c r="J33" i="42"/>
  <c r="K33" i="42"/>
  <c r="L33" i="42"/>
  <c r="M33" i="42"/>
  <c r="N33" i="42"/>
  <c r="I34" i="42"/>
  <c r="J34" i="42"/>
  <c r="K34" i="42"/>
  <c r="L34" i="42"/>
  <c r="M34" i="42"/>
  <c r="N34" i="42"/>
  <c r="I35" i="42"/>
  <c r="J35" i="42"/>
  <c r="K35" i="42"/>
  <c r="L35" i="42"/>
  <c r="M35" i="42"/>
  <c r="N35" i="42"/>
  <c r="H32" i="42"/>
  <c r="H31" i="42"/>
  <c r="H29" i="42"/>
  <c r="H30" i="42"/>
  <c r="H33" i="42"/>
  <c r="H35" i="42"/>
  <c r="H28" i="42"/>
  <c r="I24" i="42"/>
  <c r="J24" i="42"/>
  <c r="K24" i="42"/>
  <c r="L24" i="42"/>
  <c r="M24" i="42"/>
  <c r="N24" i="42"/>
  <c r="H24" i="42"/>
  <c r="I7" i="42"/>
  <c r="J7" i="42"/>
  <c r="K7" i="42"/>
  <c r="L7" i="42"/>
  <c r="M7" i="42"/>
  <c r="N7" i="42"/>
  <c r="H7" i="42"/>
  <c r="I11" i="42"/>
  <c r="J11" i="42"/>
  <c r="K11" i="42"/>
  <c r="L11" i="42"/>
  <c r="M11" i="42"/>
  <c r="N11" i="42"/>
  <c r="I12" i="42"/>
  <c r="J12" i="42"/>
  <c r="K12" i="42"/>
  <c r="L12" i="42"/>
  <c r="M12" i="42"/>
  <c r="N12" i="42"/>
  <c r="I13" i="42"/>
  <c r="J13" i="42"/>
  <c r="K13" i="42"/>
  <c r="L13" i="42"/>
  <c r="M13" i="42"/>
  <c r="N13" i="42"/>
  <c r="I14" i="42"/>
  <c r="J14" i="42"/>
  <c r="K14" i="42"/>
  <c r="L14" i="42"/>
  <c r="M14" i="42"/>
  <c r="N14" i="42"/>
  <c r="I15" i="42"/>
  <c r="J15" i="42"/>
  <c r="K15" i="42"/>
  <c r="L15" i="42"/>
  <c r="M15" i="42"/>
  <c r="N15" i="42"/>
  <c r="I16" i="42"/>
  <c r="J16" i="42"/>
  <c r="K16" i="42"/>
  <c r="L16" i="42"/>
  <c r="M16" i="42"/>
  <c r="N16" i="42"/>
  <c r="I17" i="42"/>
  <c r="J17" i="42"/>
  <c r="K17" i="42"/>
  <c r="L17" i="42"/>
  <c r="M17" i="42"/>
  <c r="N17" i="42"/>
  <c r="I18" i="42"/>
  <c r="J18" i="42"/>
  <c r="K18" i="42"/>
  <c r="L18" i="42"/>
  <c r="M18" i="42"/>
  <c r="N18" i="42"/>
  <c r="H16" i="42"/>
  <c r="H17" i="42"/>
  <c r="H18" i="42"/>
  <c r="H15" i="42"/>
  <c r="H14" i="42"/>
  <c r="H12" i="42"/>
  <c r="H13" i="42"/>
  <c r="H11" i="42"/>
  <c r="L280" i="20"/>
  <c r="L281" i="20"/>
  <c r="L282" i="20"/>
  <c r="L283" i="20"/>
  <c r="L284" i="20"/>
  <c r="L285" i="20"/>
  <c r="L286" i="20"/>
  <c r="L287" i="20"/>
  <c r="L288" i="20"/>
  <c r="L289" i="20"/>
  <c r="L290" i="20"/>
  <c r="L291" i="20"/>
  <c r="L292" i="20"/>
  <c r="L293" i="20"/>
  <c r="L294" i="20"/>
  <c r="L295" i="20"/>
  <c r="L296" i="20"/>
  <c r="L297" i="20"/>
  <c r="L298" i="20"/>
  <c r="L299" i="20"/>
  <c r="L300" i="20"/>
  <c r="L301" i="20"/>
  <c r="L302" i="20"/>
  <c r="L303" i="20"/>
  <c r="L304" i="20"/>
  <c r="L305" i="20"/>
  <c r="L306" i="20"/>
  <c r="L307" i="20"/>
  <c r="L308" i="20"/>
  <c r="L309" i="20"/>
  <c r="L310" i="20"/>
  <c r="L311" i="20"/>
  <c r="L312" i="20"/>
  <c r="L313" i="20"/>
  <c r="L314" i="20"/>
  <c r="L315" i="20"/>
  <c r="L316" i="20"/>
  <c r="L317" i="20"/>
  <c r="L318" i="20"/>
  <c r="L319" i="20"/>
  <c r="L320" i="20"/>
  <c r="L321" i="20"/>
  <c r="L322" i="20"/>
  <c r="L323" i="20"/>
  <c r="L324" i="20"/>
  <c r="L325" i="20"/>
  <c r="L326" i="20"/>
  <c r="L327" i="20"/>
  <c r="L328" i="20"/>
  <c r="L329" i="20"/>
  <c r="L330" i="20"/>
  <c r="L331" i="20"/>
  <c r="L332" i="20"/>
  <c r="L333" i="20"/>
  <c r="L334" i="20"/>
  <c r="L335" i="20"/>
  <c r="L336" i="20"/>
  <c r="L337" i="20"/>
  <c r="L338" i="20"/>
  <c r="L339" i="20"/>
  <c r="L340" i="20"/>
  <c r="L341" i="20"/>
  <c r="L342" i="20"/>
  <c r="L343" i="20"/>
  <c r="L344" i="20"/>
  <c r="L345" i="20"/>
  <c r="L346" i="20"/>
  <c r="L347" i="20"/>
  <c r="L348" i="20"/>
  <c r="L349" i="20"/>
  <c r="L350" i="20"/>
  <c r="L351" i="20"/>
  <c r="L352" i="20"/>
  <c r="L353" i="20"/>
  <c r="L354" i="20"/>
  <c r="L355" i="20"/>
  <c r="L356" i="20"/>
  <c r="L357" i="20"/>
  <c r="L358" i="20"/>
  <c r="L359" i="20"/>
  <c r="L360" i="20"/>
  <c r="L361" i="20"/>
  <c r="L362" i="20"/>
  <c r="L363" i="20"/>
  <c r="L364" i="20"/>
  <c r="L365" i="20"/>
  <c r="L366" i="20"/>
  <c r="L367" i="20"/>
  <c r="L368" i="20"/>
  <c r="L369" i="20"/>
  <c r="L370" i="20"/>
  <c r="L371" i="20"/>
  <c r="L372" i="20"/>
  <c r="L373" i="20"/>
  <c r="L374" i="20"/>
  <c r="L375" i="20"/>
  <c r="L376" i="20"/>
  <c r="L377" i="20"/>
  <c r="L378" i="20"/>
  <c r="L379" i="20"/>
  <c r="L380" i="20"/>
  <c r="L381" i="20"/>
  <c r="L382" i="20"/>
  <c r="L383" i="20"/>
  <c r="L384" i="20"/>
  <c r="L385" i="20"/>
  <c r="L386" i="20"/>
  <c r="L387" i="20"/>
  <c r="L388" i="20"/>
  <c r="L389" i="20"/>
  <c r="L390" i="20"/>
  <c r="L391" i="20"/>
  <c r="L392" i="20"/>
  <c r="L393" i="20"/>
  <c r="L394" i="20"/>
  <c r="L395" i="20"/>
  <c r="L396" i="20"/>
  <c r="L397" i="20"/>
  <c r="L398" i="20"/>
  <c r="L399" i="20"/>
  <c r="L400" i="20"/>
  <c r="L401" i="20"/>
  <c r="L402" i="20"/>
  <c r="L403" i="20"/>
  <c r="L404" i="20"/>
  <c r="L405" i="20"/>
  <c r="L406" i="20"/>
  <c r="L407" i="20"/>
  <c r="L408" i="20"/>
  <c r="L409" i="20"/>
  <c r="L410" i="20"/>
  <c r="L411" i="20"/>
  <c r="L412" i="20"/>
  <c r="L413" i="20"/>
  <c r="L414" i="20"/>
  <c r="L415" i="20"/>
  <c r="L416" i="20"/>
  <c r="L417" i="20"/>
  <c r="L418" i="20"/>
  <c r="L419" i="20"/>
  <c r="L420" i="20"/>
  <c r="L421" i="20"/>
  <c r="L422" i="20"/>
  <c r="L423" i="20"/>
  <c r="L424" i="20"/>
  <c r="L425" i="20"/>
  <c r="L426" i="20"/>
  <c r="L427" i="20"/>
  <c r="L428" i="20"/>
  <c r="L429" i="20"/>
  <c r="L430" i="20"/>
  <c r="L431" i="20"/>
  <c r="L432" i="20"/>
  <c r="L433" i="20"/>
  <c r="L434" i="20"/>
  <c r="L435" i="20"/>
  <c r="L436" i="20"/>
  <c r="L437" i="20"/>
  <c r="L438" i="20"/>
  <c r="L439" i="20"/>
  <c r="L440" i="20"/>
  <c r="L441" i="20"/>
  <c r="L442" i="20"/>
  <c r="L443" i="20"/>
  <c r="L444" i="20"/>
  <c r="L445" i="20"/>
  <c r="L446" i="20"/>
  <c r="L447" i="20"/>
  <c r="L448" i="20"/>
  <c r="L449" i="20"/>
  <c r="L450" i="20"/>
  <c r="L451" i="20"/>
  <c r="L452" i="20"/>
  <c r="L453" i="20"/>
  <c r="L454" i="20"/>
  <c r="L455" i="20"/>
  <c r="L456" i="20"/>
  <c r="L457" i="20"/>
  <c r="L458" i="20"/>
  <c r="L459" i="20"/>
  <c r="L460" i="20"/>
  <c r="L461" i="20"/>
  <c r="L462" i="20"/>
  <c r="L463" i="20"/>
  <c r="L464" i="20"/>
  <c r="L465" i="20"/>
  <c r="L466" i="20"/>
  <c r="L467" i="20"/>
  <c r="L468" i="20"/>
  <c r="L469" i="20"/>
  <c r="L470" i="20"/>
  <c r="L471" i="20"/>
  <c r="L472" i="20"/>
  <c r="L473" i="20"/>
  <c r="L474" i="20"/>
  <c r="L475" i="20"/>
  <c r="L476" i="20"/>
  <c r="L477" i="20"/>
  <c r="L478" i="20"/>
  <c r="L479" i="20"/>
  <c r="L480" i="20"/>
  <c r="L481" i="20"/>
  <c r="L482" i="20"/>
  <c r="L483" i="20"/>
  <c r="L484" i="20"/>
  <c r="L485" i="20"/>
  <c r="L486" i="20"/>
  <c r="L487" i="20"/>
  <c r="L488" i="20"/>
  <c r="L489" i="20"/>
  <c r="L490" i="20"/>
  <c r="L491" i="20"/>
  <c r="L492" i="20"/>
  <c r="L493" i="20"/>
  <c r="L494" i="20"/>
  <c r="L495" i="20"/>
  <c r="L496" i="20"/>
  <c r="L497" i="20"/>
  <c r="L498" i="20"/>
  <c r="L499" i="20"/>
  <c r="L500" i="20"/>
  <c r="L501" i="20"/>
  <c r="L502" i="20"/>
  <c r="L503" i="20"/>
  <c r="L504" i="20"/>
  <c r="L505" i="20"/>
  <c r="L506" i="20"/>
  <c r="L507" i="20"/>
  <c r="L508" i="20"/>
  <c r="L509" i="20"/>
  <c r="L510" i="20"/>
  <c r="L511" i="20"/>
  <c r="L512" i="20"/>
  <c r="L513" i="20"/>
  <c r="L514" i="20"/>
  <c r="L515" i="20"/>
  <c r="L516" i="20"/>
  <c r="L517" i="20"/>
  <c r="L518" i="20"/>
  <c r="L519" i="20"/>
  <c r="L520" i="20"/>
  <c r="L521" i="20"/>
  <c r="L522" i="20"/>
  <c r="L523" i="20"/>
  <c r="L524" i="20"/>
  <c r="L525" i="20"/>
  <c r="L526" i="20"/>
  <c r="L527" i="20"/>
  <c r="L528" i="20"/>
  <c r="L529" i="20"/>
  <c r="L530" i="20"/>
  <c r="L531" i="20"/>
  <c r="L532" i="20"/>
  <c r="L533" i="20"/>
  <c r="L534" i="20"/>
  <c r="L535" i="20"/>
  <c r="L536" i="20"/>
  <c r="L537" i="20"/>
  <c r="L538" i="20"/>
  <c r="L539" i="20"/>
  <c r="L540" i="20"/>
  <c r="L541" i="20"/>
  <c r="L542" i="20"/>
  <c r="L543" i="20"/>
  <c r="L544" i="20"/>
  <c r="L227" i="20"/>
  <c r="L228" i="20"/>
  <c r="L229" i="20"/>
  <c r="L230" i="20"/>
  <c r="L231" i="20"/>
  <c r="L232" i="20"/>
  <c r="L233" i="20"/>
  <c r="L234" i="20"/>
  <c r="L235" i="20"/>
  <c r="L236" i="20"/>
  <c r="L237" i="20"/>
  <c r="L238" i="20"/>
  <c r="L239" i="20"/>
  <c r="L240" i="20"/>
  <c r="L241" i="20"/>
  <c r="L242" i="20"/>
  <c r="L243" i="20"/>
  <c r="L244" i="20"/>
  <c r="L245" i="20"/>
  <c r="L246" i="20"/>
  <c r="L247" i="20"/>
  <c r="L248" i="20"/>
  <c r="L249" i="20"/>
  <c r="L250" i="20"/>
  <c r="L251" i="20"/>
  <c r="L252" i="20"/>
  <c r="L253" i="20"/>
  <c r="L254" i="20"/>
  <c r="L255" i="20"/>
  <c r="L256" i="20"/>
  <c r="L257" i="20"/>
  <c r="L258" i="20"/>
  <c r="L259" i="20"/>
  <c r="L260" i="20"/>
  <c r="L261" i="20"/>
  <c r="L262" i="20"/>
  <c r="L263" i="20"/>
  <c r="L264" i="20"/>
  <c r="L265" i="20"/>
  <c r="L266" i="20"/>
  <c r="L267" i="20"/>
  <c r="L268" i="20"/>
  <c r="L269" i="20"/>
  <c r="L270" i="20"/>
  <c r="L271" i="20"/>
  <c r="L272" i="20"/>
  <c r="L273" i="20"/>
  <c r="L274" i="20"/>
  <c r="L275" i="20"/>
  <c r="L276" i="20"/>
  <c r="L277" i="20"/>
  <c r="L278" i="20"/>
  <c r="L279" i="20"/>
  <c r="F45" i="44"/>
  <c r="K43" i="44"/>
  <c r="K39" i="44"/>
  <c r="K35" i="44"/>
  <c r="K31" i="44"/>
  <c r="K23" i="44"/>
  <c r="K19" i="44"/>
  <c r="K15" i="44"/>
  <c r="K11" i="44"/>
  <c r="K7" i="44"/>
  <c r="F131" i="45"/>
  <c r="G131" i="45"/>
  <c r="H131" i="45"/>
  <c r="I131" i="45"/>
  <c r="J131" i="45"/>
  <c r="K131" i="45"/>
  <c r="L131" i="45"/>
  <c r="E131" i="45"/>
  <c r="J126" i="45"/>
  <c r="K126" i="45"/>
  <c r="L126" i="45"/>
  <c r="F126" i="45"/>
  <c r="G126" i="45"/>
  <c r="H126" i="45"/>
  <c r="I126" i="45"/>
  <c r="I136" i="45" s="1"/>
  <c r="M14" i="20"/>
  <c r="X60" i="42" a="1"/>
  <c r="AA60" i="42"/>
  <c r="X43" i="42" a="1"/>
  <c r="AB43" i="42"/>
  <c r="X23" i="42" a="1"/>
  <c r="X6" i="42" a="1"/>
  <c r="X6" i="42"/>
  <c r="H95" i="42" a="1"/>
  <c r="H79" i="42" a="1"/>
  <c r="K79" i="42"/>
  <c r="H60" i="42" a="1"/>
  <c r="J60" i="42"/>
  <c r="H43" i="42" a="1"/>
  <c r="I43" i="42"/>
  <c r="H23" i="42" a="1"/>
  <c r="H23" i="42"/>
  <c r="H6" i="42" a="1"/>
  <c r="K6" i="42"/>
  <c r="D10" i="46"/>
  <c r="E10" i="46"/>
  <c r="F10" i="46"/>
  <c r="G10" i="46"/>
  <c r="H10" i="46"/>
  <c r="I10" i="46"/>
  <c r="K10" i="46"/>
  <c r="M10" i="46"/>
  <c r="J10" i="46"/>
  <c r="L10" i="46"/>
  <c r="D11" i="46"/>
  <c r="E11" i="46"/>
  <c r="F11" i="46"/>
  <c r="G11" i="46"/>
  <c r="H11" i="46"/>
  <c r="I11" i="46"/>
  <c r="J11" i="46"/>
  <c r="D12" i="46"/>
  <c r="E12" i="46"/>
  <c r="F12" i="46"/>
  <c r="G12" i="46"/>
  <c r="H12" i="46"/>
  <c r="I12" i="46"/>
  <c r="J12" i="46"/>
  <c r="D13" i="46"/>
  <c r="E13" i="46"/>
  <c r="F13" i="46"/>
  <c r="G13" i="46"/>
  <c r="H13" i="46"/>
  <c r="I13" i="46"/>
  <c r="J13" i="46"/>
  <c r="D14" i="46"/>
  <c r="E14" i="46"/>
  <c r="F14" i="46"/>
  <c r="G14" i="46"/>
  <c r="H14" i="46"/>
  <c r="I14" i="46"/>
  <c r="J14" i="46"/>
  <c r="D15" i="46"/>
  <c r="E15" i="46"/>
  <c r="F15" i="46"/>
  <c r="G15" i="46"/>
  <c r="H15" i="46"/>
  <c r="I15" i="46"/>
  <c r="J15" i="46"/>
  <c r="D16" i="46"/>
  <c r="E16" i="46"/>
  <c r="F16" i="46"/>
  <c r="G16" i="46"/>
  <c r="H16" i="46"/>
  <c r="I16" i="46"/>
  <c r="J16" i="46"/>
  <c r="C10" i="25"/>
  <c r="D10" i="25"/>
  <c r="E10" i="25"/>
  <c r="E14" i="25"/>
  <c r="C24" i="25"/>
  <c r="D24" i="25"/>
  <c r="E24" i="25"/>
  <c r="A6" i="18"/>
  <c r="J6" i="18"/>
  <c r="K6" i="18"/>
  <c r="A7" i="18"/>
  <c r="J7" i="18"/>
  <c r="K7" i="18"/>
  <c r="A8" i="18"/>
  <c r="J8" i="18"/>
  <c r="K8" i="18"/>
  <c r="A9" i="18"/>
  <c r="J9" i="18"/>
  <c r="K9" i="18"/>
  <c r="A10" i="18"/>
  <c r="J10" i="18"/>
  <c r="K10" i="18"/>
  <c r="A11" i="18"/>
  <c r="J11" i="18"/>
  <c r="K11" i="18"/>
  <c r="A12" i="18"/>
  <c r="J12" i="18"/>
  <c r="K12" i="18"/>
  <c r="A13" i="18"/>
  <c r="J13" i="18"/>
  <c r="K13" i="18"/>
  <c r="A14" i="18"/>
  <c r="J14" i="18"/>
  <c r="K14" i="18"/>
  <c r="A15" i="18"/>
  <c r="J15" i="18"/>
  <c r="K15" i="18"/>
  <c r="A16" i="18"/>
  <c r="J16" i="18"/>
  <c r="K16" i="18"/>
  <c r="A17" i="18"/>
  <c r="J17" i="18"/>
  <c r="K17" i="18"/>
  <c r="A18" i="18"/>
  <c r="J18" i="18"/>
  <c r="K18" i="18"/>
  <c r="A19" i="18"/>
  <c r="A20" i="18"/>
  <c r="A21" i="18"/>
  <c r="A38" i="18"/>
  <c r="A39" i="18"/>
  <c r="A40" i="18"/>
  <c r="A41" i="18"/>
  <c r="A42" i="18"/>
  <c r="A43" i="18"/>
  <c r="A44" i="18"/>
  <c r="A45" i="18"/>
  <c r="A46" i="18"/>
  <c r="A47" i="18"/>
  <c r="A48" i="18"/>
  <c r="A49" i="18"/>
  <c r="A50" i="18"/>
  <c r="A51" i="18"/>
  <c r="A52" i="18"/>
  <c r="A53" i="18"/>
  <c r="A54" i="18"/>
  <c r="A55" i="18"/>
  <c r="A56" i="18"/>
  <c r="A57" i="18"/>
  <c r="A58" i="18"/>
  <c r="A59" i="18"/>
  <c r="A60" i="18"/>
  <c r="A61" i="18"/>
  <c r="A62" i="18"/>
  <c r="A63" i="18"/>
  <c r="A64" i="18"/>
  <c r="A65" i="18"/>
  <c r="A66" i="18"/>
  <c r="A67" i="18"/>
  <c r="A68" i="18"/>
  <c r="A69" i="18"/>
  <c r="A70" i="18"/>
  <c r="A71" i="18"/>
  <c r="A72" i="18"/>
  <c r="A73" i="18"/>
  <c r="A74" i="18"/>
  <c r="A75" i="18"/>
  <c r="A76" i="18"/>
  <c r="A77" i="18"/>
  <c r="A78" i="18"/>
  <c r="A79" i="18"/>
  <c r="A80" i="18"/>
  <c r="A81" i="18"/>
  <c r="A82" i="18"/>
  <c r="A83" i="18"/>
  <c r="A84" i="18"/>
  <c r="A85" i="18"/>
  <c r="A86" i="18"/>
  <c r="A87" i="18"/>
  <c r="A88" i="18"/>
  <c r="A89" i="18"/>
  <c r="A90" i="18"/>
  <c r="A91" i="18"/>
  <c r="A92" i="18"/>
  <c r="A93" i="18"/>
  <c r="A94" i="18"/>
  <c r="A95" i="18"/>
  <c r="A96" i="18"/>
  <c r="A97" i="18"/>
  <c r="A98" i="18"/>
  <c r="A99" i="18"/>
  <c r="A100" i="18"/>
  <c r="A101" i="18"/>
  <c r="A102" i="18"/>
  <c r="A103" i="18"/>
  <c r="A104" i="18"/>
  <c r="A105" i="18"/>
  <c r="A106" i="18"/>
  <c r="A107" i="18"/>
  <c r="A108" i="18"/>
  <c r="A109" i="18"/>
  <c r="A110" i="18"/>
  <c r="A111" i="18"/>
  <c r="A112" i="18"/>
  <c r="A113" i="18"/>
  <c r="A114" i="18"/>
  <c r="A115" i="18"/>
  <c r="A116" i="18"/>
  <c r="A117" i="18"/>
  <c r="A118" i="18"/>
  <c r="A119" i="18"/>
  <c r="A120" i="18"/>
  <c r="A121" i="18"/>
  <c r="A122" i="18"/>
  <c r="A123" i="18"/>
  <c r="A124" i="18"/>
  <c r="A125" i="18"/>
  <c r="A126" i="18"/>
  <c r="A127" i="18"/>
  <c r="A128" i="18"/>
  <c r="A129" i="18"/>
  <c r="A130" i="18"/>
  <c r="A131" i="18"/>
  <c r="A132" i="18"/>
  <c r="A133" i="18"/>
  <c r="A134" i="18"/>
  <c r="A135" i="18"/>
  <c r="A136" i="18"/>
  <c r="A137" i="18"/>
  <c r="A138" i="18"/>
  <c r="A139" i="18"/>
  <c r="A140" i="18"/>
  <c r="A141" i="18"/>
  <c r="A142" i="18"/>
  <c r="A143" i="18"/>
  <c r="A144" i="18"/>
  <c r="A145" i="18"/>
  <c r="A146" i="18"/>
  <c r="A147" i="18"/>
  <c r="A148" i="18"/>
  <c r="A149" i="18"/>
  <c r="A150" i="18"/>
  <c r="F3" i="29"/>
  <c r="N3" i="29"/>
  <c r="D13" i="29"/>
  <c r="E13" i="29"/>
  <c r="F13" i="29"/>
  <c r="L13" i="29"/>
  <c r="M13" i="29"/>
  <c r="N13" i="29"/>
  <c r="F18" i="29"/>
  <c r="N18" i="29"/>
  <c r="D28" i="29"/>
  <c r="E28" i="29"/>
  <c r="F28" i="29"/>
  <c r="L28" i="29"/>
  <c r="M28" i="29"/>
  <c r="N28" i="29"/>
  <c r="F33" i="29"/>
  <c r="N33" i="29"/>
  <c r="D43" i="29"/>
  <c r="E43" i="29"/>
  <c r="F43" i="29"/>
  <c r="L43" i="29"/>
  <c r="M43" i="29"/>
  <c r="N43" i="29"/>
  <c r="F48" i="29"/>
  <c r="N48" i="29"/>
  <c r="D58" i="29"/>
  <c r="E58" i="29"/>
  <c r="F58" i="29"/>
  <c r="L58" i="29"/>
  <c r="M58" i="29"/>
  <c r="N58" i="29"/>
  <c r="F63" i="29"/>
  <c r="N63" i="29"/>
  <c r="D73" i="29"/>
  <c r="E73" i="29"/>
  <c r="F73" i="29"/>
  <c r="L73" i="29"/>
  <c r="M73" i="29"/>
  <c r="N73" i="29"/>
  <c r="F78" i="29"/>
  <c r="N78" i="29"/>
  <c r="D88" i="29"/>
  <c r="E88" i="29"/>
  <c r="F88" i="29"/>
  <c r="L88" i="29"/>
  <c r="M88" i="29"/>
  <c r="N88" i="29"/>
  <c r="F93" i="29"/>
  <c r="N93" i="29"/>
  <c r="D103" i="29"/>
  <c r="E103" i="29"/>
  <c r="F103" i="29"/>
  <c r="L103" i="29"/>
  <c r="M103" i="29"/>
  <c r="N103" i="29"/>
  <c r="F3" i="30"/>
  <c r="N3" i="30"/>
  <c r="D12" i="30"/>
  <c r="E12" i="30"/>
  <c r="F12" i="30"/>
  <c r="L12" i="30"/>
  <c r="M12" i="30"/>
  <c r="N12" i="30"/>
  <c r="F17" i="30"/>
  <c r="N17" i="30"/>
  <c r="D26" i="30"/>
  <c r="E26" i="30"/>
  <c r="F26" i="30"/>
  <c r="L26" i="30"/>
  <c r="M26" i="30"/>
  <c r="N26" i="30"/>
  <c r="F31" i="30"/>
  <c r="N31" i="30"/>
  <c r="D40" i="30"/>
  <c r="E40" i="30"/>
  <c r="F40" i="30"/>
  <c r="L40" i="30"/>
  <c r="M40" i="30"/>
  <c r="N40" i="30"/>
  <c r="F45" i="30"/>
  <c r="N45" i="30"/>
  <c r="D54" i="30"/>
  <c r="E54" i="30"/>
  <c r="F54" i="30"/>
  <c r="L54" i="30"/>
  <c r="M54" i="30"/>
  <c r="N54" i="30"/>
  <c r="F59" i="30"/>
  <c r="N59" i="30"/>
  <c r="D68" i="30"/>
  <c r="E68" i="30"/>
  <c r="F68" i="30"/>
  <c r="L68" i="30"/>
  <c r="M68" i="30"/>
  <c r="N68" i="30"/>
  <c r="P1" i="20"/>
  <c r="P3" i="20"/>
  <c r="A10" i="20"/>
  <c r="C10" i="20"/>
  <c r="E10" i="20"/>
  <c r="F10" i="20"/>
  <c r="I10" i="20"/>
  <c r="L14" i="20"/>
  <c r="I15" i="20"/>
  <c r="J15" i="20"/>
  <c r="H16" i="20"/>
  <c r="I16" i="20"/>
  <c r="J16" i="20"/>
  <c r="K16" i="20"/>
  <c r="M40" i="20"/>
  <c r="M42" i="20"/>
  <c r="M44" i="20"/>
  <c r="M46" i="20"/>
  <c r="M47" i="20"/>
  <c r="M59" i="20"/>
  <c r="M61" i="20"/>
  <c r="M63" i="20"/>
  <c r="L65" i="20"/>
  <c r="M65" i="20"/>
  <c r="L67" i="20"/>
  <c r="M67" i="20"/>
  <c r="L69" i="20"/>
  <c r="M69" i="20"/>
  <c r="L71" i="20"/>
  <c r="M71" i="20"/>
  <c r="L72" i="20"/>
  <c r="M72" i="20"/>
  <c r="L73" i="20"/>
  <c r="M73" i="20"/>
  <c r="L76" i="20"/>
  <c r="M76" i="20"/>
  <c r="L77" i="20"/>
  <c r="M77" i="20"/>
  <c r="L80" i="20"/>
  <c r="M80" i="20"/>
  <c r="L82" i="20"/>
  <c r="M82" i="20"/>
  <c r="L86" i="20"/>
  <c r="M86" i="20"/>
  <c r="L87" i="20"/>
  <c r="M87" i="20"/>
  <c r="L88" i="20"/>
  <c r="M88" i="20"/>
  <c r="L89" i="20"/>
  <c r="M89" i="20"/>
  <c r="L90" i="20"/>
  <c r="M90" i="20"/>
  <c r="L91" i="20"/>
  <c r="M91" i="20"/>
  <c r="L94" i="20"/>
  <c r="M94" i="20"/>
  <c r="L95" i="20"/>
  <c r="M95" i="20"/>
  <c r="L96" i="20"/>
  <c r="M96" i="20"/>
  <c r="L100" i="20"/>
  <c r="M100" i="20"/>
  <c r="L101" i="20"/>
  <c r="M101" i="20"/>
  <c r="L104" i="20"/>
  <c r="M104" i="20"/>
  <c r="L105" i="20"/>
  <c r="M105" i="20"/>
  <c r="L108" i="20"/>
  <c r="M108" i="20"/>
  <c r="L110" i="20"/>
  <c r="M110" i="20"/>
  <c r="L111" i="20"/>
  <c r="M111" i="20"/>
  <c r="L112" i="20"/>
  <c r="M112" i="20"/>
  <c r="L113" i="20"/>
  <c r="M113" i="20"/>
  <c r="L115" i="20"/>
  <c r="M115" i="20"/>
  <c r="L116" i="20"/>
  <c r="M116" i="20"/>
  <c r="L117" i="20"/>
  <c r="M117" i="20"/>
  <c r="L118" i="20"/>
  <c r="M118" i="20"/>
  <c r="L120" i="20"/>
  <c r="M120" i="20"/>
  <c r="L122" i="20"/>
  <c r="M122" i="20"/>
  <c r="L123" i="20"/>
  <c r="M123" i="20"/>
  <c r="L124" i="20"/>
  <c r="M124" i="20"/>
  <c r="L125" i="20"/>
  <c r="M125" i="20"/>
  <c r="L126" i="20"/>
  <c r="M126" i="20"/>
  <c r="L127" i="20"/>
  <c r="M127" i="20"/>
  <c r="L128" i="20"/>
  <c r="M128" i="20"/>
  <c r="L129" i="20"/>
  <c r="M129" i="20"/>
  <c r="L130" i="20"/>
  <c r="M130" i="20"/>
  <c r="L131" i="20"/>
  <c r="M131" i="20"/>
  <c r="L132" i="20"/>
  <c r="M132" i="20"/>
  <c r="L133" i="20"/>
  <c r="M133" i="20"/>
  <c r="L134" i="20"/>
  <c r="M134" i="20"/>
  <c r="L135" i="20"/>
  <c r="M135" i="20"/>
  <c r="L136" i="20"/>
  <c r="M136" i="20"/>
  <c r="L137" i="20"/>
  <c r="M137" i="20"/>
  <c r="L138" i="20"/>
  <c r="M138" i="20"/>
  <c r="L139" i="20"/>
  <c r="M139" i="20"/>
  <c r="L140" i="20"/>
  <c r="M140" i="20"/>
  <c r="L141" i="20"/>
  <c r="M141" i="20"/>
  <c r="L142" i="20"/>
  <c r="M142" i="20"/>
  <c r="L144" i="20"/>
  <c r="M144" i="20"/>
  <c r="L145" i="20"/>
  <c r="M145" i="20"/>
  <c r="L146" i="20"/>
  <c r="M146" i="20"/>
  <c r="L147" i="20"/>
  <c r="M147" i="20"/>
  <c r="L148" i="20"/>
  <c r="M148" i="20"/>
  <c r="L149" i="20"/>
  <c r="M149" i="20"/>
  <c r="L150" i="20"/>
  <c r="M150" i="20"/>
  <c r="L151" i="20"/>
  <c r="M151" i="20"/>
  <c r="L152" i="20"/>
  <c r="M152" i="20"/>
  <c r="L153" i="20"/>
  <c r="M153" i="20"/>
  <c r="L154" i="20"/>
  <c r="M154" i="20"/>
  <c r="L155" i="20"/>
  <c r="M155" i="20"/>
  <c r="L156" i="20"/>
  <c r="M156" i="20"/>
  <c r="L157" i="20"/>
  <c r="M157" i="20"/>
  <c r="L158" i="20"/>
  <c r="M158" i="20"/>
  <c r="L159" i="20"/>
  <c r="M159" i="20"/>
  <c r="L160" i="20"/>
  <c r="M160" i="20"/>
  <c r="L161" i="20"/>
  <c r="M161" i="20"/>
  <c r="L162" i="20"/>
  <c r="M162" i="20"/>
  <c r="L163" i="20"/>
  <c r="M163" i="20"/>
  <c r="L164" i="20"/>
  <c r="M164" i="20"/>
  <c r="L165" i="20"/>
  <c r="M165" i="20"/>
  <c r="L166" i="20"/>
  <c r="M166" i="20"/>
  <c r="L167" i="20"/>
  <c r="M167" i="20"/>
  <c r="L168" i="20"/>
  <c r="M168" i="20"/>
  <c r="L169" i="20"/>
  <c r="M169" i="20"/>
  <c r="L170" i="20"/>
  <c r="M170" i="20"/>
  <c r="L171" i="20"/>
  <c r="M171" i="20"/>
  <c r="L172" i="20"/>
  <c r="M172" i="20"/>
  <c r="L173" i="20"/>
  <c r="M173" i="20"/>
  <c r="L174" i="20"/>
  <c r="M174" i="20"/>
  <c r="L175" i="20"/>
  <c r="M175" i="20"/>
  <c r="L176" i="20"/>
  <c r="M176" i="20"/>
  <c r="L177" i="20"/>
  <c r="M177" i="20"/>
  <c r="L178" i="20"/>
  <c r="M178" i="20"/>
  <c r="L179" i="20"/>
  <c r="M179" i="20"/>
  <c r="L180" i="20"/>
  <c r="M180" i="20"/>
  <c r="L181" i="20"/>
  <c r="M181" i="20"/>
  <c r="L182" i="20"/>
  <c r="M182" i="20"/>
  <c r="L183" i="20"/>
  <c r="M183" i="20"/>
  <c r="L184" i="20"/>
  <c r="M184" i="20"/>
  <c r="L185" i="20"/>
  <c r="M185" i="20"/>
  <c r="L186" i="20"/>
  <c r="M186" i="20"/>
  <c r="L187" i="20"/>
  <c r="M187" i="20"/>
  <c r="L188" i="20"/>
  <c r="M188" i="20"/>
  <c r="L189" i="20"/>
  <c r="M189" i="20"/>
  <c r="L190" i="20"/>
  <c r="M190" i="20"/>
  <c r="L191" i="20"/>
  <c r="M191" i="20"/>
  <c r="L192" i="20"/>
  <c r="M192" i="20"/>
  <c r="L193" i="20"/>
  <c r="L194" i="20"/>
  <c r="L195" i="20"/>
  <c r="L196" i="20"/>
  <c r="L197" i="20"/>
  <c r="L198" i="20"/>
  <c r="L199" i="20"/>
  <c r="L200" i="20"/>
  <c r="L201" i="20"/>
  <c r="L202" i="20"/>
  <c r="L203" i="20"/>
  <c r="L204" i="20"/>
  <c r="L205" i="20"/>
  <c r="L206" i="20"/>
  <c r="L207" i="20"/>
  <c r="L208" i="20"/>
  <c r="L209" i="20"/>
  <c r="L210" i="20"/>
  <c r="L211" i="20"/>
  <c r="L212" i="20"/>
  <c r="L213" i="20"/>
  <c r="L214" i="20"/>
  <c r="L215" i="20"/>
  <c r="L216" i="20"/>
  <c r="L217" i="20"/>
  <c r="L218" i="20"/>
  <c r="L219" i="20"/>
  <c r="L220" i="20"/>
  <c r="L221" i="20"/>
  <c r="L222" i="20"/>
  <c r="L223" i="20"/>
  <c r="L224" i="20"/>
  <c r="L225" i="20"/>
  <c r="L226" i="20"/>
  <c r="H6" i="44"/>
  <c r="F34" i="44"/>
  <c r="H34" i="44"/>
  <c r="G34" i="44"/>
  <c r="I34" i="44"/>
  <c r="H7" i="44"/>
  <c r="E43" i="44"/>
  <c r="Z95" i="42"/>
  <c r="X95" i="42"/>
  <c r="AA83" i="44"/>
  <c r="Z83" i="44"/>
  <c r="X96" i="42" a="1"/>
  <c r="Y96" i="42"/>
  <c r="AC96" i="42"/>
  <c r="H10" i="44"/>
  <c r="G10" i="44"/>
  <c r="E10" i="44"/>
  <c r="F10" i="44"/>
  <c r="L10" i="44" s="1"/>
  <c r="F15" i="44"/>
  <c r="G15" i="44"/>
  <c r="I26" i="44"/>
  <c r="G26" i="44"/>
  <c r="E38" i="44"/>
  <c r="F6" i="44"/>
  <c r="E6" i="44"/>
  <c r="G6" i="44"/>
  <c r="I6" i="44"/>
  <c r="G15" i="20"/>
  <c r="N17" i="20"/>
  <c r="P38" i="20" s="1"/>
  <c r="G17" i="20"/>
  <c r="T37" i="20" s="1"/>
  <c r="Z105" i="42"/>
  <c r="H15" i="44"/>
  <c r="AA87" i="44"/>
  <c r="F27" i="44"/>
  <c r="F26" i="44"/>
  <c r="L106" i="42"/>
  <c r="H106" i="42"/>
  <c r="I106" i="42"/>
  <c r="K106" i="42"/>
  <c r="I60" i="50"/>
  <c r="I124" i="50"/>
  <c r="J124" i="50"/>
  <c r="F124" i="50"/>
  <c r="K124" i="50"/>
  <c r="G124" i="50"/>
  <c r="L124" i="50"/>
  <c r="H57" i="50"/>
  <c r="I112" i="50"/>
  <c r="I69" i="50"/>
  <c r="I110" i="50"/>
  <c r="I6" i="50"/>
  <c r="I22" i="50"/>
  <c r="I18" i="50"/>
  <c r="I34" i="50"/>
  <c r="I8" i="50"/>
  <c r="I74" i="50"/>
  <c r="I78" i="50"/>
  <c r="I82" i="50"/>
  <c r="I5" i="50"/>
  <c r="I9" i="50"/>
  <c r="I57" i="50"/>
  <c r="I58" i="50"/>
  <c r="I77" i="50"/>
  <c r="I80" i="50"/>
  <c r="I81" i="50"/>
  <c r="J102" i="50"/>
  <c r="I120" i="50"/>
  <c r="I121" i="50"/>
  <c r="K130" i="50"/>
  <c r="J129" i="50"/>
  <c r="F129" i="50"/>
  <c r="K129" i="50"/>
  <c r="G129" i="50"/>
  <c r="I129" i="50"/>
  <c r="L129" i="50"/>
  <c r="F128" i="50"/>
  <c r="L128" i="50"/>
  <c r="I127" i="50"/>
  <c r="J127" i="50"/>
  <c r="F127" i="50"/>
  <c r="K127" i="50"/>
  <c r="G127" i="50"/>
  <c r="L127" i="50"/>
  <c r="G126" i="50"/>
  <c r="I125" i="50"/>
  <c r="J125" i="50"/>
  <c r="F125" i="50"/>
  <c r="K125" i="50"/>
  <c r="G125" i="50"/>
  <c r="L125" i="50"/>
  <c r="J122" i="50"/>
  <c r="F122" i="50"/>
  <c r="K122" i="50"/>
  <c r="G122" i="50"/>
  <c r="I122" i="50"/>
  <c r="L122" i="50"/>
  <c r="J121" i="50"/>
  <c r="L121" i="50"/>
  <c r="J120" i="50"/>
  <c r="F120" i="50"/>
  <c r="K120" i="50"/>
  <c r="G120" i="50"/>
  <c r="L120" i="50"/>
  <c r="I119" i="50"/>
  <c r="G119" i="50"/>
  <c r="I118" i="50"/>
  <c r="J118" i="50"/>
  <c r="F118" i="50"/>
  <c r="G118" i="50"/>
  <c r="G117" i="50"/>
  <c r="I11" i="50"/>
  <c r="I49" i="50"/>
  <c r="I50" i="50"/>
  <c r="I54" i="50"/>
  <c r="L57" i="50"/>
  <c r="I59" i="50"/>
  <c r="I65" i="50"/>
  <c r="I73" i="50"/>
  <c r="I91" i="50"/>
  <c r="I95" i="50"/>
  <c r="I104" i="50"/>
  <c r="I12" i="50"/>
  <c r="I14" i="50"/>
  <c r="I16" i="50"/>
  <c r="I38" i="50"/>
  <c r="I93" i="50"/>
  <c r="I97" i="50"/>
  <c r="I103" i="50"/>
  <c r="I114" i="50"/>
  <c r="J114" i="50"/>
  <c r="F114" i="50"/>
  <c r="K114" i="50"/>
  <c r="G114" i="50"/>
  <c r="L114" i="50"/>
  <c r="J113" i="50"/>
  <c r="J112" i="50"/>
  <c r="F112" i="50"/>
  <c r="K112" i="50"/>
  <c r="G112" i="50"/>
  <c r="L112" i="50"/>
  <c r="J111" i="50"/>
  <c r="L111" i="50"/>
  <c r="J110" i="50"/>
  <c r="F110" i="50"/>
  <c r="K110" i="50"/>
  <c r="G110" i="50"/>
  <c r="L110" i="50"/>
  <c r="I109" i="50"/>
  <c r="G109" i="50"/>
  <c r="I108" i="50"/>
  <c r="J108" i="50"/>
  <c r="F108" i="50"/>
  <c r="K108" i="50"/>
  <c r="G108" i="50"/>
  <c r="L108" i="50"/>
  <c r="I107" i="50"/>
  <c r="J107" i="50"/>
  <c r="F107" i="50"/>
  <c r="K107" i="50"/>
  <c r="G107" i="50"/>
  <c r="L107" i="50"/>
  <c r="F106" i="50"/>
  <c r="I105" i="50"/>
  <c r="J105" i="50"/>
  <c r="F105" i="50"/>
  <c r="K105" i="50"/>
  <c r="G105" i="50"/>
  <c r="L105" i="50"/>
  <c r="L104" i="50"/>
  <c r="J103" i="50"/>
  <c r="F103" i="50"/>
  <c r="K103" i="50"/>
  <c r="G103" i="50"/>
  <c r="L103" i="50"/>
  <c r="J101" i="50"/>
  <c r="F98" i="50"/>
  <c r="J97" i="50"/>
  <c r="F97" i="50"/>
  <c r="K97" i="50"/>
  <c r="G97" i="50"/>
  <c r="L97" i="50"/>
  <c r="G96" i="50"/>
  <c r="J95" i="50"/>
  <c r="F95" i="50"/>
  <c r="K95" i="50"/>
  <c r="G95" i="50"/>
  <c r="L95" i="50"/>
  <c r="F94" i="50"/>
  <c r="J93" i="50"/>
  <c r="K93" i="50"/>
  <c r="G93" i="50"/>
  <c r="F93" i="50"/>
  <c r="L93" i="50"/>
  <c r="G92" i="50"/>
  <c r="F91" i="50"/>
  <c r="K91" i="50"/>
  <c r="G91" i="50"/>
  <c r="J91" i="50"/>
  <c r="L91" i="50"/>
  <c r="F90" i="50"/>
  <c r="J89" i="50"/>
  <c r="L89" i="50"/>
  <c r="I88" i="50"/>
  <c r="G88" i="50"/>
  <c r="K87" i="50"/>
  <c r="L87" i="50"/>
  <c r="F82" i="50"/>
  <c r="K82" i="50"/>
  <c r="G82" i="50"/>
  <c r="J82" i="50"/>
  <c r="L82" i="50"/>
  <c r="F81" i="50"/>
  <c r="J80" i="50"/>
  <c r="F80" i="50"/>
  <c r="K80" i="50"/>
  <c r="G80" i="50"/>
  <c r="L80" i="50"/>
  <c r="G79" i="50"/>
  <c r="J78" i="50"/>
  <c r="F78" i="50"/>
  <c r="K78" i="50"/>
  <c r="G78" i="50"/>
  <c r="L78" i="50"/>
  <c r="F77" i="50"/>
  <c r="G76" i="50"/>
  <c r="G75" i="50"/>
  <c r="J74" i="50"/>
  <c r="F74" i="50"/>
  <c r="K74" i="50"/>
  <c r="G74" i="50"/>
  <c r="L74" i="50"/>
  <c r="J73" i="50"/>
  <c r="F73" i="50"/>
  <c r="K73" i="50"/>
  <c r="G73" i="50"/>
  <c r="L73" i="50"/>
  <c r="K72" i="50"/>
  <c r="L71" i="50"/>
  <c r="G70" i="50"/>
  <c r="J69" i="50"/>
  <c r="F69" i="50"/>
  <c r="G69" i="50"/>
  <c r="K69" i="50" s="1"/>
  <c r="J66" i="50"/>
  <c r="K66" i="50"/>
  <c r="L66" i="50"/>
  <c r="J65" i="50"/>
  <c r="F65" i="50"/>
  <c r="K65" i="50"/>
  <c r="G65" i="50"/>
  <c r="L65" i="50"/>
  <c r="J63" i="50"/>
  <c r="F63" i="50"/>
  <c r="I63" i="50"/>
  <c r="K63" i="50"/>
  <c r="G63" i="50"/>
  <c r="L63" i="50"/>
  <c r="J62" i="50"/>
  <c r="I61" i="50"/>
  <c r="J61" i="50"/>
  <c r="F61" i="50"/>
  <c r="K61" i="50"/>
  <c r="G61" i="50"/>
  <c r="L61" i="50"/>
  <c r="J60" i="50"/>
  <c r="F60" i="50"/>
  <c r="K60" i="50"/>
  <c r="G60" i="50"/>
  <c r="L60" i="50"/>
  <c r="J59" i="50"/>
  <c r="F59" i="50"/>
  <c r="K59" i="50"/>
  <c r="G59" i="50"/>
  <c r="L59" i="50"/>
  <c r="F58" i="50"/>
  <c r="G58" i="50"/>
  <c r="J57" i="50"/>
  <c r="F57" i="50"/>
  <c r="K57" i="50"/>
  <c r="I56" i="50"/>
  <c r="J56" i="50"/>
  <c r="F56" i="50"/>
  <c r="K56" i="50"/>
  <c r="G56" i="50"/>
  <c r="L56" i="50"/>
  <c r="F55" i="50"/>
  <c r="G55" i="50"/>
  <c r="J54" i="50"/>
  <c r="F54" i="50"/>
  <c r="G54" i="50"/>
  <c r="K54" i="50"/>
  <c r="F53" i="50"/>
  <c r="J50" i="50"/>
  <c r="F50" i="50"/>
  <c r="K50" i="50"/>
  <c r="G50" i="50"/>
  <c r="L50" i="50"/>
  <c r="J49" i="50"/>
  <c r="K49" i="50"/>
  <c r="L49" i="50"/>
  <c r="J38" i="50"/>
  <c r="F38" i="50"/>
  <c r="G38" i="50"/>
  <c r="F37" i="50"/>
  <c r="J16" i="50"/>
  <c r="F16" i="50"/>
  <c r="K16" i="50"/>
  <c r="G16" i="50"/>
  <c r="L16" i="50"/>
  <c r="J15" i="50"/>
  <c r="K15" i="50"/>
  <c r="L15" i="50"/>
  <c r="F14" i="50"/>
  <c r="J13" i="50"/>
  <c r="K13" i="50"/>
  <c r="L13" i="50"/>
  <c r="J12" i="50"/>
  <c r="F12" i="50"/>
  <c r="K12" i="50"/>
  <c r="G12" i="50"/>
  <c r="L12" i="50"/>
  <c r="J11" i="50"/>
  <c r="K11" i="50"/>
  <c r="L11" i="50"/>
  <c r="I10" i="50"/>
  <c r="J10" i="50"/>
  <c r="F10" i="50"/>
  <c r="K10" i="50"/>
  <c r="G10" i="50"/>
  <c r="L10" i="50"/>
  <c r="F9" i="50"/>
  <c r="G9" i="50"/>
  <c r="J8" i="50"/>
  <c r="F8" i="50"/>
  <c r="K8" i="50"/>
  <c r="G8" i="50"/>
  <c r="L8" i="50"/>
  <c r="F7" i="50"/>
  <c r="G7" i="50"/>
  <c r="J34" i="50"/>
  <c r="F34" i="50"/>
  <c r="K34" i="50"/>
  <c r="G34" i="50"/>
  <c r="L34" i="50"/>
  <c r="K33" i="50"/>
  <c r="J18" i="50"/>
  <c r="F18" i="50"/>
  <c r="K18" i="50"/>
  <c r="G18" i="50"/>
  <c r="L18" i="50"/>
  <c r="J17" i="50"/>
  <c r="K17" i="50"/>
  <c r="L17" i="50"/>
  <c r="J22" i="50"/>
  <c r="F22" i="50"/>
  <c r="G22" i="50"/>
  <c r="K22" i="50"/>
  <c r="F21" i="50"/>
  <c r="J6" i="50"/>
  <c r="F6" i="50"/>
  <c r="G6" i="50"/>
  <c r="K6" i="50" s="1"/>
  <c r="F5" i="50"/>
  <c r="G48" i="50"/>
  <c r="I45" i="50"/>
  <c r="I48" i="50"/>
  <c r="G31" i="50"/>
  <c r="J24" i="50"/>
  <c r="G41" i="50"/>
  <c r="F39" i="50"/>
  <c r="K48" i="50"/>
  <c r="J31" i="50"/>
  <c r="G32" i="50"/>
  <c r="F43" i="50"/>
  <c r="L48" i="50"/>
  <c r="F48" i="50"/>
  <c r="L24" i="50"/>
  <c r="G28" i="50"/>
  <c r="J32" i="50"/>
  <c r="F41" i="50"/>
  <c r="G45" i="50"/>
  <c r="K29" i="50"/>
  <c r="G24" i="50"/>
  <c r="J28" i="50"/>
  <c r="J41" i="50"/>
  <c r="G40" i="50"/>
  <c r="J48" i="50"/>
  <c r="J29" i="50"/>
  <c r="G29" i="50"/>
  <c r="K31" i="50"/>
  <c r="F24" i="50"/>
  <c r="K28" i="50"/>
  <c r="K32" i="50"/>
  <c r="L41" i="50"/>
  <c r="J40" i="50"/>
  <c r="L46" i="50"/>
  <c r="L31" i="50"/>
  <c r="J30" i="50"/>
  <c r="K43" i="50"/>
  <c r="G30" i="50"/>
  <c r="L26" i="50"/>
  <c r="K26" i="50"/>
  <c r="F26" i="50"/>
  <c r="I47" i="50"/>
  <c r="K44" i="50"/>
  <c r="I24" i="50"/>
  <c r="L28" i="50"/>
  <c r="F28" i="50"/>
  <c r="K30" i="50"/>
  <c r="F32" i="50"/>
  <c r="G39" i="50"/>
  <c r="I41" i="50"/>
  <c r="J43" i="50"/>
  <c r="J45" i="50"/>
  <c r="I40" i="50"/>
  <c r="G44" i="50"/>
  <c r="K24" i="50"/>
  <c r="I28" i="50"/>
  <c r="I32" i="50"/>
  <c r="K41" i="50"/>
  <c r="K45" i="50"/>
  <c r="K40" i="50"/>
  <c r="L44" i="50"/>
  <c r="L45" i="50"/>
  <c r="K47" i="50"/>
  <c r="L40" i="50"/>
  <c r="F40" i="50"/>
  <c r="J46" i="50"/>
  <c r="G47" i="50"/>
  <c r="G42" i="50"/>
  <c r="F46" i="50"/>
  <c r="F23" i="50"/>
  <c r="F47" i="50"/>
  <c r="F42" i="50"/>
  <c r="L23" i="50"/>
  <c r="I29" i="50"/>
  <c r="L27" i="50"/>
  <c r="L29" i="50"/>
  <c r="F29" i="50"/>
  <c r="J27" i="50"/>
  <c r="I95" i="42"/>
  <c r="AB106" i="42"/>
  <c r="Q82" i="44"/>
  <c r="I30" i="44"/>
  <c r="G42" i="44"/>
  <c r="M42" i="44" s="1"/>
  <c r="E42" i="44"/>
  <c r="H42" i="44"/>
  <c r="I31" i="44"/>
  <c r="G31" i="44"/>
  <c r="F31" i="44"/>
  <c r="F39" i="44"/>
  <c r="H21" i="50"/>
  <c r="I21" i="50"/>
  <c r="H33" i="50"/>
  <c r="H7" i="50"/>
  <c r="I7" i="50"/>
  <c r="H13" i="50"/>
  <c r="I13" i="50"/>
  <c r="H37" i="50"/>
  <c r="I37" i="50"/>
  <c r="I62" i="50"/>
  <c r="H70" i="50"/>
  <c r="L70" i="50" s="1"/>
  <c r="I70" i="50"/>
  <c r="F70" i="50"/>
  <c r="H72" i="50"/>
  <c r="I72" i="50"/>
  <c r="F72" i="50"/>
  <c r="G72" i="50"/>
  <c r="H75" i="50"/>
  <c r="J75" i="50"/>
  <c r="K75" i="50"/>
  <c r="L75" i="50"/>
  <c r="H77" i="50"/>
  <c r="J77" i="50"/>
  <c r="K77" i="50"/>
  <c r="L77" i="50"/>
  <c r="H79" i="50"/>
  <c r="J79" i="50"/>
  <c r="K79" i="50"/>
  <c r="L79" i="50"/>
  <c r="H81" i="50"/>
  <c r="J81" i="50"/>
  <c r="K81" i="50"/>
  <c r="L81" i="50"/>
  <c r="H88" i="50"/>
  <c r="J88" i="50"/>
  <c r="K88" i="50"/>
  <c r="L88" i="50"/>
  <c r="H90" i="50"/>
  <c r="J90" i="50"/>
  <c r="K90" i="50"/>
  <c r="L90" i="50"/>
  <c r="I92" i="50"/>
  <c r="K92" i="50"/>
  <c r="H94" i="50"/>
  <c r="J94" i="50"/>
  <c r="K94" i="50"/>
  <c r="L94" i="50"/>
  <c r="H96" i="50"/>
  <c r="I96" i="50"/>
  <c r="J96" i="50"/>
  <c r="K96" i="50"/>
  <c r="L96" i="50"/>
  <c r="H98" i="50"/>
  <c r="J98" i="50"/>
  <c r="K98" i="50"/>
  <c r="L98" i="50"/>
  <c r="F102" i="50"/>
  <c r="G102" i="50"/>
  <c r="K102" i="50" s="1"/>
  <c r="H104" i="50"/>
  <c r="F104" i="50"/>
  <c r="G104" i="50"/>
  <c r="H106" i="50"/>
  <c r="J106" i="50"/>
  <c r="K106" i="50"/>
  <c r="L106" i="50"/>
  <c r="H109" i="50"/>
  <c r="J109" i="50"/>
  <c r="K109" i="50"/>
  <c r="L109" i="50"/>
  <c r="H111" i="50"/>
  <c r="I111" i="50"/>
  <c r="F111" i="50"/>
  <c r="G111" i="50"/>
  <c r="I113" i="50"/>
  <c r="G113" i="50"/>
  <c r="H117" i="50"/>
  <c r="I117" i="50"/>
  <c r="F117" i="50"/>
  <c r="H119" i="50"/>
  <c r="J119" i="50"/>
  <c r="K119" i="50"/>
  <c r="L119" i="50"/>
  <c r="H121" i="50"/>
  <c r="F121" i="50"/>
  <c r="G121" i="50"/>
  <c r="I123" i="50"/>
  <c r="F123" i="50"/>
  <c r="G123" i="50"/>
  <c r="H126" i="50"/>
  <c r="J126" i="50"/>
  <c r="K126" i="50"/>
  <c r="I126" i="50"/>
  <c r="H128" i="50"/>
  <c r="J128" i="50"/>
  <c r="I128" i="50"/>
  <c r="G128" i="50"/>
  <c r="H130" i="50"/>
  <c r="J130" i="50"/>
  <c r="I130" i="50"/>
  <c r="G130" i="50"/>
  <c r="I23" i="50"/>
  <c r="G23" i="50"/>
  <c r="J23" i="50"/>
  <c r="F45" i="50"/>
  <c r="F44" i="50"/>
  <c r="J44" i="50"/>
  <c r="L32" i="50"/>
  <c r="K23" i="50"/>
  <c r="I44" i="50"/>
  <c r="G5" i="50"/>
  <c r="L5" i="50" s="1"/>
  <c r="J5" i="50"/>
  <c r="G21" i="50"/>
  <c r="K21" i="50" s="1"/>
  <c r="L21" i="50"/>
  <c r="J21" i="50"/>
  <c r="G17" i="50"/>
  <c r="F17" i="50"/>
  <c r="F33" i="50"/>
  <c r="L7" i="50"/>
  <c r="K7" i="50"/>
  <c r="J7" i="50"/>
  <c r="L9" i="50"/>
  <c r="K9" i="50"/>
  <c r="J9" i="50"/>
  <c r="G11" i="50"/>
  <c r="F11" i="50"/>
  <c r="G13" i="50"/>
  <c r="F13" i="50"/>
  <c r="G15" i="50"/>
  <c r="F15" i="50"/>
  <c r="G37" i="50"/>
  <c r="L37" i="50"/>
  <c r="J37" i="50"/>
  <c r="G49" i="50"/>
  <c r="F49" i="50"/>
  <c r="G53" i="50"/>
  <c r="K53" i="50" s="1"/>
  <c r="J53" i="50"/>
  <c r="L55" i="50"/>
  <c r="K55" i="50"/>
  <c r="J55" i="50"/>
  <c r="L58" i="50"/>
  <c r="K58" i="50"/>
  <c r="J58" i="50"/>
  <c r="G62" i="50"/>
  <c r="F62" i="50"/>
  <c r="G66" i="50"/>
  <c r="F66" i="50"/>
  <c r="J70" i="50"/>
  <c r="L72" i="50"/>
  <c r="J72" i="50"/>
  <c r="F75" i="50"/>
  <c r="G77" i="50"/>
  <c r="F79" i="50"/>
  <c r="G81" i="50"/>
  <c r="F88" i="50"/>
  <c r="G90" i="50"/>
  <c r="F92" i="50"/>
  <c r="G94" i="50"/>
  <c r="F96" i="50"/>
  <c r="G98" i="50"/>
  <c r="I98" i="50"/>
  <c r="K104" i="50"/>
  <c r="G106" i="50"/>
  <c r="I106" i="50"/>
  <c r="F109" i="50"/>
  <c r="K111" i="50"/>
  <c r="K113" i="50"/>
  <c r="H102" i="50"/>
  <c r="I94" i="50"/>
  <c r="I90" i="50"/>
  <c r="I15" i="50"/>
  <c r="J117" i="50"/>
  <c r="F119" i="50"/>
  <c r="K121" i="50"/>
  <c r="L126" i="50"/>
  <c r="F126" i="50"/>
  <c r="K128" i="50"/>
  <c r="L130" i="50"/>
  <c r="F130" i="50"/>
  <c r="I17" i="50"/>
  <c r="I102" i="50"/>
  <c r="I79" i="50"/>
  <c r="I75" i="50"/>
  <c r="I55" i="50"/>
  <c r="I66" i="50"/>
  <c r="I53" i="50"/>
  <c r="F42" i="44"/>
  <c r="L42" i="44"/>
  <c r="I42" i="44"/>
  <c r="L95" i="42"/>
  <c r="S67" i="44"/>
  <c r="V67" i="44" s="1"/>
  <c r="L25" i="50"/>
  <c r="K25" i="50"/>
  <c r="F25" i="50"/>
  <c r="L64" i="50"/>
  <c r="K64" i="50"/>
  <c r="F64" i="50"/>
  <c r="AA86" i="44"/>
  <c r="AE86" i="44" s="1"/>
  <c r="AB86" i="44"/>
  <c r="E7" i="44"/>
  <c r="G7" i="44"/>
  <c r="S63" i="44"/>
  <c r="Z70" i="44"/>
  <c r="Z79" i="44"/>
  <c r="I7" i="44"/>
  <c r="Z86" i="44"/>
  <c r="S78" i="44"/>
  <c r="H43" i="44"/>
  <c r="G43" i="44"/>
  <c r="I43" i="44"/>
  <c r="S86" i="44"/>
  <c r="R86" i="44"/>
  <c r="W86" i="44" s="1"/>
  <c r="G19" i="44"/>
  <c r="H11" i="44"/>
  <c r="Q74" i="44"/>
  <c r="J25" i="50"/>
  <c r="H25" i="50"/>
  <c r="G64" i="50"/>
  <c r="I64" i="50"/>
  <c r="I25" i="50"/>
  <c r="AB102" i="42"/>
  <c r="S70" i="44"/>
  <c r="V70" i="44" s="1"/>
  <c r="R63" i="44"/>
  <c r="Z6" i="42"/>
  <c r="Y6" i="42"/>
  <c r="X87" i="42"/>
  <c r="AB87" i="42"/>
  <c r="H64" i="50"/>
  <c r="Z106" i="42"/>
  <c r="X102" i="42"/>
  <c r="AA66" i="44"/>
  <c r="AE66" i="44" s="1"/>
  <c r="F18" i="44"/>
  <c r="H26" i="44"/>
  <c r="H43" i="42"/>
  <c r="L43" i="42"/>
  <c r="R79" i="44"/>
  <c r="G18" i="44"/>
  <c r="M18" i="44" s="1"/>
  <c r="S75" i="44"/>
  <c r="H18" i="44"/>
  <c r="E18" i="44"/>
  <c r="Y83" i="44"/>
  <c r="I79" i="42"/>
  <c r="Y43" i="42"/>
  <c r="G22" i="44"/>
  <c r="L22" i="44" s="1"/>
  <c r="I39" i="44"/>
  <c r="E11" i="44"/>
  <c r="F11" i="44"/>
  <c r="I38" i="44"/>
  <c r="R66" i="44"/>
  <c r="W66" i="44" s="1"/>
  <c r="S66" i="44"/>
  <c r="Z75" i="44"/>
  <c r="AB75" i="44"/>
  <c r="AE75" i="44" s="1"/>
  <c r="I14" i="44"/>
  <c r="H38" i="44"/>
  <c r="H30" i="44"/>
  <c r="S90" i="44"/>
  <c r="W90" i="44" s="1"/>
  <c r="AB87" i="44"/>
  <c r="AF87" i="44" s="1"/>
  <c r="H22" i="44"/>
  <c r="AA107" i="42"/>
  <c r="I11" i="44"/>
  <c r="H23" i="44"/>
  <c r="I22" i="44"/>
  <c r="E22" i="44"/>
  <c r="F38" i="44"/>
  <c r="G11" i="44"/>
  <c r="I19" i="44"/>
  <c r="H39" i="50"/>
  <c r="K39" i="50"/>
  <c r="L39" i="50"/>
  <c r="J39" i="50"/>
  <c r="H71" i="50"/>
  <c r="F71" i="50"/>
  <c r="K71" i="50"/>
  <c r="G71" i="50"/>
  <c r="I71" i="50"/>
  <c r="J71" i="50"/>
  <c r="G27" i="44"/>
  <c r="H27" i="44"/>
  <c r="I27" i="44"/>
  <c r="E27" i="44"/>
  <c r="H30" i="50"/>
  <c r="I30" i="50"/>
  <c r="L30" i="50"/>
  <c r="F30" i="50"/>
  <c r="L33" i="50"/>
  <c r="J33" i="50"/>
  <c r="I33" i="50"/>
  <c r="G33" i="50"/>
  <c r="H89" i="50"/>
  <c r="F89" i="50"/>
  <c r="K89" i="50"/>
  <c r="G89" i="50"/>
  <c r="I89" i="50"/>
  <c r="J92" i="50"/>
  <c r="L92" i="50"/>
  <c r="H92" i="50"/>
  <c r="H123" i="50"/>
  <c r="K123" i="50"/>
  <c r="L123" i="50"/>
  <c r="J123" i="50"/>
  <c r="H26" i="50"/>
  <c r="J26" i="50"/>
  <c r="G26" i="50"/>
  <c r="I26" i="50"/>
  <c r="I46" i="50"/>
  <c r="G46" i="50"/>
  <c r="H46" i="50"/>
  <c r="K46" i="50"/>
  <c r="H87" i="50"/>
  <c r="I87" i="50"/>
  <c r="J87" i="50"/>
  <c r="F87" i="50"/>
  <c r="G87" i="50"/>
  <c r="L113" i="50"/>
  <c r="F113" i="50"/>
  <c r="H113" i="50"/>
  <c r="H31" i="50"/>
  <c r="I31" i="50"/>
  <c r="F31" i="50"/>
  <c r="H42" i="50"/>
  <c r="I42" i="50"/>
  <c r="K42" i="50"/>
  <c r="J42" i="50"/>
  <c r="L42" i="50"/>
  <c r="I39" i="50"/>
  <c r="Z62" i="44"/>
  <c r="AB6" i="42"/>
  <c r="H27" i="50"/>
  <c r="I27" i="50"/>
  <c r="K27" i="50"/>
  <c r="F27" i="50"/>
  <c r="G27" i="50"/>
  <c r="H47" i="50"/>
  <c r="J47" i="50"/>
  <c r="L47" i="50"/>
  <c r="K62" i="50"/>
  <c r="H62" i="50"/>
  <c r="L62" i="50"/>
  <c r="H76" i="50"/>
  <c r="J76" i="50"/>
  <c r="F76" i="50"/>
  <c r="I76" i="50"/>
  <c r="K76" i="50"/>
  <c r="L76" i="50"/>
  <c r="H101" i="50"/>
  <c r="L101" i="50" s="1"/>
  <c r="I101" i="50"/>
  <c r="F101" i="50"/>
  <c r="G101" i="50"/>
  <c r="F35" i="44"/>
  <c r="H35" i="44"/>
  <c r="I35" i="44"/>
  <c r="AB62" i="44"/>
  <c r="AF62" i="44"/>
  <c r="H43" i="50"/>
  <c r="I43" i="50"/>
  <c r="G43" i="50"/>
  <c r="L43" i="50"/>
  <c r="H14" i="50"/>
  <c r="K14" i="50"/>
  <c r="G14" i="50"/>
  <c r="L14" i="50"/>
  <c r="J14" i="50"/>
  <c r="Y71" i="44"/>
  <c r="S91" i="44"/>
  <c r="Z100" i="42"/>
  <c r="H60" i="42"/>
  <c r="Y100" i="42"/>
  <c r="X106" i="42"/>
  <c r="Y106" i="42"/>
  <c r="R75" i="44"/>
  <c r="Z66" i="44"/>
  <c r="Q62" i="44"/>
  <c r="AB74" i="44"/>
  <c r="X23" i="42"/>
  <c r="Y23" i="42"/>
  <c r="AA23" i="42"/>
  <c r="P71" i="44"/>
  <c r="D35" i="44"/>
  <c r="D43" i="44"/>
  <c r="Y87" i="44"/>
  <c r="Y63" i="44"/>
  <c r="D23" i="44"/>
  <c r="P91" i="44"/>
  <c r="D27" i="44"/>
  <c r="Y67" i="44"/>
  <c r="Y79" i="44"/>
  <c r="D39" i="44"/>
  <c r="P87" i="44"/>
  <c r="L23" i="42"/>
  <c r="I23" i="42"/>
  <c r="Q79" i="44"/>
  <c r="S79" i="44"/>
  <c r="AA43" i="42"/>
  <c r="E15" i="44"/>
  <c r="R78" i="44"/>
  <c r="V78" i="44"/>
  <c r="J95" i="42"/>
  <c r="Z60" i="42"/>
  <c r="D7" i="44"/>
  <c r="P67" i="44"/>
  <c r="Y75" i="44"/>
  <c r="D19" i="44"/>
  <c r="K43" i="42"/>
  <c r="J43" i="42"/>
  <c r="S71" i="44"/>
  <c r="Q71" i="44"/>
  <c r="AA6" i="42"/>
  <c r="AA90" i="44"/>
  <c r="E23" i="44"/>
  <c r="F23" i="44"/>
  <c r="R70" i="44"/>
  <c r="Q70" i="44"/>
  <c r="AB90" i="44"/>
  <c r="R87" i="44"/>
  <c r="H31" i="44"/>
  <c r="E31" i="44"/>
  <c r="F30" i="44"/>
  <c r="Z43" i="42"/>
  <c r="X43" i="42"/>
  <c r="AB100" i="42"/>
  <c r="X100" i="42"/>
  <c r="Q83" i="44"/>
  <c r="E35" i="44"/>
  <c r="G138" i="42"/>
  <c r="L60" i="42"/>
  <c r="AA105" i="42"/>
  <c r="R90" i="44"/>
  <c r="V90" i="44" s="1"/>
  <c r="AA102" i="42"/>
  <c r="AB63" i="44"/>
  <c r="AB105" i="42"/>
  <c r="I60" i="42"/>
  <c r="Z91" i="44"/>
  <c r="J23" i="42"/>
  <c r="Z102" i="42"/>
  <c r="X105" i="42"/>
  <c r="R62" i="44"/>
  <c r="AA63" i="44"/>
  <c r="AA96" i="42"/>
  <c r="K23" i="42"/>
  <c r="M6" i="44"/>
  <c r="W78" i="44"/>
  <c r="X96" i="42"/>
  <c r="H95" i="42"/>
  <c r="K95" i="42"/>
  <c r="F19" i="44"/>
  <c r="M19" i="44" s="1"/>
  <c r="H19" i="44"/>
  <c r="E19" i="44"/>
  <c r="S83" i="44"/>
  <c r="AB88" i="42"/>
  <c r="G30" i="44"/>
  <c r="M30" i="44" s="1"/>
  <c r="E30" i="44"/>
  <c r="I23" i="44"/>
  <c r="G23" i="44"/>
  <c r="Z23" i="42"/>
  <c r="AB23" i="42"/>
  <c r="AB95" i="42"/>
  <c r="AA95" i="42"/>
  <c r="Y95" i="42"/>
  <c r="AD95" i="42"/>
  <c r="AB70" i="44"/>
  <c r="AF70" i="44" s="1"/>
  <c r="AA70" i="44"/>
  <c r="AA82" i="44"/>
  <c r="AE82" i="44" s="1"/>
  <c r="AB82" i="44"/>
  <c r="G14" i="44"/>
  <c r="M14" i="44" s="1"/>
  <c r="E14" i="44"/>
  <c r="F14" i="44"/>
  <c r="L14" i="44" s="1"/>
  <c r="H14" i="44"/>
  <c r="AB96" i="42"/>
  <c r="Z96" i="42"/>
  <c r="AD96" i="42"/>
  <c r="AA87" i="42"/>
  <c r="Y87" i="42"/>
  <c r="S82" i="44"/>
  <c r="V82" i="44" s="1"/>
  <c r="P63" i="44"/>
  <c r="P75" i="44"/>
  <c r="P83" i="44"/>
  <c r="Y91" i="44"/>
  <c r="H39" i="44"/>
  <c r="G39" i="44"/>
  <c r="E39" i="44"/>
  <c r="S74" i="44"/>
  <c r="V74" i="44"/>
  <c r="AA74" i="44"/>
  <c r="AE74" i="44" s="1"/>
  <c r="R91" i="44"/>
  <c r="G106" i="42"/>
  <c r="S87" i="44"/>
  <c r="W87" i="44" s="1"/>
  <c r="W74" i="44"/>
  <c r="G105" i="42"/>
  <c r="AE62" i="44"/>
  <c r="L22" i="50"/>
  <c r="L69" i="50"/>
  <c r="L6" i="44"/>
  <c r="M10" i="44"/>
  <c r="L38" i="44"/>
  <c r="M38" i="44"/>
  <c r="L38" i="50"/>
  <c r="K38" i="50"/>
  <c r="L6" i="42"/>
  <c r="Z107" i="42"/>
  <c r="X60" i="42"/>
  <c r="Q67" i="44"/>
  <c r="J6" i="42"/>
  <c r="AA85" i="42"/>
  <c r="AC95" i="42"/>
  <c r="Y60" i="42"/>
  <c r="L54" i="50"/>
  <c r="AB107" i="42"/>
  <c r="K60" i="42"/>
  <c r="AB85" i="42"/>
  <c r="AB79" i="44"/>
  <c r="AF66" i="44"/>
  <c r="L6" i="50"/>
  <c r="K37" i="50"/>
  <c r="AB71" i="44"/>
  <c r="AF71" i="44" s="1"/>
  <c r="X85" i="42"/>
  <c r="AA67" i="44"/>
  <c r="AE67" i="44" s="1"/>
  <c r="X88" i="42"/>
  <c r="I6" i="42"/>
  <c r="L79" i="42"/>
  <c r="Y107" i="42"/>
  <c r="J79" i="42"/>
  <c r="Y88" i="42"/>
  <c r="Z85" i="42"/>
  <c r="Z88" i="42"/>
  <c r="H6" i="42"/>
  <c r="AA78" i="44"/>
  <c r="AE78" i="44" s="1"/>
  <c r="H79" i="42"/>
  <c r="Z71" i="44"/>
  <c r="AB60" i="42"/>
  <c r="AB78" i="44"/>
  <c r="Z67" i="44"/>
  <c r="AF78" i="44"/>
  <c r="W12" i="42"/>
  <c r="W14" i="42"/>
  <c r="G131" i="42"/>
  <c r="G132" i="42"/>
  <c r="G15" i="42"/>
  <c r="W15" i="42"/>
  <c r="G134" i="42"/>
  <c r="W11" i="42"/>
  <c r="G16" i="42"/>
  <c r="G107" i="42"/>
  <c r="N100" i="42"/>
  <c r="W13" i="42"/>
  <c r="G14" i="42"/>
  <c r="G12" i="42"/>
  <c r="G100" i="42"/>
  <c r="V108" i="42"/>
  <c r="W107" i="42" s="1"/>
  <c r="J27" i="44"/>
  <c r="W102" i="42"/>
  <c r="AC102" i="42" l="1"/>
  <c r="F136" i="45"/>
  <c r="L35" i="44"/>
  <c r="AC87" i="42"/>
  <c r="G135" i="42"/>
  <c r="M100" i="42"/>
  <c r="V92" i="42"/>
  <c r="W106" i="42"/>
  <c r="W105" i="42"/>
  <c r="W108" i="42" s="1"/>
  <c r="G121" i="42"/>
  <c r="W71" i="44"/>
  <c r="G120" i="42"/>
  <c r="G117" i="42"/>
  <c r="G123" i="42"/>
  <c r="G124" i="42"/>
  <c r="K136" i="45"/>
  <c r="G30" i="42"/>
  <c r="G118" i="42"/>
  <c r="L31" i="44"/>
  <c r="W67" i="44"/>
  <c r="G103" i="42"/>
  <c r="M34" i="44"/>
  <c r="L34" i="44"/>
  <c r="M26" i="44"/>
  <c r="L26" i="44"/>
  <c r="L18" i="44"/>
  <c r="L30" i="44"/>
  <c r="M22" i="44"/>
  <c r="AF90" i="44"/>
  <c r="AE90" i="44"/>
  <c r="V66" i="44"/>
  <c r="AF74" i="44"/>
  <c r="L102" i="50"/>
  <c r="AF82" i="44"/>
  <c r="W82" i="44"/>
  <c r="K70" i="50"/>
  <c r="AF86" i="44"/>
  <c r="W70" i="44"/>
  <c r="V62" i="44"/>
  <c r="K5" i="50"/>
  <c r="K101" i="50"/>
  <c r="AE70" i="44"/>
  <c r="L53" i="50"/>
  <c r="V86" i="44"/>
  <c r="G133" i="42"/>
  <c r="W70" i="42"/>
  <c r="G72" i="42"/>
  <c r="G84" i="42"/>
  <c r="W51" i="42"/>
  <c r="G49" i="42"/>
  <c r="G17" i="42"/>
  <c r="AC105" i="42"/>
  <c r="G122" i="42"/>
  <c r="M15" i="44"/>
  <c r="W50" i="42"/>
  <c r="G55" i="42"/>
  <c r="AD105" i="42"/>
  <c r="G136" i="42"/>
  <c r="AF83" i="44"/>
  <c r="G65" i="42"/>
  <c r="W55" i="42"/>
  <c r="G48" i="42"/>
  <c r="G18" i="42"/>
  <c r="Q1" i="20"/>
  <c r="M11" i="44"/>
  <c r="L7" i="44"/>
  <c r="G53" i="42"/>
  <c r="W53" i="42"/>
  <c r="W54" i="42"/>
  <c r="AD85" i="42"/>
  <c r="V63" i="44"/>
  <c r="G54" i="42"/>
  <c r="W49" i="42"/>
  <c r="AC88" i="42"/>
  <c r="M7" i="44"/>
  <c r="G51" i="42"/>
  <c r="L15" i="44"/>
  <c r="G50" i="42"/>
  <c r="L43" i="44"/>
  <c r="AD107" i="42"/>
  <c r="W34" i="42"/>
  <c r="E136" i="45"/>
  <c r="H136" i="45"/>
  <c r="G136" i="45"/>
  <c r="M27" i="44"/>
  <c r="W35" i="42"/>
  <c r="AC106" i="42"/>
  <c r="AD100" i="42"/>
  <c r="G34" i="42"/>
  <c r="L11" i="44"/>
  <c r="AE87" i="44"/>
  <c r="D11" i="44"/>
  <c r="D15" i="44"/>
  <c r="P79" i="44"/>
  <c r="AE63" i="44"/>
  <c r="V71" i="44"/>
  <c r="M31" i="44"/>
  <c r="W83" i="44"/>
  <c r="G33" i="42"/>
  <c r="G35" i="42"/>
  <c r="G29" i="42"/>
  <c r="G32" i="42"/>
  <c r="G31" i="42"/>
  <c r="G28" i="42"/>
  <c r="L23" i="44"/>
  <c r="AE83" i="44"/>
  <c r="W91" i="44"/>
  <c r="W30" i="42"/>
  <c r="W28" i="42"/>
  <c r="W31" i="42"/>
  <c r="W33" i="42"/>
  <c r="W29" i="42"/>
  <c r="AD87" i="42"/>
  <c r="L19" i="44"/>
  <c r="V87" i="44"/>
  <c r="AF63" i="44"/>
  <c r="G91" i="42"/>
  <c r="W18" i="42"/>
  <c r="G137" i="42"/>
  <c r="AE91" i="44"/>
  <c r="AF75" i="44"/>
  <c r="AF67" i="44"/>
  <c r="M43" i="44"/>
  <c r="L27" i="44"/>
  <c r="AC107" i="42"/>
  <c r="AD88" i="42"/>
  <c r="G68" i="42"/>
  <c r="V79" i="44"/>
  <c r="W79" i="44"/>
  <c r="W63" i="44"/>
  <c r="V83" i="44"/>
  <c r="V75" i="44"/>
  <c r="AC86" i="42"/>
  <c r="W65" i="42"/>
  <c r="AC100" i="42"/>
  <c r="M23" i="44"/>
  <c r="G13" i="42"/>
  <c r="R1" i="20"/>
  <c r="K12" i="20" s="1"/>
  <c r="AF91" i="44"/>
  <c r="V91" i="44"/>
  <c r="W75" i="44"/>
  <c r="M35" i="44"/>
  <c r="AC85" i="42"/>
  <c r="G66" i="42"/>
  <c r="G71" i="42"/>
  <c r="G67" i="42"/>
  <c r="G69" i="42"/>
  <c r="AF79" i="44"/>
  <c r="AE71" i="44"/>
  <c r="L39" i="44"/>
  <c r="W48" i="42"/>
  <c r="W17" i="42"/>
  <c r="G11" i="42"/>
  <c r="G102" i="42"/>
  <c r="G101" i="42"/>
  <c r="W71" i="42"/>
  <c r="W68" i="42"/>
  <c r="W72" i="42"/>
  <c r="W67" i="42"/>
  <c r="W66" i="42"/>
  <c r="G70" i="42"/>
  <c r="G119" i="42"/>
  <c r="AE79" i="44"/>
  <c r="M39" i="44"/>
  <c r="G90" i="42"/>
  <c r="G85" i="42"/>
  <c r="G86" i="42"/>
  <c r="G87" i="42"/>
  <c r="G89" i="42"/>
  <c r="M15" i="20"/>
  <c r="W16" i="42"/>
  <c r="G52" i="42"/>
  <c r="M17" i="20"/>
  <c r="M16" i="20"/>
  <c r="L15" i="20"/>
  <c r="L17" i="20"/>
  <c r="W37" i="20" s="1"/>
  <c r="O17" i="20"/>
  <c r="P17" i="20" s="1"/>
  <c r="M18" i="20"/>
  <c r="L16" i="20"/>
  <c r="Q33" i="20"/>
  <c r="AE37" i="20" s="1"/>
  <c r="L18" i="20" a="1"/>
  <c r="L18" i="20" s="1"/>
  <c r="S37" i="20"/>
  <c r="Q34" i="20"/>
  <c r="W90" i="42" l="1"/>
  <c r="W87" i="42"/>
  <c r="W86" i="42"/>
  <c r="W84" i="42"/>
  <c r="W91" i="42"/>
  <c r="W89" i="42"/>
  <c r="W85" i="42"/>
  <c r="W88" i="42"/>
  <c r="G125" i="42"/>
  <c r="G13" i="20"/>
  <c r="Q31" i="20" s="1"/>
  <c r="Z37" i="20" s="1"/>
  <c r="G139" i="42"/>
  <c r="W56" i="42"/>
  <c r="P50" i="42"/>
  <c r="J13" i="20"/>
  <c r="H13" i="20"/>
  <c r="K13" i="20"/>
  <c r="I13" i="20"/>
  <c r="G56" i="42"/>
  <c r="P67" i="42"/>
  <c r="G92" i="42"/>
  <c r="W36" i="42"/>
  <c r="P30" i="42"/>
  <c r="G36" i="42"/>
  <c r="AF30" i="42"/>
  <c r="G73" i="42"/>
  <c r="AF67" i="42"/>
  <c r="G108" i="42"/>
  <c r="L8" i="42"/>
  <c r="G12" i="20"/>
  <c r="H12" i="20"/>
  <c r="W73" i="42"/>
  <c r="AF50" i="42"/>
  <c r="W19" i="42"/>
  <c r="I8" i="42"/>
  <c r="K8" i="42"/>
  <c r="G19" i="42"/>
  <c r="J8" i="42"/>
  <c r="H8" i="42"/>
  <c r="J12" i="20"/>
  <c r="I12" i="20"/>
  <c r="AF13" i="42"/>
  <c r="AD37" i="20"/>
  <c r="W92" i="42" l="1"/>
  <c r="M12" i="20"/>
  <c r="M13" i="20"/>
  <c r="L13" i="20"/>
  <c r="Q32" i="20" s="1"/>
  <c r="AB37" i="20" s="1"/>
  <c r="M8" i="42"/>
  <c r="N8" i="42"/>
  <c r="L12" i="20"/>
</calcChain>
</file>

<file path=xl/connections.xml><?xml version="1.0" encoding="utf-8"?>
<connections xmlns="http://schemas.openxmlformats.org/spreadsheetml/2006/main">
  <connection id="1" name="Connection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2" name="Connection1" type="1" refreshedVersion="3" background="1" saveData="1">
    <dbPr connection="dsn=MIS;database=MIS;server=10.158.1.8;port=5000;UID=sa;;" command="SELECT * FROM QLY_DLY WHERE DATE&gt;='1/4/2018'and DATE&lt;='02-28-2019' ORDER BY  DATE,CUST,UNIT,COMM DESC,EDATE"/>
  </connection>
  <connection id="3" name="Connection1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4" name="Connection100" type="1" refreshedVersion="0" background="1" saveData="1">
    <dbPr connection="DSN=CL1DSN;UID=sa;;SRVR=NTSERVER;DB=MIS" command="SELECT * FROM QLY_DLY WHERE DATE&gt;='01/04/2012'and DATE&lt;='30/04/2012' ORDER BY  DATE,CUST,UNIT,COMM DESC,EDATE"/>
  </connection>
  <connection id="5" name="Connection10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ul-19' And QLY_DLY.DATE&lt;='29-Jul-19') AND (QLY_DLY.SIO2&gt;5)_x000d__x000a_ORDER BY QLY_DLY.DATE, QLY_DLY.CUST, QLY_DLY.UNIT, QLY_DLY.COMM DESC, QLY_DLY.EDATE"/>
  </connection>
  <connection id="6" name="Connection102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7" name="Connection103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8" name="Connection1039" type="1" refreshedVersion="0" background="1" saveData="1">
    <dbPr connection="pwd=SQL123;dsn=MIS;database=MIS;server=10.158.1.8;uid=sa;port=5000;" command="SELECT * FROM QLY_DLY WHERE DATE&gt;='06-01-2016'and DATE&lt;='06-31-2016' ORDER BY  DATE,CUST,UNIT,COMM DESC,EDATE"/>
  </connection>
  <connection id="9" name="Connection104" type="1" refreshedVersion="3" background="1" saveData="1">
    <dbPr connection="pwd=SQL123;dsn=MIS;database=MIS;Server=10.158.1.8;uid=sa;port=5000;UID=sa;;" command="SELECT * FROM QLY_DLY WHERE DATE&gt;='01-Jul-19'and DATE&lt;='29-Jul-19' ORDER BY  DATE,CUST,UNIT,COMM DESC,EDATE"/>
  </connection>
  <connection id="10" name="Connection10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1" name="Connection10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31-Jul-19') AND (QLY_DLY.SIO2=12.8)_x000d__x000a_ORDER BY QLY_DLY.DATE, QLY_DLY.CUST, QLY_DLY.UNIT, QLY_DLY.COMM DESC, QLY_DLY.EDATE"/>
  </connection>
  <connection id="12" name="Connection10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3" name="Connection108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4" name="Connection10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5" name="Connection11" type="1" refreshedVersion="4" background="1" saveData="1">
    <dbPr connection="dsn=MIS;database=MIS;server=10.158.1.8;port=5000;UID=sa;;" command="SELECT * FROM QLY_DLY WHERE DATE&gt;='01-02-2019'and DATE&lt;='02-28-2019' ORDER BY  DATE,CUST,UNIT,COMM DESC,EDATE"/>
  </connection>
  <connection id="16" name="Connection11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7" name="Connection111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18" name="Connection112" type="1" refreshedVersion="3" background="1" saveData="1">
    <dbPr connection="pwd=SQL123;dsn=MIS;database=MIS;Server=10.158.1.8;uid=sa;port=5000;UID=sa;;" command="SELECT * FROM QLY_DLY WHERE DATE&gt;='01-Aug-19'and DATE&lt;='07-Aug-19' ORDER BY  DATE,CUST,UNIT,COMM DESC,EDATE"/>
  </connection>
  <connection id="19" name="Connection113" type="1" refreshedVersion="3" background="1" saveData="1">
    <dbPr connection="pwd=SQL123;dsn=MIS;database=MIS;Server=10.158.1.8;uid=sa;port=5000;UID=sa;;" command="SELECT * FROM QLY_DLY WHERE DATE&gt;='05-Aug-19'and DATE&lt;='08-Aug-19' ORDER BY  DATE,CUST,UNIT,COMM DESC,EDATE"/>
  </connection>
  <connection id="20" name="Connection1137" type="1" refreshedVersion="0" background="1" saveData="1">
    <dbPr connection="pwd=SQL123;dsn=MIS;database=MIS;server=10.158.1.8;uid=sa;port=5000;" command="SELECT * FROM QLY_DLY WHERE DATE&gt;='04-01-2016'and DATE&lt;='9-31-2016' ORDER BY  DATE,CUST,UNIT,COMM DESC,EDATE"/>
  </connection>
  <connection id="21" name="Connection11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8-Aug-19' And QLY_DLY.DATE&lt;='12-Aug-19') AND (QLY_DLY.COMM='L') AND (QLY_DLY.UNIT='KBR')_x000d__x000a_ORDER BY QLY_DLY.DATE, QLY_DLY.CUST, QLY_DLY.UNIT, QLY_DLY.COMM DESC, QLY_DLY.EDATE"/>
  </connection>
  <connection id="22" name="Connection1144" type="1" refreshedVersion="0" background="1" saveData="1">
    <dbPr connection="dsn=MIS;database=MIS;server=10.158.1.8;port=5000;UID=sa;;" command="SELECT * FROM QLY_DLY WHERE DATE&gt;='04-01-2016'and DATE&lt;='04-31-2016' ORDER BY  DATE,CUST,UNIT,COMM DESC,EDATE"/>
  </connection>
  <connection id="23" name="Connection115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4" name="Connection116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25" name="Connection117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6" name="Connection118" type="1" refreshedVersion="3" background="1" saveData="1">
    <dbPr connection="pwd=SQL123;dsn=MIS;database=MIS;Server=10.158.1.8;uid=sa;port=5000;UID=sa;;" command="SELECT * FROM QLY_DLY WHERE DATE&gt;='08-Aug-19'and DATE&lt;='12-Aug-19' ORDER BY  DATE,CUST,UNIT,COMM DESC,EDATE"/>
  </connection>
  <connection id="27" name="Connection1186" type="1" refreshedVersion="0" background="1" saveData="1">
    <dbPr connection="pwd=SQL123;dsn=MIS;database=MIS;server=10.158.1.8;uid=sa;port=5000;" command="SELECT * FROM QLY_DLY WHERE DATE&gt;='04-01-2016'and DATE&lt;='04-31-2016' ORDER BY  DATE,CUST,UNIT,COMM DESC,EDATE"/>
  </connection>
  <connection id="28" name="Connection119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29" name="Connection12" type="1" refreshedVersion="0" background="1" saveData="1">
    <dbPr connection="dsn=MIS;database=MIS;server=10.158.1.8;port=5000;UID=sa;;" command="SELECT * FROM QLY_DLY WHERE DATE&gt;='15/02/2019'and DATE&lt;='28/02/2019' ORDER BY  DATE,CUST,UNIT,COMM DESC,EDATE"/>
  </connection>
  <connection id="30" name="Connection120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31" name="Connection121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2" name="Connection122" type="1" refreshedVersion="3" background="1" saveData="1">
    <dbPr connection="pwd=SQL123;dsn=MIS;database=MIS;Server=10.158.1.8;uid=sa;port=5000;UID=sa;;" command="SELECT * FROM QLY_DLY WHERE DATE&gt;='01-Jul-19'and DATE&lt;='12-Aug-19' ORDER BY  DATE,CUST,UNIT,COMM DESC,EDATE"/>
  </connection>
  <connection id="33" name="Connection123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4" name="Connection124" type="1" refreshedVersion="0" background="1" saveData="1">
    <dbPr connection="DSN=CL1DSN;UID=sa;;SRVR=NTSERVER;DB=MIS" command="SELECT * FROM QLY_DLY WHERE DATE&gt;='12-01-2012'and DATE&lt;='31-12-2012' ORDER BY  DATE,CUST,UNIT,COMM DESC,EDATE"/>
  </connection>
  <connection id="35" name="Connection12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6" name="Connection12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37" name="Connection127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38" name="Connection1275" type="1" refreshedVersion="0" background="1" saveData="1">
    <dbPr connection="pwd=SQL123;dsn=MIS;database=MIS;server=10.158.1.8;uid=sa;port=5000;" command="SELECT * FROM QLY_DLY WHERE DATE&gt;='04-01-2017'and DATE&lt;='04-30-2017' ORDER BY  DATE,CUST,UNIT,COMM DESC,EDATE"/>
  </connection>
  <connection id="39" name="Connection128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0" name="Connection1286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1" name="Connection129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2" name="Connection13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43" name="Connection130" type="1" refreshedVersion="3" background="1" saveData="1">
    <dbPr connection="pwd=SQL123;dsn=MIS;database=MIS;Server=10.158.1.8;uid=sa;port=5000;UID=sa;;" command="SELECT * FROM QLY_DLY WHERE DATE&gt;='01-Aug-19'and DATE&lt;='12-Jul-19' ORDER BY  DATE,CUST,UNIT,COMM DESC,EDATE"/>
  </connection>
  <connection id="44" name="Connection13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5" name="Connection132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46" name="Connection1320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7" name="Connection1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CUST='DSP') AND (QLY_DLY.COMM='F') AND (QLY_DLY.EDATE&gt;='01-Aug-19') AND (QLY_DLY.FE=65.5)_x000d__x000a_ORDER BY QLY_DLY.DATE, QLY_DLY.CUST, QLY_DLY.UNIT, QLY_DLY.COMM DESC, QLY_DLY.EDATE"/>
  </connection>
  <connection id="48" name="Connection1334" type="1" refreshedVersion="0" background="1" saveData="1">
    <dbPr connection="pwd=SQL123;dsn=MIS;database=MIS;server=10.158.1.8;uid=sa;port=5000;" command="SELECT * FROM QLY_DLY WHERE DATE&gt;='04-01-2017'and DATE&lt;='04-31-2017' ORDER BY  DATE,CUST,UNIT,COMM DESC,EDATE"/>
  </connection>
  <connection id="49" name="Connection134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0" name="Connection135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1" name="Connection136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2" name="Connection137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3" name="Connection138" type="1" refreshedVersion="3" background="1" saveData="1">
    <dbPr connection="pwd=SQL123;dsn=MIS;database=MIS;Server=10.158.1.8;uid=sa;port=5000;UID=sa;;" command="SELECT * FROM QLY_DLY WHERE DATE&gt;='01-Jul-19'and DATE&lt;='30-Jul-19' ORDER BY  DATE,CUST,UNIT,COMM DESC,EDATE"/>
  </connection>
  <connection id="54" name="Connection139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5" name="Connection14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56" name="Connection140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57" name="Connection141" type="1" refreshedVersion="3" background="1" saveData="1">
    <dbPr connection="pwd=SQL123;dsn=MIS;database=MIS;Server=10.158.1.8;uid=sa;port=5000;UID=sa;;" command="SELECT * FROM QLY_DLY WHERE DATE&gt;='01-Aug-19'and DATE&lt;='12-Aug-19' ORDER BY  DATE,CUST,UNIT,COMM DESC,EDATE"/>
  </connection>
  <connection id="58" name="Connection142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59" name="Connection143" type="1" refreshedVersion="3" background="1" saveData="1">
    <dbPr connection="pwd=SQL123;dsn=MIS;database=MIS;Server=10.158.1.8;uid=sa;port=5000;UID=sa;;" command="SELECT * FROM QLY_DLY WHERE DATE&gt;='01-Jul-19'and DATE&lt;='31-Aug-19' ORDER BY  DATE,CUST,UNIT,COMM DESC,EDATE"/>
  </connection>
  <connection id="60" name="Connection144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61" name="Connection145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2" name="Connection146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3" name="Connection147" type="1" refreshedVersion="3" background="1" saveData="1">
    <dbPr connection="pwd=SQL123;dsn=MIS;database=MIS;Server=10.158.1.8;uid=sa;port=5000;UID=sa;;" command="SELECT * FROM QLY_DLY WHERE DATE&gt;='01-Aug-19'and DATE&lt;='13-Aug-19' ORDER BY  DATE,CUST,UNIT,COMM DESC,EDATE"/>
  </connection>
  <connection id="64" name="Connection148" type="1" refreshedVersion="3" background="1" saveData="1">
    <dbPr connection="pwd=SQL123;dsn=MIS;database=MIS;Server=10.158.1.8;uid=sa;port=5000;UID=sa;;" command="SELECT * FROM QLY_DLY WHERE DATE&gt;='12-Aug-19'and DATE&lt;='20-Aug-19' ORDER BY  DATE,CUST,UNIT,COMM DESC,EDATE"/>
  </connection>
  <connection id="65" name="Connection149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6" name="Connection15" type="1" refreshedVersion="3" background="1" saveData="1">
    <dbPr connection="dsn=MIS;database=MIS;server=10.158.1.8;port=5000;UID=sa;;" command="SELECT * FROM QLY_DLY WHERE DATE&gt;='2/15/2019'and DATE&lt;='2/28/2019' ORDER BY  DATE,CUST,UNIT,COMM DESC,EDATE"/>
  </connection>
  <connection id="67" name="Connection150" type="1" refreshedVersion="3" background="1" saveData="1">
    <dbPr connection="pwd=SQL123;dsn=MIS;database=MIS;Server=10.158.1.8;uid=sa;port=5000;UID=sa;;" command="SELECT * FROM QLY_DLY WHERE DATE&gt;='12-Aug-19'and DATE&lt;='19-Aug-19' ORDER BY  DATE,CUST,UNIT,COMM DESC,EDATE"/>
  </connection>
  <connection id="68" name="Connection151" type="1" refreshedVersion="3" background="1" saveData="1">
    <dbPr connection="pwd=SQL123;dsn=MIS;database=MIS;Server=10.158.1.8;uid=sa;port=5000;UID=sa;;" command="SELECT * FROM QLY_DLY WHERE DATE&gt;='12-Aug-19'and DATE&lt;='26-Aug-19' ORDER BY  DATE,CUST,UNIT,COMM DESC,EDATE"/>
  </connection>
  <connection id="69" name="Connection152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0" name="Connection153" type="1" refreshedVersion="3" background="1" saveData="1">
    <dbPr connection="pwd=SQL123;dsn=MIS;database=MIS;Server=10.158.1.8;uid=sa;port=5000;UID=sa;;" command="SELECT * FROM QLY_DLY WHERE DATE&gt;='19-Aug-19'and DATE&lt;='24-Aug-19' ORDER BY  DATE,CUST,UNIT,COMM DESC,EDATE"/>
  </connection>
  <connection id="71" name="Connection154" type="1" refreshedVersion="3" background="1" saveData="1">
    <dbPr connection="pwd=SQL123;dsn=MIS;database=MIS;Server=10.158.1.8;uid=sa;port=5000;UID=sa;;" command="SELECT * FROM QLY_DLY WHERE DATE&gt;='19-Aug-19'and DATE&lt;='25-Aug-19' ORDER BY  DATE,CUST,UNIT,COMM DESC,EDATE"/>
  </connection>
  <connection id="72" name="Connection155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3" name="Connection156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4" name="Connection157" type="1" refreshedVersion="3" background="1" saveData="1">
    <dbPr connection="pwd=SQL123;dsn=MIS;database=MIS;Server=10.158.1.8;uid=sa;port=5000;UID=sa;;" command="SELECT * FROM QLY_DLY WHERE DATE&gt;='01-Jul-19'and DATE&lt;='31-Jul-19' ORDER BY  DATE,CUST,UNIT,COMM DESC,EDATE"/>
  </connection>
  <connection id="75" name="Connection15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1.65)_x000d__x000a_ORDER BY QLY_DLY.DATE, QLY_DLY.CUST, QLY_DLY.UNIT, QLY_DLY.COMM DESC, QLY_DLY.EDATE"/>
  </connection>
  <connection id="76" name="Connection159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77" name="Connection16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78" name="Connection16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79" name="Connection16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0" name="Connection1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OMM='L') AND (QLY_DLY.OS&gt;80)_x000d__x000a_ORDER BY QLY_DLY.DATE, QLY_DLY.CUST, QLY_DLY.UNIT, QLY_DLY.COMM DESC, QLY_DLY.EDATE"/>
  </connection>
  <connection id="81" name="Connection16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FE=60.74)_x000d__x000a_ORDER BY QLY_DLY.DATE, QLY_DLY.CUST, QLY_DLY.UNIT, QLY_DLY.COMM DESC, QLY_DLY.EDATE"/>
  </connection>
  <connection id="82" name="Connection164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3" name="Connection1641" type="1" refreshedVersion="0" background="1" saveData="1">
    <dbPr connection="pwd=SQL123;dsn=MIS;database=MIS;server=10.158.1.8;uid=sa;port=5000;" command="SELECT * FROM QLY_DLY WHERE DATE&gt;='12-01-2018'and DATE&lt;='31-12-2018' ORDER BY  DATE,CUST,UNIT,COMM DESC,EDATE"/>
  </connection>
  <connection id="84" name="Connection165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5" name="Connection16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86" name="Connection167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87" name="Connection1670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88" name="Connection1671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89" name="Connection1672" type="1" refreshedVersion="3" background="1" saveData="1">
    <dbPr connection="dsn=MIS;database=MIS;server=10.158.1.8;port=5000;UID=sa;;" command="SELECT * FROM QLY_DLY WHERE DATE&gt;='1/2/2019'and DATE&lt;='02-28-2019' ORDER BY  DATE,CUST,UNIT,COMM DESC,EDATE"/>
  </connection>
  <connection id="90" name="Connection1673" type="1" refreshedVersion="4" background="1" saveData="1">
    <dbPr connection="pwd=SQL123;dsn=MIS;database=MIS;server=10.158.1.8;uid=sa;port=5000;" command="SELECT * FROM QLY_DLY WHERE DATE&gt;='01-04-2018'and DATE&lt;='02-28-2019' ORDER BY  DATE,CUST,UNIT,COMM DESC,EDATE"/>
  </connection>
  <connection id="91" name="Connection1674" type="1" refreshedVersion="4" background="1" saveData="1">
    <dbPr connection="pwd=SQL123;dsn=MIS;database=MIS;server=10.158.1.8;uid=sa;port=5000;" command="SELECT * FROM QLY_DLY WHERE DATE&gt;='04-01-2018'and DATE&lt;='02-28-2019' ORDER BY  DATE,CUST,UNIT,COMM DESC,EDATE"/>
  </connection>
  <connection id="92" name="Connection168" type="1" refreshedVersion="3" background="1" saveData="1">
    <dbPr connection="pwd=SQL123;dsn=MIS;database=MIS;Server=10.158.1.8;uid=sa;port=5000;UID=sa;;" command="SELECT * FROM QLY_DLY WHERE DATE&gt;='19-Aug-19'and DATE&lt;='31-Aug-19' ORDER BY  DATE,CUST,UNIT,COMM DESC,EDATE"/>
  </connection>
  <connection id="93" name="Connection169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4" name="Connection17" type="1" refreshedVersion="3" background="1" saveData="1">
    <dbPr connection="dsn=MIS;database=MIS;server=10.158.1.8;port=5000;UID=sa;;" command="SELECT * FROM QLY_DLY WHERE DATE&gt;='2/21/2019'and DATE&lt;='2/28/2019' ORDER BY  DATE,CUST,UNIT,COMM DESC,EDATE"/>
  </connection>
  <connection id="95" name="Connection170" type="1" refreshedVersion="3" background="1" saveData="1">
    <dbPr connection="pwd=SQL123;dsn=MIS;database=MIS;Server=10.158.1.8;uid=sa;port=5000;UID=sa;;" command="SELECT * FROM QLY_DLY WHERE DATE&gt;='20-Aug-19'and DATE&lt;='31-Aug-19' ORDER BY  DATE,CUST,UNIT,COMM DESC,EDATE"/>
  </connection>
  <connection id="96" name="Connection171" type="1" refreshedVersion="3" background="1" saveData="1">
    <dbPr connection="pwd=SQL123;dsn=MIS;database=MIS;Server=10.158.1.8;uid=sa;port=5000;UID=sa;;" command="SELECT * FROM QLY_DLY WHERE DATE&gt;='25-Aug-19'and DATE&lt;='31-Aug-19' ORDER BY  DATE,CUST,UNIT,COMM DESC,EDATE"/>
  </connection>
  <connection id="97" name="Connection17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CUST='DSP') AND (QLY_DLY.FE=59.70)_x000d__x000a_ORDER BY QLY_DLY.DATE, QLY_DLY.CUST, QLY_DLY.UNIT, QLY_DLY.COMM DESC, QLY_DLY.EDATE"/>
  </connection>
  <connection id="98" name="Connection173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99" name="Connection17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Aug-19' And QLY_DLY.DATE&lt;='31-Aug-19') AND (QLY_DLY.SIO2=15.4)_x000d__x000a_ORDER BY QLY_DLY.DATE, QLY_DLY.CUST, QLY_DLY.UNIT, QLY_DLY.COMM DESC, QLY_DLY.EDATE"/>
  </connection>
  <connection id="100" name="Connection175" type="1" refreshedVersion="0" background="1" saveData="1">
    <dbPr connection="DSN=CL1DSN;UID=sa;;SRVR=NTSERVER;DB=MIS" command="SELECT * FROM QLY_DLY WHERE DATE&gt;='06-01-2013'and DATE&lt;='06-31-2013' ORDER BY  DATE,CUST,UNIT,COMM DESC,EDATE"/>
  </connection>
  <connection id="101" name="Connection176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2" name="Connection177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03" name="Connection17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4" name="Connection179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5" name="Connection18" type="1" refreshedVersion="3" background="1" saveData="1">
    <dbPr connection="dsn=MIS;database=MIS;server=10.158.1.8;port=5000;UID=sa;;" command="SELECT * FROM QLY_DLY WHERE DATE&gt;='3/1/2019'and DATE&lt;='3/4/2019' ORDER BY  DATE,CUST,UNIT,COMM DESC,EDATE"/>
  </connection>
  <connection id="106" name="Connection18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1-Sep-19')_x000d__x000a_ORDER BY QLY_DLY.DATE, QLY_DLY.CUST, QLY_DLY.UNIT, QLY_DLY.COMM DESC, QLY_DLY.EDATE"/>
  </connection>
  <connection id="107" name="Connection181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2.23)_x000d__x000a_ORDER BY QLY_DLY.DATE, QLY_DLY.CUST, QLY_DLY.UNIT, QLY_DLY.COMM DESC, QLY_DLY.EDATE"/>
  </connection>
  <connection id="108" name="Connection182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09" name="Connection183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0" name="Connection184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1" name="Connection185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2" name="Connection18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30-Aug-19' And QLY_DLY.DATE&lt;='05-Sep-19') AND (QLY_DLY.FE=61.69) AND (QLY_DLY.UNIT='GUA') AND (QLY_DLY.COMM='L')_x000d__x000a_ORDER BY QLY_DLY.DATE, QLY_DLY.CUST, QLY_DLY.UNIT, QLY_DLY.COMM DESC, QLY_DLY.EDATE"/>
  </connection>
  <connection id="113" name="Connection187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4" name="Connection188" type="1" refreshedVersion="3" background="1" saveData="1">
    <dbPr connection="pwd=SQL123;dsn=MIS;database=MIS;Server=10.158.1.8;uid=sa;port=5000;UID=sa;;" command="SELECT * FROM QLY_DLY WHERE DATE&gt;='30-Aug-19'and DATE&lt;='05-Sep-19' ORDER BY  DATE,CUST,UNIT,COMM DESC,EDATE"/>
  </connection>
  <connection id="115" name="Connection189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6" name="Connection19" type="1" refreshedVersion="3" background="1" saveData="1">
    <dbPr connection="dsn=MIS;database=MIS;server=10.158.1.8;port=5000;UID=sa;;" command="SELECT * FROM QLY_DLY WHERE DATE&gt;='3/1/2019'and DATE&lt;='3/5/2019' ORDER BY  DATE,CUST,UNIT,COMM DESC,EDATE"/>
  </connection>
  <connection id="117" name="Connection190" type="1" refreshedVersion="3" background="1" saveData="1">
    <dbPr connection="pwd=SQL123;dsn=MIS;database=MIS;Server=10.158.1.8;uid=sa;port=5000;UID=sa;;" command="SELECT * FROM QLY_DLY WHERE DATE&gt;='05-Sep-19'and DATE&lt;='11-Sep-19' ORDER BY  DATE,CUST,UNIT,COMM DESC,EDATE"/>
  </connection>
  <connection id="118" name="Connection191" type="1" refreshedVersion="3" background="1" saveData="1">
    <dbPr connection="pwd=SQL123;dsn=MIS;database=MIS;Server=10.158.1.8;uid=sa;port=5000;UID=sa;;" command="SELECT * FROM QLY_DLY WHERE DATE&gt;='01-Aug-19'and DATE&lt;='31-Aug-19' ORDER BY  DATE,CUST,UNIT,COMM DESC,EDATE"/>
  </connection>
  <connection id="119" name="Connection192" type="1" refreshedVersion="3" background="1" saveData="1">
    <dbPr connection="pwd=SQL123;dsn=MIS;database=MIS;Server=10.158.1.8;uid=sa;port=5000;UID=sa;;" command="SELECT * FROM QLY_DLY WHERE DATE&gt;='09-Sep-19'and DATE&lt;='20-Sep-19' ORDER BY  DATE,CUST,UNIT,COMM DESC,EDATE"/>
  </connection>
  <connection id="120" name="Connection193" type="1" refreshedVersion="3" background="1" saveData="1">
    <dbPr connection="pwd=SQL123;dsn=MIS;database=MIS;Server=10.158.1.8;uid=sa;port=5000;UID=sa;;" command="SELECT * FROM QLY_DLY WHERE DATE&gt;='11-Sep-19'and DATE&lt;='20-Sep-19' ORDER BY  DATE,CUST,UNIT,COMM DESC,EDATE"/>
  </connection>
  <connection id="121" name="Connection194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2" name="Connection195" type="1" refreshedVersion="3" background="1" saveData="1">
    <dbPr connection="pwd=SQL123;dsn=MIS;database=MIS;Server=10.158.1.8;uid=sa;port=5000;UID=sa;;" command="SELECT * FROM QLY_DLY WHERE DATE&gt;='01-Sep-19'and DATE&lt;='10-Sep-19' ORDER BY  DATE,CUST,UNIT,COMM DESC,EDATE"/>
  </connection>
  <connection id="123" name="Connection196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4" name="Connection197" type="1" refreshedVersion="4" background="1" saveData="1">
    <dbPr connection="dsn=MIS;database=MIS;server=10.158.1.8;port=5000;UID=sa;;" command="SELECT * FROM QLY_DLY WHERE DATE&gt;='08-01-2019'and DATE&lt;='08-31-2019' ORDER BY  DATE,CUST,UNIT,COMM DESC,EDATE"/>
  </connection>
  <connection id="125" name="Connection198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6" name="Connection199" type="1" refreshedVersion="3" background="1" saveData="1">
    <dbPr connection="pwd=SQL123;dsn=MIS;database=MIS;Server=10.158.1.8;uid=sa;port=5000;UID=sa;;" command="SELECT * FROM QLY_DLY WHERE DATE&gt;='09-15-2019'and DATE&lt;='09-24-2019' ORDER BY  DATE,CUST,UNIT,COMM DESC,EDATE"/>
  </connection>
  <connection id="127" name="Connection2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128" name="Connection20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129" name="Connection200" type="1" refreshedVersion="3" background="1" saveData="1">
    <dbPr connection="pwd=SQL123;dsn=MIS;database=MIS;Server=10.158.1.8;uid=sa;port=5000;UID=sa;;" command="SELECT * FROM QLY_DLY WHERE DATE&gt;='09-16-2019'and DATE&lt;='09-23-2019' ORDER BY  DATE,CUST,UNIT,COMM DESC,EDATE"/>
  </connection>
  <connection id="130" name="Connection201" type="1" refreshedVersion="3" background="1" saveData="1">
    <dbPr connection="pwd=SQL123;dsn=MIS;database=MIS;Server=10.158.1.8;uid=sa;port=5000;UID=sa;;" command="SELECT * FROM QLY_DLY WHERE DATE&gt;='09-23-2019'and DATE&lt;='09-30-2019' ORDER BY  DATE,CUST,UNIT,COMM DESC,EDATE"/>
  </connection>
  <connection id="131" name="Connection202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2" name="Connection203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3" name="Connection204" type="1" refreshedVersion="3" background="1" saveData="1">
    <dbPr connection="pwd=SQL123;dsn=MIS;database=MIS;Server=10.158.1.8;uid=sa;port=5000;UID=sa;;" command="SELECT * FROM QLY_DLY WHERE DATE&gt;='09-24-2019'and DATE&lt;='09-30-2019' ORDER BY  DATE,CUST,UNIT,COMM DESC,EDATE"/>
  </connection>
  <connection id="134" name="Connection205" type="1" refreshedVersion="3" background="1" saveData="1">
    <dbPr connection="pwd=SQL123;dsn=MIS;database=MIS;Server=10.158.1.8;uid=sa;port=5000;UID=sa;;" command="SELECT * FROM QLY_DLY WHERE DATE&gt;='09-Jan-19'and DATE&lt;='09-30-2019' ORDER BY  DATE,CUST,UNIT,COMM DESC,EDATE"/>
  </connection>
  <connection id="135" name="Connection206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6" name="Connection207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7" name="Connection208" type="1" refreshedVersion="3" background="1" saveData="1">
    <dbPr connection="pwd=SQL123;dsn=MIS;database=MIS;Server=10.158.1.8;uid=sa;port=5000;UID=sa;;" command="SELECT * FROM QLY_DLY WHERE DATE&gt;='01-Oct-19'and DATE&lt;='09-Oct-19' ORDER BY  DATE,CUST,UNIT,COMM DESC,EDATE"/>
  </connection>
  <connection id="138" name="Connection209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39" name="Connection21" type="1" refreshedVersion="3" background="1" saveData="1">
    <dbPr connection="dsn=MIS;database=MIS;server=10.158.1.8;port=5000;UID=sa;;" command="SELECT * FROM QLY_DLY WHERE DATE&gt;='3/1/2019'and DATE&lt;='3/10/2019' ORDER BY  DATE,CUST,UNIT,COMM DESC,EDATE"/>
  </connection>
  <connection id="140" name="Connection210" type="1" refreshedVersion="3" background="1" saveData="1">
    <dbPr connection="pwd=SQL123;dsn=MIS;database=MIS;Server=10.158.1.8;uid=sa;port=5000;UID=sa;;" command="SELECT * FROM QLY_DLY WHERE DATE&gt;='01-Sep-19'and DATE&lt;='30-Sep-19' ORDER BY  DATE,CUST,UNIT,COMM DESC,EDATE"/>
  </connection>
  <connection id="141" name="Connection211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2" name="Connection212" type="1" refreshedVersion="0" background="1" saveData="1">
    <dbPr connection="dsn=MIS;database=MIS;server=10.158.1.8;port=5000;UID=sa;;" command="SELECT * FROM QLY_DLY WHERE DATE&gt;='01-09-2019'and DATE&lt;='30-09-2019' ORDER BY  DATE,CUST,UNIT,COMM DESC,EDATE"/>
  </connection>
  <connection id="143" name="Connection213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44" name="Connection214" type="1" refreshedVersion="3" background="1" saveData="1">
    <dbPr connection="pwd=SQL123;dsn=MIS;database=MIS;Server=10.158.1.8;uid=sa;port=5000;UID=sa;;" command="SELECT * FROM QLY_DLY WHERE DATE&gt;='10-Sep-19'and DATE&lt;='10-15-2019' ORDER BY  DATE,CUST,UNIT,COMM DESC,EDATE"/>
  </connection>
  <connection id="145" name="Connection215" type="1" refreshedVersion="3" background="1" saveData="1">
    <dbPr connection="pwd=SQL123;dsn=MIS;database=MIS;Server=10.158.1.8;uid=sa;port=5000;UID=sa;;" command="SELECT * FROM QLY_DLY WHERE DATE&gt;='09-Oct-19'and DATE&lt;='10-15-2019' ORDER BY  DATE,CUST,UNIT,COMM DESC,EDATE"/>
  </connection>
  <connection id="146" name="Connection216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7" name="Connection217" type="1" refreshedVersion="3" background="1" saveData="1">
    <dbPr connection="pwd=SQL123;dsn=MIS;database=MIS;Server=10.158.1.8;uid=sa;port=5000;UID=sa;;" command="SELECT * FROM QLY_DLY WHERE DATE&gt;='01-Oct-19'and DATE&lt;='10-Oct-19' ORDER BY  DATE,CUST,UNIT,COMM DESC,EDATE"/>
  </connection>
  <connection id="148" name="Connection218" type="1" refreshedVersion="3" background="1" saveData="1">
    <dbPr connection="pwd=SQL123;dsn=MIS;database=MIS;Server=10.158.1.8;uid=sa;port=5000;UID=sa;;" command="SELECT * FROM QLY_DLY WHERE DATE&gt;='10-Oct-19'and DATE&lt;='15-Oct-19' ORDER BY  DATE,CUST,UNIT,COMM DESC,EDATE"/>
  </connection>
  <connection id="149" name="Connection219" type="1" refreshedVersion="4" background="1" saveData="1">
    <dbPr connection="dsn=MIS;database=MIS;server=10.158.1.8;port=5000;UID=sa;;" command="SELECT * FROM QLY_DLY WHERE DATE&gt;='09-01-2019'and DATE&lt;='09-30-2019' ORDER BY  DATE,CUST,UNIT,COMM DESC,EDATE"/>
  </connection>
  <connection id="150" name="Connection22" type="1" refreshedVersion="3" background="1" saveData="1">
    <dbPr connection="dsn=MIS;database=MIS;server=10.158.1.8;port=5000;UID=sa;;" command="SELECT * FROM QLY_DLY WHERE DATE&gt;='1/1/2019'and DATE&lt;='3/10/2019' ORDER BY  DATE,CUST,UNIT,COMM DESC,EDATE"/>
  </connection>
  <connection id="151" name="Connection220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2" name="Connection221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3" name="Connection222" type="1" refreshedVersion="3" background="1" saveData="1">
    <dbPr connection="pwd=SQL123;dsn=MIS;database=MIS;Server=10.158.1.8;uid=sa;port=5000;UID=sa;;" command="SELECT * FROM QLY_DLY WHERE DATE&gt;='09-Jan-19'and DATE&lt;='10-15-2019' ORDER BY  DATE,CUST,UNIT,COMM DESC,EDATE"/>
  </connection>
  <connection id="154" name="Connection223" type="1" refreshedVersion="3" background="1" saveData="1">
    <dbPr connection="pwd=SQL123;dsn=MIS;database=MIS;Server=10.158.1.8;uid=sa;port=5000;UID=sa;;" command="SELECT * FROM QLY_DLY WHERE DATE&gt;='01-Sep-19'and DATE&lt;='10-15-2019' ORDER BY  DATE,CUST,UNIT,COMM DESC,EDATE"/>
  </connection>
  <connection id="155" name="Connection224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6" name="Connection225" type="1" refreshedVersion="4" background="1" saveData="1">
    <dbPr connection="pwd=SQL123;dsn=MIS;database=MIS;server=10.158.1.8;uid=sa;port=5000;" command="SELECT * FROM QLY_DLY WHERE DATE&gt;='01-09-2019'and DATE&lt;='10-15-2019' ORDER BY  DATE,CUST,UNIT,COMM DESC,EDATE"/>
  </connection>
  <connection id="157" name="Connection226" type="1" refreshedVersion="4" background="1" saveData="1">
    <dbPr connection="pwd=SQL123;dsn=MIS;database=MIS;server=10.158.1.8;uid=sa;port=5000;" command="SELECT * FROM QLY_DLY WHERE DATE&gt;='10-01-2019'and DATE&lt;='10-15-2019' ORDER BY  DATE,CUST,UNIT,COMM DESC,EDATE"/>
  </connection>
  <connection id="158" name="Connection227" type="1" refreshedVersion="3" background="1" saveData="1">
    <dbPr connection="pwd=SQL123;dsn=MIS;database=MIS;Server=10.158.1.8;uid=sa;port=5000;UID=sa;;" command="SELECT * FROM QLY_DLY WHERE DATE&gt;='16-Jan-19'and DATE&lt;='10-21-2019' ORDER BY  DATE,CUST,UNIT,COMM DESC,EDATE"/>
  </connection>
  <connection id="159" name="Connection228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0" name="Connection229" type="1" refreshedVersion="3" background="1" saveData="1">
    <dbPr connection="pwd=SQL123;dsn=MIS;database=MIS;Server=10.158.1.8;uid=sa;port=5000;UID=sa;;" command="SELECT * FROM QLY_DLY WHERE DATE&gt;='16-Oct-19'and DATE&lt;='10-21-2019' ORDER BY  DATE,CUST,UNIT,COMM DESC,EDATE"/>
  </connection>
  <connection id="161" name="Connection23" type="1" refreshedVersion="3" background="1" saveData="1">
    <dbPr connection="dsn=MIS;database=MIS;server=10.158.1.8;port=5000;UID=sa;;" command="SELECT * FROM QLY_DLY WHERE DATE&gt;='3/1/2018'and DATE&lt;='3/7/2019' ORDER BY  DATE,CUST,UNIT,COMM DESC,EDATE"/>
  </connection>
  <connection id="162" name="Connection230" type="1" refreshedVersion="3" background="1" saveData="1">
    <dbPr connection="pwd=SQL123;dsn=MIS;database=MIS;Server=10.158.1.8;uid=sa;port=5000;UID=sa;;" command="SELECT * FROM QLY_DLY WHERE DATE&gt;='16-Oct-19'and DATE&lt;='10-23-2019' ORDER BY  DATE,CUST,UNIT,COMM DESC,EDATE"/>
  </connection>
  <connection id="163" name="Connection231" type="1" refreshedVersion="0" background="1" saveData="1">
    <dbPr connection="DSN=CL1DSN;UID=sa;;SRVR=NTSERVER;DB=MIS" command="SELECT * FROM QLY_DLY WHERE DATE&gt;='09-01-2013'and DATE&lt;='09-31-2013' ORDER BY  DATE,CUST,UNIT,COMM DESC,EDATE"/>
  </connection>
  <connection id="164" name="Connection232" type="1" refreshedVersion="3" background="1" saveData="1">
    <dbPr connection="pwd=SQL123;dsn=MIS;database=MIS;Server=10.158.1.8;uid=sa;port=5000;UID=sa;;" command="SELECT * FROM QLY_DLY WHERE DATE&gt;='16-Oct-19'and DATE&lt;='10-22-2019' ORDER BY  DATE,CUST,UNIT,COMM DESC,EDATE"/>
  </connection>
  <connection id="165" name="Connection23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6" name="Connection234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7" name="Connection235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68" name="Connection236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69" name="Connection237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0" name="Connection238" type="1" refreshedVersion="3" background="1" saveData="1">
    <dbPr connection="pwd=SQL123;dsn=MIS;database=MIS;Server=10.158.1.8;uid=sa;port=5000;UID=sa;;" command="SELECT * FROM QLY_DLY WHERE DATE&gt;='01-Sep-19'and DATE&lt;='11-Jun-19' ORDER BY  DATE,CUST,UNIT,COMM DESC,EDATE"/>
  </connection>
  <connection id="171" name="Connection239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2" name="Connection24" type="1" refreshedVersion="3" background="1" saveData="1">
    <dbPr connection="dsn=MIS;database=MIS;server=10.158.1.8;port=5000;UID=sa;;" command="SELECT * FROM QLY_DLY WHERE DATE&gt;='3/1/2018'and DATE&lt;='2/28/2019' ORDER BY  DATE,CUST,UNIT,COMM DESC,EDATE"/>
  </connection>
  <connection id="173" name="Connection240" type="1" refreshedVersion="3" background="1" saveData="1">
    <dbPr connection="pwd=SQL123;dsn=MIS;database=MIS;Server=10.158.1.8;uid=sa;port=5000;UID=sa;;" command="SELECT * FROM QLY_DLY WHERE DATE&gt;='01-Sep-19'and DATE&lt;='06-Nov-19' ORDER BY  DATE,CUST,UNIT,COMM DESC,EDATE"/>
  </connection>
  <connection id="174" name="Connection241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75" name="Connection242" type="1" refreshedVersion="3" background="1" saveData="1">
    <dbPr connection="pwd=SQL123;dsn=MIS;database=MIS;Server=10.158.1.8;uid=sa;port=5000;UID=sa;;" command="SELECT * FROM QLY_DLY WHERE DATE&gt;='01-Nov-19'and DATE&lt;='06-Oct-19' ORDER BY  DATE,CUST,UNIT,COMM DESC,EDATE"/>
  </connection>
  <connection id="176" name="Connection24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06-Nov-19') AND (QLY_DLY.UNIT='BAR') AND (QLY_DLY.CUST='RSP')_x000d__x000a_ORDER BY QLY_DLY.DATE, QLY_DLY.CUST, QLY_DLY.UNIT, QLY_DLY.COMM DESC, QLY_DLY.EDATE"/>
  </connection>
  <connection id="177" name="Connection244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8" name="Connection245" type="1" refreshedVersion="3" background="1" saveData="1">
    <dbPr connection="pwd=SQL123;dsn=MIS;database=MIS;Server=10.158.1.8;uid=sa;port=5000;UID=sa;;" command="SELECT * FROM QLY_DLY WHERE DATE&gt;='01-Nov-19'and DATE&lt;='06-Nov-19' ORDER BY  DATE,CUST,UNIT,COMM DESC,EDATE"/>
  </connection>
  <connection id="179" name="Connection246" type="1" refreshedVersion="0" background="1" saveData="1">
    <dbPr connection="dsn=MIS;database=MIS;server=10.158.1.8;port=5000;UID=sa;;" command="SELECT * FROM QLY_DLY WHERE DATE&gt;='01-10-2019'and DATE&lt;='31-10-2019' ORDER BY  DATE,CUST,UNIT,COMM DESC,EDATE"/>
  </connection>
  <connection id="180" name="Connection247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1" name="Connection248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2" name="Connection249" type="1" refreshedVersion="4" background="1" saveData="1">
    <dbPr connection="dsn=MIS;database=MIS;server=10.158.1.8;port=5000;UID=sa;;" command="SELECT * FROM QLY_DLY WHERE DATE&gt;='10-01-2019'and DATE&lt;='10-31-2019' ORDER BY  DATE,CUST,UNIT,COMM DESC,EDATE"/>
  </connection>
  <connection id="183" name="Connection25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84" name="Connection250" type="1" refreshedVersion="4" background="1" saveData="1">
    <dbPr connection="dsn=MIS;database=MIS;server=10.158.1.8;port=5000;UID=sa;;" command="SELECT * FROM QLY_DLY WHERE DATE&gt;='11-01-2019'and DATE&lt;='11-30-2019' ORDER BY  DATE,CUST,UNIT,COMM DESC,EDATE"/>
  </connection>
  <connection id="185" name="Connection251" type="1" refreshedVersion="3" background="1" saveData="1">
    <dbPr connection="pwd=SQL123;dsn=MIS;database=MIS;Server=10.158.1.8;uid=sa;port=5000;UID=sa;;" command="SELECT * FROM QLY_DLY WHERE DATE&gt;='11-Jan-19'and DATE&lt;='10-31-2019' ORDER BY  DATE,CUST,UNIT,COMM DESC,EDATE"/>
  </connection>
  <connection id="186" name="Connection252" type="1" refreshedVersion="3" background="1" saveData="1">
    <dbPr connection="pwd=SQL123;dsn=MIS;database=MIS;Server=10.158.1.8;uid=sa;port=5000;UID=sa;;" command="SELECT * FROM QLY_DLY WHERE DATE&gt;='10-Jan-19'and DATE&lt;='10-31-2019' ORDER BY  DATE,CUST,UNIT,COMM DESC,EDATE"/>
  </connection>
  <connection id="187" name="Connection253" type="1" refreshedVersion="3" background="1" saveData="1">
    <dbPr connection="pwd=SQL123;dsn=MIS;database=MIS;Server=10.158.1.8;uid=sa;port=5000;UID=sa;;" command="SELECT * FROM QLY_DLY WHERE DATE&gt;='01-Oct-19'and DATE&lt;='10-31-2019' ORDER BY  DATE,CUST,UNIT,COMM DESC,EDATE"/>
  </connection>
  <connection id="188" name="Connection254" type="1" refreshedVersion="3" background="1" saveData="1">
    <dbPr connection="pwd=SQL123;dsn=MIS;database=MIS;Server=10.158.1.8;uid=sa;port=5000;UID=sa;;" command="SELECT * FROM QLY_DLY WHERE DATE&gt;='01-Nov-19'and DATE&lt;='11-Oct-19' ORDER BY  DATE,CUST,UNIT,COMM DESC,EDATE"/>
  </connection>
  <connection id="189" name="Connection255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0" name="Connection256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1" name="Connection257" type="1" refreshedVersion="3" background="1" saveData="1">
    <dbPr connection="pwd=SQL123;dsn=MIS;database=MIS;Server=10.158.1.8;uid=sa;port=5000;UID=sa;;" command="SELECT * FROM QLY_DLY WHERE DATE&gt;='01-Nov-19'and DATE&lt;='10-Nov-19' ORDER BY  DATE,CUST,UNIT,COMM DESC,EDATE"/>
  </connection>
  <connection id="192" name="Connection258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193" name="Connection259" type="1" refreshedVersion="3" background="1" saveData="1">
    <dbPr connection="pwd=SQL123;dsn=MIS;database=MIS;Server=10.158.1.8;uid=sa;port=5000;UID=sa;;" command="SELECT * FROM QLY_DLY WHERE DATE&gt;='01-Nov-19'and DATE&lt;='20-Nov-19' ORDER BY  DATE,CUST,UNIT,COMM DESC,EDATE"/>
  </connection>
  <connection id="194" name="Connection26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195" name="Connection260" type="1" refreshedVersion="3" background="1" saveData="1">
    <dbPr connection="pwd=SQL123;dsn=MIS;database=MIS;Server=10.158.1.8;uid=sa;port=5000;UID=sa;;" command="SELECT * FROM QLY_DLY WHERE DATE&gt;='01-Nov-19'and DATE&lt;='15-Nov-19' ORDER BY  DATE,CUST,UNIT,COMM DESC,EDATE"/>
  </connection>
  <connection id="196" name="Connection261" type="1" refreshedVersion="4" background="1" saveData="1">
    <dbPr connection="pwd=SQL123;dsn=MIS;database=MIS;Server=10.158.1.8;uid=sa;port=5000;UID=sa;;" command="SELECT * FROM QLY_DLY WHERE DATE&gt;='10-01-2019'and DATE&lt;='10-31-2019' ORDER BY  DATE,CUST,UNIT,COMM DESC,EDATE"/>
  </connection>
  <connection id="197" name="Connection262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8" name="Connection263" type="1" refreshedVersion="3" background="1" saveData="1">
    <dbPr connection="pwd=SQL123;dsn=MIS;database=MIS;Server=10.158.1.8;uid=sa;port=5000;UID=sa;;" command="SELECT * FROM QLY_DLY WHERE DATE&gt;='01-Nov-19'and DATE&lt;='17-Nov-19' ORDER BY  DATE,CUST,UNIT,COMM DESC,EDATE"/>
  </connection>
  <connection id="199" name="Connection264" type="1" refreshedVersion="3" background="1" saveData="1">
    <dbPr connection="pwd=SQL123;dsn=MIS;database=MIS;Server=10.158.1.8;uid=sa;port=5000;UID=sa;;" command="SELECT * FROM QLY_DLY WHERE DATE&gt;='14-Nov-19'and DATE&lt;='17-Nov-19' ORDER BY  DATE,CUST,UNIT,COMM DESC,EDATE"/>
  </connection>
  <connection id="200" name="Connection265" type="1" refreshedVersion="3" background="1" saveData="1">
    <dbPr connection="pwd=SQL123;dsn=MIS;database=MIS;Server=10.158.1.8;uid=sa;port=5000;UID=sa;;" command="SELECT * FROM QLY_DLY WHERE DATE&gt;='01-Oct-19'and DATE&lt;='31-Oct-19' ORDER BY  DATE,CUST,UNIT,COMM DESC,EDATE"/>
  </connection>
  <connection id="201" name="Connection266" type="1" refreshedVersion="3" background="1" saveData="1">
    <dbPr connection="pwd=SQL123;dsn=MIS;database=MIS;Server=10.158.1.8;uid=sa;port=5000;UID=sa;;" command="SELECT * FROM QLY_DLY WHERE DATE&gt;='17-Nov-19'and DATE&lt;='20-Nov-19' ORDER BY  DATE,CUST,UNIT,COMM DESC,EDATE"/>
  </connection>
  <connection id="202" name="Connection267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3" name="Connection268" type="1" refreshedVersion="3" background="1" saveData="1">
    <dbPr connection="pwd=SQL123;dsn=MIS;database=MIS;Server=10.158.1.8;uid=sa;port=5000;UID=sa;;" command="SELECT * FROM QLY_DLY WHERE DATE&gt;='20-Nov-19'and DATE&lt;='25-Nov-19' ORDER BY  DATE,CUST,UNIT,COMM DESC,EDATE"/>
  </connection>
  <connection id="204" name="Connection269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5" name="Connection27" type="1" refreshedVersion="3" background="1" saveData="1">
    <dbPr connection="dsn=MIS;database=MIS;server=10.158.1.8;port=5000;UID=sa;;" command="SELECT * FROM QLY_DLY WHERE DATE&gt;='3/5/2019'and DATE&lt;='3/7/2019' ORDER BY  DATE,CUST,UNIT,COMM DESC,EDATE"/>
  </connection>
  <connection id="206" name="Connection270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07" name="Connection271" type="1" refreshedVersion="3" background="1" saveData="1">
    <dbPr connection="pwd=SQL123;dsn=MIS;database=MIS;Server=10.158.1.8;uid=sa;port=5000;UID=sa;;" command="SELECT * FROM QLY_DLY WHERE DATE&gt;='22-Nov-19'and DATE&lt;='25-Nov-19' ORDER BY  DATE,CUST,UNIT,COMM DESC,EDATE"/>
  </connection>
  <connection id="208" name="Connection272" type="1" refreshedVersion="3" background="1" saveData="1">
    <dbPr connection="pwd=SQL123;dsn=MIS;database=MIS;Server=10.158.1.8;uid=sa;port=5000;UID=sa;;" command="SELECT * FROM QLY_DLY WHERE DATE&gt;='21-Nov-19'and DATE&lt;='25-Nov-19' ORDER BY  DATE,CUST,UNIT,COMM DESC,EDATE"/>
  </connection>
  <connection id="209" name="Connection273" type="1" refreshedVersion="3" background="1" saveData="1">
    <dbPr connection="pwd=SQL123;dsn=MIS;database=MIS;Server=10.158.1.8;uid=sa;port=5000;UID=sa;;" command="SELECT * FROM QLY_DLY WHERE DATE&gt;='01-Nov-19'and DATE&lt;='25-Nov-19' ORDER BY  DATE,CUST,UNIT,COMM DESC,EDATE"/>
  </connection>
  <connection id="210" name="Connection274" type="1" refreshedVersion="4" background="1" saveData="1">
    <dbPr connection="pwd=SQL123;dsn=MIS;database=MIS;Server=10.158.1.8;uid=sa;port=5000;UID=sa;;" command="SELECT * FROM QLY_DLY WHERE DATE&gt;='04-01-2019'and DATE&lt;='10-31-2019' ORDER BY  DATE,CUST,UNIT,COMM DESC,EDATE"/>
  </connection>
  <connection id="211" name="Connection275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2" name="Connection276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DSP') AND (QLY_DLY.UNIT='BOL') AND (QLY_DLY.FE=60.3)_x000d__x000a_ORDER BY QLY_DLY.DATE, QLY_DLY.CUST, QLY_DLY.UNIT, QLY_DLY.COMM DESC, QLY_DLY.EDATE"/>
  </connection>
  <connection id="213" name="Connection277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4" name="Connection278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5" name="Connection279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6" name="Connection28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17" name="Connection280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8" name="Connection281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19" name="Connection28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Nov-19' And QLY_DLY.DATE&lt;='30-Nov-19') AND (QLY_DLY.CUST='RSP') AND (QLY_DLY.COMM='L') AND (QLY_DLY.UNIT='BAR')_x000d__x000a_ORDER BY QLY_DLY.DATE, QLY_DLY.CUST, QLY_DLY.UNIT, QLY_DLY.COMM DESC, QLY_DLY.EDATE"/>
  </connection>
  <connection id="220" name="Connection283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1" name="Connection284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2" name="Connection285" type="1" refreshedVersion="3" background="1" saveData="1">
    <dbPr connection="pwd=SQL123;dsn=MIS;database=MIS;Server=10.158.1.8;uid=sa;port=5000;UID=sa;;" command="SELECT * FROM QLY_DLY WHERE DATE&gt;='04-Dec-19'and DATE&lt;='07-Dec-19' ORDER BY  DATE,CUST,UNIT,COMM DESC,EDATE"/>
  </connection>
  <connection id="223" name="Connection286" type="1" refreshedVersion="3" background="1" saveData="1">
    <dbPr connection="pwd=SQL123;dsn=MIS;database=MIS;Server=10.158.1.8;uid=sa;port=5000;UID=sa;;" command="SELECT * FROM QLY_DLY WHERE DATE&gt;='01-Nov-19'and DATE&lt;='30-Nov-19' ORDER BY  DATE,CUST,UNIT,COMM DESC,EDATE"/>
  </connection>
  <connection id="224" name="Connection287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5" name="Connection288" type="1" refreshedVersion="3" background="1" saveData="1">
    <dbPr connection="pwd=SQL123;dsn=MIS;database=MIS;Server=10.158.1.8;uid=sa;port=5000;UID=sa;;" command="SELECT * FROM QLY_DLY WHERE DATE&gt;='01-Dec-19'and DATE&lt;='12-Dec-19' ORDER BY  DATE,CUST,UNIT,COMM DESC,EDATE"/>
  </connection>
  <connection id="226" name="Connection289" type="1" refreshedVersion="4" background="1" saveData="1">
    <dbPr connection="pwd=SQL123;dsn=MIS;database=MIS;server=10.158.1.8;uid=sa;port=5000;" command="SELECT * FROM QLY_DLY WHERE DATE&gt;='10-01-2019'and DATE&lt;='10-31-2019' ORDER BY  DATE,CUST,UNIT,COMM DESC,EDATE"/>
  </connection>
  <connection id="227" name="Connection29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28" name="Connection290" type="1" refreshedVersion="4" background="1" saveData="1">
    <dbPr connection="pwd=SQL123;dsn=MIS;database=MIS;server=10.158.1.8;uid=sa;port=5000;" command="SELECT * FROM QLY_DLY WHERE DATE&gt;='11-01-2019'and DATE&lt;='11-30-2019' ORDER BY  DATE,CUST,UNIT,COMM DESC,EDATE"/>
  </connection>
  <connection id="229" name="Connection291" type="1" refreshedVersion="3" background="1" saveData="1">
    <dbPr connection="pwd=SQL123;dsn=MIS;database=MIS;Server=10.158.1.8;uid=sa;port=5000;UID=sa;;" command="SELECT * FROM QLY_DLY WHERE DATE&gt;='16-Dec-19'and DATE&lt;='20-Dec-19' ORDER BY  DATE,CUST,UNIT,COMM DESC,EDATE"/>
  </connection>
  <connection id="230" name="Connection292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1" name="Connection293" type="1" refreshedVersion="3" background="1" saveData="1">
    <dbPr connection="pwd=SQL123;dsn=MIS;database=MIS;Server=10.158.1.8;uid=sa;port=5000;UID=sa;;" command="SELECT * FROM QLY_DLY WHERE DATE&gt;='13-Dec-19'and DATE&lt;='20-Dec-19' ORDER BY  DATE,CUST,UNIT,COMM DESC,EDATE"/>
  </connection>
  <connection id="232" name="Connection294" type="1" refreshedVersion="3" background="1" saveData="1">
    <dbPr connection="pwd=SQL123;dsn=MIS;database=MIS;Server=10.158.1.8;uid=sa;port=5000;UID=sa;;" command="SELECT * FROM QLY_DLY WHERE DATE&gt;='01-Dec-19'and DATE&lt;='20-Dec-19' ORDER BY  DATE,CUST,UNIT,COMM DESC,EDATE"/>
  </connection>
  <connection id="233" name="Connection295" type="1" refreshedVersion="3" background="1" saveData="1">
    <dbPr connection="pwd=SQL123;dsn=MIS;database=MIS;Server=10.158.1.8;uid=sa;port=5000;UID=sa;;" command="SELECT * FROM QLY_DLY WHERE DATE&gt;='13-Dec-19'and DATE&lt;='21-Dec-19' ORDER BY  DATE,CUST,UNIT,COMM DESC,EDATE"/>
  </connection>
  <connection id="234" name="Connection296" type="1" refreshedVersion="0" background="1">
    <dbPr connection="DSN=CL1DSN;SRVR=NTSERVER;DB=MIS;UID=sa;;" command="SELECT * FROM QLY_DLY WHERE DATE&gt;='02-01-2014'and DATE&lt;='02-28-2014' ORDER BY  DATE,CUST,UNIT,COMM DESC,EDATE"/>
  </connection>
  <connection id="235" name="Connection297" type="1" refreshedVersion="3" background="1" saveData="1">
    <dbPr connection="pwd=SQL123;dsn=MIS;database=MIS;Server=10.158.1.8;uid=sa;port=5000;UID=sa;;" command="SELECT * FROM QLY_DLY WHERE DATE&gt;='01-Dec-19'and DATE&lt;='24-Dec-19' ORDER BY  DATE,CUST,UNIT,COMM DESC,EDATE"/>
  </connection>
  <connection id="236" name="Connection29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Dec-19' And QLY_DLY.DATE&lt;='24-Dec-19') AND (QLY_DLY.CUST='RSP') AND (QLY_DLY.UNIT='BAR') AND (QLY_DLY.COMM='F')_x000d__x000a_ORDER BY QLY_DLY.DATE, QLY_DLY.CUST, QLY_DLY.UNIT, QLY_DLY.COMM DESC, QLY_DLY.EDATE"/>
  </connection>
  <connection id="237" name="Connection299" type="1" refreshedVersion="3" background="1" saveData="1">
    <dbPr connection="pwd=SQL123;dsn=MIS;database=MIS;Server=10.158.1.8;uid=sa;port=5000;UID=sa;;" command="SELECT * FROM QLY_DLY WHERE DATE&gt;='01-Dec-19'and DATE&lt;='25-Dec-19' ORDER BY  DATE,CUST,UNIT,COMM DESC,EDATE"/>
  </connection>
  <connection id="238" name="Connection3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239" name="Connection30" type="1" refreshedVersion="3" background="1" saveData="1">
    <dbPr connection="dsn=MIS;database=MIS;server=10.158.1.8;port=5000;UID=sa;;" command="SELECT * FROM QLY_DLY WHERE DATE&gt;='3/12/2019'and DATE&lt;='3/14/2019' ORDER BY  DATE,CUST,UNIT,COMM DESC,EDATE"/>
  </connection>
  <connection id="240" name="Connection300" type="1" refreshedVersion="3" background="1" saveData="1">
    <dbPr connection="pwd=SQL123;dsn=MIS;database=MIS;Server=10.158.1.8;uid=sa;port=5000;UID=sa;;" command="SELECT * FROM QLY_DLY WHERE DATE&gt;='21-Dec-19'and DATE&lt;='25-Dec-19' ORDER BY  DATE,CUST,UNIT,COMM DESC,EDATE"/>
  </connection>
  <connection id="241" name="Connection301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42" name="Connection302" type="1" refreshedVersion="4" background="1" saveData="1">
    <dbPr connection="pwd=SQL123;dsn=MIS;database=MIS;server=10.158.1.8;uid=sa;port=5000;" command="SELECT * FROM QLY_DLY WHERE DATE&gt;='01-12-2019'and DATE&lt;='12-31-2019' ORDER BY  DATE,CUST,UNIT,COMM DESC,EDATE"/>
  </connection>
  <connection id="243" name="Connection303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44" name="Connection304" type="1" refreshedVersion="3" background="1" saveData="1">
    <dbPr connection="pwd=SQL123;dsn=MIS;database=MIS;Server=10.158.1.8;uid=sa;port=5000;UID=sa;;" command="SELECT * FROM QLY_DLY WHERE DATE&gt;='12-Jan-19'and DATE&lt;='12-31-2019' ORDER BY  DATE,CUST,UNIT,COMM DESC,EDATE"/>
  </connection>
  <connection id="245" name="Connection305" type="1" refreshedVersion="3" background="1" saveData="1">
    <dbPr connection="pwd=SQL123;dsn=MIS;database=MIS;Server=10.158.1.8;uid=sa;port=5000;UID=sa;;" command="SELECT * FROM QLY_DLY WHERE DATE&gt;='01-Dec-19'and DATE&lt;='30-Dec-19' ORDER BY  DATE,CUST,UNIT,COMM DESC,EDATE"/>
  </connection>
  <connection id="246" name="Connection306" type="1" refreshedVersion="3" background="1" saveData="1">
    <dbPr connection="pwd=SQL123;dsn=MIS;database=MIS;Server=10.158.1.8;uid=sa;port=5000;UID=sa;;" command="SELECT * FROM QLY_DLY WHERE DATE&gt;='26-Dec-19'and DATE&lt;='30-Dec-19' ORDER BY  DATE,CUST,UNIT,COMM DESC,EDATE"/>
  </connection>
  <connection id="247" name="Connection307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8" name="Connection308" type="1" refreshedVersion="3" background="1" saveData="1">
    <dbPr connection="pwd=SQL123;dsn=MIS;database=MIS;Server=10.158.1.8;uid=sa;port=5000;UID=sa;;" command="SELECT * FROM QLY_DLY WHERE DATE&gt;='25-Dec-19'and DATE&lt;='30-Dec-19' ORDER BY  DATE,CUST,UNIT,COMM DESC,EDATE"/>
  </connection>
  <connection id="249" name="Connection309" type="1" refreshedVersion="3" background="1" saveData="1">
    <dbPr connection="pwd=SQL123;dsn=MIS;database=MIS;Server=10.158.1.8;uid=sa;port=5000;UID=sa;;" command="SELECT * FROM QLY_DLY WHERE DATE&gt;='01-Dec-19'and DATE&lt;='31-Dec-19' ORDER BY  DATE,CUST,UNIT,COMM DESC,EDATE"/>
  </connection>
  <connection id="250" name="Connection31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251" name="Connection310" type="1" refreshedVersion="0" background="1" saveData="1">
    <dbPr connection="pwd=SQL123;dsn=MIS;database=MIS;server=10.158.1.8;uid=sa;port=5000;" command="SELECT * FROM QLY_DLY WHERE DATE&gt;='01-12-2019'and DATE&lt;='31-12-2019' ORDER BY  DATE,CUST,UNIT,COMM DESC,EDATE"/>
  </connection>
  <connection id="252" name="Connection311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53" name="Connection312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54" name="Connection313" type="1" refreshedVersion="3" background="1" saveData="1">
    <dbPr connection="pwd=SQL123;dsn=MIS;database=MIS;Server=10.158.1.8;uid=sa;port=5000;UID=sa;;" command="SELECT * FROM QLY_DLY WHERE DATE&gt;='2020-01-01'and DATE&lt;='2020-01-10' ORDER BY  DATE,CUST,UNIT,COMM DESC,EDATE"/>
  </connection>
  <connection id="255" name="Connection314" type="1" refreshedVersion="3" background="1" saveData="1">
    <dbPr connection="pwd=SQL123;dsn=MIS;database=MIS;Server=10.158.1.8;uid=sa;port=5000;UID=sa;;" command="SELECT * FROM QLY_DLY WHERE DATE&gt;='2019-12-01'and DATE&lt;='2020-01-10' ORDER BY  DATE,CUST,UNIT,COMM DESC,EDATE"/>
  </connection>
  <connection id="256" name="Connection315" type="1" refreshedVersion="3" background="1" saveData="1">
    <dbPr connection="pwd=SQL123;dsn=MIS;database=MIS;Server=10.158.1.8;uid=sa;port=5000;UID=sa;;" command="SELECT * FROM QLY_DLY WHERE DATE&gt;='2019-12-05'and DATE&lt;='2020-01-09' ORDER BY  DATE,CUST,UNIT,COMM DESC,EDATE"/>
  </connection>
  <connection id="257" name="Connection316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58" name="Connection317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59" name="Connection318" type="1" refreshedVersion="3" background="1" saveData="1">
    <dbPr connection="pwd=SQL123;dsn=MIS;database=MIS;Server=10.158.1.8;uid=sa;port=5000;UID=sa;;" command="SELECT * FROM QLY_DLY WHERE DATE&gt;='2020-01-04'and DATE&lt;='2020-01-08' ORDER BY  DATE,CUST,UNIT,COMM DESC,EDATE"/>
  </connection>
  <connection id="260" name="Connection319" type="1" refreshedVersion="3" background="1" saveData="1">
    <dbPr connection="pwd=SQL123;dsn=MIS;database=MIS;Server=10.158.1.8;uid=sa;port=5000;UID=sa;;" command="SELECT * FROM QLY_DLY WHERE DATE&gt;='2020-01-05'and DATE&lt;='2020-01-09' ORDER BY  DATE,CUST,UNIT,COMM DESC,EDATE"/>
  </connection>
  <connection id="261" name="Connection32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62" name="Connection320" type="1" refreshedVersion="3" background="1" saveData="1">
    <dbPr connection="pwd=SQL123;dsn=MIS;database=MIS;Server=10.158.1.8;uid=sa;port=5000;UID=sa;;" command="SELECT * FROM QLY_DLY WHERE DATE&gt;='05-Jan-20'and DATE&lt;='09-Jan-20' ORDER BY  DATE,CUST,UNIT,COMM DESC,EDATE"/>
  </connection>
  <connection id="263" name="Connection321" type="1" refreshedVersion="3" background="1" saveData="1">
    <dbPr connection="pwd=SQL123;dsn=MIS;database=MIS;Server=10.158.1.8;uid=sa;port=5000;UID=sa;;" command="SELECT * FROM QLY_DLY WHERE DATE&gt;='01-Nov-19'and DATE&lt;='31-Dec-19' ORDER BY  DATE,CUST,UNIT,COMM DESC,EDATE"/>
  </connection>
  <connection id="264" name="Connection322" type="1" refreshedVersion="3" background="1" saveData="1">
    <dbPr connection="pwd=SQL123;dsn=MIS;database=MIS;Server=10.158.1.8;uid=sa;port=5000;UID=sa;;" command="SELECT * FROM QLY_DLY WHERE DATE&gt;='01-Jan-20'and DATE&lt;='13-Jan-20' ORDER BY  DATE,CUST,UNIT,COMM DESC,EDATE"/>
  </connection>
  <connection id="265" name="Connection323" type="1" refreshedVersion="3" background="1" saveData="1">
    <dbPr connection="pwd=SQL123;dsn=MIS;database=MIS;Server=10.158.1.8;uid=sa;port=5000;UID=sa;;" command="SELECT * FROM QLY_DLY WHERE DATE&gt;='01-Jan-20'and DATE&lt;='14-Jan-20' ORDER BY  DATE,CUST,UNIT,COMM DESC,EDATE"/>
  </connection>
  <connection id="266" name="Connection324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7" name="Connection325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8" name="Connection326" type="1" refreshedVersion="3" background="1" saveData="1">
    <dbPr connection="pwd=SQL123;dsn=MIS;database=MIS;Server=10.158.1.8;uid=sa;port=5000;UID=sa;;" command="SELECT * FROM QLY_DLY WHERE DATE&gt;='01-Oct-20'and DATE&lt;='14-Jan-20' ORDER BY  DATE,CUST,UNIT,COMM DESC,EDATE"/>
  </connection>
  <connection id="269" name="Connection327" type="1" refreshedVersion="3" background="1" saveData="1">
    <dbPr connection="pwd=SQL123;dsn=MIS;database=MIS;Server=10.158.1.8;uid=sa;port=5000;UID=sa;;" command="SELECT * FROM QLY_DLY WHERE DATE&gt;='10-Jan-20'and DATE&lt;='14-Jan-20' ORDER BY  DATE,CUST,UNIT,COMM DESC,EDATE"/>
  </connection>
  <connection id="270" name="Connection328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1" name="Connection329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72" name="Connection33" type="1" refreshedVersion="3" background="1" saveData="1">
    <dbPr connection="dsn=MIS;database=MIS;server=10.158.1.8;port=5000;UID=sa;;" command="SELECT * FROM QLY_DLY WHERE DATE&gt;='3/1/2019'and DATE&lt;='3/15/2019' ORDER BY  DATE,CUST,UNIT,COMM DESC,EDATE"/>
  </connection>
  <connection id="273" name="Connection330" type="1" refreshedVersion="3" background="1" saveData="1">
    <dbPr connection="pwd=SQL123;dsn=MIS;database=MIS;Server=10.158.1.8;uid=sa;port=5000;UID=sa;;" command="SELECT * FROM QLY_DLY WHERE DATE&gt;='16-Jan-20'and DATE&lt;='20-Jan-20' ORDER BY  DATE,CUST,UNIT,COMM DESC,EDATE"/>
  </connection>
  <connection id="274" name="Connection331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5" name="Connection332" type="1" refreshedVersion="3" background="1" saveData="1">
    <dbPr connection="pwd=SQL123;dsn=MIS;database=MIS;Server=10.158.1.8;uid=sa;port=5000;UID=sa;;" command="SELECT * FROM QLY_DLY WHERE DATE&gt;='15-Jan-20'and DATE&lt;='20-Jan-20' ORDER BY  DATE,CUST,UNIT,COMM DESC,EDATE"/>
  </connection>
  <connection id="276" name="Connection333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an-20' And QLY_DLY.DATE&lt;='20-Jan-20') AND (QLY_DLY.CUST='RSP') AND (QLY_DLY.UNIT='TAL') AND (QLY_DLY.COMM='L')_x000d__x000a_ORDER BY QLY_DLY.DATE, QLY_DLY.CUST, QLY_DLY.UNIT, QLY_DLY.COMM DESC, QLY_DLY.EDATE"/>
  </connection>
  <connection id="277" name="Connection334" type="1" refreshedVersion="3" background="1" saveData="1">
    <dbPr connection="pwd=SQL123;dsn=MIS;database=MIS;Server=10.158.1.8;uid=sa;port=5000;UID=sa;;" command="SELECT * FROM QLY_DLY WHERE DATE&gt;='01-Jan-20'and DATE&lt;='23-Jan-20' ORDER BY  DATE,CUST,UNIT,COMM DESC,EDATE"/>
  </connection>
  <connection id="278" name="Connection335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79" name="Connection336" type="1" refreshedVersion="3" background="1" saveData="1">
    <dbPr connection="pwd=SQL123;dsn=MIS;database=MIS;Server=10.158.1.8;uid=sa;port=5000;UID=sa;;" command="SELECT * FROM QLY_DLY WHERE DATE&gt;='20-Jan-20'and DATE&lt;='23-Jan-20' ORDER BY  DATE,CUST,UNIT,COMM DESC,EDATE"/>
  </connection>
  <connection id="280" name="Connection337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4-Jan-20' And QLY_DLY.DATE&lt;='28-Jan-20') AND (QLY_DLY.UNIT='KBR') AND (QLY_DLY.CUST='BSL') AND (QLY_DLY.COMM='L')_x000d__x000a_ORDER BY QLY_DLY.DATE, QLY_DLY.CUST, QLY_DLY.UNIT, QLY_DLY.COMM DESC, QLY_DLY.EDATE"/>
  </connection>
  <connection id="281" name="Connection338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2" name="Connection339" type="1" refreshedVersion="3" background="1" saveData="1">
    <dbPr connection="pwd=SQL123;dsn=MIS;database=MIS;Server=10.158.1.8;uid=sa;port=5000;UID=sa;;" command="SELECT * FROM QLY_DLY WHERE DATE&gt;='24-Jan-20'and DATE&lt;='28-Jan-20' ORDER BY  DATE,CUST,UNIT,COMM DESC,EDATE"/>
  </connection>
  <connection id="283" name="Connection34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284" name="Connection340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5" name="Connection341" type="1" refreshedVersion="3" background="1" saveData="1">
    <dbPr connection="pwd=SQL123;dsn=MIS;database=MIS;Server=10.158.1.8;uid=sa;port=5000;UID=sa;;" command="SELECT * FROM QLY_DLY WHERE DATE&gt;='01/01/20'and DATE&lt;='01/31/2020' ORDER BY  DATE,CUST,UNIT,COMM DESC,EDATE"/>
  </connection>
  <connection id="286" name="Connection342" type="1" refreshedVersion="3" background="1" saveData="1">
    <dbPr connection="pwd=SQL123;dsn=MIS;database=MIS;Server=10.158.1.8;uid=sa;port=5000;UID=sa;;" command="SELECT * FROM QLY_DLY WHERE DATE&gt;='01/02/20'and DATE&lt;='02/06/20' ORDER BY  DATE,CUST,UNIT,COMM DESC,EDATE"/>
  </connection>
  <connection id="287" name="Connection343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8" name="Connection344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89" name="Connection345" type="1" refreshedVersion="3" background="1" saveData="1">
    <dbPr connection="pwd=SQL123;dsn=MIS;database=MIS;Server=10.158.1.8;uid=sa;port=5000;UID=sa;;" command="SELECT * FROM QLY_DLY WHERE DATE&gt;='02/01/20'and DATE&lt;='02/06/20' ORDER BY  DATE,CUST,UNIT,COMM DESC,EDATE"/>
  </connection>
  <connection id="290" name="Connection346" type="1" refreshedVersion="3" background="1" saveData="1">
    <dbPr connection="pwd=SQL123;dsn=MIS;database=MIS;Server=10.158.1.8;uid=sa;port=5000;UID=sa;;" command="SELECT * FROM QLY_DLY WHERE DATE&gt;='01/01/20'and DATE&lt;='02/06/20' ORDER BY  DATE,CUST,UNIT,COMM DESC,EDATE"/>
  </connection>
  <connection id="291" name="Connection347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2" name="Connection348" type="1" refreshedVersion="3" background="1" saveData="1">
    <dbPr connection="pwd=SQL123;dsn=MIS;database=MIS;Server=10.158.1.8;uid=sa;port=5000;UID=sa;;" command="SELECT * FROM QLY_DLY WHERE DATE&gt;='02/01/20'and DATE&lt;='02/12/20' ORDER BY  DATE,CUST,UNIT,COMM DESC,EDATE"/>
  </connection>
  <connection id="293" name="Connection349" type="1" refreshedVersion="3" background="1" saveData="1">
    <dbPr connection="pwd=SQL123;dsn=MIS;database=MIS;Server=10.158.1.8;uid=sa;port=5000;UID=sa;;" command="SELECT * FROM QLY_DLY WHERE DATE&gt;='02/08/20'and DATE&lt;='02/12/20' ORDER BY  DATE,CUST,UNIT,COMM DESC,EDATE"/>
  </connection>
  <connection id="294" name="Connection35" type="1" refreshedVersion="0" background="1">
    <dbPr connection="DSN=CL1DSN;SRVR=NTSERVER;DB=MIS;UID=sa;;" command="SELECT * FROM QLY_DLY WHERE DATE&gt;='01-12-2010'and DATE&lt;='31-12-2011' ORDER BY  DATE,CUST,UNIT,COMM DESC,EDATE"/>
  </connection>
  <connection id="295" name="Connection350" type="1" refreshedVersion="4" background="1" saveData="1">
    <dbPr connection="pwd=SQL123;dsn=MIS;database=MIS;server=10.158.1.8;uid=sa;port=5000;" command="SELECT * FROM QLY_DLY WHERE DATE&gt;='12-01-2019'and DATE&lt;='12-31-2019' ORDER BY  DATE,CUST,UNIT,COMM DESC,EDATE"/>
  </connection>
  <connection id="296" name="Connection351" type="1" refreshedVersion="4" background="1" saveData="1">
    <dbPr connection="pwd=SQL123;dsn=MIS;database=MIS;server=10.158.1.8;uid=sa;port=5000;" command="SELECT * FROM QLY_DLY WHERE DATE&gt;='01-01-2020'and DATE&lt;='01-31-2020' ORDER BY  DATE,CUST,UNIT,COMM DESC,EDATE"/>
  </connection>
  <connection id="297" name="Connection352" type="1" refreshedVersion="3" background="1" saveData="1">
    <dbPr connection="pwd=SQL123;dsn=MIS;database=MIS;Server=10.158.1.8;uid=sa;port=5000;UID=sa;;" command="SELECT * FROM QLY_DLY WHERE DATE&gt;='02/01/20'and DATE&lt;='02-17-2020' ORDER BY  DATE,CUST,UNIT,COMM DESC,EDATE"/>
  </connection>
  <connection id="298" name="Connection353" type="1" refreshedVersion="3" background="1" saveData="1">
    <dbPr connection="pwd=SQL123;dsn=MIS;database=MIS;Server=10.158.1.8;uid=sa;port=5000;UID=sa;;" command="SELECT * FROM QLY_DLY WHERE DATE&gt;='02/13/2020'and DATE&lt;='02-17-2020' ORDER BY  DATE,CUST,UNIT,COMM DESC,EDATE"/>
  </connection>
  <connection id="299" name="Connection354" type="1" refreshedVersion="3" background="1" saveData="1">
    <dbPr connection="pwd=SQL123;dsn=MIS;database=MIS;Server=10.158.1.8;uid=sa;port=5000;UID=sa;;" command="SELECT * FROM QLY_DLY WHERE DATE&gt;='02/17/2020'and DATE&lt;='02-22-2020' ORDER BY  DATE,CUST,UNIT,COMM DESC,EDATE"/>
  </connection>
  <connection id="300" name="Connection355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1" name="Connection356" type="1" refreshedVersion="3" background="1" saveData="1">
    <dbPr connection="pwd=SQL123;dsn=MIS;database=MIS;Server=10.158.1.8;uid=sa;port=5000;UID=sa;;" command="SELECT * FROM QLY_DLY WHERE DATE&gt;='02/01/20'and DATE&lt;='02-22-2020' ORDER BY  DATE,CUST,UNIT,COMM DESC,EDATE"/>
  </connection>
  <connection id="302" name="Connection357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3" name="Connection358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4" name="Connection359" type="1" refreshedVersion="3" background="1" saveData="1">
    <dbPr connection="pwd=SQL123;dsn=MIS;database=MIS;Server=10.158.1.8;uid=sa;port=5000;UID=sa;;" command="SELECT * FROM QLY_DLY WHERE DATE&gt;='02/18/2020'and DATE&lt;='02-22-2020' ORDER BY  DATE,CUST,UNIT,COMM DESC,EDATE"/>
  </connection>
  <connection id="305" name="Connection36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06" name="Connection360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07" name="Connection361" type="1" refreshedVersion="4" background="1" saveData="1">
    <dbPr connection="pwd=SQL123;dsn=MIS;database=MIS;server=10.158.1.8;uid=sa;port=5000;" command="SELECT * FROM QLY_DLY WHERE DATE&gt;='01-01-2020'and DATE&lt;='02-29-2020' ORDER BY  DATE,CUST,UNIT,COMM DESC,EDATE"/>
  </connection>
  <connection id="308" name="Connection362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09" name="Connection363" type="1" refreshedVersion="3" background="1" saveData="1">
    <dbPr connection="pwd=SQL123;dsn=MIS;database=MIS;Server=10.158.1.8;uid=sa;port=5000;UID=sa;;" command="SELECT * FROM QLY_DLY WHERE DATE&gt;='02/25/2020'and DATE&lt;='02-29-2020' ORDER BY  DATE,CUST,UNIT,COMM DESC,EDATE"/>
  </connection>
  <connection id="310" name="Connection364" type="1" refreshedVersion="3" background="1" saveData="1">
    <dbPr connection="pwd=SQL123;dsn=MIS;database=MIS;Server=10.158.1.8;uid=sa;port=5000;UID=sa;;" command="SELECT * FROM QLY_DLY WHERE DATE&gt;='02/01/20'and DATE&lt;='02-29-2020' ORDER BY  DATE,CUST,UNIT,COMM DESC,EDATE"/>
  </connection>
  <connection id="311" name="Connection365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12" name="Connection366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3" name="Connection367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4" name="Connection368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5" name="Connection369" type="1" refreshedVersion="3" background="1" saveData="1">
    <dbPr connection="pwd=SQL123;dsn=MIS;database=MIS;Server=10.158.1.8;uid=sa;port=5000;UID=sa;;" command="SELECT * FROM QLY_DLY WHERE DATE&gt;='03/01/20'and DATE&lt;='03/10/20' ORDER BY  DATE,CUST,UNIT,COMM DESC,EDATE"/>
  </connection>
  <connection id="316" name="Connection37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17" name="Connection370" type="1" refreshedVersion="3" background="1" saveData="1">
    <dbPr connection="pwd=SQL123;dsn=MIS;database=MIS;Server=10.158.1.8;uid=sa;port=5000;UID=sa;;" command="SELECT * FROM QLY_DLY WHERE DATE&gt;='03/05/20'and DATE&lt;='03/10/20' ORDER BY  DATE,CUST,UNIT,COMM DESC,EDATE"/>
  </connection>
  <connection id="318" name="Connection371" type="1" refreshedVersion="4" background="1" saveData="1">
    <dbPr connection="pwd=SQL123;dsn=MIS;database=MIS;server=10.158.1.8;uid=sa;port=5000;" command="SELECT * FROM QLY_DLY WHERE DATE&gt;='04-01-2019'and DATE&lt;='02-29-2020' ORDER BY  DATE,CUST,UNIT,COMM DESC,EDATE"/>
  </connection>
  <connection id="319" name="Connection372" type="1" refreshedVersion="4" background="1" saveData="1">
    <dbPr connection="pwd=SQL123;dsn=MIS;database=MIS;server=10.158.1.8;uid=sa;port=5000;" command="SELECT * FROM QLY_DLY WHERE DATE&gt;='02-01-2020'and DATE&lt;='02-29-2020' ORDER BY  DATE,CUST,UNIT,COMM DESC,EDATE"/>
  </connection>
  <connection id="320" name="Connection373" type="1" refreshedVersion="3" background="1" saveData="1">
    <dbPr connection="pwd=SQL123;dsn=MIS;database=MIS;Server=10.158.1.8;uid=sa;port=5000;UID=sa;;" command="SELECT * FROM QLY_DLY WHERE DATE&gt;='03/01/20'and DATE&lt;='03-15-2020' ORDER BY  DATE,CUST,UNIT,COMM DESC,EDATE"/>
  </connection>
  <connection id="321" name="Connection374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2" name="Connection375" type="1" refreshedVersion="3" background="1" saveData="1">
    <dbPr connection="pwd=SQL123;dsn=MIS;database=MIS;Server=10.158.1.8;uid=sa;port=5000;UID=sa;;" command="SELECT * FROM QLY_DLY WHERE DATE&gt;='03/11/20'and DATE&lt;='03-15-2020' ORDER BY  DATE,CUST,UNIT,COMM DESC,EDATE"/>
  </connection>
  <connection id="323" name="Connection376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4" name="Connection377" type="1" refreshedVersion="3" background="1" saveData="1">
    <dbPr connection="pwd=SQL123;dsn=MIS;database=MIS;Server=10.158.1.8;uid=sa;port=5000;UID=sa;;" command="SELECT * FROM QLY_DLY WHERE DATE&gt;='03/01/20'and DATE&lt;='03-20-2020' ORDER BY  DATE,CUST,UNIT,COMM DESC,EDATE"/>
  </connection>
  <connection id="325" name="Connection378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6" name="Connection379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7" name="Connection38" type="1" refreshedVersion="0" background="1" saveData="1">
    <dbPr connection="DSN=CL1DSN;UID=sa;;SRVR=NTSERVER;DB=MIS" command="SELECT * FROM QLY_DLY WHERE DATE&gt;='01-12-2010'and DATE&lt;='31-12-2011' ORDER BY  DATE,CUST,UNIT,COMM DESC,EDATE"/>
  </connection>
  <connection id="328" name="Connection380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29" name="Connection381" type="1" refreshedVersion="0" background="1" saveData="1">
    <dbPr connection="DSN=CL1DSN;UID=sa;;SRVR=NTSERVER;DB=MIS" command="SELECT * FROM QLY_DLY WHERE DATE&gt;='04-01-2014'and DATE&lt;='04-31-2014' ORDER BY  DATE,CUST,UNIT,COMM DESC,EDATE"/>
  </connection>
  <connection id="330" name="Connection382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1" name="Connection383" type="1" refreshedVersion="3" background="1" saveData="1">
    <dbPr connection="pwd=SQL123;dsn=MIS;database=MIS;Server=10.158.1.8;uid=sa;port=5000;UID=sa;;" command="SELECT * FROM QLY_DLY WHERE DATE&gt;='04/01/20'and DATE&lt;='04-24-2020' ORDER BY  DATE,CUST,UNIT,COMM DESC,EDATE"/>
  </connection>
  <connection id="332" name="Connection384" type="1" refreshedVersion="0" background="1" saveData="1">
    <dbPr connection="DSN=CL1DSN;UID=sa;;SRVR=NTSERVER;DB=MIS" command="SELECT * FROM QLY_DLY WHERE DATE&gt;='06-01-2014'and DATE&lt;='06-31-2014' ORDER BY  DATE,CUST,UNIT,COMM DESC,EDATE"/>
  </connection>
  <connection id="333" name="Connection385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4" name="Connection386" type="1" refreshedVersion="3" background="1" saveData="1">
    <dbPr connection="pwd=SQL123;dsn=MIS;database=MIS;Server=10.158.1.8;uid=sa;port=5000;UID=sa;;" command="SELECT * FROM QLY_DLY WHERE DATE&gt;='04/20/2020'and DATE&lt;='04-24-2020' ORDER BY  DATE,CUST,UNIT,COMM DESC,EDATE"/>
  </connection>
  <connection id="335" name="Connection387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6" name="Connection388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7" name="Connection389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38" name="Connection39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39" name="Connection390" type="1" refreshedVersion="3" background="1" saveData="1">
    <dbPr connection="pwd=SQL123;dsn=MIS;database=MIS;Server=10.158.1.8;uid=sa;port=5000;UID=sa;;" command="SELECT * FROM QLY_DLY WHERE DATE&gt;='04/01/20'and DATE&lt;='04-30-2020' ORDER BY  DATE,CUST,UNIT,COMM DESC,EDATE"/>
  </connection>
  <connection id="340" name="Connection391" type="1" refreshedVersion="3" background="1" saveData="1">
    <dbPr connection="pwd=SQL123;dsn=MIS;database=MIS;Server=10.158.1.8;uid=sa;port=5000;UID=sa;;" command="SELECT * FROM QLY_DLY WHERE DATE&gt;='05/01/20'and DATE&lt;='05/05/20' ORDER BY  DATE,CUST,UNIT,COMM DESC,EDATE"/>
  </connection>
  <connection id="341" name="Connection392" type="1" refreshedVersion="3" background="1" saveData="1">
    <dbPr connection="pwd=SQL123;dsn=MIS;database=MIS;Server=10.158.1.8;uid=sa;port=5000;UID=sa;;" command="SELECT * FROM QLY_DLY WHERE DATE&gt;='05/01/20'and DATE&lt;='05/11/20' ORDER BY  DATE,CUST,UNIT,COMM DESC,EDATE"/>
  </connection>
  <connection id="342" name="Connection393" type="1" refreshedVersion="3" background="1" saveData="1">
    <dbPr connection="pwd=SQL123;dsn=MIS;database=MIS;Server=10.158.1.8;uid=sa;port=5000;UID=sa;;" command="SELECT * FROM QLY_DLY WHERE DATE&gt;='05/06/20'and DATE&lt;='05/11/20' ORDER BY  DATE,CUST,UNIT,COMM DESC,EDATE"/>
  </connection>
  <connection id="343" name="Connection394" type="1" refreshedVersion="3" background="1" saveData="1">
    <dbPr connection="pwd=SQL123;dsn=MIS;database=MIS;Server=10.158.1.8;uid=sa;port=5000;UID=sa;;" command="SELECT * FROM QLY_DLY WHERE DATE&gt;='06/01/20'and DATE&lt;='06/08/20' ORDER BY  DATE,CUST,UNIT,COMM DESC,EDATE"/>
  </connection>
  <connection id="344" name="Connection395" type="1" refreshedVersion="3" background="1" saveData="1">
    <dbPr connection="pwd=SQL123;dsn=MIS;database=MIS;Server=10.158.1.8;uid=sa;port=5000;UID=sa;;" command="SELECT * FROM QLY_DLY WHERE DATE&gt;='06/01/20'and DATE&lt;='06/14/2020' ORDER BY  DATE,CUST,UNIT,COMM DESC,EDATE"/>
  </connection>
  <connection id="345" name="Connection396" type="1" refreshedVersion="3" background="1" saveData="1">
    <dbPr connection="pwd=SQL123;dsn=MIS;database=MIS;Server=10.158.1.8;uid=sa;port=5000;UID=sa;;" command="SELECT * FROM QLY_DLY WHERE DATE&gt;='06/09/20'and DATE&lt;='06/14/2020' ORDER BY  DATE,CUST,UNIT,COMM DESC,EDATE"/>
  </connection>
  <connection id="346" name="Connection397" type="1" refreshedVersion="3" background="1" saveData="1">
    <dbPr connection="pwd=SQL123;dsn=MIS;database=MIS;Server=10.158.1.8;uid=sa;port=5000;UID=sa;;" command="SELECT * FROM QLY_DLY WHERE DATE&gt;='07/01/20'and DATE&lt;='07/10/20' ORDER BY  DATE,CUST,UNIT,COMM DESC,EDATE"/>
  </connection>
  <connection id="347" name="Connection398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8" name="Connection399" type="1" refreshedVersion="3" background="1" saveData="1">
    <dbPr connection="pwd=SQL123;dsn=MIS;database=MIS;Server=10.158.1.8;uid=sa;port=5000;UID=sa;;" command="SELECT * FROM QLY_DLY WHERE DATE&gt;='07/01/20'and DATE&lt;='07/12/20' ORDER BY  DATE,CUST,UNIT,COMM DESC,EDATE"/>
  </connection>
  <connection id="349" name="Connection4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350" name="Connection40" type="1" refreshedVersion="3" background="1" saveData="1">
    <dbPr connection="dsn=MIS;database=MIS;server=10.158.1.8;port=5000;UID=sa;;" command="SELECT * FROM QLY_DLY WHERE DATE&gt;='3/1/2019'and DATE&lt;='3/17/2019' ORDER BY  DATE,CUST,UNIT,COMM DESC,EDATE"/>
  </connection>
  <connection id="351" name="Connection400" type="1" refreshedVersion="3" background="1" saveData="1">
    <dbPr connection="pwd=SQL123;dsn=MIS;database=MIS;Server=10.158.1.8;uid=sa;port=5000;UID=sa;;" command="SELECT * FROM QLY_DLY WHERE DATE&gt;='07/07/20'and DATE&lt;='07/12/20' ORDER BY  DATE,CUST,UNIT,COMM DESC,EDATE"/>
  </connection>
  <connection id="352" name="Connection401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3" name="Connection402" type="1" refreshedVersion="3" background="1" saveData="1">
    <dbPr connection="pwd=SQL123;dsn=MIS;database=MIS;Server=10.158.1.8;uid=sa;port=5000;UID=sa;;" command="SELECT * FROM QLY_DLY WHERE DATE&gt;='07/01/20'and DATE&lt;='07/24/2020' ORDER BY  DATE,CUST,UNIT,COMM DESC,EDATE"/>
  </connection>
  <connection id="354" name="Connection403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5" name="Connection404" type="1" refreshedVersion="3" background="1" saveData="1">
    <dbPr connection="pwd=SQL123;dsn=MIS;database=MIS;Server=10.158.1.8;uid=sa;port=5000;UID=sa;;" command="SELECT * FROM QLY_DLY WHERE DATE&gt;='07/19/2020'and DATE&lt;='07/24/2020' ORDER BY  DATE,CUST,UNIT,COMM DESC,EDATE"/>
  </connection>
  <connection id="356" name="Connection405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7" name="Connection406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8" name="Connection407" type="1" refreshedVersion="3" background="1" saveData="1">
    <dbPr connection="pwd=SQL123;dsn=MIS;database=MIS;Server=10.158.1.8;uid=sa;port=5000;UID=sa;;" command="SELECT * FROM QLY_DLY WHERE DATE&gt;='07/01/20'and DATE&lt;='07/31/2020' ORDER BY  DATE,CUST,UNIT,COMM DESC,EDATE"/>
  </connection>
  <connection id="359" name="Connection408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0" name="Connection409" type="1" refreshedVersion="3" background="1" saveData="1">
    <dbPr connection="pwd=SQL123;dsn=MIS;database=MIS;Server=10.158.1.8;uid=sa;port=5000;UID=sa;;" command="SELECT * FROM QLY_DLY WHERE DATE&gt;='06/01/20'and DATE&lt;='07/31/2020' ORDER BY  DATE,CUST,UNIT,COMM DESC,EDATE"/>
  </connection>
  <connection id="361" name="Connection41" type="1" refreshedVersion="4" background="1" saveData="1">
    <dbPr connection="dsn=MIS;database=MIS;server=10.158.1.8;port=5000;UID=sa;;" command="SELECT * FROM QLY_DLY WHERE DATE&gt;='01-03-2019'and DATE&lt;='03-31-2019' ORDER BY  DATE,CUST,UNIT,COMM DESC,EDATE"/>
  </connection>
  <connection id="362" name="Connection410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3" name="Connection411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4" name="Connection412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5" name="Connection413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6" name="Connection414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7" name="Connection415" type="1" refreshedVersion="3" background="1" saveData="1">
    <dbPr connection="pwd=SQL123;dsn=MIS;database=MIS;Server=10.158.1.8;uid=sa;port=5000;UID=sa;;" command="SELECT * FROM QLY_DLY WHERE DATE&gt;='08/01/20'and DATE&lt;='08/08/20' ORDER BY  DATE,CUST,UNIT,COMM DESC,EDATE"/>
  </connection>
  <connection id="368" name="Connection416" type="1" refreshedVersion="3" background="1" saveData="1">
    <dbPr connection="pwd=SQL123;dsn=MIS;database=MIS;Server=10.158.1.8;uid=sa;port=5000;UID=sa;;" command="SELECT * FROM QLY_DLY WHERE DATE&gt;='08/01/20'and DATE&lt;='08/16/2020' ORDER BY  DATE,CUST,UNIT,COMM DESC,EDATE"/>
  </connection>
  <connection id="369" name="Connection417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0" name="Connection418" type="1" refreshedVersion="3" background="1" saveData="1">
    <dbPr connection="pwd=SQL123;dsn=MIS;database=MIS;Server=10.158.1.8;uid=sa;port=5000;UID=sa;;" command="SELECT * FROM QLY_DLY WHERE DATE&gt;='08/11/20'and DATE&lt;='08/16/2020' ORDER BY  DATE,CUST,UNIT,COMM DESC,EDATE"/>
  </connection>
  <connection id="371" name="Connection419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2" name="Connection42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373" name="Connection420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4" name="Connection421" type="1" refreshedVersion="3" background="1" saveData="1">
    <dbPr connection="pwd=SQL123;dsn=MIS;database=MIS;Server=10.158.1.8;uid=sa;port=5000;UID=sa;;" command="SELECT * FROM QLY_DLY WHERE DATE&gt;='08/01/20'and DATE&lt;='08/23/2020' ORDER BY  DATE,CUST,UNIT,COMM DESC,EDATE"/>
  </connection>
  <connection id="375" name="Connection422" type="1" refreshedVersion="3" background="1" saveData="1">
    <dbPr connection="pwd=SQL123;dsn=MIS;database=MIS;Server=10.158.1.8;uid=sa;port=5000;UID=sa;;" command="SELECT * FROM QLY_DLY WHERE DATE&gt;='08/01/20'and DATE&lt;='08/26/2020' ORDER BY  DATE,CUST,UNIT,COMM DESC,EDATE"/>
  </connection>
  <connection id="376" name="Connection423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7" name="Connection424" type="1" refreshedVersion="3" background="1" saveData="1">
    <dbPr connection="pwd=SQL123;dsn=MIS;database=MIS;Server=10.158.1.8;uid=sa;port=5000;UID=sa;;" command="SELECT * FROM QLY_DLY WHERE DATE&gt;='08/01/20'and DATE&lt;='08/31/2020' ORDER BY  DATE,CUST,UNIT,COMM DESC,EDATE"/>
  </connection>
  <connection id="378" name="Connection425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79" name="Connection426" type="1" refreshedVersion="3" background="1" saveData="1">
    <dbPr connection="pwd=SQL123;dsn=MIS;database=MIS;Server=10.158.1.8;uid=sa;port=5000;UID=sa;;" command="SELECT * FROM QLY_DLY WHERE DATE&gt;='09/01/20'and DATE&lt;='09/16/2020' ORDER BY  DATE,CUST,UNIT,COMM DESC,EDATE"/>
  </connection>
  <connection id="380" name="Connection427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1" name="Connection428" type="1" refreshedVersion="3" background="1" saveData="1">
    <dbPr connection="pwd=SQL123;dsn=MIS;database=MIS;Server=10.158.1.8;uid=sa;port=5000;UID=sa;;" command="SELECT * FROM QLY_DLY WHERE DATE&gt;='09/08/20'and DATE&lt;='09/16/2020' ORDER BY  DATE,CUST,UNIT,COMM DESC,EDATE"/>
  </connection>
  <connection id="382" name="Connection429" type="1" refreshedVersion="3" background="1" saveData="1">
    <dbPr connection="pwd=SQL123;dsn=MIS;database=MIS;Server=10.158.1.8;uid=sa;port=5000;UID=sa;;" command="SELECT * FROM QLY_DLY WHERE DATE&gt;='09/01/20'and DATE&lt;='09/18/2020' ORDER BY  DATE,CUST,UNIT,COMM DESC,EDATE"/>
  </connection>
  <connection id="383" name="Connection43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1-01-2019' And QLY_DLY.DATE&lt;='03-31-2019') AND (QLY_DLY.CUST='DSP')_x000d__x000a_ORDER BY QLY_DLY.DATE, QLY_DLY.CUST, QLY_DLY.UNIT, QLY_DLY.COMM DESC, QLY_DLY.EDATE"/>
  </connection>
  <connection id="384" name="Connection430" type="1" refreshedVersion="3" background="1" saveData="1">
    <dbPr connection="pwd=SQL123;dsn=MIS;database=MIS;Server=10.158.1.8;uid=sa;port=5000;UID=sa;;" command="SELECT * FROM QLY_DLY WHERE DATE&gt;='09/01/20'and DATE&lt;='09/24/2020' ORDER BY  DATE,CUST,UNIT,COMM DESC,EDATE"/>
  </connection>
  <connection id="385" name="Connection431" type="1" refreshedVersion="3" background="1" saveData="1">
    <dbPr connection="pwd=SQL123;dsn=MIS;database=MIS;Server=10.158.1.8;uid=sa;port=5000;UID=sa;;" command="SELECT * FROM QLY_DLY WHERE DATE&gt;='09/18/2020'and DATE&lt;='09/24/2020' ORDER BY  DATE,CUST,UNIT,COMM DESC,EDATE"/>
  </connection>
  <connection id="386" name="Connection432" type="1" refreshedVersion="4" background="1" saveData="1">
    <dbPr connection="pwd=SQL123;dsn=MIS;database=MIS;server=10.158.1.8;uid=sa;port=5000;" command="SELECT * FROM QLY_DLY WHERE DATE&gt;='08-01-2020'and DATE&lt;='08/31/2020' ORDER BY  DATE,CUST,UNIT,COMM DESC,EDATE"/>
  </connection>
  <connection id="387" name="Connection433" type="1" refreshedVersion="4" background="1" saveData="1">
    <dbPr connection="pwd=SQL123;dsn=MIS;database=MIS;server=10.158.1.8;uid=sa;port=5000;" command="SELECT * FROM QLY_DLY WHERE DATE&gt;='07-01-2020'and DATE&lt;='07/31/2020' ORDER BY  DATE,CUST,UNIT,COMM DESC,EDATE"/>
  </connection>
  <connection id="388" name="Connection434" type="1" refreshedVersion="3" background="1" saveData="1">
    <dbPr connection="pwd=SQL123;dsn=MIS;database=MIS;Server=10.158.1.8;uid=sa;port=5000;UID=sa;;" command="SELECT * FROM QLY_DLY WHERE DATE&gt;='09/01/20'and DATE&lt;='09/30/2020' ORDER BY  DATE,CUST,UNIT,COMM DESC,EDATE"/>
  </connection>
  <connection id="389" name="Connection435" type="1" refreshedVersion="4" background="1" saveData="1">
    <dbPr connection="dsn=MIS;database=MIS;server=10.158.1.8;port=5000;UID=sa;;" command="SELECT * FROM QLY_DLY WHERE DATE&gt;='2020-01-09'and DATE&lt;='09/30/2020' ORDER BY  DATE,CUST,UNIT,COMM DESC,EDATE"/>
  </connection>
  <connection id="390" name="Connection436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1-09')_x000d__x000a_ORDER BY QLY_DLY.DATE, QLY_DLY.CUST, QLY_DLY.UNIT, QLY_DLY.COMM DESC, QLY_DLY.EDATE"/>
  </connection>
  <connection id="391" name="Connection437" type="1" refreshedVersion="4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2020-09-01' And QLY_DLY.DATE&lt;='09-30-2020') AND (QLY_DLY.CUST&lt;&gt;'RSP')_x000d__x000a_ORDER BY QLY_DLY.DATE, QLY_DLY.CUST, QLY_DLY.UNIT, QLY_DLY.COMM DESC, QLY_DLY.EDATE"/>
  </connection>
  <connection id="392" name="Connection438" type="1" refreshedVersion="4" background="1" saveData="1">
    <dbPr connection="dsn=MIS;database=MIS;server=10.158.1.8;port=5000;UID=sa;;" command="SELECT * FROM QLY_DLY WHERE DATE&gt;='2020-09-01'and DATE&lt;='09-30-2020' ORDER BY  DATE,CUST,UNIT,COMM DESC,EDATE"/>
  </connection>
  <connection id="393" name="Connection439" type="1" refreshedVersion="3" background="1" saveData="1">
    <dbPr connection="pwd=SQL123;dsn=MIS;database=MIS;Server=10.158.1.8;uid=sa;port=5000;UID=sa;;" command="SELECT * FROM QLY_DLY WHERE DATE&gt;='01/10/20'and DATE&lt;='10/08/20' ORDER BY  DATE,CUST,UNIT,COMM DESC,EDATE"/>
  </connection>
  <connection id="394" name="Connection44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15-2019' And QLY_DLY.DATE&lt;='03-31-2019') AND (QLY_DLY.CUST='ISP') AND (QLY_DLY.COMM='L')_x000d__x000a_ORDER BY QLY_DLY.DATE, QLY_DLY.CUST, QLY_DLY.UNIT, QLY_DLY.COMM DESC, QLY_DLY.EDATE"/>
  </connection>
  <connection id="395" name="Connection440" type="1" refreshedVersion="3" background="1" saveData="1">
    <dbPr connection="pwd=SQL123;dsn=MIS;database=MIS;Server=10.158.1.8;uid=sa;port=5000;UID=sa;;" command="SELECT * FROM QLY_DLY WHERE DATE&gt;='10/01/20'and DATE&lt;='10/08/20' ORDER BY  DATE,CUST,UNIT,COMM DESC,EDATE"/>
  </connection>
  <connection id="396" name="Connection441" type="1" refreshedVersion="4" background="1" saveData="1">
    <dbPr connection="pwd=SQL123;dsn=MIS;database=MIS;server=10.158.1.8;uid=sa;port=5000;" command="SELECT * FROM QLY_DLY WHERE DATE&gt;='10-01-2020'and DATE&lt;='10-08-2020' ORDER BY  DATE,CUST,UNIT,COMM DESC,EDATE"/>
  </connection>
  <connection id="397" name="Connection442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8" name="Connection443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399" name="Connection444" type="1" refreshedVersion="3" background="1" saveData="1">
    <dbPr connection="pwd=SQL123;dsn=MIS;database=MIS;Server=10.158.1.8;uid=sa;port=5000;UID=sa;;" command="SELECT * FROM QLY_DLY WHERE DATE&gt;='10/08/20'and DATE&lt;='10/15/2020' ORDER BY  DATE,CUST,UNIT,COMM DESC,EDATE"/>
  </connection>
  <connection id="400" name="Connection445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1" name="Connection446" type="1" refreshedVersion="3" background="1" saveData="1">
    <dbPr connection="pwd=SQL123;dsn=MIS;database=MIS;Server=10.158.1.8;uid=sa;port=5000;UID=sa;;" command="SELECT * FROM QLY_DLY WHERE DATE&gt;='10/01/20'and DATE&lt;='10/15/2020' ORDER BY  DATE,CUST,UNIT,COMM DESC,EDATE"/>
  </connection>
  <connection id="402" name="Connection447" type="1" refreshedVersion="4" background="1" saveData="1">
    <dbPr connection="pwd=SQL123;dsn=MIS;database=MIS;server=10.158.1.8;uid=sa;port=5000;" command="SELECT * FROM QLY_DLY WHERE DATE&gt;='10-12-2020'and DATE&lt;='10-17-2020' ORDER BY  DATE,CUST,UNIT,COMM DESC,EDATE"/>
  </connection>
  <connection id="403" name="Connection448" type="1" refreshedVersion="4" background="1" saveData="1">
    <dbPr connection="pwd=SQL123;dsn=MIS;database=MIS;server=10.158.1.8;uid=sa;port=5000;" command="SELECT * FROM QLY_DLY WHERE DATE&gt;='10-09-2020'and DATE&lt;='10-17-2020' ORDER BY  DATE,CUST,UNIT,COMM DESC,EDATE"/>
  </connection>
  <connection id="404" name="Connection449" type="1" refreshedVersion="3" background="1" saveData="1">
    <dbPr connection="pwd=SQL123;dsn=MIS;database=MIS;Server=10.158.1.8;uid=sa;port=5000;UID=sa;;" command="SELECT * FROM QLY_DLY WHERE DATE&gt;='10/01/20'and DATE&lt;='10-17-2020' ORDER BY  DATE,CUST,UNIT,COMM DESC,EDATE"/>
  </connection>
  <connection id="405" name="Connection45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3-01-2019' And QLY_DLY.DATE&lt;='03-31-2019') AND (QLY_DLY.CUST='BSL') AND (QLY_DLY.UNIT='KAL') AND (QLY_DLY.COMM='F')_x000d__x000a_ORDER BY QLY_DLY.DATE, QLY_DLY.CUST, QLY_DLY.UNIT, QLY_DLY.COMM DESC, QLY_DLY.EDATE"/>
  </connection>
  <connection id="406" name="Connection450" type="1" refreshedVersion="3" background="1" saveData="1">
    <dbPr connection="pwd=SQL123;dsn=MIS;database=MIS;Server=10.158.1.8;uid=sa;port=5000;UID=sa;;" command="SELECT * FROM QLY_DLY WHERE DATE&gt;='10/01/20'and DATE&lt;='10-21-2020' ORDER BY  DATE,CUST,UNIT,COMM DESC,EDATE"/>
  </connection>
  <connection id="407" name="Connection451" type="1" refreshedVersion="4" background="1" saveData="1">
    <dbPr connection="pwd=SQL123;dsn=MIS;database=MIS;server=10.158.1.8;uid=sa;port=5000;" command="SELECT * FROM QLY_DLY WHERE DATE&gt;='04-01-2020'and DATE&lt;='04-30-2020' ORDER BY  DATE,CUST,UNIT,COMM DESC,EDATE"/>
  </connection>
  <connection id="408" name="Connection452" type="1" refreshedVersion="4" background="1" saveData="1">
    <dbPr connection="pwd=SQL123;dsn=MIS;database=MIS;server=10.158.1.8;uid=sa;port=5000;" command="SELECT * FROM QLY_DLY WHERE DATE&gt;='05-01-2020'and DATE&lt;='05-31-2020' ORDER BY  DATE,CUST,UNIT,COMM DESC,EDATE"/>
  </connection>
  <connection id="409" name="Connection453" type="1" refreshedVersion="4" background="1" saveData="1">
    <dbPr connection="pwd=SQL123;dsn=MIS;database=MIS;server=10.158.1.8;uid=sa;port=5000;" command="SELECT * FROM QLY_DLY WHERE DATE&gt;='06-01-2020'and DATE&lt;='06-30-2020' ORDER BY  DATE,CUST,UNIT,COMM DESC,EDATE"/>
  </connection>
  <connection id="410" name="Connection454" type="1" refreshedVersion="4" background="1" saveData="1">
    <dbPr connection="pwd=SQL123;dsn=MIS;database=MIS;server=10.158.1.8;uid=sa;port=5000;" command="SELECT * FROM QLY_DLY WHERE DATE&gt;='09-01-2020'and DATE&lt;='09-30-2020' ORDER BY  DATE,CUST,UNIT,COMM DESC,EDATE"/>
  </connection>
  <connection id="411" name="Connection455" type="1" refreshedVersion="3" background="1" saveData="1">
    <dbPr connection="pwd=SQL123;dsn=MIS;database=MIS;Server=10.158.1.8;uid=sa;port=5000;UID=sa;;" command="SELECT * FROM QLY_DLY WHERE DATE&gt;='09/01/20'and DATE&lt;='09-30-2020' ORDER BY  DATE,CUST,UNIT,COMM DESC,EDATE"/>
  </connection>
  <connection id="412" name="Connection456" type="1" refreshedVersion="3" background="1" saveData="1">
    <dbPr connection="pwd=SQL123;dsn=MIS;database=MIS;Server=10.158.1.8;uid=sa;port=5000;UID=sa;;" command="SELECT * FROM QLY_DLY WHERE DATE&gt;='10/01/20'and DATE&lt;='10-30-2020' ORDER BY  DATE,CUST,UNIT,COMM DESC,EDATE"/>
  </connection>
  <connection id="413" name="Connection457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4" name="Connection458" type="1" refreshedVersion="3" background="1" saveData="1">
    <dbPr connection="pwd=SQL123;dsn=MIS;database=MIS;Server=10.158.1.8;uid=sa;port=5000;UID=sa;;" command="SELECT * FROM QLY_DLY WHERE DATE&gt;='10/01/20'and DATE&lt;='10-31-2020' ORDER BY  DATE,CUST,UNIT,COMM DESC,EDATE"/>
  </connection>
  <connection id="415" name="Connection459" type="1" refreshedVersion="4" background="1" saveData="1">
    <dbPr connection="pwd=SQL123;dsn=MIS;database=MIS;server=10.158.1.8;uid=sa;port=5000;" command="SELECT * FROM QLY_DLY WHERE DATE&gt;='10-01-2020'and DATE&lt;='10-31-2020' ORDER BY  DATE,CUST,UNIT,COMM DESC,EDATE"/>
  </connection>
  <connection id="416" name="Connection4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417" name="Connection460" type="1" refreshedVersion="3" background="1" saveData="1">
    <dbPr connection="pwd=SQL123;dsn=MIS;database=MIS;Server=10.158.1.8;uid=sa;port=5000;UID=sa;;" command="SELECT * FROM QLY_DLY WHERE DATE&gt;='11/01/20'and DATE&lt;='11-13-2020' ORDER BY  DATE,CUST,UNIT,COMM DESC,EDATE"/>
  </connection>
  <connection id="418" name="Connection461" type="1" refreshedVersion="3" background="1" saveData="1">
    <dbPr connection="pwd=SQL123;dsn=MIS;database=MIS;Server=10.158.1.8;uid=sa;port=5000;UID=sa;;" command="SELECT * FROM QLY_DLY WHERE DATE&gt;='11/07/20'and DATE&lt;='11-13-2020' ORDER BY  DATE,CUST,UNIT,COMM DESC,EDATE"/>
  </connection>
  <connection id="419" name="Connection462" type="1" refreshedVersion="3" background="1" saveData="1">
    <dbPr connection="pwd=SQL123;dsn=MIS;database=MIS;Server=10.158.1.8;uid=sa;port=5000;UID=sa;;" command="SELECT * FROM QLY_DLY WHERE DATE&gt;='11/01/20'and DATE&lt;='11-15-2020' ORDER BY  DATE,CUST,UNIT,COMM DESC,EDATE"/>
  </connection>
  <connection id="420" name="Connection463" type="1" refreshedVersion="3" background="1" saveData="1">
    <dbPr connection="pwd=SQL123;dsn=MIS;database=MIS;Server=10.158.1.8;uid=sa;port=5000;UID=sa;;" command="SELECT * FROM QLY_DLY WHERE DATE&gt;='11/01/20'and DATE&lt;='11-22-2020' ORDER BY  DATE,CUST,UNIT,COMM DESC,EDATE"/>
  </connection>
  <connection id="421" name="Connection464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2" name="Connection465" type="1" refreshedVersion="3" background="1" saveData="1">
    <dbPr connection="pwd=SQL123;dsn=MIS;database=MIS;Server=10.158.1.8;uid=sa;port=5000;UID=sa;;" command="SELECT * FROM QLY_DLY WHERE DATE&gt;='11/01/20'and DATE&lt;='11-30-2020' ORDER BY  DATE,CUST,UNIT,COMM DESC,EDATE"/>
  </connection>
  <connection id="423" name="Connection466" type="1" refreshedVersion="3" background="1" saveData="1">
    <dbPr connection="pwd=SQL123;dsn=MIS;database=MIS;Server=10.158.1.8;uid=sa;port=5000;UID=sa;;" command="SELECT * FROM QLY_DLY WHERE DATE&gt;='11/23/2020'and DATE&lt;='11-30-2020' ORDER BY  DATE,CUST,UNIT,COMM DESC,EDATE"/>
  </connection>
  <connection id="424" name="Connection467" type="1" refreshedVersion="3" background="1" saveData="1">
    <dbPr connection="pwd=SQL123;dsn=MIS;database=MIS;Server=10.158.1.8;uid=sa;port=5000;UID=sa;;" command="SELECT * FROM QLY_DLY WHERE DATE&gt;='12/01/20'and DATE&lt;='12/09/20' ORDER BY  DATE,CUST,UNIT,COMM DESC,EDATE"/>
  </connection>
  <connection id="425" name="Connection468" type="1" refreshedVersion="4" background="1" saveData="1">
    <dbPr connection="pwd=SQL123;dsn=MIS;database=MIS;server=10.158.1.8;uid=sa;port=5000;" command="SELECT * FROM QLY_DLY WHERE DATE&gt;='11-01-2020'and DATE&lt;='11-30-2020' ORDER BY  DATE,CUST,UNIT,COMM DESC,EDATE"/>
  </connection>
  <connection id="426" name="Connection469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7" name="Connection47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1/3/2019' And QLY_DLY.DATE&lt;='03-31-2019') AND (QLY_DLY.UNIT='GUA') AND (QLY_DLY.COMM='L')_x000d__x000a_ORDER BY QLY_DLY.DATE, QLY_DLY.CUST, QLY_DLY.UNIT, QLY_DLY.COMM DESC, QLY_DLY.EDATE"/>
  </connection>
  <connection id="428" name="Connection470" type="1" refreshedVersion="3" background="1" saveData="1">
    <dbPr connection="pwd=SQL123;dsn=MIS;database=MIS;Server=10.158.1.8;uid=sa;port=5000;UID=sa;;" command="SELECT * FROM QLY_DLY WHERE DATE&gt;='12/01/20'and DATE&lt;='12-14-2020' ORDER BY  DATE,CUST,UNIT,COMM DESC,EDATE"/>
  </connection>
  <connection id="429" name="Connection471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0" name="Connection472" type="1" refreshedVersion="3" background="1" saveData="1">
    <dbPr connection="pwd=SQL123;dsn=MIS;database=MIS;Server=10.158.1.8;uid=sa;port=5000;UID=sa;;" command="SELECT * FROM QLY_DLY WHERE DATE&gt;='12/08/20'and DATE&lt;='12-14-2020' ORDER BY  DATE,CUST,UNIT,COMM DESC,EDATE"/>
  </connection>
  <connection id="431" name="Connection473" type="1" refreshedVersion="3" background="1" saveData="1">
    <dbPr connection="pwd=SQL123;dsn=MIS;database=MIS;Server=10.158.1.8;uid=sa;port=5000;UID=sa;;" command="SELECT * FROM QLY_DLY WHERE DATE&gt;='12/01/20'and DATE&lt;='12-21-2020' ORDER BY  DATE,CUST,UNIT,COMM DESC,EDATE"/>
  </connection>
  <connection id="432" name="Connection474" type="1" refreshedVersion="3" background="1" saveData="1">
    <dbPr connection="pwd=SQL123;dsn=MIS;database=MIS;Server=10.158.1.8;uid=sa;port=5000;UID=sa;;" command="SELECT * FROM QLY_DLY WHERE DATE&gt;='12/16/2020'and DATE&lt;='12-21-2020' ORDER BY  DATE,CUST,UNIT,COMM DESC,EDATE"/>
  </connection>
  <connection id="433" name="Connection475" type="1" refreshedVersion="3" background="1" saveData="1">
    <dbPr connection="pwd=SQL123;dsn=MIS;database=MIS;Server=10.158.1.8;uid=sa;port=5000;UID=sa;;" command="SELECT * FROM QLY_DLY WHERE DATE&gt;='12/01/20'and DATE&lt;='12-31-2020' ORDER BY  DATE,CUST,UNIT,COMM DESC,EDATE"/>
  </connection>
  <connection id="434" name="Connection476" type="1" refreshedVersion="3" background="1" saveData="1">
    <dbPr connection="pwd=SQL123;dsn=MIS;database=MIS;Server=10.158.1.8;uid=sa;port=5000;UID=sa;;" command="SELECT * FROM QLY_DLY WHERE DATE&gt;='01/01/21'and DATE&lt;='01/11/21' ORDER BY  DATE,CUST,UNIT,COMM DESC,EDATE"/>
  </connection>
  <connection id="435" name="Connection477" type="1" refreshedVersion="4" background="1" saveData="1">
    <dbPr connection="pwd=SQL123;dsn=MIS;database=MIS;server=10.158.1.8;uid=sa;port=5000;" command="SELECT * FROM QLY_DLY WHERE DATE&gt;='12-01-2020'and DATE&lt;='12-31-2020' ORDER BY  DATE,CUST,UNIT,COMM DESC,EDATE"/>
  </connection>
  <connection id="436" name="Connection478" type="1" refreshedVersion="3" background="1" saveData="1">
    <dbPr connection="pwd=SQL123;dsn=MIS;database=MIS;Server=10.158.1.8;uid=sa;port=5000;UID=sa;;" command="SELECT * FROM QLY_DLY WHERE DATE&gt;='01/01/21'and DATE&lt;='01-25-2021' ORDER BY  DATE,CUST,UNIT,COMM DESC,EDATE"/>
  </connection>
  <connection id="437" name="Connection479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38" name="Connection48" type="1" refreshedVersion="3" background="1" saveData="1">
    <dbPr connection="dsn=MIS;database=MIS;server=10.158.1.8;port=5000;UID=sa;;" command="SELECT * FROM QLY_DLY WHERE DATE&gt;='1/3/2019'and DATE&lt;='03-31-2019' ORDER BY  DATE,CUST,UNIT,COMM DESC,EDATE"/>
  </connection>
  <connection id="439" name="Connection480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0" name="Connection481" type="1" refreshedVersion="3" background="1" saveData="1">
    <dbPr connection="pwd=SQL123;dsn=MIS;database=MIS;Server=10.158.1.8;uid=sa;port=5000;UID=sa;;" command="SELECT * FROM QLY_DLY WHERE DATE&gt;='01/02/21'and DATE&lt;='02/07/21' ORDER BY  DATE,CUST,UNIT,COMM DESC,EDATE"/>
  </connection>
  <connection id="441" name="Connection482" type="1" refreshedVersion="3" background="1" saveData="1">
    <dbPr connection="pwd=SQL123;dsn=MIS;database=MIS;Server=10.158.1.8;uid=sa;port=5000;UID=sa;;" command="SELECT * FROM QLY_DLY WHERE DATE&gt;='02/01/21'and DATE&lt;='02/07/21' ORDER BY  DATE,CUST,UNIT,COMM DESC,EDATE"/>
  </connection>
  <connection id="442" name="Connection483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43" name="Connection484" type="1" refreshedVersion="3" background="1" saveData="1">
    <dbPr connection="pwd=SQL123;dsn=MIS;database=MIS;Server=10.158.1.8;uid=sa;port=5000;UID=sa;;" command="SELECT * FROM QLY_DLY WHERE DATE&gt;='01/01/21'and DATE&lt;='01-31-2021' ORDER BY  DATE,CUST,UNIT,COMM DESC,EDATE"/>
  </connection>
  <connection id="444" name="Connection485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5" name="Connection486" type="1" refreshedVersion="3" background="1" saveData="1">
    <dbPr connection="pwd=SQL123;dsn=MIS;database=MIS;Server=10.158.1.8;uid=sa;port=5000;UID=sa;;" command="SELECT * FROM QLY_DLY WHERE DATE&gt;='01/01/21'and DATE&lt;='02-20-2021' ORDER BY  DATE,CUST,UNIT,COMM DESC,EDATE"/>
  </connection>
  <connection id="446" name="Connection487" type="1" refreshedVersion="3" background="1" saveData="1">
    <dbPr connection="pwd=SQL123;dsn=MIS;database=MIS;Server=10.158.1.8;uid=sa;port=5000;UID=sa;;" command="SELECT * FROM QLY_DLY WHERE DATE&gt;='01/02/21'and DATE&lt;='02-15-2021' ORDER BY  DATE,CUST,UNIT,COMM DESC,EDATE"/>
  </connection>
  <connection id="447" name="Connection488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8" name="Connection489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49" name="Connection49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50" name="Connection490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1" name="Connection491" type="1" refreshedVersion="3" background="1" saveData="1">
    <dbPr connection="pwd=SQL123;dsn=MIS;database=MIS;Server=10.158.1.8;uid=sa;port=5000;UID=sa;;" command="SELECT * FROM QLY_DLY WHERE DATE&gt;='02/01/21'and DATE&lt;='02-15-2021' ORDER BY  DATE,CUST,UNIT,COMM DESC,EDATE"/>
  </connection>
  <connection id="452" name="Connection492" type="1" refreshedVersion="4" background="1" saveData="1">
    <dbPr connection="pwd=SQL123;dsn=MIS;database=MIS;server=10.158.1.8;uid=sa;port=5000;" command="SELECT * FROM QLY_DLY WHERE DATE&gt;='01-01-2021'and DATE&lt;='01-31-2021' ORDER BY  DATE,CUST,UNIT,COMM DESC,EDATE"/>
  </connection>
  <connection id="453" name="Connection493" type="1" refreshedVersion="4" background="1" saveData="1">
    <dbPr connection="pwd=SQL123;dsn=SAILDB;database=MIS;server=10.158.1.8;uid=sa;port=5000;" command="SELECT * FROM QLY_DLY WHERE DATE&gt;='02-01-2021'and DATE&lt;='02-28-2021' ORDER BY  DATE,CUST,UNIT,COMM DESC,EDATE"/>
  </connection>
  <connection id="454" name="Connection494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5" name="Connection495" type="1" refreshedVersion="3" background="1" saveData="1">
    <dbPr connection="pwd=SQL123;dsn=MIS;database=MIS;Server=10.158.1.8;uid=sa;port=5000;UID=sa;;" command="SELECT * FROM QLY_DLY WHERE DATE&gt;='01/01/21'and DATE&lt;='02-28-2021' ORDER BY  DATE,CUST,UNIT,COMM DESC,EDATE"/>
  </connection>
  <connection id="456" name="Connection496" type="1" refreshedVersion="3" background="1" saveData="1">
    <dbPr connection="pwd=SQL123;dsn=MIS;database=MIS;Server=10.158.1.8;uid=sa;port=5000;UID=sa;;" command="SELECT * FROM QLY_DLY WHERE DATE&gt;='02/01/21'and DATE&lt;='02-28-2021' ORDER BY  DATE,CUST,UNIT,COMM DESC,EDATE"/>
  </connection>
  <connection id="457" name="Connection497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8" name="Connection498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59" name="Connection499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0" name="Connection5" type="1" refreshedVersion="3" background="1" saveData="1">
    <dbPr connection="dsn=MIS;database=MIS;server=10.158.1.8;port=5000;UID=sa;;" command="SELECT * FROM QLY_DLY WHERE DATE&gt;='2/1/2019'and DATE&lt;='02-28-2019' ORDER BY  DATE,CUST,UNIT,COMM DESC,EDATE"/>
  </connection>
  <connection id="461" name="Connection50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62" name="Connection500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3" name="Connection501" type="1" refreshedVersion="4" background="1" saveData="1">
    <dbPr connection="pwd=SQL123;dsn=MIS;database=MIS;server=10.158.1.8;uid=sa;port=5000;" command="SELECT * FROM QLY_DLY WHERE DATE&gt;='3/1/2021'and DATE&lt;='3/10/2021' ORDER BY  DATE,CUST,UNIT,COMM DESC,EDATE"/>
  </connection>
  <connection id="464" name="Connection502" type="1" refreshedVersion="4" background="1" saveData="1">
    <dbPr connection="pwd=SQL123;dsn=MIS;database=MIS;server=10.158.1.8;uid=sa;port=5000;" command="SELECT * FROM QLY_DLY WHERE DATE&gt;='2/1/2021'and DATE&lt;='2/28/2021' ORDER BY  DATE,CUST,UNIT,COMM DESC,EDATE"/>
  </connection>
  <connection id="465" name="Connection503" type="1" refreshedVersion="4" background="1" saveData="1">
    <dbPr connection="pwd=SQL123;dsn=MIS;database=MIS;server=10.158.1.8;uid=sa;port=5000;" command="SELECT * FROM QLY_DLY WHERE DATE&gt;='3/1/2021'and DATE&lt;='3/7/2021' ORDER BY  DATE,CUST,UNIT,COMM DESC,EDATE"/>
  </connection>
  <connection id="466" name="Connection50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67" name="Connection505" type="1" refreshedVersion="4" background="1" saveData="1">
    <dbPr connection="pwd=SQL123;dsn=MIS;database=MIS;server=10.158.1.8;uid=sa;port=5000;" command="SELECT * FROM QLY_DLY WHERE DATE&gt;='3/1/2021'and DATE&lt;='3/14/2021' ORDER BY  DATE,CUST,UNIT,COMM DESC,EDATE"/>
  </connection>
  <connection id="468" name="Connection506" type="1" refreshedVersion="0" background="1" saveData="1">
    <dbPr connection="pwd=SQL123;dsn=SAILDB;database=MIS;server=10.158.1.8;uid=sa;port=5000;" command="SELECT * FROM QLY_DLY WHERE DATE&gt;='01-03-2021'and DATE&lt;='14-03-2021' ORDER BY  DATE,CUST,UNIT,COMM DESC,EDATE"/>
  </connection>
  <connection id="469" name="Connection507" type="1" refreshedVersion="4" background="1" saveData="1">
    <dbPr connection="pwd=SQL123;dsn=SAILDB;database=MIS;server=10.158.1.8;uid=sa;port=5000;" command="SELECT * FROM QLY_DLY WHERE DATE&gt;='03-01-2021'and DATE&lt;='03-14-2021' ORDER BY  DATE,CUST,UNIT,COMM DESC,EDATE"/>
  </connection>
  <connection id="470" name="Connection508" type="1" refreshedVersion="4" background="1" saveData="1">
    <dbPr connection="pwd=SQL123;dsn=MIS;database=MIS;server=10.158.1.8;uid=sa;port=5000;" command="SELECT * FROM QLY_DLY WHERE DATE&gt;='3/1/2021'and DATE&lt;='03-14-2021' ORDER BY  DATE,CUST,UNIT,COMM DESC,EDATE"/>
  </connection>
  <connection id="471" name="Connection509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2" name="Connection51" type="1" refreshedVersion="3" background="1" saveData="1">
    <dbPr connection="dsn=MIS;database=MIS;server=10.158.1.8;port=5000;UID=sa;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20/2019' And QLY_DLY.DATE&lt;='3/31/2019') AND (QLY_DLY.CUST='DSP') AND (QLY_DLY.UNIT='MBR') AND (QLY_DLY.COMM='F')_x000d__x000a_ORDER BY QLY_DLY.DATE, QLY_DLY.CUST, QLY_DLY.UNIT, QLY_DLY.COMM DESC, QLY_DLY.EDATE"/>
  </connection>
  <connection id="473" name="Connection510" type="1" refreshedVersion="4" background="1" saveData="1">
    <dbPr connection="pwd=SQL123;dsn=MIS;database=MIS;server=10.158.1.8;uid=sa;port=5000;" command="SELECT * FROM QLY_DLY WHERE DATE&gt;='3/8/2021'and DATE&lt;='03-14-2021' ORDER BY  DATE,CUST,UNIT,COMM DESC,EDATE"/>
  </connection>
  <connection id="474" name="Connection511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5" name="Connection512" type="1" refreshedVersion="4" background="1" saveData="1">
    <dbPr connection="pwd=SQL123;dsn=MIS;database=MIS;server=10.158.1.8;uid=sa;port=5000;" command="SELECT * FROM QLY_DLY WHERE DATE&gt;='3/8/2021'and DATE&lt;='3/20/2021' ORDER BY  DATE,CUST,UNIT,COMM DESC,EDATE"/>
  </connection>
  <connection id="476" name="Connection513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7" name="Connection514" type="1" refreshedVersion="4" background="1" saveData="1">
    <dbPr connection="pwd=SQL123;dsn=MIS;database=MIS;server=10.158.1.8;uid=sa;port=5000;" command="SELECT * FROM QLY_DLY WHERE DATE&gt;='3/1/2021'and DATE&lt;='3/20/2021' ORDER BY  DATE,CUST,UNIT,COMM DESC,EDATE"/>
  </connection>
  <connection id="478" name="Connection515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79" name="Connection516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0" name="Connection51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23/2021') AND (QLY_DLY.CUST='RSP') AND (QLY_DLY.COMM='F') AND (QLY_DLY.UNIT='KBR')_x000d__x000a_ORDER BY QLY_DLY.DATE, QLY_DLY.CUST, QLY_DLY.UNIT, QLY_DLY.COMM DESC, QLY_DLY.EDATE"/>
  </connection>
  <connection id="481" name="Connection518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2" name="Connection519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3" name="Connection52" type="1" refreshedVersion="3" background="1" saveData="1">
    <dbPr connection="dsn=MIS;database=MIS;server=10.158.1.8;port=5000;UID=sa;;" command="SELECT * FROM QLY_DLY WHERE DATE&gt;='3/1/2019'and DATE&lt;='3/31/2019' ORDER BY  DATE,CUST,UNIT,COMM DESC,EDATE"/>
  </connection>
  <connection id="484" name="Connection520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5" name="Connection521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6" name="Connection522" type="1" refreshedVersion="4" background="1" saveData="1">
    <dbPr connection="pwd=SQL123;dsn=MIS;database=MIS;server=10.158.1.8;uid=sa;port=5000;" command="SELECT * FROM QLY_DLY WHERE DATE&gt;='3/1/2021'and DATE&lt;='3/23/2021' ORDER BY  DATE,CUST,UNIT,COMM DESC,EDATE"/>
  </connection>
  <connection id="487" name="Connection523" type="1" refreshedVersion="4" background="1" saveData="1">
    <dbPr connection="pwd=SQL123;dsn=MIS;database=MIS;server=10.158.1.8;uid=sa;port=5000;" command="SELECT * FROM QLY_DLY WHERE DATE&gt;='3/1/2021'and DATE&lt;='3/21/2021' ORDER BY  DATE,CUST,UNIT,COMM DESC,EDATE"/>
  </connection>
  <connection id="488" name="Connection524" type="1" refreshedVersion="4" background="1" saveData="1">
    <dbPr connection="pwd=SQL123;dsn=MIS;database=MIS;server=10.158.1.8;uid=sa;port=5000;" command="SELECT * FROM QLY_DLY WHERE DATE&gt;='3/1/2021'and DATE&lt;='3/28/2021' ORDER BY  DATE,CUST,UNIT,COMM DESC,EDATE"/>
  </connection>
  <connection id="489" name="Connection525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0" name="Connection526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1" name="Connection527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2" name="Connection528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3" name="Connection529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4" name="Connection53" type="1" refreshedVersion="0" background="1" saveData="1">
    <dbPr connection="pwd=SQL123;dsn=MIS;database=MIS;server=10.158.1.8;uid=sa;port=5000;" command="SELECT * FROM QLY_DLY WHERE DATE&gt;='03-01-2019'and DATE&lt;='31-03-2019' ORDER BY  DATE,CUST,UNIT,COMM DESC,EDATE"/>
  </connection>
  <connection id="495" name="Connection530" type="1" refreshedVersion="4" background="1" saveData="1">
    <dbPr connection="pwd=SQL123;dsn=MIS;database=MIS;server=10.158.1.8;uid=sa;port=5000;" command="SELECT * FROM QLY_DLY WHERE DATE&gt;='3/21/2021'and DATE&lt;='3/27/2021' ORDER BY  DATE,CUST,UNIT,COMM DESC,EDATE"/>
  </connection>
  <connection id="496" name="Connection531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497" name="Connection532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 AND (QLY_DLY.CUST='BSL') AND (QLY_DLY.UNIT='BOL') AND (QLY_DLY.COMM='L')_x000d__x000a_ORDER BY QLY_DLY.DATE, QLY_DLY.CUST, QLY_DLY.UNIT, QLY_DLY.COMM DESC, QLY_DLY.EDATE"/>
  </connection>
  <connection id="498" name="Connection533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4/1/2021' And QLY_DLY.DATE&lt;='4/30/2021')_x000d__x000a_ORDER BY QLY_DLY.DATE, QLY_DLY.CUST, QLY_DLY.UNIT, QLY_DLY.COMM DESC, QLY_DLY.EDATE"/>
  </connection>
  <connection id="499" name="Connection534" type="1" refreshedVersion="4" background="1" saveData="1">
    <dbPr connection="pwd=SQL123;dsn=MIS;database=MIS;server=10.158.1.8;uid=sa;port=5000;" command="SELECT * FROM QLY_DLY WHERE DATE&gt;='3/1/2021'and DATE&lt;='3/30/2021' ORDER BY  DATE,CUST,UNIT,COMM DESC,EDATE"/>
  </connection>
  <connection id="500" name="Connection53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01" name="Connection536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2" name="Connection53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BAR') AND (QLY_DLY.COMM='F') AND (QLY_DLY.FE=60.4)_x000d__x000a_ORDER BY QLY_DLY.DATE, QLY_DLY.CUST, QLY_DLY.UNIT, QLY_DLY.COMM DESC, QLY_DLY.EDATE"/>
  </connection>
  <connection id="503" name="Connection538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4" name="Connection539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5" name="Connection54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06" name="Connection540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3/1/2021' And QLY_DLY.DATE&lt;='3/31/2021') AND (QLY_DLY.UNIT='KBR') AND (QLY_DLY.COMM='F')_x000d__x000a_ORDER BY QLY_DLY.DATE, QLY_DLY.CUST, QLY_DLY.UNIT, QLY_DLY.COMM DESC, QLY_DLY.EDATE"/>
  </connection>
  <connection id="507" name="Connection541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8" name="Connection542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09" name="Connection543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0" name="Connection544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1" name="Connection545" type="1" refreshedVersion="4" background="1" saveData="1">
    <dbPr connection="pwd=SQL123;dsn=MIS;database=MIS;server=10.158.1.8;uid=sa;port=5000;" command="SELECT * FROM QLY_DLY WHERE DATE&gt;='02-01-2021'and DATE&lt;='02-28-2021' ORDER BY  DATE,CUST,UNIT,COMM DESC,EDATE"/>
  </connection>
  <connection id="512" name="Connection546" type="1" refreshedVersion="4" background="1" saveData="1">
    <dbPr connection="pwd=SQL123;dsn=MIS;database=MIS;server=10.158.1.8;uid=sa;port=5000;" command="SELECT * FROM QLY_DLY WHERE DATE&gt;='1/3/2021'and DATE&lt;='3/30/2021' ORDER BY  DATE,CUST,UNIT,COMM DESC,EDATE"/>
  </connection>
  <connection id="513" name="Connection547" type="1" refreshedVersion="4" background="1" saveData="1">
    <dbPr connection="pwd=SQL123;dsn=MIS;database=MIS;server=10.158.1.8;uid=sa;port=5000;" command="SELECT * FROM QLY_DLY WHERE DATE&gt;='3/1/2021'and DATE&lt;='3/31/2021' ORDER BY  DATE,CUST,UNIT,COMM DESC,EDATE"/>
  </connection>
  <connection id="514" name="Connection548" type="1" refreshedVersion="4" background="1" saveData="1">
    <dbPr connection="pwd=SQL123;dsn=MIS;database=MIS;server=10.158.1.8;uid=sa;port=5000;" command="SELECT * FROM QLY_DLY WHERE DATE&gt;='4/1/2021'and DATE&lt;='4/5/2021' ORDER BY  DATE,CUST,UNIT,COMM DESC,EDATE"/>
  </connection>
  <connection id="515" name="Connection54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6" name="Connection55" type="1" refreshedVersion="4" background="1" saveData="1">
    <dbPr connection="pwd=SQL123;dsn=MIS;database=MIS;server=10.158.1.8;uid=sa;port=5000;" command="SELECT * FROM QLY_DLY WHERE DATE&gt;='03-01-2019'and DATE&lt;='03-31-2019' ORDER BY  DATE,CUST,UNIT,COMM DESC,EDATE"/>
  </connection>
  <connection id="517" name="Connection55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8" name="Connection55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19" name="Connection55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0" name="Connection553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1" name="Connection554" type="1" refreshedVersion="4" background="1" saveData="1">
    <dbPr connection="pwd=SQL123;dsn=SAILDB;database=MIS;server=10.158.1.8;uid=sa;port=5000;" command="SELECT * FROM QLY_DLY WHERE DATE&gt;='04-01-2021'and DATE&lt;='10-04-2021' ORDER BY  DATE,CUST,UNIT,COMM DESC,EDATE"/>
  </connection>
  <connection id="522" name="Connection555" type="1" refreshedVersion="4" background="1" saveData="1">
    <dbPr connection="pwd=SQL123;dsn=MIS;database=MIS;server=10.158.1.8;uid=sa;port=5000;" command="SELECT * FROM QLY_DLY WHERE DATE&gt;='1/4/2021'and DATE&lt;='4/10/2021' ORDER BY  DATE,CUST,UNIT,COMM DESC,EDATE"/>
  </connection>
  <connection id="523" name="Connection556" type="1" refreshedVersion="4" background="1" saveData="1">
    <dbPr connection="pwd=SQL123;dsn=MIS;database=MIS;server=10.158.1.8;uid=sa;port=5000;" command="SELECT * FROM QLY_DLY WHERE DATE&gt;='3/1/2021'and DATE&lt;='4/10/2021' ORDER BY  DATE,CUST,UNIT,COMM DESC,EDATE"/>
  </connection>
  <connection id="524" name="Connection55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5" name="Connection55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6" name="Connection559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7" name="Connection56" type="1" refreshedVersion="4" background="1" saveData="1">
    <dbPr connection="dsn=MIS;database=MIS;server=10.158.1.8;port=5000;UID=sa;;" command="SELECT * FROM QLY_DLY WHERE DATE&gt;='03-01-2019'and DATE&lt;='03-31-2019' ORDER BY  DATE,CUST,UNIT,COMM DESC,EDATE"/>
  </connection>
  <connection id="528" name="Connection560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29" name="Connection561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0" name="Connection562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1" name="Connection563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2" name="Connection564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3" name="Connection565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4" name="Connection566" type="1" refreshedVersion="4" background="1" saveData="1">
    <dbPr connection="pwd=SQL123;dsn=MIS;database=MIS;server=10.158.1.8;uid=sa;port=5000;" command="SELECT * FROM QLY_DLY WHERE DATE&gt;='4/1/2021'and DATE&lt;='4/12/2021' ORDER BY  DATE,CUST,UNIT,COMM DESC,EDATE"/>
  </connection>
  <connection id="535" name="Connection567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6" name="Connection568" type="1" refreshedVersion="4" background="1" saveData="1">
    <dbPr connection="pwd=SQL123;dsn=MIS;database=MIS;server=10.158.1.8;uid=sa;port=5000;" command="SELECT * FROM QLY_DLY WHERE DATE&gt;='4/1/2021'and DATE&lt;='4/10/2021' ORDER BY  DATE,CUST,UNIT,COMM DESC,EDATE"/>
  </connection>
  <connection id="537" name="Connection569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38" name="Connection57" type="1" refreshedVersion="3" background="1" saveData="1">
    <dbPr connection="dsn=MIS;database=MIS;server=10.158.1.8;port=5000;UID=sa;;" command="SELECT * FROM QLY_DLY WHERE DATE&gt;='04-Jan-19'and DATE&lt;='04-30-2019' ORDER BY  DATE,CUST,UNIT,COMM DESC,EDATE"/>
  </connection>
  <connection id="539" name="Connection570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0" name="Connection571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1" name="Connection572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2" name="Connection573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43" name="Connection574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4" name="Connection575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5" name="Connection576" type="1" refreshedVersion="4" background="1" saveData="1">
    <dbPr connection="pwd=SQL123;dsn=MIS;database=MIS;server=10.158.1.8;uid=sa;port=5000;" command="SELECT * FROM QLY_DLY WHERE DATE&gt;='4/1/2021'and DATE&lt;='4/15/2021' ORDER BY  DATE,CUST,UNIT,COMM DESC,EDATE"/>
  </connection>
  <connection id="546" name="Connection577" type="1" refreshedVersion="4" background="1" saveData="1">
    <dbPr connection="pwd=SQL123;dsn=MIS;database=MIS;server=10.158.1.8;uid=sa;port=5000;" command="SELECT * FROM QLY_DLY WHERE DATE&gt;='4/1/2021'and DATE&lt;='4/14/2021' ORDER BY  DATE,CUST,UNIT,COMM DESC,EDATE"/>
  </connection>
  <connection id="547" name="Connection578" type="1" refreshedVersion="0" background="1" saveData="1">
    <dbPr connection="pwd=SQL123;dsn=MIS;database=MIS;server=10.158.1.8;uid=sa;port=5000;" command="SELECT * FROM QLY_DLY WHERE DATE&gt;='01-04-2021'and DATE&lt;='14-04-2021' ORDER BY  DATE,CUST,UNIT,COMM DESC,EDATE"/>
  </connection>
  <connection id="548" name="Connection579" type="1" refreshedVersion="4" background="1" saveData="1">
    <dbPr connection="pwd=SQL123;dsn=MIS;database=MIS;server=10.158.1.8;uid=sa;port=5000;" command="SELECT * FROM QLY_DLY WHERE DATE&gt;='01-04-2021'and DATE&lt;='4/14/2021' ORDER BY  DATE,CUST,UNIT,COMM DESC,EDATE"/>
  </connection>
  <connection id="549" name="Connection58" type="1" refreshedVersion="3" background="1" saveData="1">
    <dbPr connection="dsn=MIS;database=MIS;server=10.158.1.8;port=5000;UID=sa;;" command="SELECT * FROM QLY_DLY WHERE DATE&gt;='01-Apr-19'and DATE&lt;='04-30-2019' ORDER BY  DATE,CUST,UNIT,COMM DESC,EDATE"/>
  </connection>
  <connection id="550" name="Connection580" type="1" refreshedVersion="4" background="1" saveData="1">
    <dbPr connection="pwd=SQL123;dsn=MIS;database=MIS;server=10.158.1.8;uid=sa;port=5000;" command="SELECT * FROM QLY_DLY WHERE DATE&gt;='01-04-2021'and DATE&lt;='4/20/2021' ORDER BY  DATE,CUST,UNIT,COMM DESC,EDATE"/>
  </connection>
  <connection id="551" name="Connection581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2" name="Connection582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3" name="Connection583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4" name="Connection584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5" name="Connection585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6" name="Connection586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L') AND (QLY_DLY.UNIT='BIM')_x000d__x000a_ORDER BY QLY_DLY.DATE, QLY_DLY.CUST, QLY_DLY.UNIT, QLY_DLY.COMM DESC, QLY_DLY.EDATE"/>
  </connection>
  <connection id="557" name="Connection587" type="1" refreshedVersion="4" background="1" saveData="1">
    <dbPr connection="pwd=SQL123;dsn=MIS;database=MIS;server=10.158.1.8;uid=sa;port=5000;" command="SELECT QLY_DLY.SLNO, QLY_DLY.DATE, QLY_DLY.CUST, QLY_DLY.UNIT, QLY_DLY.COMM_GRP, QLY_DLY.COMM, QLY_DLY.FE, QLY_DLY.SIO2, QLY_DLY.AL2O3, QLY_DLY.OS, QLY_DLY.US, QLY_DLY.RAKENO, QLY_DLY.EDATE_x000d__x000a_FROM MIS.dbo.QLY_DLY QLY_DLY_x000d__x000a_WHERE (QLY_DLY.DATE&gt;='04-01-2021' And QLY_DLY.DATE&lt;='4/20/2021') AND (QLY_DLY.CUST='RSP') AND (QLY_DLY.COMM='F') AND (QLY_DLY.UNIT='KBR')_x000d__x000a_ORDER BY QLY_DLY.DATE, QLY_DLY.CUST, QLY_DLY.UNIT, QLY_DLY.COMM DESC, QLY_DLY.EDATE"/>
  </connection>
  <connection id="558" name="Connection588" type="1" refreshedVersion="4" background="1" saveData="1">
    <dbPr connection="pwd=SQL123;dsn=MIS;database=MIS;server=10.158.1.8;uid=sa;port=5000;" command="SELECT * FROM QLY_DLY WHERE DATE&gt;='04-01-2021'and DATE&lt;='4/20/2021' ORDER BY  DATE,CUST,UNIT,COMM DESC,EDATE"/>
  </connection>
  <connection id="559" name="Connection589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0" name="Connection59" type="1" refreshedVersion="4" background="1" saveData="1">
    <dbPr connection="pwd=SQL123;dsn=MIS;database=MIS;server=10.158.1.8;uid=sa;port=5000;" command="SELECT * FROM QLY_DLY WHERE DATE&gt;='01-04-2019'and DATE&lt;='04-30-2019' ORDER BY  DATE,CUST,UNIT,COMM DESC,EDATE"/>
  </connection>
  <connection id="561" name="Connection590" type="1" refreshedVersion="4" background="1" saveData="1">
    <dbPr connection="pwd=SQL123;dsn=MIS;database=MIS;server=10.158.1.8;uid=sa;port=5000;" command="SELECT * FROM QLY_DLY WHERE DATE&gt;='1/4/2021'and DATE&lt;='4/20/2021' ORDER BY  DATE,CUST,UNIT,COMM DESC,EDATE"/>
  </connection>
  <connection id="562" name="Connection591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3" name="Connection592" type="1" refreshedVersion="4" background="1" saveData="1">
    <dbPr connection="pwd=SQL123;dsn=MIS;database=MIS;server=10.158.1.8;uid=sa;port=5000;" command="SELECT * FROM QLY_DLY WHERE DATE&gt;='4/1/2021'and DATE&lt;='4/20/2021' ORDER BY  DATE,CUST,UNIT,COMM DESC,EDATE"/>
  </connection>
  <connection id="564" name="Connection59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65" name="Connection594" type="1" refreshedVersion="4" background="1" saveData="1">
    <dbPr connection="pwd=SQL123;dsn=MIS;database=MIS;server=10.158.1.8;uid=sa;port=5000;" command="SELECT * FROM QLY_DLY WHERE DATE&gt;='03-01-2021'and DATE&lt;='03-31-2021' ORDER BY  DATE,CUST,UNIT,COMM DESC,EDATE"/>
  </connection>
  <connection id="566" name="Connection595" type="1" refreshedVersion="0" background="1" saveData="1">
    <dbPr connection="pwd=SQL123;dsn=MIS;database=MIS;server=10.158.1.8;uid=sa;port=5000;" command="SELECT * FROM QLY_DLY WHERE DATE&gt;='1/4/2021'and DATE&lt;='04-31-2021' ORDER BY  DATE,CUST,UNIT,COMM DESC,EDATE"/>
  </connection>
  <connection id="567" name="Connection596" type="1" refreshedVersion="0" background="1" saveData="1">
    <dbPr connection="pwd=SQL123;dsn=MIS;database=MIS;server=10.158.1.8;uid=sa;port=5000;" command="SELECT * FROM QLY_DLY WHERE DATE&gt;='4/1/2021'and DATE&lt;='04-31-2021' ORDER BY  DATE,CUST,UNIT,COMM DESC,EDATE"/>
  </connection>
  <connection id="568" name="Connection597" type="1" refreshedVersion="0" background="1" saveData="1">
    <dbPr connection="pwd=SQL123;dsn=MIS;database=MIS;server=10.158.1.8;uid=sa;port=5000;" command="SELECT * FROM QLY_DLY WHERE DATE&gt;='4/1/2021'and DATE&lt;='31-4-2021' ORDER BY  DATE,CUST,UNIT,COMM DESC,EDATE"/>
  </connection>
  <connection id="569" name="Connection598" type="1" refreshedVersion="0" background="1" saveData="1">
    <dbPr connection="pwd=SQL123;dsn=MIS;database=MIS;server=10.158.1.8;uid=sa;port=5000;" command="SELECT * FROM QLY_DLY WHERE DATE&gt;='1/4/2021'and DATE&lt;='31-4-2021' ORDER BY  DATE,CUST,UNIT,COMM DESC,EDATE"/>
  </connection>
  <connection id="570" name="Connection599" type="1" refreshedVersion="4" background="1" saveData="1">
    <dbPr connection="pwd=SQL123;dsn=MIS;database=MIS;server=10.158.1.8;uid=sa;port=5000;" command="SELECT * FROM QLY_DLY WHERE DATE&gt;='1/4/2021'and DATE&lt;='4/25/2021' ORDER BY  DATE,CUST,UNIT,COMM DESC,EDATE"/>
  </connection>
  <connection id="571" name="Connection6" type="1" refreshedVersion="4" background="1" saveData="1">
    <dbPr connection="dsn=MIS;database=MIS;server=10.158.1.8;port=5000;UID=sa;;" command="SELECT * FROM QLY_DLY WHERE DATE&gt;='01-01-2019'and DATE&lt;='01-31-2019' ORDER BY  DATE,CUST,UNIT,COMM DESC,EDATE"/>
  </connection>
  <connection id="572" name="Connection60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73" name="Connection600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4" name="Connection601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5" name="Connection602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6" name="Connection603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7" name="Connection604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8" name="Connection605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79" name="Connection606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0" name="Connection607" type="1" refreshedVersion="4" background="1" saveData="1">
    <dbPr connection="pwd=SQL123;dsn=MIS;database=MIS;server=10.158.1.8;uid=sa;port=5000;" command="SELECT * FROM QLY_DLY WHERE DATE&gt;='4/1/2021'and DATE&lt;='4/25/2021' ORDER BY  DATE,CUST,UNIT,COMM DESC,EDATE"/>
  </connection>
  <connection id="581" name="Connection608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2" name="Connection609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3" name="Connection61" type="1" refreshedVersion="4" background="1" saveData="1">
    <dbPr connection="pwd=SQL123;dsn=MIS;database=MIS;server=10.158.1.8;uid=sa;port=5000;" command="SELECT * FROM QLY_DLY WHERE DATE&gt;='04-01-2019'and DATE&lt;='04-30-2019' ORDER BY  DATE,CUST,UNIT,COMM DESC,EDATE"/>
  </connection>
  <connection id="584" name="Connection610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5" name="Connection611" type="1" refreshedVersion="4" background="1" saveData="1">
    <dbPr connection="pwd=SQL123;dsn=MIS;database=MIS;server=10.158.1.8;uid=sa;port=5000;" command="SELECT * FROM QLY_DLY WHERE DATE&gt;='4/1/2021'and DATE&lt;='4/27/2021' ORDER BY  DATE,CUST,UNIT,COMM DESC,EDATE"/>
  </connection>
  <connection id="586" name="Connection612" type="1" refreshedVersion="4" background="1" saveData="1">
    <dbPr connection="pwd=SQL123;dsn=MIS;database=MIS;server=10.158.1.8;uid=sa;port=5000;" command="SELECT * FROM QLY_DLY WHERE DATE&gt;='4/1/2021'and DATE&lt;='4/26/2021' ORDER BY  DATE,CUST,UNIT,COMM DESC,EDATE"/>
  </connection>
  <connection id="587" name="Connection61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8" name="Connection61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89" name="Connection615" type="1" refreshedVersion="0" background="1" saveData="1">
    <dbPr connection="pwd=SQL123;dsn=MIS;database=MIS;server=10.158.1.8;uid=sa;port=5000;" command="SELECT * FROM QLY_DLY WHERE DATE&gt;='07-01-201'and DATE&lt;='07-31-2015' ORDER BY  DATE,CUST,UNIT,COMM DESC,EDATE"/>
  </connection>
  <connection id="590" name="Connection61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1" name="Connection61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2" name="Connection618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3" name="Connection619" type="1" refreshedVersion="0" background="1" saveData="1">
    <dbPr connection="pwd=SQL123;dsn=MIS;database=MIS;server=10.158.1.8;uid=sa;port=5000;" command="SELECT * FROM QLY_DLY WHERE DATE&gt;='06-01-2015'and DATE&lt;='06-31-2015' ORDER BY  DATE,CUST,UNIT,COMM DESC,EDATE"/>
  </connection>
  <connection id="594" name="Connection62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6-06-2019' And QLY_DLY.DATE&lt;='06-20-2019') AND (QLY_DLY.CUST='RSP') AND (QLY_DLY.COMM='F') AND (QLY_DLY.UNIT='KBR')_x000d__x000a_ORDER BY QLY_DLY.DATE, QLY_DLY.CUST, QLY_DLY.UNIT, QLY_DLY.COMM DESC, QLY_DLY.EDATE"/>
  </connection>
  <connection id="595" name="Connection62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6" name="Connection62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7" name="Connection622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8" name="Connection623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599" name="Connection624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0" name="Connection625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1" name="Connection626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2" name="Connection627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3" name="Connection628" type="1" refreshedVersion="4" background="1" saveData="1">
    <dbPr connection="pwd=SQL123;dsn=MIS;database=MIS;server=10.158.1.8;uid=sa;port=5000;" command="SELECT * FROM QLY_DLY WHERE DATE&gt;='4/1/2021'and DATE&lt;='4/28/2021' ORDER BY  DATE,CUST,UNIT,COMM DESC,EDATE"/>
  </connection>
  <connection id="604" name="Connection629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5" name="Connection63" type="1" refreshedVersion="4" background="1" saveData="1">
    <dbPr connection="pwd=SQL123;dsn=MIS;database=MIS;server=10.158.1.8;uid=sa;port=5000;" command="SELECT * FROM QLY_DLY WHERE DATE&gt;='05-01-2019'and DATE&lt;='05-30-2019' ORDER BY  DATE,CUST,UNIT,COMM DESC,EDATE"/>
  </connection>
  <connection id="606" name="Connection630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7" name="Connection631" type="1" refreshedVersion="4" background="1" saveData="1">
    <dbPr connection="pwd=SQL123;dsn=MIS;database=MIS;server=10.158.1.8;uid=sa;port=5000;" command="SELECT * FROM QLY_DLY WHERE DATE&gt;='4/1/2021'and DATE&lt;='4/30/2021' ORDER BY  DATE,CUST,UNIT,COMM DESC,EDATE"/>
  </connection>
  <connection id="608" name="Connection632" type="1" refreshedVersion="0" background="1" saveData="1">
    <dbPr connection="pwd=SQL123;dsn=MIS;database=MIS;Server=10.158.1.8;uid=sa;port=5000;UID=sa;;" command="SELECT * FROM QLY_DLY WHERE DATE&gt;='01/04/21'and DATE&lt;='30/04/21' ORDER BY  DATE,CUST,UNIT,COMM DESC,EDATE"/>
  </connection>
  <connection id="609" name="Connection633" type="1" refreshedVersion="3" background="1" saveData="1">
    <dbPr connection="pwd=SQL123;dsn=MIS;database=MIS;Server=10.158.1.8;uid=sa;port=5000;UID=sa;;" command="SELECT * FROM QLY_DLY WHERE DATE&gt;='01/04/21'and DATE&lt;='4/30/2021' ORDER BY  DATE,CUST,UNIT,COMM DESC,EDATE"/>
  </connection>
  <connection id="610" name="Connection634" type="1" refreshedVersion="3" background="1" saveData="1">
    <dbPr connection="pwd=SQL123;dsn=MIS;database=MIS;Server=10.158.1.8;uid=sa;port=5000;UID=sa;;" command="SELECT * FROM QLY_DLY WHERE DATE&gt;='04/01/21'and DATE&lt;='4/30/2021' ORDER BY  DATE,CUST,UNIT,COMM DESC,EDATE"/>
  </connection>
  <connection id="611" name="Connection635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2" name="Connection636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3" name="Connection637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4" name="Connection638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5" name="Connection639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6" name="Connection64" type="1" refreshedVersion="4" background="1" saveData="1">
    <dbPr connection="pwd=SQL123;dsn=MIS;database=MIS;server=10.158.1.8;uid=sa;port=5000;" command="SELECT * FROM QLY_DLY WHERE DATE&gt;='04-01-2019'and DATE&lt;='05-30-2019' ORDER BY  DATE,CUST,UNIT,COMM DESC,EDATE"/>
  </connection>
  <connection id="617" name="Connection640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8" name="Connection641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19" name="Connection642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0" name="Connection643" type="1" refreshedVersion="3" background="1" saveData="1">
    <dbPr connection="pwd=SQL123;dsn=MIS;database=MIS;Server=10.158.1.8;uid=sa;port=5000;UID=sa;;" command="SELECT * FROM QLY_DLY WHERE DATE&gt;='05/01/21'and DATE&lt;='05/10/21' ORDER BY  DATE,CUST,UNIT,COMM DESC,EDATE"/>
  </connection>
  <connection id="621" name="Connection644" type="1" refreshedVersion="3" background="1" saveData="1">
    <dbPr connection="pwd=SQL123;dsn=MIS;database=MIS;Server=10.158.1.8;uid=sa;port=5000;UID=sa;;" command="SELECT * FROM QLY_DLY WHERE DATE&gt;='05/01/21'and DATE&lt;='05/07/21' ORDER BY  DATE,CUST,UNIT,COMM DESC,EDATE"/>
  </connection>
  <connection id="622" name="Connection65" type="1" refreshedVersion="3" background="1" saveData="1">
    <dbPr connection="pwd=SQL123;dsn=MIS;database=MIS;Server=10.158.1.8;uid=sa;port=5000;UID=sa;;" command="SELECT * FROM QLY_DLY WHERE DATE&gt;='06-Jan-19'and DATE&lt;='06-Dec-19' ORDER BY  DATE,CUST,UNIT,COMM DESC,EDATE"/>
  </connection>
  <connection id="623" name="Connection66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4" name="Connection67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5" name="Connection68" type="1" refreshedVersion="3" background="1" saveData="1">
    <dbPr connection="pwd=SQL123;dsn=MIS;database=MIS;Server=10.158.1.8;uid=sa;port=5000;UID=sa;;" command="SELECT * FROM QLY_DLY WHERE DATE&gt;='01-Jun-19'and DATE&lt;='06-Dec-19' ORDER BY  DATE,CUST,UNIT,COMM DESC,EDATE"/>
  </connection>
  <connection id="626" name="Connection680" type="1" refreshedVersion="0" background="1" saveData="1">
    <dbPr connection="pwd=SQL123;dsn=MIS;database=MIS;server=10.158.1.8;uid=sa;port=5000;" command="SELECT * FROM QLY_DLY WHERE DATE&gt;='07-01-2015'and DATE&lt;='0-31-2015' ORDER BY  DATE,CUST,UNIT,COMM DESC,EDATE"/>
  </connection>
  <connection id="627" name="Connection69" type="1" refreshedVersion="3" background="1" saveData="1">
    <dbPr connection="pwd=SQL123;dsn=MIS;database=MIS;Server=10.158.1.8;uid=sa;port=5000;UID=sa;;" command="SELECT * FROM QLY_DLY WHERE DATE&gt;='24-Jun-19'and DATE&lt;='06-27-2019' ORDER BY  DATE,CUST,UNIT,COMM DESC,EDATE"/>
  </connection>
  <connection id="628" name="Connection7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29" name="Connection70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n-19' And QLY_DLY.DATE&lt;='06-27-2019') AND (QLY_DLY.CUST='DSP') AND (QLY_DLY.UNIT='GUA') AND (QLY_DLY.COMM='F') AND (QLY_DLY.FE=63)_x000d__x000a_ORDER BY QLY_DLY.DATE, QLY_DLY.CUST, QLY_DLY.UNIT, QLY_DLY.COMM DESC, QLY_DLY.EDATE"/>
  </connection>
  <connection id="630" name="Connection71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1" name="Connection72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2" name="Connection73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3" name="Connection74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4" name="Connection75" type="1" refreshedVersion="0" background="1">
    <dbPr connection="DSN=CL1DSN;SRVR=NTSERVER;DB=MIS;UID=sa;;" command="SELECT * FROM QLY_DLY WHERE DATE&gt;='04-01-2012'and DATE&lt;='04-30-2012' ORDER BY  DATE,CUST,UNIT,COMM DESC,EDATE"/>
  </connection>
  <connection id="635" name="Connection76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6" name="Connection77" type="1" refreshedVersion="3" background="1" saveData="1">
    <dbPr connection="pwd=SQL123;dsn=MIS;database=MIS;Server=10.158.1.8;uid=sa;port=5000;UID=sa;;" command="SELECT * FROM QLY_DLY WHERE DATE&gt;='01-Jun-19'and DATE&lt;='06-28-2019' ORDER BY  DATE,CUST,UNIT,COMM DESC,EDATE"/>
  </connection>
  <connection id="637" name="Connection770" type="1" refreshedVersion="0" background="1" saveData="1">
    <dbPr connection="pwd=SQL123;dsn=MIS;database=MIS;server=10.158.1.8;uid=sa;port=5000;" command="SELECT * FROM QLY_DLY WHERE DATE&gt;='04-01-2015'and DATE&lt;='0-30-2015' ORDER BY  DATE,CUST,UNIT,COMM DESC,EDATE"/>
  </connection>
  <connection id="638" name="Connection7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27-Jun-19' And QLY_DLY.DATE&lt;='06-30-2019') AND (QLY_DLY.CUST='BSL') AND (QLY_DLY.COMM='L')_x000d__x000a_ORDER BY QLY_DLY.DATE, QLY_DLY.CUST, QLY_DLY.UNIT, QLY_DLY.COMM DESC, QLY_DLY.EDATE"/>
  </connection>
  <connection id="639" name="Connection79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0" name="Connection795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1" name="Connection8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42" name="Connection80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3" name="Connection81" type="1" refreshedVersion="3" background="1" saveData="1">
    <dbPr connection="pwd=SQL123;dsn=MIS;database=MIS;Server=10.158.1.8;uid=sa;port=5000;UID=sa;;" command="SELECT * FROM QLY_DLY WHERE DATE&gt;='15-Jun-19'and DATE&lt;='06-30-2019' ORDER BY  DATE,CUST,UNIT,COMM DESC,EDATE"/>
  </connection>
  <connection id="644" name="Connection811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45" name="Connection82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6" name="Connection83" type="1" refreshedVersion="3" background="1" saveData="1">
    <dbPr connection="pwd=SQL123;dsn=MIS;database=MIS;Server=10.158.1.8;uid=sa;port=5000;UID=sa;;" command="SELECT * FROM QLY_DLY WHERE DATE&gt;='01-Jun-19'and DATE&lt;='06-30-2019' ORDER BY  DATE,CUST,UNIT,COMM DESC,EDATE"/>
  </connection>
  <connection id="647" name="Connection84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8" name="Connection85" type="1" refreshedVersion="3" background="1" saveData="1">
    <dbPr connection="pwd=SQL123;dsn=MIS;database=MIS;Server=10.158.1.8;uid=sa;port=5000;UID=sa;;" command="SELECT * FROM QLY_DLY WHERE DATE&gt;='01-Jul-19'and DATE&lt;='07-20-2019' ORDER BY  DATE,CUST,UNIT,COMM DESC,EDATE"/>
  </connection>
  <connection id="649" name="Connection86" type="1" refreshedVersion="3" background="1" saveData="1">
    <dbPr connection="pwd=SQL123;dsn=MIS;database=MIS;Server=10.158.1.8;uid=sa;port=5000;UID=sa;;" command="SELECT * FROM QLY_DLY WHERE DATE&gt;='06-Jul-19'and DATE&lt;='07-Oct-19' ORDER BY  DATE,CUST,UNIT,COMM DESC,EDATE"/>
  </connection>
  <connection id="650" name="Connection87" type="1" refreshedVersion="3" background="1" saveData="1">
    <dbPr connection="pwd=SQL123;dsn=MIS;database=MIS;Server=10.158.1.8;uid=sa;port=5000;UID=sa;;" command="SELECT * FROM QLY_DLY WHERE DATE&gt;='06-Jul-19'and DATE&lt;='10-Jul-19' ORDER BY  DATE,CUST,UNIT,COMM DESC,EDATE"/>
  </connection>
  <connection id="651" name="Connection88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01-Jul-19' And QLY_DLY.DATE&lt;='20-Jul-19') AND (QLY_DLY.CUST='BSL') AND (QLY_DLY.UNIT='BAR') AND (QLY_DLY.COMM='F')_x000d__x000a_ORDER BY QLY_DLY.DATE, QLY_DLY.CUST, QLY_DLY.UNIT, QLY_DLY.COMM DESC, QLY_DLY.EDATE"/>
  </connection>
  <connection id="652" name="Connection884" type="1" refreshedVersion="0" background="1" saveData="1">
    <dbPr connection="pwd=SQL123;dsn=MIS;database=MIS;server=10.158.1.8;uid=sa;port=5000;" command="SELECT * FROM QLY_DLY WHERE DATE&gt;='09-01-2015'and DATE&lt;='09-31-2015' ORDER BY  DATE,CUST,UNIT,COMM DESC,EDATE"/>
  </connection>
  <connection id="653" name="Connection889" type="1" refreshedVersion="0" background="1" saveData="1">
    <dbPr connection="pwd=SQL123;dsn=MIS;database=MIS;server=10.158.1.8;uid=sa;port=5000;" command="SELECT * FROM QLY_DLY WHERE DATE&gt;='11-01-2015'and DATE&lt;='11-31-2015' ORDER BY  DATE,CUST,UNIT,COMM DESC,EDATE"/>
  </connection>
  <connection id="654" name="Connection89" type="1" refreshedVersion="3" background="1" saveData="1">
    <dbPr connection="pwd=SQL123;dsn=MIS;database=MIS;Server=10.158.1.8;uid=sa;port=5000;UID=sa;;" command="SELECT * FROM QLY_DLY WHERE DATE&gt;='11-Jul-19'and DATE&lt;='17-Jul-19' ORDER BY  DATE,CUST,UNIT,COMM DESC,EDATE"/>
  </connection>
  <connection id="655" name="Connection9" type="1" refreshedVersion="3" background="1" saveData="1">
    <dbPr connection="dsn=MIS;database=MIS;server=10.158.1.8;port=5000;UID=sa;;" command="SELECT * FROM QLY_DLY WHERE DATE&gt;='2/1/2019'and DATE&lt;='2/28/2019' ORDER BY  DATE,CUST,UNIT,COMM DESC,EDATE"/>
  </connection>
  <connection id="656" name="Connection90" type="1" refreshedVersion="3" background="1" saveData="1">
    <dbPr connection="pwd=SQL123;dsn=MIS;database=MIS;Server=10.158.1.8;uid=sa;port=5000;UID=sa;;" command="SELECT * FROM QLY_DLY WHERE DATE&gt;='18-Jul-19'and DATE&lt;='23-Jul-19' ORDER BY  DATE,CUST,UNIT,COMM DESC,EDATE"/>
  </connection>
  <connection id="657" name="Connection91" type="1" refreshedVersion="0" background="1">
    <dbPr connection="DSN=CL1DSN;SRVR=NTSERVER;DB=MIS;UID=sa;;" command="SELECT * FROM QLY_DLY WHERE DATE&gt;='08-01-2012'and DATE&lt;='08-31-2012' ORDER BY  DATE,CUST,UNIT,COMM DESC,EDATE"/>
  </connection>
  <connection id="658" name="Connection92" type="1" refreshedVersion="0" background="1">
    <dbPr connection="DSN=CL1DSN;SRVR=NTSERVER;DB=MIS;UID=sa;;" command="SELECT * FROM QLY_DLY WHERE DATE&gt;='08-01-2012'and DATE&lt;='08-31-2012' ORDER BY  DATE,CUST,UNIT,COMM DESC,EDATE"/>
  </connection>
  <connection id="659" name="Connection93" type="1" refreshedVersion="0" background="1">
    <dbPr connection="DSN=CL1DSN;SRVR=NTSERVER;DB=MIS;UID=sa;;" command="SELECT * FROM QLY_DLY WHERE DATE&gt;='08-01-2012'and DATE&lt;='08-31-2012' ORDER BY  DATE,CUST,UNIT,COMM DESC,EDATE"/>
  </connection>
  <connection id="660" name="Connection94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AR') AND (QLY_DLY.CUST='RSP')_x000d__x000a_ORDER BY QLY_DLY.DATE, QLY_DLY.CUST, QLY_DLY.UNIT, QLY_DLY.COMM DESC, QLY_DLY.EDATE"/>
  </connection>
  <connection id="661" name="Connection95" type="1" refreshedVersion="3" background="1" saveData="1">
    <dbPr connection="pwd=SQL123;dsn=MIS;database=MIS;Server=10.158.1.8;uid=sa;port=5000;UID=sa;;" command="SELECT QLY_DLY.SLNO, QLY_DLY.DATE, QLY_DLY.CUST, QLY_DLY.UNIT, QLY_DLY.COMM_GRP, QLY_DLY.COMM, QLY_DLY.FE, QLY_DLY.SIO2, QLY_DLY.AL2O3, QLY_DLY.OS, QLY_DLY.US, QLY_DLY.RAKENO, QLY_DLY.EDATE_x000d__x000a_FROM dbo.QLY_DLY QLY_DLY_x000d__x000a_WHERE (QLY_DLY.DATE&gt;='18-Jul-19' And QLY_DLY.DATE&lt;='23-Jul-19') AND (QLY_DLY.UNIT='BOL') AND (QLY_DLY.SIO2&gt;9)_x000d__x000a_ORDER BY QLY_DLY.DATE, QLY_DLY.CUST, QLY_DLY.UNIT, QLY_DLY.COMM DESC, QLY_DLY.EDATE"/>
  </connection>
  <connection id="662" name="Connection96" type="1" refreshedVersion="3" background="1" saveData="1">
    <dbPr connection="pwd=SQL123;dsn=MIS;database=MIS;Server=10.158.1.8;uid=sa;port=5000;UID=sa;;" command="SELECT * FROM QLY_DLY WHERE DATE&gt;='01-Jul-19'and DATE&lt;='23-Jul-19' ORDER BY  DATE,CUST,UNIT,COMM DESC,EDATE"/>
  </connection>
  <connection id="663" name="Connection97" type="1" refreshedVersion="3" background="1" saveData="1">
    <dbPr connection="pwd=SQL123;dsn=MIS;database=MIS;Server=10.158.1.8;uid=sa;port=5000;UID=sa;;" command="SELECT * FROM QLY_DLY WHERE DATE&gt;='01-Jul-19'and DATE&lt;='26-Jul-19' ORDER BY  DATE,CUST,UNIT,COMM DESC,EDATE"/>
  </connection>
  <connection id="664" name="Connection98" type="1" refreshedVersion="3" background="1" saveData="1">
    <dbPr connection="pwd=SQL123;dsn=MIS;database=MIS;Server=10.158.1.8;uid=sa;port=5000;UID=sa;;" command="SELECT * FROM QLY_DLY WHERE DATE&gt;='24-Jul-19'and DATE&lt;='29-Jul-19' ORDER BY  DATE,CUST,UNIT,COMM DESC,EDATE"/>
  </connection>
  <connection id="665" name="Connection99" type="1" refreshedVersion="0" background="1" saveData="1">
    <dbPr connection="DSN=CL1DSN;UID=sa;;SRVR=NTSERVER;DB=MIS" command="SELECT * FROM QLY_DLY WHERE DATE&gt;='01/04/2012'and DATE&lt;='30/04/2012' ORDER BY  DATE,CUST,UNIT,COMM DESC,EDATE"/>
  </connection>
</connections>
</file>

<file path=xl/sharedStrings.xml><?xml version="1.0" encoding="utf-8"?>
<sst xmlns="http://schemas.openxmlformats.org/spreadsheetml/2006/main" count="8153" uniqueCount="242">
  <si>
    <t>L</t>
  </si>
  <si>
    <t>F</t>
  </si>
  <si>
    <t>MBR</t>
  </si>
  <si>
    <t>BSL</t>
  </si>
  <si>
    <t>DSP</t>
  </si>
  <si>
    <t>RSP</t>
  </si>
  <si>
    <t>DATE</t>
  </si>
  <si>
    <t>UNIT</t>
  </si>
  <si>
    <t>COMM</t>
  </si>
  <si>
    <t>GUA</t>
  </si>
  <si>
    <t>BAR</t>
  </si>
  <si>
    <t>BOL</t>
  </si>
  <si>
    <t>Maximum</t>
  </si>
  <si>
    <t>Minimum</t>
  </si>
  <si>
    <t>Average</t>
  </si>
  <si>
    <t>SLNO</t>
  </si>
  <si>
    <t>CUST</t>
  </si>
  <si>
    <t>COMM_GRP</t>
  </si>
  <si>
    <t>FE</t>
  </si>
  <si>
    <t>SIO2</t>
  </si>
  <si>
    <t>AL2O3</t>
  </si>
  <si>
    <t>OS</t>
  </si>
  <si>
    <t>US</t>
  </si>
  <si>
    <t>RAKENO</t>
  </si>
  <si>
    <t>EDATE</t>
  </si>
  <si>
    <t>BNP</t>
  </si>
  <si>
    <t>I</t>
  </si>
  <si>
    <t>KBR</t>
  </si>
  <si>
    <t>KTR</t>
  </si>
  <si>
    <t>TDM</t>
  </si>
  <si>
    <t>ISP</t>
  </si>
  <si>
    <t>KAL</t>
  </si>
  <si>
    <t>Fe</t>
  </si>
  <si>
    <t>SiO2</t>
  </si>
  <si>
    <t>Al2O3</t>
  </si>
  <si>
    <t>O/S</t>
  </si>
  <si>
    <t>U/S</t>
  </si>
  <si>
    <t>Norm</t>
  </si>
  <si>
    <t>QUALITY FLASH</t>
  </si>
  <si>
    <t>RAW MATERIALS DIVISION</t>
  </si>
  <si>
    <t>KOLKATA</t>
  </si>
  <si>
    <t>Al+Si</t>
  </si>
  <si>
    <t>Al/Si</t>
  </si>
  <si>
    <t>KRB</t>
  </si>
  <si>
    <t>MPR</t>
  </si>
  <si>
    <t>MINE</t>
  </si>
  <si>
    <t>PLANT</t>
  </si>
  <si>
    <t>COMMODITY</t>
  </si>
  <si>
    <t>ALL</t>
  </si>
  <si>
    <t xml:space="preserve">TO </t>
  </si>
  <si>
    <t>Please Select The Details</t>
  </si>
  <si>
    <t xml:space="preserve">From Date </t>
  </si>
  <si>
    <t>To date</t>
  </si>
  <si>
    <t>SD</t>
  </si>
  <si>
    <t xml:space="preserve">To </t>
  </si>
  <si>
    <t>Commodity</t>
  </si>
  <si>
    <t>Mines</t>
  </si>
  <si>
    <t>(mm-dd-yyyy)</t>
  </si>
  <si>
    <t xml:space="preserve">Quality Report </t>
  </si>
  <si>
    <t>COMMODITY GROUP</t>
  </si>
  <si>
    <t>BSP</t>
  </si>
  <si>
    <t>RIN</t>
  </si>
  <si>
    <t>VIS</t>
  </si>
  <si>
    <t>NIN</t>
  </si>
  <si>
    <t>Plant Norm</t>
  </si>
  <si>
    <t>Mine Norm</t>
  </si>
  <si>
    <t>KBRL</t>
  </si>
  <si>
    <t>KBRF</t>
  </si>
  <si>
    <t>MBRL</t>
  </si>
  <si>
    <t>BOLL</t>
  </si>
  <si>
    <t>BARL</t>
  </si>
  <si>
    <t>KALL</t>
  </si>
  <si>
    <t>GUAL</t>
  </si>
  <si>
    <t>MPRL</t>
  </si>
  <si>
    <t>MBRF</t>
  </si>
  <si>
    <t>BOLF</t>
  </si>
  <si>
    <t>BARF</t>
  </si>
  <si>
    <t>KALF</t>
  </si>
  <si>
    <t>GUAF</t>
  </si>
  <si>
    <t>MPRF</t>
  </si>
  <si>
    <t>KTRL</t>
  </si>
  <si>
    <t>BNPL</t>
  </si>
  <si>
    <t>TDML</t>
  </si>
  <si>
    <t>TDMF</t>
  </si>
  <si>
    <t>Month</t>
  </si>
  <si>
    <t>AVG</t>
  </si>
  <si>
    <t>Plant</t>
  </si>
  <si>
    <t xml:space="preserve">BAR </t>
  </si>
  <si>
    <t xml:space="preserve">KBR </t>
  </si>
  <si>
    <t xml:space="preserve">MPR </t>
  </si>
  <si>
    <t>BSLL</t>
  </si>
  <si>
    <t>BSPL</t>
  </si>
  <si>
    <t>DSPL</t>
  </si>
  <si>
    <t>RSPL</t>
  </si>
  <si>
    <t>ISPL</t>
  </si>
  <si>
    <t>RINL</t>
  </si>
  <si>
    <t>VISL</t>
  </si>
  <si>
    <t>NINL</t>
  </si>
  <si>
    <t>BSLF</t>
  </si>
  <si>
    <t>BSPF</t>
  </si>
  <si>
    <t>DSPF</t>
  </si>
  <si>
    <t>RSPF</t>
  </si>
  <si>
    <t>ISPF</t>
  </si>
  <si>
    <t>RINF</t>
  </si>
  <si>
    <t>BOM</t>
  </si>
  <si>
    <t>BIM</t>
  </si>
  <si>
    <t>KIM</t>
  </si>
  <si>
    <t>Mine</t>
  </si>
  <si>
    <t>NORM</t>
  </si>
  <si>
    <t>RSP OLD FINES</t>
  </si>
  <si>
    <t>Al2O3+SiO2</t>
  </si>
  <si>
    <t>Al2O3/SiO2</t>
  </si>
  <si>
    <t>MOM</t>
  </si>
  <si>
    <t>GOM</t>
  </si>
  <si>
    <t>AL+SI</t>
  </si>
  <si>
    <t>AL/SI</t>
  </si>
  <si>
    <t>LUMP</t>
  </si>
  <si>
    <t>BSL:- BLEND QUALITY</t>
  </si>
  <si>
    <t>RSP:- BLEND QUALITY</t>
  </si>
  <si>
    <t>MINES</t>
  </si>
  <si>
    <t>RAKES SUPLLIED</t>
  </si>
  <si>
    <t xml:space="preserve">% CONTRIBUTION IN SUPPLY </t>
  </si>
  <si>
    <t>AVERAGE QUALITY</t>
  </si>
  <si>
    <t xml:space="preserve">TOTAL RAKES SUPPLIED </t>
  </si>
  <si>
    <t>FINES</t>
  </si>
  <si>
    <t>DSP:- BLEND QUALITY</t>
  </si>
  <si>
    <t>ISP:- BLEND QUALITY</t>
  </si>
  <si>
    <t>BSP:- BLEND QUALITY</t>
  </si>
  <si>
    <t>RSP NEW FINES</t>
  </si>
  <si>
    <t>BSL LUMP</t>
  </si>
  <si>
    <t xml:space="preserve">Fe % </t>
  </si>
  <si>
    <t>SiO2%</t>
  </si>
  <si>
    <t>Al2O3%</t>
  </si>
  <si>
    <t>Al2O3 % std Dev</t>
  </si>
  <si>
    <t>GANGUE</t>
  </si>
  <si>
    <t>BSL FINES</t>
  </si>
  <si>
    <t>DSP LUMP</t>
  </si>
  <si>
    <t>DSP FINES</t>
  </si>
  <si>
    <t>ISP LUMP</t>
  </si>
  <si>
    <t>ISP FINES</t>
  </si>
  <si>
    <t>BSP LUMP</t>
  </si>
  <si>
    <t>BSP FINES</t>
  </si>
  <si>
    <t>RSP LUMP</t>
  </si>
  <si>
    <t>SiO2 % std Dev</t>
  </si>
  <si>
    <t>RSP(OLD)F</t>
  </si>
  <si>
    <t>RSP(NEW) F</t>
  </si>
  <si>
    <t>TAL</t>
  </si>
  <si>
    <t>RAKES</t>
  </si>
  <si>
    <t>NOS OF RAKES</t>
  </si>
  <si>
    <t>ABOVE NORM</t>
  </si>
  <si>
    <t>FAILED%</t>
  </si>
  <si>
    <t>RSP  (OLD)</t>
  </si>
  <si>
    <t>RSP  (NEW)</t>
  </si>
  <si>
    <t>TALL</t>
  </si>
  <si>
    <t>TALF</t>
  </si>
  <si>
    <t>KBR LUMP</t>
  </si>
  <si>
    <t>KBR  FINES</t>
  </si>
  <si>
    <t>MBR LUMP</t>
  </si>
  <si>
    <t>MBR  FINES</t>
  </si>
  <si>
    <t>BOL LUMP</t>
  </si>
  <si>
    <t>BOL  FINES</t>
  </si>
  <si>
    <t>TAL LUMP</t>
  </si>
  <si>
    <t>BAR LUMP</t>
  </si>
  <si>
    <t>BAR FINES</t>
  </si>
  <si>
    <t>TAL  FINES</t>
  </si>
  <si>
    <t>KAL LUMP</t>
  </si>
  <si>
    <t>KAL  FINES</t>
  </si>
  <si>
    <t>GUA LUMP</t>
  </si>
  <si>
    <t>GUA  FINES</t>
  </si>
  <si>
    <t>MPR LUMP</t>
  </si>
  <si>
    <t>MPR  FINES</t>
  </si>
  <si>
    <t>OS%</t>
  </si>
  <si>
    <t>US%</t>
  </si>
  <si>
    <t xml:space="preserve"> </t>
  </si>
  <si>
    <t>No lump analysis report received till date.</t>
  </si>
  <si>
    <t xml:space="preserve">F </t>
  </si>
  <si>
    <t/>
  </si>
  <si>
    <t>1/13/2019</t>
  </si>
  <si>
    <t>1/14/2019</t>
  </si>
  <si>
    <t>GUA(OHP)</t>
  </si>
  <si>
    <t>1/15/2019</t>
  </si>
  <si>
    <t>1/16/2019</t>
  </si>
  <si>
    <t>1/17/2019</t>
  </si>
  <si>
    <t>1/18/2019</t>
  </si>
  <si>
    <t>1/19/2019</t>
  </si>
  <si>
    <t>1/20/2019</t>
  </si>
  <si>
    <t>1/21/2019</t>
  </si>
  <si>
    <t>1/22/2019</t>
  </si>
  <si>
    <t>1/23/2019</t>
  </si>
  <si>
    <t>1/24/2019</t>
  </si>
  <si>
    <t>1/25/2019</t>
  </si>
  <si>
    <t>1/26/2019</t>
  </si>
  <si>
    <t>1/27/1919</t>
  </si>
  <si>
    <t>1/28/1919</t>
  </si>
  <si>
    <t>1/29/1919</t>
  </si>
  <si>
    <t>BOLANI</t>
  </si>
  <si>
    <t>BOLANI-1(B-3)</t>
  </si>
  <si>
    <t>BOLANI-2(B-3)</t>
  </si>
  <si>
    <t>BOLANI-1</t>
  </si>
  <si>
    <t>BOLANI-2</t>
  </si>
  <si>
    <t>MANOHARPUR</t>
  </si>
  <si>
    <t xml:space="preserve">RSP FINES </t>
  </si>
  <si>
    <t>No of rakes with Fe less than norms =</t>
  </si>
  <si>
    <t>No of rakes with gangue greater than norm</t>
  </si>
  <si>
    <t>No of rakes with U/s grater than 10</t>
  </si>
  <si>
    <t>No of rakes with U/s data not available=</t>
  </si>
  <si>
    <t>Fe less than Norm</t>
  </si>
  <si>
    <t>Gangue more than Norm</t>
  </si>
  <si>
    <t>Lump with U/s more than 10%</t>
  </si>
  <si>
    <t>Gang.</t>
  </si>
  <si>
    <t>No.</t>
  </si>
  <si>
    <t>%</t>
  </si>
  <si>
    <t>data for u/s not av</t>
  </si>
  <si>
    <t>NO</t>
  </si>
  <si>
    <t>norm for year 2018-19</t>
  </si>
  <si>
    <t>norm for year 2019-20</t>
  </si>
  <si>
    <t>TOTAL NO</t>
  </si>
  <si>
    <t>IRON ORE QUALITY : Blend Plant wise</t>
  </si>
  <si>
    <t>KIOM</t>
  </si>
  <si>
    <t>MIOM</t>
  </si>
  <si>
    <t>Blend</t>
  </si>
  <si>
    <t>Quality During  Month</t>
  </si>
  <si>
    <t>BAR/TAL</t>
  </si>
  <si>
    <t>s</t>
  </si>
  <si>
    <t xml:space="preserve">         </t>
  </si>
  <si>
    <t xml:space="preserve"> Mines wise (Blend Quality)</t>
  </si>
  <si>
    <t>Max</t>
  </si>
  <si>
    <t>BSL-1</t>
  </si>
  <si>
    <t>BSL-2</t>
  </si>
  <si>
    <t>BSL-3</t>
  </si>
  <si>
    <t>BSL-4</t>
  </si>
  <si>
    <t>BSL-5</t>
  </si>
  <si>
    <t>BSL-6</t>
  </si>
  <si>
    <t>BSL-7</t>
  </si>
  <si>
    <t>BSL-8</t>
  </si>
  <si>
    <t>BSL-9</t>
  </si>
  <si>
    <t>BSL-10</t>
  </si>
  <si>
    <t>BSL-11</t>
  </si>
  <si>
    <t>BSL-12</t>
  </si>
  <si>
    <t>BSL-13</t>
  </si>
  <si>
    <t>BKBY-12</t>
  </si>
  <si>
    <t>07-31-2022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</si>
</sst>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0.0"/>
    <numFmt numFmtId="166" formatCode="[$-F800]dddd\,\ mmmm\ dd\,\ yyyy"/>
  </numFmts>
  <fonts count="37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8"/>
      <name val="Arial"/>
      <family val="2"/>
    </font>
    <font>
      <sz val="8"/>
      <name val="Arial"/>
      <family val="2"/>
    </font>
    <font>
      <sz val="12"/>
      <color indexed="8"/>
      <name val="Arial"/>
      <family val="2"/>
    </font>
    <font>
      <sz val="12"/>
      <color indexed="9"/>
      <name val="Arial"/>
      <family val="2"/>
    </font>
    <font>
      <sz val="10"/>
      <name val="Arial"/>
      <family val="2"/>
    </font>
    <font>
      <b/>
      <sz val="10"/>
      <color rgb="FF00000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2"/>
      <color rgb="FF000000"/>
      <name val="Calibri"/>
      <family val="2"/>
    </font>
    <font>
      <sz val="12"/>
      <color rgb="FFFF0000"/>
      <name val="Calibri"/>
      <family val="2"/>
    </font>
    <font>
      <sz val="11"/>
      <name val="Arial"/>
      <family val="2"/>
    </font>
    <font>
      <sz val="12"/>
      <name val="Arial"/>
      <family val="2"/>
    </font>
    <font>
      <b/>
      <sz val="11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2"/>
      <color theme="1"/>
      <name val="Calibri"/>
      <family val="2"/>
    </font>
    <font>
      <sz val="12"/>
      <name val="Calibri"/>
      <family val="2"/>
    </font>
    <font>
      <sz val="14"/>
      <name val="Calibri"/>
      <family val="2"/>
      <scheme val="minor"/>
    </font>
    <font>
      <sz val="11"/>
      <color theme="1"/>
      <name val="Calibri"/>
      <family val="2"/>
    </font>
    <font>
      <sz val="12"/>
      <color theme="1"/>
      <name val="Calibri"/>
      <family val="2"/>
      <scheme val="minor"/>
    </font>
    <font>
      <sz val="10"/>
      <color theme="1"/>
      <name val="Arial"/>
      <family val="2"/>
    </font>
    <font>
      <b/>
      <sz val="16"/>
      <name val="Calibri"/>
      <family val="2"/>
      <scheme val="minor"/>
    </font>
    <font>
      <b/>
      <sz val="10"/>
      <name val="Arial"/>
      <family val="2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FF00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15337">
    <xf numFmtId="0" fontId="0" fillId="0" borderId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6" fillId="2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6" fillId="3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6" fillId="4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6" fillId="6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6" fillId="7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6" fillId="9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6" fillId="10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6" fillId="5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6" fillId="8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2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6" fillId="11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7" fillId="12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7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10" borderId="0" applyNumberFormat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1" fillId="0" borderId="0"/>
    <xf numFmtId="164" fontId="11" fillId="0" borderId="0" applyFont="0" applyFill="0" applyBorder="0" applyAlignment="0" applyProtection="0"/>
    <xf numFmtId="0" fontId="10" fillId="0" borderId="0"/>
    <xf numFmtId="0" fontId="9" fillId="0" borderId="0"/>
    <xf numFmtId="164" fontId="9" fillId="0" borderId="0" applyFont="0" applyFill="0" applyBorder="0" applyAlignment="0" applyProtection="0"/>
    <xf numFmtId="0" fontId="8" fillId="0" borderId="0"/>
    <xf numFmtId="0" fontId="7" fillId="0" borderId="0"/>
    <xf numFmtId="164" fontId="7" fillId="0" borderId="0" applyFont="0" applyFill="0" applyBorder="0" applyAlignment="0" applyProtection="0"/>
    <xf numFmtId="0" fontId="6" fillId="0" borderId="0"/>
    <xf numFmtId="0" fontId="5" fillId="0" borderId="0"/>
    <xf numFmtId="0" fontId="4" fillId="0" borderId="0"/>
    <xf numFmtId="164" fontId="4" fillId="0" borderId="0" applyFont="0" applyFill="0" applyBorder="0" applyAlignment="0" applyProtection="0"/>
    <xf numFmtId="0" fontId="3" fillId="0" borderId="0"/>
    <xf numFmtId="164" fontId="3" fillId="0" borderId="0" applyFont="0" applyFill="0" applyBorder="0" applyAlignment="0" applyProtection="0"/>
    <xf numFmtId="0" fontId="2" fillId="0" borderId="0"/>
    <xf numFmtId="164" fontId="2" fillId="0" borderId="0" applyFont="0" applyFill="0" applyBorder="0" applyAlignment="0" applyProtection="0"/>
    <xf numFmtId="164" fontId="18" fillId="0" borderId="0" applyFont="0" applyFill="0" applyBorder="0" applyAlignment="0" applyProtection="0"/>
    <xf numFmtId="0" fontId="1" fillId="0" borderId="0"/>
    <xf numFmtId="164" fontId="1" fillId="0" borderId="0" applyFont="0" applyFill="0" applyBorder="0" applyAlignment="0" applyProtection="0"/>
  </cellStyleXfs>
  <cellXfs count="558">
    <xf numFmtId="0" fontId="0" fillId="0" borderId="0" xfId="0"/>
    <xf numFmtId="14" fontId="0" fillId="0" borderId="0" xfId="0" applyNumberFormat="1"/>
    <xf numFmtId="0" fontId="18" fillId="0" borderId="0" xfId="0" applyFont="1"/>
    <xf numFmtId="14" fontId="0" fillId="0" borderId="1" xfId="0" applyNumberFormat="1" applyBorder="1" applyAlignment="1">
      <alignment horizontal="center"/>
    </xf>
    <xf numFmtId="0" fontId="18" fillId="0" borderId="0" xfId="0" applyFont="1" applyFill="1" applyBorder="1"/>
    <xf numFmtId="14" fontId="20" fillId="0" borderId="1" xfId="15320" applyNumberFormat="1" applyFont="1" applyBorder="1" applyAlignment="1">
      <alignment horizontal="center"/>
    </xf>
    <xf numFmtId="0" fontId="20" fillId="0" borderId="1" xfId="15320" applyFont="1" applyBorder="1" applyAlignment="1">
      <alignment horizontal="center"/>
    </xf>
    <xf numFmtId="165" fontId="20" fillId="0" borderId="1" xfId="15320" applyNumberFormat="1" applyFont="1" applyBorder="1" applyAlignment="1">
      <alignment horizontal="center"/>
    </xf>
    <xf numFmtId="165" fontId="20" fillId="0" borderId="2" xfId="15320" applyNumberFormat="1" applyFont="1" applyBorder="1" applyAlignment="1">
      <alignment horizontal="center"/>
    </xf>
    <xf numFmtId="165" fontId="21" fillId="0" borderId="2" xfId="15320" applyNumberFormat="1" applyFont="1" applyBorder="1" applyAlignment="1">
      <alignment horizontal="center"/>
    </xf>
    <xf numFmtId="165" fontId="22" fillId="0" borderId="1" xfId="15320" applyNumberFormat="1" applyFont="1" applyBorder="1" applyAlignment="1">
      <alignment horizontal="center"/>
    </xf>
    <xf numFmtId="165" fontId="23" fillId="0" borderId="1" xfId="15320" applyNumberFormat="1" applyFont="1" applyBorder="1" applyAlignment="1">
      <alignment horizontal="center"/>
    </xf>
    <xf numFmtId="165" fontId="22" fillId="0" borderId="4" xfId="15320" applyNumberFormat="1" applyFont="1" applyBorder="1" applyAlignment="1">
      <alignment horizontal="center"/>
    </xf>
    <xf numFmtId="165" fontId="20" fillId="0" borderId="1" xfId="15320" applyNumberFormat="1" applyFont="1" applyBorder="1" applyAlignment="1">
      <alignment horizontal="center"/>
    </xf>
    <xf numFmtId="165" fontId="20" fillId="0" borderId="2" xfId="15320" applyNumberFormat="1" applyFont="1" applyBorder="1" applyAlignment="1">
      <alignment horizontal="center"/>
    </xf>
    <xf numFmtId="165" fontId="22" fillId="0" borderId="1" xfId="15320" applyNumberFormat="1" applyFont="1" applyBorder="1" applyAlignment="1">
      <alignment horizontal="center"/>
    </xf>
    <xf numFmtId="165" fontId="22" fillId="0" borderId="4" xfId="15320" applyNumberFormat="1" applyFont="1" applyBorder="1" applyAlignment="1">
      <alignment horizontal="center"/>
    </xf>
    <xf numFmtId="165" fontId="20" fillId="0" borderId="1" xfId="15320" applyNumberFormat="1" applyFont="1" applyBorder="1" applyAlignment="1">
      <alignment horizontal="center"/>
    </xf>
    <xf numFmtId="165" fontId="20" fillId="0" borderId="2" xfId="15320" applyNumberFormat="1" applyFont="1" applyBorder="1" applyAlignment="1">
      <alignment horizontal="center"/>
    </xf>
    <xf numFmtId="165" fontId="22" fillId="0" borderId="1" xfId="15320" applyNumberFormat="1" applyFont="1" applyBorder="1" applyAlignment="1">
      <alignment horizontal="center"/>
    </xf>
    <xf numFmtId="165" fontId="22" fillId="0" borderId="4" xfId="15320" applyNumberFormat="1" applyFont="1" applyBorder="1" applyAlignment="1">
      <alignment horizontal="center"/>
    </xf>
    <xf numFmtId="14" fontId="20" fillId="0" borderId="2" xfId="15320" applyNumberFormat="1" applyFont="1" applyBorder="1" applyAlignment="1">
      <alignment horizontal="center"/>
    </xf>
    <xf numFmtId="14" fontId="20" fillId="0" borderId="3" xfId="15320" applyNumberFormat="1" applyFont="1" applyBorder="1" applyAlignment="1">
      <alignment horizontal="center"/>
    </xf>
    <xf numFmtId="0" fontId="24" fillId="0" borderId="0" xfId="0" applyFont="1"/>
    <xf numFmtId="0" fontId="24" fillId="0" borderId="1" xfId="0" applyFont="1" applyBorder="1"/>
    <xf numFmtId="2" fontId="27" fillId="0" borderId="1" xfId="0" applyNumberFormat="1" applyFont="1" applyBorder="1"/>
    <xf numFmtId="0" fontId="27" fillId="0" borderId="1" xfId="0" applyFont="1" applyBorder="1" applyAlignment="1">
      <alignment horizontal="left"/>
    </xf>
    <xf numFmtId="0" fontId="24" fillId="0" borderId="0" xfId="0" applyFont="1" applyAlignment="1">
      <alignment horizontal="left"/>
    </xf>
    <xf numFmtId="0" fontId="0" fillId="0" borderId="0" xfId="0"/>
    <xf numFmtId="2" fontId="24" fillId="0" borderId="0" xfId="0" applyNumberFormat="1" applyFont="1"/>
    <xf numFmtId="0" fontId="0" fillId="0" borderId="1" xfId="0" applyFont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6" fontId="24" fillId="0" borderId="0" xfId="0" applyNumberFormat="1" applyFont="1"/>
    <xf numFmtId="0" fontId="0" fillId="0" borderId="0" xfId="0" applyBorder="1"/>
    <xf numFmtId="2" fontId="18" fillId="0" borderId="0" xfId="0" applyNumberFormat="1" applyFont="1" applyFill="1" applyBorder="1" applyAlignment="1">
      <alignment horizontal="center"/>
    </xf>
    <xf numFmtId="0" fontId="24" fillId="0" borderId="5" xfId="0" applyFont="1" applyBorder="1"/>
    <xf numFmtId="0" fontId="24" fillId="0" borderId="2" xfId="0" applyFont="1" applyBorder="1"/>
    <xf numFmtId="0" fontId="24" fillId="0" borderId="2" xfId="0" applyFont="1" applyBorder="1" applyAlignment="1">
      <alignment horizontal="left"/>
    </xf>
    <xf numFmtId="0" fontId="24" fillId="0" borderId="3" xfId="0" applyFont="1" applyBorder="1"/>
    <xf numFmtId="0" fontId="24" fillId="0" borderId="10" xfId="0" applyFont="1" applyBorder="1"/>
    <xf numFmtId="0" fontId="27" fillId="0" borderId="11" xfId="0" applyFont="1" applyBorder="1" applyAlignment="1">
      <alignment horizontal="left"/>
    </xf>
    <xf numFmtId="0" fontId="27" fillId="0" borderId="11" xfId="0" applyFont="1" applyBorder="1"/>
    <xf numFmtId="0" fontId="27" fillId="0" borderId="12" xfId="0" applyFont="1" applyBorder="1"/>
    <xf numFmtId="0" fontId="24" fillId="0" borderId="14" xfId="0" applyFont="1" applyBorder="1"/>
    <xf numFmtId="2" fontId="27" fillId="0" borderId="15" xfId="0" applyNumberFormat="1" applyFont="1" applyBorder="1"/>
    <xf numFmtId="0" fontId="24" fillId="0" borderId="17" xfId="0" applyFont="1" applyBorder="1"/>
    <xf numFmtId="17" fontId="27" fillId="0" borderId="18" xfId="0" applyNumberFormat="1" applyFont="1" applyBorder="1" applyAlignment="1">
      <alignment horizontal="left"/>
    </xf>
    <xf numFmtId="2" fontId="27" fillId="0" borderId="18" xfId="0" applyNumberFormat="1" applyFont="1" applyBorder="1"/>
    <xf numFmtId="2" fontId="27" fillId="0" borderId="19" xfId="0" applyNumberFormat="1" applyFont="1" applyBorder="1"/>
    <xf numFmtId="0" fontId="24" fillId="0" borderId="7" xfId="0" applyFont="1" applyBorder="1"/>
    <xf numFmtId="2" fontId="24" fillId="0" borderId="1" xfId="0" applyNumberFormat="1" applyFont="1" applyBorder="1"/>
    <xf numFmtId="2" fontId="24" fillId="0" borderId="11" xfId="0" applyNumberFormat="1" applyFont="1" applyBorder="1"/>
    <xf numFmtId="0" fontId="24" fillId="0" borderId="11" xfId="0" applyFont="1" applyBorder="1"/>
    <xf numFmtId="2" fontId="24" fillId="0" borderId="12" xfId="0" applyNumberFormat="1" applyFont="1" applyBorder="1"/>
    <xf numFmtId="2" fontId="24" fillId="0" borderId="15" xfId="0" applyNumberFormat="1" applyFont="1" applyBorder="1"/>
    <xf numFmtId="17" fontId="25" fillId="0" borderId="17" xfId="0" applyNumberFormat="1" applyFont="1" applyBorder="1" applyAlignment="1">
      <alignment horizontal="right"/>
    </xf>
    <xf numFmtId="2" fontId="24" fillId="0" borderId="18" xfId="0" applyNumberFormat="1" applyFont="1" applyBorder="1"/>
    <xf numFmtId="0" fontId="24" fillId="0" borderId="18" xfId="0" applyFont="1" applyBorder="1"/>
    <xf numFmtId="2" fontId="24" fillId="0" borderId="19" xfId="0" applyNumberFormat="1" applyFont="1" applyBorder="1"/>
    <xf numFmtId="0" fontId="31" fillId="0" borderId="10" xfId="0" applyFont="1" applyBorder="1"/>
    <xf numFmtId="2" fontId="31" fillId="0" borderId="11" xfId="0" applyNumberFormat="1" applyFont="1" applyBorder="1"/>
    <xf numFmtId="0" fontId="31" fillId="0" borderId="11" xfId="0" applyFont="1" applyBorder="1"/>
    <xf numFmtId="2" fontId="31" fillId="0" borderId="12" xfId="0" applyNumberFormat="1" applyFont="1" applyBorder="1"/>
    <xf numFmtId="0" fontId="31" fillId="0" borderId="0" xfId="0" applyFont="1"/>
    <xf numFmtId="0" fontId="31" fillId="0" borderId="14" xfId="0" applyFont="1" applyBorder="1"/>
    <xf numFmtId="2" fontId="31" fillId="0" borderId="1" xfId="0" applyNumberFormat="1" applyFont="1" applyBorder="1"/>
    <xf numFmtId="0" fontId="31" fillId="0" borderId="1" xfId="0" applyFont="1" applyBorder="1"/>
    <xf numFmtId="2" fontId="31" fillId="0" borderId="15" xfId="0" applyNumberFormat="1" applyFont="1" applyBorder="1"/>
    <xf numFmtId="17" fontId="31" fillId="0" borderId="17" xfId="0" applyNumberFormat="1" applyFont="1" applyBorder="1" applyAlignment="1">
      <alignment horizontal="right"/>
    </xf>
    <xf numFmtId="2" fontId="31" fillId="0" borderId="18" xfId="0" applyNumberFormat="1" applyFont="1" applyBorder="1"/>
    <xf numFmtId="0" fontId="31" fillId="0" borderId="18" xfId="0" applyFont="1" applyBorder="1"/>
    <xf numFmtId="2" fontId="31" fillId="0" borderId="19" xfId="0" applyNumberFormat="1" applyFont="1" applyBorder="1"/>
    <xf numFmtId="0" fontId="0" fillId="0" borderId="0" xfId="0"/>
    <xf numFmtId="0" fontId="0" fillId="0" borderId="1" xfId="0" applyBorder="1"/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20" fillId="0" borderId="1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22" fillId="0" borderId="2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165" fontId="22" fillId="0" borderId="2" xfId="15328" applyNumberFormat="1" applyFont="1" applyBorder="1" applyAlignment="1">
      <alignment horizontal="center" vertical="top" wrapText="1"/>
    </xf>
    <xf numFmtId="0" fontId="30" fillId="0" borderId="1" xfId="15328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 vertical="top" wrapText="1"/>
    </xf>
    <xf numFmtId="165" fontId="23" fillId="0" borderId="1" xfId="15328" applyNumberFormat="1" applyFont="1" applyBorder="1" applyAlignment="1">
      <alignment horizontal="center" vertical="top" wrapText="1"/>
    </xf>
    <xf numFmtId="165" fontId="22" fillId="0" borderId="3" xfId="15328" applyNumberFormat="1" applyFont="1" applyBorder="1" applyAlignment="1">
      <alignment horizontal="center" vertical="top" wrapText="1"/>
    </xf>
    <xf numFmtId="0" fontId="22" fillId="0" borderId="24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1" fillId="0" borderId="2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32" fillId="0" borderId="1" xfId="15328" applyFont="1" applyBorder="1" applyAlignment="1">
      <alignment horizontal="center" vertical="top" wrapText="1"/>
    </xf>
    <xf numFmtId="0" fontId="22" fillId="0" borderId="2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0" fontId="30" fillId="0" borderId="2" xfId="15328" applyFont="1" applyBorder="1" applyAlignment="1">
      <alignment horizontal="center" vertical="top" wrapText="1"/>
    </xf>
    <xf numFmtId="0" fontId="30" fillId="0" borderId="1" xfId="15328" applyFont="1" applyBorder="1" applyAlignment="1">
      <alignment horizontal="center" vertical="top" wrapText="1"/>
    </xf>
    <xf numFmtId="165" fontId="30" fillId="0" borderId="1" xfId="15328" applyNumberFormat="1" applyFont="1" applyBorder="1" applyAlignment="1">
      <alignment horizontal="center" vertical="top" wrapText="1"/>
    </xf>
    <xf numFmtId="165" fontId="23" fillId="0" borderId="2" xfId="15328" applyNumberFormat="1" applyFont="1" applyBorder="1" applyAlignment="1">
      <alignment horizontal="center" vertical="top" wrapText="1"/>
    </xf>
    <xf numFmtId="165" fontId="23" fillId="0" borderId="1" xfId="15328" applyNumberFormat="1" applyFont="1" applyBorder="1" applyAlignment="1">
      <alignment horizontal="center" vertical="top" wrapText="1"/>
    </xf>
    <xf numFmtId="165" fontId="30" fillId="0" borderId="3" xfId="15328" applyNumberFormat="1" applyFont="1" applyBorder="1" applyAlignment="1">
      <alignment horizontal="center" vertical="top" wrapText="1"/>
    </xf>
    <xf numFmtId="165" fontId="23" fillId="0" borderId="3" xfId="15328" applyNumberFormat="1" applyFont="1" applyBorder="1" applyAlignment="1">
      <alignment horizontal="center" vertical="top" wrapText="1"/>
    </xf>
    <xf numFmtId="0" fontId="29" fillId="0" borderId="1" xfId="15328" applyFont="1" applyBorder="1" applyAlignment="1">
      <alignment horizontal="center" vertical="top" wrapText="1"/>
    </xf>
    <xf numFmtId="165" fontId="30" fillId="0" borderId="2" xfId="15328" applyNumberFormat="1" applyFont="1" applyBorder="1" applyAlignment="1">
      <alignment horizontal="center" vertical="top" wrapText="1"/>
    </xf>
    <xf numFmtId="0" fontId="22" fillId="0" borderId="24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0" fillId="0" borderId="2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22" fillId="0" borderId="2" xfId="15328" applyFont="1" applyBorder="1" applyAlignment="1">
      <alignment horizontal="center" vertical="top" wrapText="1"/>
    </xf>
    <xf numFmtId="165" fontId="22" fillId="0" borderId="2" xfId="15328" applyNumberFormat="1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 vertical="top" wrapText="1"/>
    </xf>
    <xf numFmtId="0" fontId="22" fillId="0" borderId="3" xfId="15328" applyFont="1" applyBorder="1" applyAlignment="1">
      <alignment horizontal="center" vertical="top" wrapText="1"/>
    </xf>
    <xf numFmtId="0" fontId="22" fillId="0" borderId="24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22" fillId="0" borderId="2" xfId="15328" applyFont="1" applyBorder="1" applyAlignment="1">
      <alignment horizontal="center" vertical="top" wrapText="1"/>
    </xf>
    <xf numFmtId="0" fontId="22" fillId="0" borderId="24" xfId="15328" applyFont="1" applyBorder="1" applyAlignment="1">
      <alignment horizontal="center" vertical="top" wrapText="1"/>
    </xf>
    <xf numFmtId="0" fontId="22" fillId="0" borderId="26" xfId="15328" applyFont="1" applyBorder="1" applyAlignment="1">
      <alignment horizontal="center" vertical="top" wrapText="1"/>
    </xf>
    <xf numFmtId="0" fontId="20" fillId="0" borderId="1" xfId="15328" quotePrefix="1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2" fillId="0" borderId="26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2" fillId="0" borderId="26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2" fillId="0" borderId="26" xfId="15328" applyFont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2" fillId="0" borderId="26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165" fontId="22" fillId="0" borderId="2" xfId="15328" applyNumberFormat="1" applyFont="1" applyBorder="1" applyAlignment="1">
      <alignment horizontal="center"/>
    </xf>
    <xf numFmtId="165" fontId="23" fillId="0" borderId="1" xfId="15328" applyNumberFormat="1" applyFont="1" applyBorder="1" applyAlignment="1">
      <alignment horizontal="center"/>
    </xf>
    <xf numFmtId="0" fontId="22" fillId="0" borderId="2" xfId="15328" applyFont="1" applyBorder="1" applyAlignment="1">
      <alignment horizontal="center" vertical="top"/>
    </xf>
    <xf numFmtId="0" fontId="23" fillId="0" borderId="1" xfId="15328" applyFont="1" applyBorder="1" applyAlignment="1">
      <alignment horizontal="center" vertical="top"/>
    </xf>
    <xf numFmtId="0" fontId="22" fillId="0" borderId="1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/>
    </xf>
    <xf numFmtId="165" fontId="22" fillId="0" borderId="2" xfId="15328" applyNumberFormat="1" applyFont="1" applyBorder="1" applyAlignment="1">
      <alignment horizontal="center"/>
    </xf>
    <xf numFmtId="165" fontId="23" fillId="0" borderId="1" xfId="15328" applyNumberFormat="1" applyFont="1" applyBorder="1" applyAlignment="1">
      <alignment horizontal="center"/>
    </xf>
    <xf numFmtId="165" fontId="23" fillId="0" borderId="2" xfId="15328" applyNumberFormat="1" applyFont="1" applyBorder="1" applyAlignment="1">
      <alignment horizontal="center"/>
    </xf>
    <xf numFmtId="0" fontId="22" fillId="0" borderId="2" xfId="15328" applyFont="1" applyBorder="1" applyAlignment="1">
      <alignment horizontal="center" vertical="top"/>
    </xf>
    <xf numFmtId="0" fontId="23" fillId="0" borderId="1" xfId="15328" applyFont="1" applyBorder="1" applyAlignment="1">
      <alignment horizontal="center" vertical="top"/>
    </xf>
    <xf numFmtId="0" fontId="22" fillId="0" borderId="1" xfId="15328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/>
    </xf>
    <xf numFmtId="165" fontId="22" fillId="0" borderId="2" xfId="15328" applyNumberFormat="1" applyFont="1" applyBorder="1" applyAlignment="1">
      <alignment horizontal="center"/>
    </xf>
    <xf numFmtId="0" fontId="22" fillId="0" borderId="1" xfId="15328" applyFont="1" applyBorder="1" applyAlignment="1">
      <alignment horizontal="center" vertical="top"/>
    </xf>
    <xf numFmtId="0" fontId="22" fillId="0" borderId="2" xfId="15328" applyFont="1" applyBorder="1" applyAlignment="1">
      <alignment horizontal="center" vertical="top"/>
    </xf>
    <xf numFmtId="0" fontId="22" fillId="0" borderId="1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/>
    </xf>
    <xf numFmtId="0" fontId="22" fillId="0" borderId="2" xfId="15328" applyFont="1" applyBorder="1" applyAlignment="1">
      <alignment horizontal="center"/>
    </xf>
    <xf numFmtId="0" fontId="22" fillId="0" borderId="1" xfId="15328" applyFont="1" applyBorder="1" applyAlignment="1">
      <alignment horizontal="center" vertical="top"/>
    </xf>
    <xf numFmtId="0" fontId="22" fillId="0" borderId="2" xfId="15328" applyFont="1" applyBorder="1" applyAlignment="1">
      <alignment horizontal="center" vertical="top"/>
    </xf>
    <xf numFmtId="0" fontId="23" fillId="0" borderId="23" xfId="15328" applyFont="1" applyBorder="1" applyAlignment="1">
      <alignment horizontal="center" vertical="top" wrapText="1"/>
    </xf>
    <xf numFmtId="0" fontId="22" fillId="0" borderId="23" xfId="15328" applyFont="1" applyBorder="1" applyAlignment="1">
      <alignment horizontal="center" vertical="top" wrapText="1"/>
    </xf>
    <xf numFmtId="0" fontId="23" fillId="0" borderId="23" xfId="15328" applyFont="1" applyBorder="1" applyAlignment="1">
      <alignment horizontal="center" vertical="top" wrapText="1"/>
    </xf>
    <xf numFmtId="0" fontId="22" fillId="0" borderId="23" xfId="15328" applyFont="1" applyBorder="1" applyAlignment="1">
      <alignment horizontal="center" vertical="top" wrapText="1"/>
    </xf>
    <xf numFmtId="0" fontId="22" fillId="0" borderId="25" xfId="15328" applyFont="1" applyFill="1" applyBorder="1" applyAlignment="1">
      <alignment horizontal="center" vertical="top" wrapText="1"/>
    </xf>
    <xf numFmtId="0" fontId="20" fillId="0" borderId="1" xfId="15328" applyFont="1" applyBorder="1" applyAlignment="1">
      <alignment horizontal="center" vertical="top" wrapText="1"/>
    </xf>
    <xf numFmtId="0" fontId="22" fillId="0" borderId="26" xfId="15328" applyFont="1" applyBorder="1" applyAlignment="1">
      <alignment horizontal="center" vertical="top" wrapText="1"/>
    </xf>
    <xf numFmtId="0" fontId="20" fillId="0" borderId="1" xfId="15328" quotePrefix="1" applyFont="1" applyBorder="1" applyAlignment="1">
      <alignment horizontal="center" vertical="top" wrapText="1"/>
    </xf>
    <xf numFmtId="0" fontId="21" fillId="0" borderId="1" xfId="15328" applyFont="1" applyBorder="1" applyAlignment="1">
      <alignment horizontal="center" vertical="top" wrapText="1"/>
    </xf>
    <xf numFmtId="0" fontId="22" fillId="0" borderId="23" xfId="15328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 vertical="top" wrapText="1"/>
    </xf>
    <xf numFmtId="0" fontId="23" fillId="0" borderId="23" xfId="15328" applyFont="1" applyBorder="1" applyAlignment="1">
      <alignment horizontal="center" vertical="top" wrapText="1"/>
    </xf>
    <xf numFmtId="0" fontId="22" fillId="0" borderId="2" xfId="15328" applyFont="1" applyBorder="1" applyAlignment="1">
      <alignment horizontal="center" vertical="top" wrapText="1"/>
    </xf>
    <xf numFmtId="0" fontId="23" fillId="0" borderId="1" xfId="15328" applyFont="1" applyBorder="1" applyAlignment="1">
      <alignment horizontal="center" vertical="top" wrapText="1"/>
    </xf>
    <xf numFmtId="165" fontId="22" fillId="0" borderId="2" xfId="15328" applyNumberFormat="1" applyFont="1" applyBorder="1" applyAlignment="1">
      <alignment horizontal="center" vertical="top" wrapText="1"/>
    </xf>
    <xf numFmtId="0" fontId="30" fillId="0" borderId="1" xfId="15328" applyFont="1" applyBorder="1" applyAlignment="1">
      <alignment horizontal="center" vertical="top" wrapText="1"/>
    </xf>
    <xf numFmtId="165" fontId="22" fillId="0" borderId="1" xfId="15328" applyNumberFormat="1" applyFont="1" applyBorder="1" applyAlignment="1">
      <alignment horizontal="center" vertical="top" wrapText="1"/>
    </xf>
    <xf numFmtId="165" fontId="30" fillId="0" borderId="1" xfId="15328" applyNumberFormat="1" applyFont="1" applyBorder="1" applyAlignment="1">
      <alignment horizontal="center" vertical="top" wrapText="1"/>
    </xf>
    <xf numFmtId="165" fontId="23" fillId="0" borderId="2" xfId="15328" applyNumberFormat="1" applyFont="1" applyBorder="1" applyAlignment="1">
      <alignment horizontal="center" vertical="top" wrapText="1"/>
    </xf>
    <xf numFmtId="165" fontId="23" fillId="0" borderId="1" xfId="15328" applyNumberFormat="1" applyFont="1" applyBorder="1" applyAlignment="1">
      <alignment horizontal="center" vertical="top" wrapText="1"/>
    </xf>
    <xf numFmtId="0" fontId="22" fillId="0" borderId="1" xfId="15328" applyFont="1" applyBorder="1" applyAlignment="1">
      <alignment horizontal="center"/>
    </xf>
    <xf numFmtId="165" fontId="22" fillId="0" borderId="1" xfId="15328" applyNumberFormat="1" applyFont="1" applyBorder="1" applyAlignment="1">
      <alignment horizontal="center"/>
    </xf>
    <xf numFmtId="0" fontId="22" fillId="0" borderId="3" xfId="15328" applyFont="1" applyBorder="1" applyAlignment="1">
      <alignment horizontal="center" vertical="top" wrapText="1"/>
    </xf>
    <xf numFmtId="165" fontId="30" fillId="0" borderId="3" xfId="15328" applyNumberFormat="1" applyFont="1" applyBorder="1" applyAlignment="1">
      <alignment horizontal="center" vertical="top" wrapText="1"/>
    </xf>
    <xf numFmtId="165" fontId="22" fillId="0" borderId="3" xfId="15328" applyNumberFormat="1" applyFont="1" applyBorder="1" applyAlignment="1">
      <alignment horizontal="center" vertical="top" wrapText="1"/>
    </xf>
    <xf numFmtId="165" fontId="23" fillId="0" borderId="3" xfId="15328" applyNumberFormat="1" applyFont="1" applyBorder="1" applyAlignment="1">
      <alignment horizontal="center" vertical="top" wrapText="1"/>
    </xf>
    <xf numFmtId="0" fontId="29" fillId="0" borderId="1" xfId="15328" applyFont="1" applyBorder="1" applyAlignment="1">
      <alignment horizontal="center" vertical="top" wrapText="1"/>
    </xf>
    <xf numFmtId="165" fontId="30" fillId="0" borderId="2" xfId="15328" applyNumberFormat="1" applyFont="1" applyBorder="1" applyAlignment="1">
      <alignment horizontal="center" vertical="top" wrapText="1"/>
    </xf>
    <xf numFmtId="0" fontId="22" fillId="0" borderId="2" xfId="15328" applyFont="1" applyBorder="1" applyAlignment="1">
      <alignment horizontal="center"/>
    </xf>
    <xf numFmtId="165" fontId="22" fillId="0" borderId="2" xfId="15328" applyNumberFormat="1" applyFont="1" applyBorder="1" applyAlignment="1">
      <alignment horizontal="center"/>
    </xf>
    <xf numFmtId="0" fontId="22" fillId="0" borderId="1" xfId="15328" applyFont="1" applyBorder="1" applyAlignment="1">
      <alignment horizontal="center" vertical="top"/>
    </xf>
    <xf numFmtId="165" fontId="23" fillId="0" borderId="1" xfId="15328" applyNumberFormat="1" applyFont="1" applyBorder="1" applyAlignment="1">
      <alignment horizontal="center"/>
    </xf>
    <xf numFmtId="165" fontId="23" fillId="0" borderId="2" xfId="15328" applyNumberFormat="1" applyFont="1" applyBorder="1" applyAlignment="1">
      <alignment horizontal="center"/>
    </xf>
    <xf numFmtId="0" fontId="22" fillId="0" borderId="2" xfId="15328" applyFont="1" applyBorder="1" applyAlignment="1">
      <alignment horizontal="center" vertical="top"/>
    </xf>
    <xf numFmtId="0" fontId="23" fillId="0" borderId="1" xfId="15328" applyFont="1" applyBorder="1" applyAlignment="1">
      <alignment horizontal="center" vertical="top"/>
    </xf>
    <xf numFmtId="0" fontId="22" fillId="0" borderId="24" xfId="15328" applyFont="1" applyBorder="1" applyAlignment="1">
      <alignment horizontal="center" vertical="top" wrapText="1"/>
    </xf>
    <xf numFmtId="14" fontId="20" fillId="0" borderId="1" xfId="15328" applyNumberFormat="1" applyFont="1" applyBorder="1" applyAlignment="1">
      <alignment horizontal="center"/>
    </xf>
    <xf numFmtId="14" fontId="4" fillId="0" borderId="1" xfId="15328" applyNumberFormat="1" applyBorder="1" applyAlignment="1">
      <alignment horizontal="center"/>
    </xf>
    <xf numFmtId="14" fontId="4" fillId="0" borderId="2" xfId="15328" applyNumberFormat="1" applyBorder="1" applyAlignment="1">
      <alignment horizontal="center"/>
    </xf>
    <xf numFmtId="14" fontId="20" fillId="0" borderId="1" xfId="15328" applyNumberFormat="1" applyFont="1" applyBorder="1" applyAlignment="1">
      <alignment horizontal="center" vertical="top"/>
    </xf>
    <xf numFmtId="14" fontId="20" fillId="0" borderId="2" xfId="15328" applyNumberFormat="1" applyFont="1" applyBorder="1" applyAlignment="1">
      <alignment horizontal="center" vertical="top"/>
    </xf>
    <xf numFmtId="14" fontId="20" fillId="0" borderId="24" xfId="15328" applyNumberFormat="1" applyFont="1" applyBorder="1" applyAlignment="1">
      <alignment horizontal="center" vertical="top"/>
    </xf>
    <xf numFmtId="14" fontId="22" fillId="0" borderId="1" xfId="15328" applyNumberFormat="1" applyFont="1" applyBorder="1" applyAlignment="1">
      <alignment horizontal="center" vertical="top" wrapText="1"/>
    </xf>
    <xf numFmtId="14" fontId="22" fillId="0" borderId="1" xfId="15328" applyNumberFormat="1" applyFont="1" applyBorder="1" applyAlignment="1">
      <alignment horizontal="center" vertical="top"/>
    </xf>
    <xf numFmtId="14" fontId="20" fillId="0" borderId="26" xfId="15328" applyNumberFormat="1" applyFont="1" applyBorder="1" applyAlignment="1">
      <alignment horizontal="center" vertical="top" wrapText="1"/>
    </xf>
    <xf numFmtId="14" fontId="20" fillId="0" borderId="5" xfId="15328" applyNumberFormat="1" applyFont="1" applyBorder="1" applyAlignment="1">
      <alignment horizontal="center" vertical="top" wrapText="1"/>
    </xf>
    <xf numFmtId="14" fontId="22" fillId="0" borderId="1" xfId="15328" applyNumberFormat="1" applyFont="1" applyBorder="1" applyAlignment="1">
      <alignment horizontal="center"/>
    </xf>
    <xf numFmtId="14" fontId="22" fillId="0" borderId="2" xfId="15328" applyNumberFormat="1" applyFont="1" applyBorder="1" applyAlignment="1">
      <alignment horizontal="center"/>
    </xf>
    <xf numFmtId="14" fontId="22" fillId="0" borderId="2" xfId="15328" applyNumberFormat="1" applyFont="1" applyBorder="1" applyAlignment="1">
      <alignment horizontal="center" vertical="top"/>
    </xf>
    <xf numFmtId="14" fontId="22" fillId="0" borderId="23" xfId="15328" applyNumberFormat="1" applyFont="1" applyBorder="1" applyAlignment="1">
      <alignment horizontal="center" vertical="top" wrapText="1"/>
    </xf>
    <xf numFmtId="0" fontId="0" fillId="0" borderId="0" xfId="0" applyFont="1" applyFill="1" applyBorder="1"/>
    <xf numFmtId="2" fontId="4" fillId="0" borderId="1" xfId="15328" applyNumberFormat="1" applyFill="1" applyBorder="1" applyAlignment="1">
      <alignment horizontal="center" vertical="center"/>
    </xf>
    <xf numFmtId="2" fontId="4" fillId="0" borderId="1" xfId="15328" applyNumberFormat="1" applyFont="1" applyFill="1" applyBorder="1" applyAlignment="1">
      <alignment horizontal="center" vertical="center"/>
    </xf>
    <xf numFmtId="0" fontId="4" fillId="0" borderId="1" xfId="15328" applyFont="1" applyBorder="1" applyAlignment="1">
      <alignment horizontal="center" vertical="center"/>
    </xf>
    <xf numFmtId="2" fontId="4" fillId="0" borderId="1" xfId="15328" applyNumberFormat="1" applyFill="1" applyBorder="1" applyAlignment="1">
      <alignment horizontal="center" vertical="center"/>
    </xf>
    <xf numFmtId="0" fontId="4" fillId="0" borderId="1" xfId="15328" applyFont="1" applyBorder="1" applyAlignment="1">
      <alignment horizontal="center" vertical="center"/>
    </xf>
    <xf numFmtId="14" fontId="4" fillId="0" borderId="1" xfId="15328" applyNumberFormat="1" applyBorder="1" applyAlignment="1">
      <alignment horizontal="center"/>
    </xf>
    <xf numFmtId="14" fontId="4" fillId="0" borderId="2" xfId="15328" applyNumberFormat="1" applyBorder="1" applyAlignment="1">
      <alignment horizontal="center"/>
    </xf>
    <xf numFmtId="2" fontId="4" fillId="0" borderId="1" xfId="15328" applyNumberFormat="1" applyFont="1" applyFill="1" applyBorder="1" applyAlignment="1">
      <alignment horizontal="center" vertical="center"/>
    </xf>
    <xf numFmtId="0" fontId="0" fillId="0" borderId="0" xfId="0"/>
    <xf numFmtId="0" fontId="20" fillId="0" borderId="1" xfId="15330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0" fontId="22" fillId="0" borderId="2" xfId="15330" applyFont="1" applyBorder="1" applyAlignment="1">
      <alignment horizontal="center" vertical="top" wrapText="1"/>
    </xf>
    <xf numFmtId="0" fontId="22" fillId="0" borderId="7" xfId="15330" applyFont="1" applyBorder="1" applyAlignment="1">
      <alignment horizontal="center" vertical="top" wrapText="1"/>
    </xf>
    <xf numFmtId="0" fontId="22" fillId="0" borderId="23" xfId="15330" applyFont="1" applyBorder="1" applyAlignment="1">
      <alignment horizontal="center" vertical="top" wrapText="1"/>
    </xf>
    <xf numFmtId="0" fontId="22" fillId="0" borderId="24" xfId="15330" applyFont="1" applyBorder="1" applyAlignment="1">
      <alignment horizontal="center" vertical="top" wrapText="1"/>
    </xf>
    <xf numFmtId="0" fontId="22" fillId="0" borderId="25" xfId="15330" applyFont="1" applyBorder="1" applyAlignment="1">
      <alignment horizontal="center" vertical="top" wrapText="1"/>
    </xf>
    <xf numFmtId="0" fontId="20" fillId="0" borderId="1" xfId="15330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0" fontId="23" fillId="0" borderId="1" xfId="15330" applyFont="1" applyBorder="1" applyAlignment="1">
      <alignment horizontal="center" vertical="top" wrapText="1"/>
    </xf>
    <xf numFmtId="165" fontId="20" fillId="0" borderId="1" xfId="15330" applyNumberFormat="1" applyFont="1" applyBorder="1" applyAlignment="1">
      <alignment horizontal="center" vertical="top" wrapText="1"/>
    </xf>
    <xf numFmtId="0" fontId="20" fillId="0" borderId="2" xfId="15330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165" fontId="22" fillId="0" borderId="1" xfId="15330" applyNumberFormat="1" applyFont="1" applyBorder="1" applyAlignment="1">
      <alignment horizontal="center" vertical="top" wrapText="1"/>
    </xf>
    <xf numFmtId="165" fontId="23" fillId="0" borderId="1" xfId="15330" applyNumberFormat="1" applyFont="1" applyBorder="1" applyAlignment="1">
      <alignment horizontal="center" vertical="top" wrapText="1"/>
    </xf>
    <xf numFmtId="0" fontId="20" fillId="0" borderId="3" xfId="15330" applyFont="1" applyBorder="1" applyAlignment="1">
      <alignment horizontal="center" vertical="top" wrapText="1"/>
    </xf>
    <xf numFmtId="165" fontId="23" fillId="0" borderId="3" xfId="15330" applyNumberFormat="1" applyFont="1" applyBorder="1" applyAlignment="1">
      <alignment horizontal="center" vertical="top" wrapText="1"/>
    </xf>
    <xf numFmtId="0" fontId="20" fillId="0" borderId="4" xfId="15330" applyFont="1" applyBorder="1" applyAlignment="1">
      <alignment horizontal="center" vertical="top" wrapText="1"/>
    </xf>
    <xf numFmtId="165" fontId="30" fillId="0" borderId="1" xfId="15330" applyNumberFormat="1" applyFont="1" applyBorder="1" applyAlignment="1">
      <alignment horizontal="center" vertical="top" wrapText="1"/>
    </xf>
    <xf numFmtId="165" fontId="30" fillId="0" borderId="3" xfId="15330" applyNumberFormat="1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 vertical="top" wrapText="1"/>
    </xf>
    <xf numFmtId="165" fontId="20" fillId="0" borderId="2" xfId="15330" applyNumberFormat="1" applyFont="1" applyBorder="1" applyAlignment="1">
      <alignment horizontal="center" vertical="top" wrapText="1"/>
    </xf>
    <xf numFmtId="165" fontId="22" fillId="0" borderId="7" xfId="15330" applyNumberFormat="1" applyFont="1" applyBorder="1" applyAlignment="1">
      <alignment horizontal="center" vertical="top" wrapText="1"/>
    </xf>
    <xf numFmtId="165" fontId="21" fillId="0" borderId="1" xfId="15330" applyNumberFormat="1" applyFont="1" applyBorder="1" applyAlignment="1">
      <alignment horizontal="center" vertical="top" wrapText="1"/>
    </xf>
    <xf numFmtId="0" fontId="21" fillId="0" borderId="2" xfId="15330" applyFont="1" applyBorder="1" applyAlignment="1">
      <alignment horizontal="center" vertical="top" wrapText="1"/>
    </xf>
    <xf numFmtId="165" fontId="23" fillId="0" borderId="2" xfId="15330" applyNumberFormat="1" applyFont="1" applyBorder="1" applyAlignment="1">
      <alignment horizontal="center" vertical="top" wrapText="1"/>
    </xf>
    <xf numFmtId="165" fontId="21" fillId="0" borderId="7" xfId="15330" applyNumberFormat="1" applyFont="1" applyBorder="1" applyAlignment="1">
      <alignment horizontal="center" vertical="top" wrapText="1"/>
    </xf>
    <xf numFmtId="0" fontId="20" fillId="0" borderId="23" xfId="15330" applyFont="1" applyBorder="1" applyAlignment="1">
      <alignment horizontal="center" vertical="top" wrapText="1"/>
    </xf>
    <xf numFmtId="0" fontId="22" fillId="0" borderId="23" xfId="15330" applyFont="1" applyBorder="1" applyAlignment="1">
      <alignment horizontal="center" vertical="top" wrapText="1"/>
    </xf>
    <xf numFmtId="0" fontId="20" fillId="0" borderId="24" xfId="15330" applyFont="1" applyBorder="1" applyAlignment="1">
      <alignment horizontal="center" vertical="top" wrapText="1"/>
    </xf>
    <xf numFmtId="0" fontId="22" fillId="0" borderId="24" xfId="15330" applyFont="1" applyBorder="1" applyAlignment="1">
      <alignment horizontal="center" vertical="top" wrapText="1"/>
    </xf>
    <xf numFmtId="0" fontId="20" fillId="0" borderId="25" xfId="15330" applyFont="1" applyBorder="1" applyAlignment="1">
      <alignment horizontal="center" vertical="top" wrapText="1"/>
    </xf>
    <xf numFmtId="0" fontId="22" fillId="0" borderId="25" xfId="15330" applyFont="1" applyBorder="1" applyAlignment="1">
      <alignment horizontal="center" vertical="top" wrapText="1"/>
    </xf>
    <xf numFmtId="0" fontId="21" fillId="0" borderId="24" xfId="15330" applyFont="1" applyBorder="1" applyAlignment="1">
      <alignment horizontal="center" vertical="top" wrapText="1"/>
    </xf>
    <xf numFmtId="0" fontId="23" fillId="0" borderId="24" xfId="15330" applyFont="1" applyBorder="1" applyAlignment="1">
      <alignment horizontal="center" vertical="top" wrapText="1"/>
    </xf>
    <xf numFmtId="0" fontId="20" fillId="0" borderId="1" xfId="15330" applyFont="1" applyBorder="1" applyAlignment="1">
      <alignment horizontal="center" vertical="top" wrapText="1"/>
    </xf>
    <xf numFmtId="165" fontId="20" fillId="0" borderId="1" xfId="15330" applyNumberFormat="1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0" fillId="0" borderId="3" xfId="15330" applyFont="1" applyBorder="1" applyAlignment="1">
      <alignment horizontal="center" vertical="top" wrapText="1"/>
    </xf>
    <xf numFmtId="165" fontId="20" fillId="0" borderId="2" xfId="15330" applyNumberFormat="1" applyFont="1" applyBorder="1" applyAlignment="1">
      <alignment horizontal="center" vertical="top" wrapText="1"/>
    </xf>
    <xf numFmtId="165" fontId="20" fillId="0" borderId="7" xfId="15330" applyNumberFormat="1" applyFont="1" applyBorder="1" applyAlignment="1">
      <alignment horizontal="center" vertical="top" wrapText="1"/>
    </xf>
    <xf numFmtId="165" fontId="21" fillId="0" borderId="1" xfId="15330" applyNumberFormat="1" applyFont="1" applyBorder="1" applyAlignment="1">
      <alignment horizontal="center" vertical="top" wrapText="1"/>
    </xf>
    <xf numFmtId="0" fontId="20" fillId="0" borderId="23" xfId="15330" applyFont="1" applyBorder="1" applyAlignment="1">
      <alignment horizontal="center" vertical="top" wrapText="1"/>
    </xf>
    <xf numFmtId="0" fontId="20" fillId="0" borderId="24" xfId="15330" applyFont="1" applyBorder="1" applyAlignment="1">
      <alignment horizontal="center" vertical="top" wrapText="1"/>
    </xf>
    <xf numFmtId="0" fontId="20" fillId="0" borderId="25" xfId="15330" applyFont="1" applyBorder="1" applyAlignment="1">
      <alignment horizontal="center" vertical="top" wrapText="1"/>
    </xf>
    <xf numFmtId="0" fontId="20" fillId="0" borderId="1" xfId="15330" applyFont="1" applyBorder="1" applyAlignment="1">
      <alignment horizontal="center" vertical="top" wrapText="1"/>
    </xf>
    <xf numFmtId="165" fontId="20" fillId="0" borderId="1" xfId="15330" applyNumberFormat="1" applyFont="1" applyBorder="1" applyAlignment="1">
      <alignment horizontal="center" vertical="top" wrapText="1"/>
    </xf>
    <xf numFmtId="0" fontId="20" fillId="0" borderId="2" xfId="15330" applyFont="1" applyBorder="1" applyAlignment="1">
      <alignment horizontal="center" vertical="top" wrapText="1"/>
    </xf>
    <xf numFmtId="0" fontId="20" fillId="0" borderId="3" xfId="15330" applyFont="1" applyBorder="1" applyAlignment="1">
      <alignment horizontal="center" vertical="top" wrapText="1"/>
    </xf>
    <xf numFmtId="0" fontId="20" fillId="0" borderId="7" xfId="15330" applyFont="1" applyBorder="1" applyAlignment="1">
      <alignment horizontal="center" vertical="top" wrapText="1"/>
    </xf>
    <xf numFmtId="0" fontId="20" fillId="0" borderId="23" xfId="15330" applyFont="1" applyBorder="1" applyAlignment="1">
      <alignment horizontal="center" vertical="top" wrapText="1"/>
    </xf>
    <xf numFmtId="0" fontId="20" fillId="0" borderId="24" xfId="15330" applyFont="1" applyBorder="1" applyAlignment="1">
      <alignment horizontal="center" vertical="top" wrapText="1"/>
    </xf>
    <xf numFmtId="0" fontId="20" fillId="0" borderId="25" xfId="15330" applyFont="1" applyBorder="1" applyAlignment="1">
      <alignment horizontal="center" vertical="top" wrapText="1"/>
    </xf>
    <xf numFmtId="0" fontId="20" fillId="0" borderId="1" xfId="15330" applyFont="1" applyBorder="1" applyAlignment="1">
      <alignment horizontal="center" vertical="top" wrapText="1"/>
    </xf>
    <xf numFmtId="165" fontId="20" fillId="0" borderId="1" xfId="15330" applyNumberFormat="1" applyFont="1" applyBorder="1" applyAlignment="1">
      <alignment horizontal="center" vertical="top" wrapText="1"/>
    </xf>
    <xf numFmtId="0" fontId="21" fillId="0" borderId="1" xfId="15330" applyFont="1" applyBorder="1" applyAlignment="1">
      <alignment horizontal="center" vertical="top" wrapText="1"/>
    </xf>
    <xf numFmtId="0" fontId="20" fillId="0" borderId="3" xfId="15330" applyFont="1" applyBorder="1" applyAlignment="1">
      <alignment horizontal="center" vertical="top" wrapText="1"/>
    </xf>
    <xf numFmtId="165" fontId="20" fillId="0" borderId="2" xfId="15330" applyNumberFormat="1" applyFont="1" applyBorder="1" applyAlignment="1">
      <alignment horizontal="center" vertical="top" wrapText="1"/>
    </xf>
    <xf numFmtId="0" fontId="20" fillId="0" borderId="23" xfId="15330" applyFont="1" applyBorder="1" applyAlignment="1">
      <alignment horizontal="center" vertical="top" wrapText="1"/>
    </xf>
    <xf numFmtId="0" fontId="20" fillId="0" borderId="24" xfId="15330" applyFont="1" applyBorder="1" applyAlignment="1">
      <alignment horizontal="center" vertical="top" wrapText="1"/>
    </xf>
    <xf numFmtId="0" fontId="20" fillId="0" borderId="25" xfId="15330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/>
    </xf>
    <xf numFmtId="0" fontId="22" fillId="0" borderId="2" xfId="15330" applyFont="1" applyBorder="1" applyAlignment="1">
      <alignment horizontal="center" vertical="top" wrapText="1"/>
    </xf>
    <xf numFmtId="0" fontId="22" fillId="0" borderId="3" xfId="15330" applyFont="1" applyBorder="1" applyAlignment="1">
      <alignment horizontal="center" vertical="top" wrapText="1"/>
    </xf>
    <xf numFmtId="165" fontId="22" fillId="0" borderId="1" xfId="15330" applyNumberFormat="1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 vertical="top" wrapText="1"/>
    </xf>
    <xf numFmtId="0" fontId="22" fillId="0" borderId="7" xfId="15330" applyFont="1" applyBorder="1" applyAlignment="1">
      <alignment horizontal="center" vertical="top" wrapText="1"/>
    </xf>
    <xf numFmtId="165" fontId="22" fillId="0" borderId="7" xfId="15330" applyNumberFormat="1" applyFont="1" applyBorder="1" applyAlignment="1">
      <alignment horizontal="center" vertical="top" wrapText="1"/>
    </xf>
    <xf numFmtId="165" fontId="22" fillId="0" borderId="3" xfId="15330" applyNumberFormat="1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0" fontId="22" fillId="0" borderId="2" xfId="15330" applyFont="1" applyBorder="1" applyAlignment="1">
      <alignment horizontal="center"/>
    </xf>
    <xf numFmtId="0" fontId="22" fillId="0" borderId="2" xfId="15330" applyFont="1" applyBorder="1" applyAlignment="1">
      <alignment horizontal="center" vertical="top" wrapText="1"/>
    </xf>
    <xf numFmtId="0" fontId="22" fillId="0" borderId="3" xfId="15330" applyFont="1" applyBorder="1" applyAlignment="1">
      <alignment horizontal="center" vertical="top" wrapText="1"/>
    </xf>
    <xf numFmtId="0" fontId="22" fillId="0" borderId="7" xfId="15330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/>
    </xf>
    <xf numFmtId="0" fontId="23" fillId="0" borderId="1" xfId="15330" applyFont="1" applyBorder="1" applyAlignment="1">
      <alignment horizontal="center" vertical="top" wrapText="1"/>
    </xf>
    <xf numFmtId="0" fontId="22" fillId="0" borderId="2" xfId="15330" applyFont="1" applyBorder="1" applyAlignment="1">
      <alignment horizontal="center" vertical="top" wrapText="1"/>
    </xf>
    <xf numFmtId="0" fontId="23" fillId="0" borderId="3" xfId="15330" applyFont="1" applyBorder="1" applyAlignment="1">
      <alignment horizontal="center" vertical="top" wrapText="1"/>
    </xf>
    <xf numFmtId="0" fontId="30" fillId="0" borderId="1" xfId="15330" applyFont="1" applyBorder="1" applyAlignment="1">
      <alignment horizontal="center" vertical="top" wrapText="1"/>
    </xf>
    <xf numFmtId="165" fontId="23" fillId="0" borderId="1" xfId="15330" applyNumberFormat="1" applyFont="1" applyBorder="1" applyAlignment="1">
      <alignment horizontal="center" vertical="top" wrapText="1"/>
    </xf>
    <xf numFmtId="0" fontId="30" fillId="0" borderId="2" xfId="15330" applyFont="1" applyBorder="1" applyAlignment="1">
      <alignment horizontal="center" vertical="top" wrapText="1"/>
    </xf>
    <xf numFmtId="165" fontId="23" fillId="0" borderId="3" xfId="15330" applyNumberFormat="1" applyFont="1" applyBorder="1" applyAlignment="1">
      <alignment horizontal="center" vertical="top" wrapText="1"/>
    </xf>
    <xf numFmtId="0" fontId="23" fillId="0" borderId="2" xfId="15330" applyFont="1" applyBorder="1" applyAlignment="1">
      <alignment horizontal="center" vertical="top" wrapText="1"/>
    </xf>
    <xf numFmtId="165" fontId="30" fillId="0" borderId="1" xfId="15330" applyNumberFormat="1" applyFont="1" applyBorder="1" applyAlignment="1">
      <alignment horizontal="center" vertical="top" wrapText="1"/>
    </xf>
    <xf numFmtId="165" fontId="30" fillId="0" borderId="3" xfId="15330" applyNumberFormat="1" applyFont="1" applyBorder="1" applyAlignment="1">
      <alignment horizontal="center" vertical="top" wrapText="1"/>
    </xf>
    <xf numFmtId="165" fontId="23" fillId="0" borderId="2" xfId="15330" applyNumberFormat="1" applyFont="1" applyBorder="1" applyAlignment="1">
      <alignment horizontal="center" vertical="top" wrapText="1"/>
    </xf>
    <xf numFmtId="165" fontId="23" fillId="0" borderId="7" xfId="15330" applyNumberFormat="1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/>
    </xf>
    <xf numFmtId="0" fontId="23" fillId="0" borderId="1" xfId="15330" applyFont="1" applyBorder="1" applyAlignment="1">
      <alignment horizontal="center" vertical="top" wrapText="1"/>
    </xf>
    <xf numFmtId="0" fontId="22" fillId="0" borderId="2" xfId="15330" applyFont="1" applyBorder="1" applyAlignment="1">
      <alignment horizontal="center" vertical="top" wrapText="1"/>
    </xf>
    <xf numFmtId="0" fontId="22" fillId="0" borderId="3" xfId="15330" applyFont="1" applyBorder="1" applyAlignment="1">
      <alignment horizontal="center" vertical="top" wrapText="1"/>
    </xf>
    <xf numFmtId="0" fontId="23" fillId="0" borderId="3" xfId="15330" applyFont="1" applyBorder="1" applyAlignment="1">
      <alignment horizontal="center" vertical="top" wrapText="1"/>
    </xf>
    <xf numFmtId="165" fontId="22" fillId="0" borderId="1" xfId="15330" applyNumberFormat="1" applyFont="1" applyBorder="1" applyAlignment="1">
      <alignment horizontal="center" vertical="top" wrapText="1"/>
    </xf>
    <xf numFmtId="165" fontId="22" fillId="0" borderId="2" xfId="15330" applyNumberFormat="1" applyFont="1" applyBorder="1" applyAlignment="1">
      <alignment horizontal="center" vertical="top" wrapText="1"/>
    </xf>
    <xf numFmtId="165" fontId="22" fillId="0" borderId="7" xfId="15330" applyNumberFormat="1" applyFont="1" applyBorder="1" applyAlignment="1">
      <alignment horizontal="center" vertical="top" wrapText="1"/>
    </xf>
    <xf numFmtId="165" fontId="22" fillId="0" borderId="3" xfId="15330" applyNumberFormat="1" applyFont="1" applyBorder="1" applyAlignment="1">
      <alignment horizontal="center" vertical="top" wrapText="1"/>
    </xf>
    <xf numFmtId="14" fontId="20" fillId="0" borderId="1" xfId="15330" applyNumberFormat="1" applyFont="1" applyBorder="1" applyAlignment="1">
      <alignment horizontal="center" vertical="top" wrapText="1"/>
    </xf>
    <xf numFmtId="0" fontId="22" fillId="0" borderId="1" xfId="15330" applyFont="1" applyBorder="1" applyAlignment="1">
      <alignment horizontal="center" vertical="top" wrapText="1"/>
    </xf>
    <xf numFmtId="0" fontId="22" fillId="0" borderId="7" xfId="15330" applyFont="1" applyBorder="1" applyAlignment="1">
      <alignment horizontal="center" vertical="top" wrapText="1"/>
    </xf>
    <xf numFmtId="14" fontId="20" fillId="0" borderId="2" xfId="15330" applyNumberFormat="1" applyFont="1" applyBorder="1" applyAlignment="1">
      <alignment horizontal="center" vertical="top" wrapText="1"/>
    </xf>
    <xf numFmtId="14" fontId="20" fillId="0" borderId="7" xfId="15330" applyNumberFormat="1" applyFont="1" applyBorder="1" applyAlignment="1">
      <alignment horizontal="center" vertical="top" wrapText="1"/>
    </xf>
    <xf numFmtId="14" fontId="20" fillId="0" borderId="23" xfId="15330" applyNumberFormat="1" applyFont="1" applyBorder="1" applyAlignment="1">
      <alignment horizontal="center" vertical="top" wrapText="1"/>
    </xf>
    <xf numFmtId="14" fontId="20" fillId="0" borderId="24" xfId="15330" applyNumberFormat="1" applyFont="1" applyBorder="1" applyAlignment="1">
      <alignment horizontal="center" vertical="top" wrapText="1"/>
    </xf>
    <xf numFmtId="14" fontId="20" fillId="0" borderId="25" xfId="15330" applyNumberFormat="1" applyFont="1" applyBorder="1" applyAlignment="1">
      <alignment horizontal="center" vertical="top" wrapText="1"/>
    </xf>
    <xf numFmtId="14" fontId="20" fillId="0" borderId="2" xfId="15330" applyNumberFormat="1" applyFont="1" applyBorder="1" applyAlignment="1">
      <alignment horizontal="center"/>
    </xf>
    <xf numFmtId="2" fontId="3" fillId="13" borderId="1" xfId="15330" applyNumberFormat="1" applyFill="1" applyBorder="1" applyAlignment="1">
      <alignment horizontal="center" vertical="center"/>
    </xf>
    <xf numFmtId="2" fontId="3" fillId="14" borderId="1" xfId="15330" applyNumberFormat="1" applyFill="1" applyBorder="1" applyAlignment="1">
      <alignment horizontal="center" vertical="center"/>
    </xf>
    <xf numFmtId="2" fontId="3" fillId="0" borderId="1" xfId="15330" applyNumberFormat="1" applyFont="1" applyFill="1" applyBorder="1" applyAlignment="1">
      <alignment horizontal="center" vertical="center"/>
    </xf>
    <xf numFmtId="2" fontId="3" fillId="0" borderId="1" xfId="15330" applyNumberFormat="1" applyFill="1" applyBorder="1" applyAlignment="1">
      <alignment horizontal="center" vertical="center"/>
    </xf>
    <xf numFmtId="0" fontId="3" fillId="0" borderId="1" xfId="15330" applyFont="1" applyBorder="1" applyAlignment="1">
      <alignment horizontal="center" vertical="center"/>
    </xf>
    <xf numFmtId="0" fontId="0" fillId="0" borderId="0" xfId="0"/>
    <xf numFmtId="2" fontId="2" fillId="16" borderId="1" xfId="15332" applyNumberFormat="1" applyFill="1" applyBorder="1" applyAlignment="1">
      <alignment horizontal="center" vertical="center"/>
    </xf>
    <xf numFmtId="2" fontId="0" fillId="0" borderId="1" xfId="0" applyNumberFormat="1" applyFill="1" applyBorder="1" applyAlignment="1">
      <alignment horizontal="center" vertical="center"/>
    </xf>
    <xf numFmtId="2" fontId="0" fillId="16" borderId="1" xfId="0" applyNumberFormat="1" applyFill="1" applyBorder="1" applyAlignment="1">
      <alignment horizontal="center" vertical="center"/>
    </xf>
    <xf numFmtId="2" fontId="2" fillId="15" borderId="1" xfId="15332" applyNumberFormat="1" applyFill="1" applyBorder="1" applyAlignment="1">
      <alignment horizontal="center" vertical="center"/>
    </xf>
    <xf numFmtId="2" fontId="2" fillId="13" borderId="1" xfId="15332" applyNumberFormat="1" applyFill="1" applyBorder="1" applyAlignment="1">
      <alignment horizontal="center" vertical="center"/>
    </xf>
    <xf numFmtId="2" fontId="2" fillId="0" borderId="3" xfId="15332" applyNumberFormat="1" applyBorder="1" applyAlignment="1">
      <alignment horizontal="center" vertical="center"/>
    </xf>
    <xf numFmtId="2" fontId="2" fillId="0" borderId="1" xfId="15332" applyNumberFormat="1" applyBorder="1" applyAlignment="1">
      <alignment horizontal="center" vertical="center"/>
    </xf>
    <xf numFmtId="2" fontId="2" fillId="0" borderId="1" xfId="15332" applyNumberFormat="1" applyBorder="1" applyAlignment="1">
      <alignment horizontal="center"/>
    </xf>
    <xf numFmtId="2" fontId="2" fillId="0" borderId="3" xfId="15332" applyNumberFormat="1" applyBorder="1" applyAlignment="1">
      <alignment horizontal="center" vertical="center"/>
    </xf>
    <xf numFmtId="2" fontId="2" fillId="0" borderId="1" xfId="15332" applyNumberFormat="1" applyBorder="1" applyAlignment="1">
      <alignment horizontal="center" vertical="center"/>
    </xf>
    <xf numFmtId="2" fontId="2" fillId="0" borderId="1" xfId="15332" applyNumberFormat="1" applyBorder="1" applyAlignment="1">
      <alignment horizontal="center"/>
    </xf>
    <xf numFmtId="2" fontId="2" fillId="0" borderId="3" xfId="15332" applyNumberFormat="1" applyBorder="1" applyAlignment="1">
      <alignment horizontal="center"/>
    </xf>
    <xf numFmtId="0" fontId="2" fillId="0" borderId="1" xfId="15332" applyFont="1" applyBorder="1" applyAlignment="1">
      <alignment horizontal="center" vertical="center"/>
    </xf>
    <xf numFmtId="0" fontId="2" fillId="0" borderId="3" xfId="15332" applyFont="1" applyBorder="1" applyAlignment="1">
      <alignment horizontal="center" vertical="center"/>
    </xf>
    <xf numFmtId="14" fontId="2" fillId="0" borderId="1" xfId="15332" applyNumberFormat="1" applyBorder="1" applyAlignment="1">
      <alignment horizontal="center" vertical="center"/>
    </xf>
    <xf numFmtId="14" fontId="2" fillId="0" borderId="1" xfId="15332" applyNumberFormat="1" applyBorder="1" applyAlignment="1">
      <alignment horizontal="center"/>
    </xf>
    <xf numFmtId="14" fontId="2" fillId="0" borderId="27" xfId="15332" applyNumberFormat="1" applyBorder="1" applyAlignment="1">
      <alignment horizontal="center"/>
    </xf>
    <xf numFmtId="0" fontId="2" fillId="0" borderId="1" xfId="15332" applyFont="1" applyBorder="1" applyAlignment="1">
      <alignment horizontal="center" vertical="center"/>
    </xf>
    <xf numFmtId="2" fontId="2" fillId="0" borderId="1" xfId="15332" applyNumberFormat="1" applyBorder="1" applyAlignment="1">
      <alignment horizontal="center"/>
    </xf>
    <xf numFmtId="2" fontId="2" fillId="0" borderId="1" xfId="15332" applyNumberFormat="1" applyBorder="1" applyAlignment="1">
      <alignment horizontal="center"/>
    </xf>
    <xf numFmtId="2" fontId="2" fillId="16" borderId="1" xfId="15332" applyNumberFormat="1" applyFill="1" applyBorder="1" applyAlignment="1">
      <alignment horizontal="center" vertical="center"/>
    </xf>
    <xf numFmtId="2" fontId="2" fillId="15" borderId="1" xfId="15332" applyNumberFormat="1" applyFill="1" applyBorder="1" applyAlignment="1">
      <alignment horizontal="center" vertical="center"/>
    </xf>
    <xf numFmtId="2" fontId="2" fillId="13" borderId="1" xfId="15332" applyNumberFormat="1" applyFill="1" applyBorder="1" applyAlignment="1">
      <alignment horizontal="center" vertical="center"/>
    </xf>
    <xf numFmtId="14" fontId="2" fillId="0" borderId="1" xfId="15332" applyNumberFormat="1" applyBorder="1" applyAlignment="1">
      <alignment horizontal="center" vertical="center"/>
    </xf>
    <xf numFmtId="2" fontId="2" fillId="16" borderId="1" xfId="15332" applyNumberFormat="1" applyFill="1" applyBorder="1" applyAlignment="1">
      <alignment horizontal="center" vertical="center"/>
    </xf>
    <xf numFmtId="2" fontId="2" fillId="15" borderId="1" xfId="15332" applyNumberFormat="1" applyFill="1" applyBorder="1" applyAlignment="1">
      <alignment horizontal="center" vertical="center"/>
    </xf>
    <xf numFmtId="2" fontId="2" fillId="13" borderId="1" xfId="15332" applyNumberFormat="1" applyFill="1" applyBorder="1" applyAlignment="1">
      <alignment horizontal="center" vertical="center"/>
    </xf>
    <xf numFmtId="2" fontId="2" fillId="0" borderId="1" xfId="15332" applyNumberFormat="1" applyBorder="1" applyAlignment="1">
      <alignment horizontal="center" vertical="center"/>
    </xf>
    <xf numFmtId="2" fontId="2" fillId="0" borderId="1" xfId="15332" applyNumberFormat="1" applyBorder="1" applyAlignment="1">
      <alignment horizontal="center" vertical="center"/>
    </xf>
    <xf numFmtId="0" fontId="2" fillId="0" borderId="1" xfId="15332" applyFont="1" applyBorder="1" applyAlignment="1">
      <alignment horizontal="center" vertical="center"/>
    </xf>
    <xf numFmtId="14" fontId="2" fillId="0" borderId="1" xfId="15332" applyNumberFormat="1" applyBorder="1" applyAlignment="1">
      <alignment horizontal="center" vertical="center"/>
    </xf>
    <xf numFmtId="0" fontId="2" fillId="0" borderId="1" xfId="15332" applyFont="1" applyBorder="1" applyAlignment="1">
      <alignment horizontal="center" vertical="center"/>
    </xf>
    <xf numFmtId="14" fontId="2" fillId="0" borderId="1" xfId="15332" applyNumberFormat="1" applyBorder="1" applyAlignment="1">
      <alignment horizontal="center"/>
    </xf>
    <xf numFmtId="14" fontId="2" fillId="0" borderId="2" xfId="15332" applyNumberFormat="1" applyBorder="1" applyAlignment="1">
      <alignment horizontal="center"/>
    </xf>
    <xf numFmtId="0" fontId="2" fillId="0" borderId="3" xfId="15332" applyFont="1" applyBorder="1" applyAlignment="1">
      <alignment horizontal="center" vertical="center"/>
    </xf>
    <xf numFmtId="0" fontId="2" fillId="0" borderId="1" xfId="15332" applyFont="1" applyBorder="1" applyAlignment="1">
      <alignment horizontal="center"/>
    </xf>
    <xf numFmtId="2" fontId="0" fillId="14" borderId="1" xfId="0" applyNumberFormat="1" applyFill="1" applyBorder="1" applyAlignment="1">
      <alignment horizontal="center" vertical="center"/>
    </xf>
    <xf numFmtId="2" fontId="0" fillId="13" borderId="1" xfId="0" applyNumberFormat="1" applyFill="1" applyBorder="1" applyAlignment="1">
      <alignment horizontal="center" vertical="center"/>
    </xf>
    <xf numFmtId="2" fontId="0" fillId="0" borderId="1" xfId="0" applyNumberFormat="1" applyFont="1" applyFill="1" applyBorder="1" applyAlignment="1">
      <alignment horizontal="center" vertical="center"/>
    </xf>
    <xf numFmtId="14" fontId="0" fillId="0" borderId="27" xfId="0" applyNumberFormat="1" applyBorder="1" applyAlignment="1">
      <alignment horizontal="center"/>
    </xf>
    <xf numFmtId="14" fontId="0" fillId="0" borderId="1" xfId="0" applyNumberFormat="1" applyBorder="1" applyAlignment="1">
      <alignment horizontal="center" vertical="center"/>
    </xf>
    <xf numFmtId="14" fontId="20" fillId="0" borderId="1" xfId="15332" applyNumberFormat="1" applyFont="1" applyBorder="1" applyAlignment="1">
      <alignment horizontal="center"/>
    </xf>
    <xf numFmtId="0" fontId="2" fillId="0" borderId="1" xfId="15332" applyBorder="1" applyAlignment="1">
      <alignment horizontal="center"/>
    </xf>
    <xf numFmtId="0" fontId="2" fillId="0" borderId="2" xfId="15332" applyBorder="1" applyAlignment="1">
      <alignment horizontal="center"/>
    </xf>
    <xf numFmtId="165" fontId="2" fillId="0" borderId="1" xfId="15332" applyNumberFormat="1" applyBorder="1" applyAlignment="1">
      <alignment horizontal="center"/>
    </xf>
    <xf numFmtId="165" fontId="2" fillId="0" borderId="2" xfId="15332" applyNumberFormat="1" applyBorder="1" applyAlignment="1">
      <alignment horizontal="center"/>
    </xf>
    <xf numFmtId="0" fontId="2" fillId="0" borderId="1" xfId="15332" applyBorder="1" applyAlignment="1">
      <alignment horizontal="center"/>
    </xf>
    <xf numFmtId="165" fontId="2" fillId="0" borderId="1" xfId="15332" applyNumberFormat="1" applyBorder="1" applyAlignment="1">
      <alignment horizontal="center"/>
    </xf>
    <xf numFmtId="165" fontId="2" fillId="0" borderId="2" xfId="15332" applyNumberFormat="1" applyBorder="1" applyAlignment="1">
      <alignment horizontal="center"/>
    </xf>
    <xf numFmtId="0" fontId="33" fillId="0" borderId="1" xfId="15332" applyFont="1" applyBorder="1" applyAlignment="1">
      <alignment horizontal="center"/>
    </xf>
    <xf numFmtId="0" fontId="33" fillId="0" borderId="2" xfId="15332" applyFont="1" applyBorder="1" applyAlignment="1">
      <alignment horizontal="center"/>
    </xf>
    <xf numFmtId="165" fontId="33" fillId="0" borderId="1" xfId="15332" applyNumberFormat="1" applyFont="1" applyBorder="1" applyAlignment="1">
      <alignment horizontal="center"/>
    </xf>
    <xf numFmtId="165" fontId="33" fillId="0" borderId="2" xfId="15332" applyNumberFormat="1" applyFont="1" applyBorder="1" applyAlignment="1">
      <alignment horizontal="center"/>
    </xf>
    <xf numFmtId="0" fontId="2" fillId="0" borderId="1" xfId="15332" applyBorder="1" applyAlignment="1">
      <alignment horizontal="center"/>
    </xf>
    <xf numFmtId="0" fontId="2" fillId="0" borderId="2" xfId="15332" applyBorder="1" applyAlignment="1">
      <alignment horizontal="center"/>
    </xf>
    <xf numFmtId="165" fontId="2" fillId="0" borderId="1" xfId="15332" applyNumberFormat="1" applyBorder="1" applyAlignment="1">
      <alignment horizontal="center"/>
    </xf>
    <xf numFmtId="165" fontId="2" fillId="0" borderId="2" xfId="15332" applyNumberFormat="1" applyBorder="1" applyAlignment="1">
      <alignment horizontal="center"/>
    </xf>
    <xf numFmtId="0" fontId="2" fillId="0" borderId="1" xfId="15332" applyBorder="1" applyAlignment="1">
      <alignment horizontal="center"/>
    </xf>
    <xf numFmtId="0" fontId="2" fillId="0" borderId="2" xfId="15332" applyBorder="1" applyAlignment="1">
      <alignment horizontal="center"/>
    </xf>
    <xf numFmtId="165" fontId="2" fillId="0" borderId="1" xfId="15332" applyNumberFormat="1" applyBorder="1" applyAlignment="1">
      <alignment horizontal="center"/>
    </xf>
    <xf numFmtId="165" fontId="2" fillId="0" borderId="2" xfId="15332" applyNumberFormat="1" applyBorder="1" applyAlignment="1">
      <alignment horizontal="center"/>
    </xf>
    <xf numFmtId="0" fontId="2" fillId="0" borderId="1" xfId="15332" applyBorder="1" applyAlignment="1">
      <alignment horizontal="center"/>
    </xf>
    <xf numFmtId="0" fontId="2" fillId="0" borderId="2" xfId="15332" applyBorder="1" applyAlignment="1">
      <alignment horizontal="center"/>
    </xf>
    <xf numFmtId="0" fontId="20" fillId="0" borderId="1" xfId="15332" applyFont="1" applyBorder="1" applyAlignment="1">
      <alignment horizontal="center"/>
    </xf>
    <xf numFmtId="0" fontId="20" fillId="0" borderId="1" xfId="15332" applyFont="1" applyBorder="1" applyAlignment="1">
      <alignment horizontal="center"/>
    </xf>
    <xf numFmtId="0" fontId="20" fillId="0" borderId="1" xfId="15332" applyFont="1" applyBorder="1" applyAlignment="1">
      <alignment horizontal="center"/>
    </xf>
    <xf numFmtId="165" fontId="20" fillId="0" borderId="1" xfId="15332" applyNumberFormat="1" applyFont="1" applyBorder="1" applyAlignment="1">
      <alignment horizontal="center"/>
    </xf>
    <xf numFmtId="0" fontId="20" fillId="0" borderId="1" xfId="15332" applyFont="1" applyBorder="1" applyAlignment="1">
      <alignment horizontal="center"/>
    </xf>
    <xf numFmtId="165" fontId="20" fillId="0" borderId="7" xfId="15332" applyNumberFormat="1" applyFont="1" applyBorder="1" applyAlignment="1">
      <alignment horizontal="center"/>
    </xf>
    <xf numFmtId="0" fontId="20" fillId="0" borderId="1" xfId="15332" applyFont="1" applyBorder="1" applyAlignment="1">
      <alignment horizontal="center"/>
    </xf>
    <xf numFmtId="0" fontId="20" fillId="0" borderId="7" xfId="15332" applyFont="1" applyBorder="1" applyAlignment="1">
      <alignment horizontal="center"/>
    </xf>
    <xf numFmtId="165" fontId="20" fillId="0" borderId="1" xfId="15332" applyNumberFormat="1" applyFont="1" applyBorder="1" applyAlignment="1">
      <alignment horizontal="center"/>
    </xf>
    <xf numFmtId="165" fontId="20" fillId="0" borderId="7" xfId="15332" applyNumberFormat="1" applyFont="1" applyBorder="1" applyAlignment="1">
      <alignment horizontal="center"/>
    </xf>
    <xf numFmtId="0" fontId="20" fillId="0" borderId="1" xfId="15332" quotePrefix="1" applyFont="1" applyBorder="1" applyAlignment="1">
      <alignment horizontal="center"/>
    </xf>
    <xf numFmtId="0" fontId="20" fillId="0" borderId="7" xfId="15332" quotePrefix="1" applyFont="1" applyBorder="1" applyAlignment="1">
      <alignment horizontal="center"/>
    </xf>
    <xf numFmtId="0" fontId="20" fillId="0" borderId="1" xfId="15332" applyFont="1" applyBorder="1" applyAlignment="1">
      <alignment horizontal="center"/>
    </xf>
    <xf numFmtId="0" fontId="20" fillId="0" borderId="2" xfId="15332" applyFont="1" applyBorder="1" applyAlignment="1">
      <alignment horizontal="center"/>
    </xf>
    <xf numFmtId="165" fontId="20" fillId="0" borderId="1" xfId="15332" applyNumberFormat="1" applyFont="1" applyBorder="1" applyAlignment="1">
      <alignment horizontal="center"/>
    </xf>
    <xf numFmtId="165" fontId="20" fillId="0" borderId="2" xfId="15332" applyNumberFormat="1" applyFont="1" applyBorder="1" applyAlignment="1">
      <alignment horizontal="center"/>
    </xf>
    <xf numFmtId="165" fontId="20" fillId="0" borderId="1" xfId="15332" applyNumberFormat="1" applyFont="1" applyBorder="1" applyAlignment="1">
      <alignment horizontal="center"/>
    </xf>
    <xf numFmtId="165" fontId="20" fillId="0" borderId="2" xfId="15332" applyNumberFormat="1" applyFont="1" applyBorder="1" applyAlignment="1">
      <alignment horizontal="center"/>
    </xf>
    <xf numFmtId="165" fontId="20" fillId="0" borderId="1" xfId="15332" applyNumberFormat="1" applyFont="1" applyBorder="1" applyAlignment="1">
      <alignment horizontal="center"/>
    </xf>
    <xf numFmtId="165" fontId="20" fillId="0" borderId="2" xfId="15332" applyNumberFormat="1" applyFont="1" applyBorder="1" applyAlignment="1">
      <alignment horizontal="center"/>
    </xf>
    <xf numFmtId="165" fontId="20" fillId="0" borderId="1" xfId="15332" applyNumberFormat="1" applyFont="1" applyBorder="1" applyAlignment="1">
      <alignment horizontal="center" vertical="top" wrapText="1"/>
    </xf>
    <xf numFmtId="165" fontId="20" fillId="0" borderId="2" xfId="15332" applyNumberFormat="1" applyFont="1" applyBorder="1" applyAlignment="1">
      <alignment horizontal="center" vertical="top" wrapText="1"/>
    </xf>
    <xf numFmtId="0" fontId="20" fillId="0" borderId="1" xfId="15332" applyFont="1" applyBorder="1" applyAlignment="1">
      <alignment horizontal="center" vertical="top" wrapText="1"/>
    </xf>
    <xf numFmtId="165" fontId="22" fillId="0" borderId="1" xfId="15332" applyNumberFormat="1" applyFont="1" applyBorder="1" applyAlignment="1">
      <alignment horizontal="center" vertical="top" wrapText="1"/>
    </xf>
    <xf numFmtId="165" fontId="22" fillId="0" borderId="2" xfId="15332" applyNumberFormat="1" applyFont="1" applyBorder="1" applyAlignment="1">
      <alignment horizontal="center" vertical="top" wrapText="1"/>
    </xf>
    <xf numFmtId="165" fontId="20" fillId="0" borderId="2" xfId="15332" applyNumberFormat="1" applyFont="1" applyBorder="1" applyAlignment="1">
      <alignment horizontal="center" vertical="top" wrapText="1"/>
    </xf>
    <xf numFmtId="0" fontId="20" fillId="0" borderId="1" xfId="15332" applyFont="1" applyBorder="1" applyAlignment="1">
      <alignment horizontal="center"/>
    </xf>
    <xf numFmtId="165" fontId="20" fillId="0" borderId="1" xfId="15332" applyNumberFormat="1" applyFont="1" applyBorder="1" applyAlignment="1">
      <alignment horizontal="center"/>
    </xf>
    <xf numFmtId="0" fontId="20" fillId="0" borderId="1" xfId="15332" applyFont="1" applyBorder="1" applyAlignment="1">
      <alignment horizontal="center" vertical="top" wrapText="1"/>
    </xf>
    <xf numFmtId="0" fontId="20" fillId="0" borderId="2" xfId="15332" applyFont="1" applyBorder="1" applyAlignment="1">
      <alignment horizontal="center" vertical="top" wrapText="1"/>
    </xf>
    <xf numFmtId="165" fontId="20" fillId="0" borderId="1" xfId="15332" applyNumberFormat="1" applyFont="1" applyBorder="1" applyAlignment="1">
      <alignment horizontal="center" vertical="top" wrapText="1"/>
    </xf>
    <xf numFmtId="165" fontId="20" fillId="0" borderId="2" xfId="15332" applyNumberFormat="1" applyFont="1" applyBorder="1" applyAlignment="1">
      <alignment horizontal="center" vertical="top" wrapText="1"/>
    </xf>
    <xf numFmtId="14" fontId="20" fillId="0" borderId="7" xfId="15332" applyNumberFormat="1" applyFont="1" applyBorder="1" applyAlignment="1">
      <alignment horizontal="center"/>
    </xf>
    <xf numFmtId="14" fontId="2" fillId="0" borderId="2" xfId="15332" applyNumberFormat="1" applyFont="1" applyBorder="1" applyAlignment="1">
      <alignment horizontal="center"/>
    </xf>
    <xf numFmtId="14" fontId="2" fillId="0" borderId="1" xfId="15332" applyNumberFormat="1" applyFont="1" applyBorder="1" applyAlignment="1">
      <alignment horizontal="center"/>
    </xf>
    <xf numFmtId="14" fontId="20" fillId="0" borderId="1" xfId="15332" applyNumberFormat="1" applyFont="1" applyBorder="1" applyAlignment="1">
      <alignment horizontal="center" vertical="top" wrapText="1"/>
    </xf>
    <xf numFmtId="14" fontId="20" fillId="0" borderId="2" xfId="15332" applyNumberFormat="1" applyFont="1" applyBorder="1" applyAlignment="1">
      <alignment horizontal="center" vertical="top" wrapText="1"/>
    </xf>
    <xf numFmtId="0" fontId="35" fillId="0" borderId="10" xfId="0" applyFont="1" applyBorder="1"/>
    <xf numFmtId="2" fontId="0" fillId="0" borderId="0" xfId="0" applyNumberFormat="1"/>
    <xf numFmtId="0" fontId="2" fillId="0" borderId="0" xfId="15332" applyBorder="1" applyAlignment="1">
      <alignment horizontal="center"/>
    </xf>
    <xf numFmtId="165" fontId="2" fillId="0" borderId="0" xfId="15332" applyNumberFormat="1" applyFill="1" applyBorder="1" applyAlignment="1">
      <alignment horizontal="center"/>
    </xf>
    <xf numFmtId="165" fontId="34" fillId="0" borderId="0" xfId="15332" applyNumberFormat="1" applyFont="1" applyFill="1" applyBorder="1" applyAlignment="1">
      <alignment horizontal="center"/>
    </xf>
    <xf numFmtId="165" fontId="2" fillId="0" borderId="0" xfId="15332" applyNumberFormat="1" applyBorder="1" applyAlignment="1">
      <alignment horizontal="center"/>
    </xf>
    <xf numFmtId="165" fontId="2" fillId="0" borderId="0" xfId="15332" applyNumberFormat="1" applyFill="1" applyBorder="1" applyAlignment="1">
      <alignment horizontal="center"/>
    </xf>
    <xf numFmtId="165" fontId="18" fillId="0" borderId="0" xfId="15332" applyNumberFormat="1" applyFont="1" applyFill="1" applyBorder="1" applyAlignment="1">
      <alignment horizontal="center"/>
    </xf>
    <xf numFmtId="165" fontId="18" fillId="0" borderId="0" xfId="15332" applyNumberFormat="1" applyFont="1" applyBorder="1" applyAlignment="1">
      <alignment horizontal="center"/>
    </xf>
    <xf numFmtId="165" fontId="2" fillId="0" borderId="0" xfId="15332" applyNumberFormat="1" applyBorder="1" applyAlignment="1">
      <alignment horizontal="center"/>
    </xf>
    <xf numFmtId="0" fontId="2" fillId="0" borderId="0" xfId="15332" applyBorder="1" applyAlignment="1">
      <alignment horizontal="center"/>
    </xf>
    <xf numFmtId="0" fontId="2" fillId="0" borderId="0" xfId="15332" quotePrefix="1" applyBorder="1" applyAlignment="1">
      <alignment horizontal="center"/>
    </xf>
    <xf numFmtId="0" fontId="18" fillId="0" borderId="0" xfId="15332" quotePrefix="1" applyFont="1" applyBorder="1" applyAlignment="1">
      <alignment horizontal="center"/>
    </xf>
    <xf numFmtId="1" fontId="18" fillId="0" borderId="0" xfId="15332" quotePrefix="1" applyNumberFormat="1" applyFont="1" applyFill="1" applyBorder="1" applyAlignment="1">
      <alignment horizontal="center"/>
    </xf>
    <xf numFmtId="0" fontId="18" fillId="0" borderId="0" xfId="15332" applyFont="1" applyBorder="1" applyAlignment="1">
      <alignment horizontal="center"/>
    </xf>
    <xf numFmtId="0" fontId="2" fillId="0" borderId="0" xfId="15332" applyFill="1" applyBorder="1" applyAlignment="1">
      <alignment horizontal="center"/>
    </xf>
    <xf numFmtId="0" fontId="2" fillId="0" borderId="0" xfId="15332" quotePrefix="1" applyFill="1" applyBorder="1" applyAlignment="1">
      <alignment horizontal="center"/>
    </xf>
    <xf numFmtId="14" fontId="18" fillId="0" borderId="0" xfId="15332" quotePrefix="1" applyNumberFormat="1" applyFont="1" applyBorder="1" applyAlignment="1">
      <alignment horizontal="center"/>
    </xf>
    <xf numFmtId="14" fontId="2" fillId="0" borderId="0" xfId="15332" quotePrefix="1" applyNumberFormat="1" applyFill="1" applyBorder="1" applyAlignment="1">
      <alignment horizontal="center"/>
    </xf>
    <xf numFmtId="14" fontId="18" fillId="0" borderId="0" xfId="15332" quotePrefix="1" applyNumberFormat="1" applyFont="1" applyFill="1" applyBorder="1" applyAlignment="1">
      <alignment horizontal="center"/>
    </xf>
    <xf numFmtId="14" fontId="2" fillId="0" borderId="0" xfId="15332" quotePrefix="1" applyNumberFormat="1" applyBorder="1" applyAlignment="1">
      <alignment horizontal="center"/>
    </xf>
    <xf numFmtId="0" fontId="0" fillId="0" borderId="0" xfId="0"/>
    <xf numFmtId="14" fontId="1" fillId="0" borderId="2" xfId="15335" applyNumberFormat="1" applyBorder="1" applyAlignment="1">
      <alignment horizontal="center"/>
    </xf>
    <xf numFmtId="0" fontId="1" fillId="0" borderId="1" xfId="15335" applyBorder="1" applyAlignment="1">
      <alignment horizontal="center"/>
    </xf>
    <xf numFmtId="0" fontId="1" fillId="0" borderId="2" xfId="15335" applyBorder="1" applyAlignment="1">
      <alignment horizontal="center"/>
    </xf>
    <xf numFmtId="165" fontId="20" fillId="0" borderId="1" xfId="15335" applyNumberFormat="1" applyFont="1" applyBorder="1" applyAlignment="1">
      <alignment horizontal="center"/>
    </xf>
    <xf numFmtId="165" fontId="20" fillId="0" borderId="2" xfId="15335" applyNumberFormat="1" applyFont="1" applyBorder="1" applyAlignment="1">
      <alignment horizontal="center"/>
    </xf>
    <xf numFmtId="0" fontId="1" fillId="0" borderId="1" xfId="15335" applyBorder="1" applyAlignment="1">
      <alignment horizontal="center"/>
    </xf>
    <xf numFmtId="0" fontId="1" fillId="0" borderId="2" xfId="15335" applyBorder="1" applyAlignment="1">
      <alignment horizontal="center"/>
    </xf>
    <xf numFmtId="165" fontId="20" fillId="0" borderId="1" xfId="15335" applyNumberFormat="1" applyFont="1" applyBorder="1" applyAlignment="1">
      <alignment horizontal="center"/>
    </xf>
    <xf numFmtId="165" fontId="20" fillId="0" borderId="2" xfId="15335" applyNumberFormat="1" applyFont="1" applyBorder="1" applyAlignment="1">
      <alignment horizontal="center"/>
    </xf>
    <xf numFmtId="165" fontId="1" fillId="0" borderId="2" xfId="15335" applyNumberFormat="1" applyBorder="1" applyAlignment="1">
      <alignment horizontal="center"/>
    </xf>
    <xf numFmtId="0" fontId="1" fillId="0" borderId="1" xfId="15335" applyBorder="1" applyAlignment="1">
      <alignment horizontal="center"/>
    </xf>
    <xf numFmtId="0" fontId="1" fillId="0" borderId="2" xfId="15335" applyBorder="1" applyAlignment="1">
      <alignment horizontal="center"/>
    </xf>
    <xf numFmtId="165" fontId="20" fillId="0" borderId="1" xfId="15335" applyNumberFormat="1" applyFont="1" applyBorder="1" applyAlignment="1">
      <alignment horizontal="center"/>
    </xf>
    <xf numFmtId="165" fontId="20" fillId="0" borderId="2" xfId="15335" applyNumberFormat="1" applyFont="1" applyBorder="1" applyAlignment="1">
      <alignment horizontal="center"/>
    </xf>
    <xf numFmtId="165" fontId="1" fillId="0" borderId="1" xfId="15335" applyNumberFormat="1" applyBorder="1" applyAlignment="1">
      <alignment horizontal="center"/>
    </xf>
    <xf numFmtId="0" fontId="20" fillId="0" borderId="1" xfId="15335" applyFont="1" applyBorder="1" applyAlignment="1">
      <alignment horizontal="center" vertical="top"/>
    </xf>
    <xf numFmtId="0" fontId="22" fillId="0" borderId="1" xfId="15335" applyFont="1" applyBorder="1" applyAlignment="1">
      <alignment horizontal="center" vertical="top"/>
    </xf>
    <xf numFmtId="165" fontId="33" fillId="0" borderId="1" xfId="15335" applyNumberFormat="1" applyFont="1" applyBorder="1" applyAlignment="1">
      <alignment horizontal="center"/>
    </xf>
    <xf numFmtId="165" fontId="1" fillId="0" borderId="2" xfId="15335" applyNumberFormat="1" applyBorder="1" applyAlignment="1">
      <alignment horizontal="center"/>
    </xf>
    <xf numFmtId="165" fontId="33" fillId="0" borderId="2" xfId="15335" applyNumberFormat="1" applyFont="1" applyBorder="1" applyAlignment="1">
      <alignment horizontal="center"/>
    </xf>
    <xf numFmtId="165" fontId="1" fillId="0" borderId="1" xfId="15335" applyNumberFormat="1" applyBorder="1" applyAlignment="1">
      <alignment horizontal="center"/>
    </xf>
    <xf numFmtId="0" fontId="20" fillId="0" borderId="1" xfId="15335" applyFont="1" applyBorder="1" applyAlignment="1">
      <alignment horizontal="center" vertical="top"/>
    </xf>
    <xf numFmtId="165" fontId="1" fillId="0" borderId="2" xfId="15335" applyNumberFormat="1" applyBorder="1" applyAlignment="1">
      <alignment horizontal="center"/>
    </xf>
    <xf numFmtId="165" fontId="1" fillId="0" borderId="1" xfId="15335" applyNumberFormat="1" applyBorder="1" applyAlignment="1">
      <alignment horizontal="center"/>
    </xf>
    <xf numFmtId="0" fontId="20" fillId="0" borderId="1" xfId="15335" applyFont="1" applyBorder="1" applyAlignment="1">
      <alignment horizontal="center" vertical="top"/>
    </xf>
    <xf numFmtId="165" fontId="1" fillId="0" borderId="2" xfId="15335" applyNumberFormat="1" applyBorder="1" applyAlignment="1">
      <alignment horizontal="center"/>
    </xf>
    <xf numFmtId="165" fontId="1" fillId="0" borderId="1" xfId="15335" applyNumberFormat="1" applyBorder="1" applyAlignment="1">
      <alignment horizontal="center"/>
    </xf>
    <xf numFmtId="0" fontId="20" fillId="0" borderId="1" xfId="15335" applyFont="1" applyBorder="1" applyAlignment="1">
      <alignment horizontal="center" vertical="top"/>
    </xf>
    <xf numFmtId="0" fontId="22" fillId="0" borderId="1" xfId="15335" applyFont="1" applyBorder="1" applyAlignment="1">
      <alignment horizontal="center" vertical="top"/>
    </xf>
    <xf numFmtId="165" fontId="33" fillId="0" borderId="1" xfId="15335" applyNumberFormat="1" applyFont="1" applyBorder="1" applyAlignment="1">
      <alignment horizontal="center"/>
    </xf>
    <xf numFmtId="165" fontId="1" fillId="0" borderId="2" xfId="15335" applyNumberFormat="1" applyBorder="1" applyAlignment="1">
      <alignment horizontal="center"/>
    </xf>
    <xf numFmtId="165" fontId="33" fillId="0" borderId="2" xfId="15335" applyNumberFormat="1" applyFont="1" applyBorder="1" applyAlignment="1">
      <alignment horizontal="center"/>
    </xf>
    <xf numFmtId="14" fontId="1" fillId="0" borderId="1" xfId="15335" applyNumberFormat="1" applyBorder="1" applyAlignment="1">
      <alignment horizontal="center"/>
    </xf>
    <xf numFmtId="14" fontId="20" fillId="0" borderId="1" xfId="15335" applyNumberFormat="1" applyFont="1" applyBorder="1" applyAlignment="1">
      <alignment horizontal="center" vertical="top"/>
    </xf>
    <xf numFmtId="14" fontId="20" fillId="0" borderId="1" xfId="15335" applyNumberFormat="1" applyFont="1" applyBorder="1" applyAlignment="1">
      <alignment horizontal="center"/>
    </xf>
    <xf numFmtId="0" fontId="20" fillId="0" borderId="1" xfId="15335" applyFont="1" applyBorder="1" applyAlignment="1">
      <alignment horizontal="center"/>
    </xf>
    <xf numFmtId="0" fontId="20" fillId="0" borderId="1" xfId="15335" applyFont="1" applyBorder="1" applyAlignment="1">
      <alignment horizontal="center"/>
    </xf>
    <xf numFmtId="165" fontId="20" fillId="0" borderId="1" xfId="15335" applyNumberFormat="1" applyFont="1" applyBorder="1" applyAlignment="1">
      <alignment horizontal="center"/>
    </xf>
    <xf numFmtId="0" fontId="20" fillId="0" borderId="1" xfId="15335" applyFont="1" applyBorder="1" applyAlignment="1">
      <alignment horizontal="center"/>
    </xf>
    <xf numFmtId="165" fontId="20" fillId="0" borderId="1" xfId="15335" applyNumberFormat="1" applyFont="1" applyBorder="1" applyAlignment="1">
      <alignment horizontal="center"/>
    </xf>
    <xf numFmtId="165" fontId="20" fillId="0" borderId="1" xfId="15335" applyNumberFormat="1" applyFont="1" applyBorder="1" applyAlignment="1">
      <alignment horizontal="center"/>
    </xf>
    <xf numFmtId="165" fontId="20" fillId="0" borderId="1" xfId="15335" applyNumberFormat="1" applyFont="1" applyBorder="1" applyAlignment="1">
      <alignment horizontal="center"/>
    </xf>
    <xf numFmtId="165" fontId="1" fillId="0" borderId="1" xfId="15335" applyNumberFormat="1" applyBorder="1" applyAlignment="1">
      <alignment horizontal="center"/>
    </xf>
    <xf numFmtId="165" fontId="20" fillId="0" borderId="1" xfId="15335" applyNumberFormat="1" applyFont="1" applyBorder="1" applyAlignment="1">
      <alignment horizontal="center"/>
    </xf>
    <xf numFmtId="165" fontId="20" fillId="0" borderId="2" xfId="15335" applyNumberFormat="1" applyFont="1" applyBorder="1" applyAlignment="1">
      <alignment horizontal="center"/>
    </xf>
    <xf numFmtId="165" fontId="1" fillId="0" borderId="2" xfId="15335" applyNumberFormat="1" applyBorder="1" applyAlignment="1">
      <alignment horizontal="center"/>
    </xf>
    <xf numFmtId="2" fontId="1" fillId="16" borderId="1" xfId="15335" applyNumberFormat="1" applyFill="1" applyBorder="1" applyAlignment="1">
      <alignment horizontal="center" vertical="center"/>
    </xf>
    <xf numFmtId="2" fontId="1" fillId="15" borderId="1" xfId="15335" applyNumberFormat="1" applyFill="1" applyBorder="1" applyAlignment="1">
      <alignment horizontal="center" vertical="center"/>
    </xf>
    <xf numFmtId="2" fontId="1" fillId="13" borderId="1" xfId="15335" applyNumberFormat="1" applyFill="1" applyBorder="1" applyAlignment="1">
      <alignment horizontal="center" vertical="center"/>
    </xf>
    <xf numFmtId="2" fontId="1" fillId="0" borderId="1" xfId="15335" applyNumberFormat="1" applyBorder="1" applyAlignment="1">
      <alignment horizontal="center" vertical="center"/>
    </xf>
    <xf numFmtId="2" fontId="1" fillId="0" borderId="1" xfId="15335" applyNumberFormat="1" applyBorder="1" applyAlignment="1">
      <alignment horizontal="center"/>
    </xf>
    <xf numFmtId="2" fontId="1" fillId="0" borderId="1" xfId="15335" applyNumberFormat="1" applyBorder="1" applyAlignment="1">
      <alignment horizontal="center" vertical="center"/>
    </xf>
    <xf numFmtId="2" fontId="1" fillId="0" borderId="1" xfId="15335" applyNumberFormat="1" applyBorder="1" applyAlignment="1">
      <alignment horizontal="center"/>
    </xf>
    <xf numFmtId="14" fontId="1" fillId="0" borderId="1" xfId="15335" applyNumberFormat="1" applyBorder="1" applyAlignment="1">
      <alignment horizontal="center" vertical="center"/>
    </xf>
    <xf numFmtId="14" fontId="1" fillId="0" borderId="1" xfId="15335" applyNumberFormat="1" applyBorder="1" applyAlignment="1">
      <alignment horizontal="center" vertical="center"/>
    </xf>
    <xf numFmtId="2" fontId="1" fillId="16" borderId="1" xfId="15335" applyNumberFormat="1" applyFill="1" applyBorder="1" applyAlignment="1">
      <alignment horizontal="center" vertical="center"/>
    </xf>
    <xf numFmtId="2" fontId="1" fillId="15" borderId="1" xfId="15335" applyNumberFormat="1" applyFill="1" applyBorder="1" applyAlignment="1">
      <alignment horizontal="center" vertical="center"/>
    </xf>
    <xf numFmtId="2" fontId="1" fillId="13" borderId="1" xfId="15335" applyNumberFormat="1" applyFill="1" applyBorder="1" applyAlignment="1">
      <alignment horizontal="center" vertical="center"/>
    </xf>
    <xf numFmtId="2" fontId="1" fillId="0" borderId="1" xfId="15335" applyNumberFormat="1" applyBorder="1" applyAlignment="1">
      <alignment horizontal="center"/>
    </xf>
    <xf numFmtId="2" fontId="1" fillId="0" borderId="1" xfId="15335" applyNumberFormat="1" applyBorder="1" applyAlignment="1">
      <alignment horizontal="center"/>
    </xf>
    <xf numFmtId="14" fontId="1" fillId="0" borderId="1" xfId="15335" applyNumberFormat="1" applyBorder="1" applyAlignment="1">
      <alignment horizontal="center" vertical="center"/>
    </xf>
    <xf numFmtId="2" fontId="1" fillId="16" borderId="1" xfId="15335" applyNumberFormat="1" applyFill="1" applyBorder="1" applyAlignment="1">
      <alignment horizontal="center" vertical="center"/>
    </xf>
    <xf numFmtId="2" fontId="1" fillId="13" borderId="1" xfId="15335" applyNumberFormat="1" applyFill="1" applyBorder="1" applyAlignment="1">
      <alignment horizontal="center" vertical="center"/>
    </xf>
    <xf numFmtId="2" fontId="1" fillId="14" borderId="1" xfId="15335" applyNumberFormat="1" applyFill="1" applyBorder="1" applyAlignment="1">
      <alignment horizontal="center" vertical="center"/>
    </xf>
    <xf numFmtId="14" fontId="1" fillId="0" borderId="1" xfId="15335" applyNumberFormat="1" applyBorder="1" applyAlignment="1">
      <alignment horizontal="center" vertical="center"/>
    </xf>
    <xf numFmtId="2" fontId="1" fillId="0" borderId="1" xfId="15335" applyNumberFormat="1" applyBorder="1" applyAlignment="1">
      <alignment horizontal="center" vertical="center"/>
    </xf>
    <xf numFmtId="2" fontId="1" fillId="15" borderId="1" xfId="15335" applyNumberFormat="1" applyFill="1" applyBorder="1" applyAlignment="1">
      <alignment horizontal="center" vertical="center"/>
    </xf>
    <xf numFmtId="2" fontId="1" fillId="13" borderId="1" xfId="15335" applyNumberFormat="1" applyFill="1" applyBorder="1" applyAlignment="1">
      <alignment horizontal="center" vertical="center"/>
    </xf>
    <xf numFmtId="2" fontId="1" fillId="16" borderId="1" xfId="15335" applyNumberFormat="1" applyFill="1" applyBorder="1" applyAlignment="1">
      <alignment horizontal="center" vertical="center"/>
    </xf>
    <xf numFmtId="2" fontId="1" fillId="0" borderId="1" xfId="15335" applyNumberFormat="1" applyBorder="1" applyAlignment="1">
      <alignment horizontal="center"/>
    </xf>
    <xf numFmtId="2" fontId="1" fillId="14" borderId="1" xfId="15335" applyNumberFormat="1" applyFill="1" applyBorder="1" applyAlignment="1">
      <alignment horizontal="center" vertical="center"/>
    </xf>
    <xf numFmtId="14" fontId="1" fillId="0" borderId="1" xfId="15335" applyNumberFormat="1" applyBorder="1" applyAlignment="1">
      <alignment horizontal="center"/>
    </xf>
    <xf numFmtId="14" fontId="1" fillId="0" borderId="2" xfId="15335" applyNumberFormat="1" applyBorder="1" applyAlignment="1">
      <alignment horizontal="center"/>
    </xf>
    <xf numFmtId="0" fontId="1" fillId="0" borderId="1" xfId="15335" applyBorder="1" applyAlignment="1">
      <alignment horizontal="center"/>
    </xf>
    <xf numFmtId="0" fontId="1" fillId="0" borderId="2" xfId="15335" applyBorder="1" applyAlignment="1">
      <alignment horizontal="center"/>
    </xf>
    <xf numFmtId="2" fontId="1" fillId="0" borderId="1" xfId="15335" applyNumberFormat="1" applyFont="1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17" borderId="0" xfId="0" applyFill="1"/>
    <xf numFmtId="0" fontId="18" fillId="0" borderId="0" xfId="0" quotePrefix="1" applyFont="1" applyBorder="1" applyAlignment="1">
      <alignment horizontal="center"/>
    </xf>
    <xf numFmtId="0" fontId="0" fillId="0" borderId="0" xfId="0" quotePrefix="1" applyBorder="1" applyAlignment="1">
      <alignment horizontal="center"/>
    </xf>
    <xf numFmtId="165" fontId="18" fillId="0" borderId="0" xfId="0" applyNumberFormat="1" applyFont="1" applyBorder="1" applyAlignment="1">
      <alignment horizontal="center"/>
    </xf>
    <xf numFmtId="165" fontId="0" fillId="0" borderId="0" xfId="0" applyNumberFormat="1" applyFill="1" applyBorder="1" applyAlignment="1">
      <alignment horizontal="center"/>
    </xf>
    <xf numFmtId="165" fontId="0" fillId="0" borderId="25" xfId="0" applyNumberFormat="1" applyBorder="1" applyAlignment="1">
      <alignment horizontal="center"/>
    </xf>
    <xf numFmtId="165" fontId="0" fillId="0" borderId="25" xfId="0" applyNumberFormat="1" applyFill="1" applyBorder="1" applyAlignment="1">
      <alignment horizontal="center"/>
    </xf>
    <xf numFmtId="0" fontId="0" fillId="0" borderId="0" xfId="0"/>
    <xf numFmtId="2" fontId="0" fillId="0" borderId="1" xfId="0" applyNumberFormat="1" applyBorder="1"/>
    <xf numFmtId="2" fontId="0" fillId="17" borderId="28" xfId="0" applyNumberFormat="1" applyFill="1" applyBorder="1"/>
    <xf numFmtId="2" fontId="0" fillId="17" borderId="29" xfId="0" applyNumberFormat="1" applyFill="1" applyBorder="1"/>
    <xf numFmtId="2" fontId="0" fillId="17" borderId="23" xfId="0" applyNumberFormat="1" applyFill="1" applyBorder="1"/>
    <xf numFmtId="14" fontId="36" fillId="17" borderId="1" xfId="0" applyNumberFormat="1" applyFont="1" applyFill="1" applyBorder="1" applyAlignment="1">
      <alignment horizontal="center"/>
    </xf>
    <xf numFmtId="0" fontId="36" fillId="17" borderId="0" xfId="0" applyFont="1" applyFill="1" applyBorder="1"/>
    <xf numFmtId="2" fontId="36" fillId="17" borderId="0" xfId="0" applyNumberFormat="1" applyFont="1" applyFill="1" applyBorder="1" applyAlignment="1">
      <alignment horizontal="center"/>
    </xf>
    <xf numFmtId="0" fontId="36" fillId="17" borderId="0" xfId="0" applyFont="1" applyFill="1"/>
    <xf numFmtId="0" fontId="0" fillId="0" borderId="0" xfId="0"/>
    <xf numFmtId="0" fontId="24" fillId="0" borderId="0" xfId="0" applyFont="1"/>
    <xf numFmtId="0" fontId="31" fillId="0" borderId="0" xfId="0" applyFont="1"/>
    <xf numFmtId="0" fontId="31" fillId="0" borderId="16" xfId="0" applyFont="1" applyBorder="1"/>
    <xf numFmtId="166" fontId="31" fillId="0" borderId="0" xfId="0" applyNumberFormat="1" applyFont="1"/>
    <xf numFmtId="17" fontId="25" fillId="0" borderId="21" xfId="0" applyNumberFormat="1" applyFont="1" applyBorder="1"/>
    <xf numFmtId="17" fontId="25" fillId="0" borderId="20" xfId="0" applyNumberFormat="1" applyFont="1" applyBorder="1"/>
    <xf numFmtId="17" fontId="25" fillId="0" borderId="9" xfId="0" applyNumberFormat="1" applyFont="1" applyBorder="1"/>
    <xf numFmtId="22" fontId="24" fillId="0" borderId="0" xfId="0" applyNumberFormat="1" applyFont="1"/>
    <xf numFmtId="0" fontId="28" fillId="0" borderId="1" xfId="0" applyFont="1" applyBorder="1"/>
    <xf numFmtId="0" fontId="26" fillId="0" borderId="6" xfId="0" applyFont="1" applyBorder="1" applyAlignment="1">
      <alignment horizontal="right"/>
    </xf>
    <xf numFmtId="0" fontId="26" fillId="0" borderId="0" xfId="0" applyFont="1" applyBorder="1" applyAlignment="1">
      <alignment horizontal="right"/>
    </xf>
    <xf numFmtId="0" fontId="26" fillId="0" borderId="8" xfId="0" applyFont="1" applyBorder="1" applyAlignment="1">
      <alignment horizontal="right"/>
    </xf>
    <xf numFmtId="0" fontId="26" fillId="0" borderId="13" xfId="0" applyFont="1" applyBorder="1" applyAlignment="1">
      <alignment horizontal="right"/>
    </xf>
    <xf numFmtId="0" fontId="26" fillId="0" borderId="22" xfId="0" applyFont="1" applyBorder="1" applyAlignment="1">
      <alignment horizontal="right"/>
    </xf>
    <xf numFmtId="0" fontId="26" fillId="0" borderId="4" xfId="0" applyFont="1" applyBorder="1" applyAlignment="1">
      <alignment horizontal="right"/>
    </xf>
  </cellXfs>
  <cellStyles count="15337">
    <cellStyle name="20% - Accent1" xfId="1" builtinId="30" customBuiltin="1"/>
    <cellStyle name="20% - Accent1 10" xfId="2"/>
    <cellStyle name="20% - Accent1 10 2" xfId="3"/>
    <cellStyle name="20% - Accent1 10 3" xfId="4"/>
    <cellStyle name="20% - Accent1 10 4" xfId="5"/>
    <cellStyle name="20% - Accent1 100" xfId="6"/>
    <cellStyle name="20% - Accent1 101" xfId="7"/>
    <cellStyle name="20% - Accent1 102" xfId="8"/>
    <cellStyle name="20% - Accent1 103" xfId="9"/>
    <cellStyle name="20% - Accent1 104" xfId="10"/>
    <cellStyle name="20% - Accent1 105" xfId="11"/>
    <cellStyle name="20% - Accent1 106" xfId="12"/>
    <cellStyle name="20% - Accent1 107" xfId="13"/>
    <cellStyle name="20% - Accent1 108" xfId="14"/>
    <cellStyle name="20% - Accent1 109" xfId="15"/>
    <cellStyle name="20% - Accent1 11" xfId="16"/>
    <cellStyle name="20% - Accent1 11 2" xfId="17"/>
    <cellStyle name="20% - Accent1 110" xfId="18"/>
    <cellStyle name="20% - Accent1 111" xfId="19"/>
    <cellStyle name="20% - Accent1 112" xfId="20"/>
    <cellStyle name="20% - Accent1 113" xfId="21"/>
    <cellStyle name="20% - Accent1 114" xfId="22"/>
    <cellStyle name="20% - Accent1 115" xfId="23"/>
    <cellStyle name="20% - Accent1 116" xfId="24"/>
    <cellStyle name="20% - Accent1 117" xfId="25"/>
    <cellStyle name="20% - Accent1 118" xfId="26"/>
    <cellStyle name="20% - Accent1 119" xfId="27"/>
    <cellStyle name="20% - Accent1 12" xfId="28"/>
    <cellStyle name="20% - Accent1 12 2" xfId="29"/>
    <cellStyle name="20% - Accent1 120" xfId="30"/>
    <cellStyle name="20% - Accent1 121" xfId="31"/>
    <cellStyle name="20% - Accent1 122" xfId="32"/>
    <cellStyle name="20% - Accent1 123" xfId="33"/>
    <cellStyle name="20% - Accent1 124" xfId="34"/>
    <cellStyle name="20% - Accent1 125" xfId="35"/>
    <cellStyle name="20% - Accent1 126" xfId="36"/>
    <cellStyle name="20% - Accent1 127" xfId="37"/>
    <cellStyle name="20% - Accent1 128" xfId="38"/>
    <cellStyle name="20% - Accent1 129" xfId="39"/>
    <cellStyle name="20% - Accent1 13" xfId="40"/>
    <cellStyle name="20% - Accent1 130" xfId="41"/>
    <cellStyle name="20% - Accent1 131" xfId="42"/>
    <cellStyle name="20% - Accent1 132" xfId="43"/>
    <cellStyle name="20% - Accent1 133" xfId="44"/>
    <cellStyle name="20% - Accent1 134" xfId="45"/>
    <cellStyle name="20% - Accent1 135" xfId="46"/>
    <cellStyle name="20% - Accent1 136" xfId="47"/>
    <cellStyle name="20% - Accent1 137" xfId="48"/>
    <cellStyle name="20% - Accent1 138" xfId="49"/>
    <cellStyle name="20% - Accent1 139" xfId="50"/>
    <cellStyle name="20% - Accent1 14" xfId="51"/>
    <cellStyle name="20% - Accent1 140" xfId="52"/>
    <cellStyle name="20% - Accent1 141" xfId="53"/>
    <cellStyle name="20% - Accent1 142" xfId="54"/>
    <cellStyle name="20% - Accent1 143" xfId="55"/>
    <cellStyle name="20% - Accent1 144" xfId="56"/>
    <cellStyle name="20% - Accent1 145" xfId="57"/>
    <cellStyle name="20% - Accent1 146" xfId="58"/>
    <cellStyle name="20% - Accent1 147" xfId="59"/>
    <cellStyle name="20% - Accent1 148" xfId="60"/>
    <cellStyle name="20% - Accent1 149" xfId="61"/>
    <cellStyle name="20% - Accent1 15" xfId="62"/>
    <cellStyle name="20% - Accent1 150" xfId="63"/>
    <cellStyle name="20% - Accent1 151" xfId="64"/>
    <cellStyle name="20% - Accent1 152" xfId="65"/>
    <cellStyle name="20% - Accent1 153" xfId="66"/>
    <cellStyle name="20% - Accent1 154" xfId="67"/>
    <cellStyle name="20% - Accent1 155" xfId="68"/>
    <cellStyle name="20% - Accent1 156" xfId="69"/>
    <cellStyle name="20% - Accent1 157" xfId="70"/>
    <cellStyle name="20% - Accent1 158" xfId="71"/>
    <cellStyle name="20% - Accent1 159" xfId="72"/>
    <cellStyle name="20% - Accent1 16" xfId="73"/>
    <cellStyle name="20% - Accent1 160" xfId="74"/>
    <cellStyle name="20% - Accent1 161" xfId="75"/>
    <cellStyle name="20% - Accent1 162" xfId="76"/>
    <cellStyle name="20% - Accent1 163" xfId="77"/>
    <cellStyle name="20% - Accent1 164" xfId="78"/>
    <cellStyle name="20% - Accent1 165" xfId="79"/>
    <cellStyle name="20% - Accent1 166" xfId="80"/>
    <cellStyle name="20% - Accent1 167" xfId="81"/>
    <cellStyle name="20% - Accent1 168" xfId="82"/>
    <cellStyle name="20% - Accent1 169" xfId="83"/>
    <cellStyle name="20% - Accent1 17" xfId="84"/>
    <cellStyle name="20% - Accent1 170" xfId="85"/>
    <cellStyle name="20% - Accent1 171" xfId="86"/>
    <cellStyle name="20% - Accent1 172" xfId="87"/>
    <cellStyle name="20% - Accent1 173" xfId="88"/>
    <cellStyle name="20% - Accent1 174" xfId="89"/>
    <cellStyle name="20% - Accent1 175" xfId="90"/>
    <cellStyle name="20% - Accent1 176" xfId="91"/>
    <cellStyle name="20% - Accent1 177" xfId="92"/>
    <cellStyle name="20% - Accent1 178" xfId="93"/>
    <cellStyle name="20% - Accent1 179" xfId="94"/>
    <cellStyle name="20% - Accent1 18" xfId="95"/>
    <cellStyle name="20% - Accent1 180" xfId="96"/>
    <cellStyle name="20% - Accent1 181" xfId="97"/>
    <cellStyle name="20% - Accent1 182" xfId="98"/>
    <cellStyle name="20% - Accent1 183" xfId="99"/>
    <cellStyle name="20% - Accent1 184" xfId="100"/>
    <cellStyle name="20% - Accent1 185" xfId="101"/>
    <cellStyle name="20% - Accent1 186" xfId="102"/>
    <cellStyle name="20% - Accent1 187" xfId="103"/>
    <cellStyle name="20% - Accent1 188" xfId="104"/>
    <cellStyle name="20% - Accent1 189" xfId="105"/>
    <cellStyle name="20% - Accent1 19" xfId="106"/>
    <cellStyle name="20% - Accent1 190" xfId="107"/>
    <cellStyle name="20% - Accent1 191" xfId="108"/>
    <cellStyle name="20% - Accent1 192" xfId="109"/>
    <cellStyle name="20% - Accent1 193" xfId="110"/>
    <cellStyle name="20% - Accent1 194" xfId="111"/>
    <cellStyle name="20% - Accent1 195" xfId="112"/>
    <cellStyle name="20% - Accent1 196" xfId="113"/>
    <cellStyle name="20% - Accent1 197" xfId="114"/>
    <cellStyle name="20% - Accent1 198" xfId="115"/>
    <cellStyle name="20% - Accent1 199" xfId="116"/>
    <cellStyle name="20% - Accent1 2" xfId="117"/>
    <cellStyle name="20% - Accent1 2 2" xfId="118"/>
    <cellStyle name="20% - Accent1 2 2 2" xfId="119"/>
    <cellStyle name="20% - Accent1 2 2 3" xfId="120"/>
    <cellStyle name="20% - Accent1 2 2 4" xfId="121"/>
    <cellStyle name="20% - Accent1 2 2 5" xfId="122"/>
    <cellStyle name="20% - Accent1 2 2 6" xfId="123"/>
    <cellStyle name="20% - Accent1 2 2 7" xfId="124"/>
    <cellStyle name="20% - Accent1 2 3" xfId="125"/>
    <cellStyle name="20% - Accent1 2 4" xfId="126"/>
    <cellStyle name="20% - Accent1 2 5" xfId="127"/>
    <cellStyle name="20% - Accent1 2 6" xfId="128"/>
    <cellStyle name="20% - Accent1 2 7" xfId="129"/>
    <cellStyle name="20% - Accent1 2 8" xfId="130"/>
    <cellStyle name="20% - Accent1 20" xfId="131"/>
    <cellStyle name="20% - Accent1 200" xfId="132"/>
    <cellStyle name="20% - Accent1 201" xfId="133"/>
    <cellStyle name="20% - Accent1 202" xfId="134"/>
    <cellStyle name="20% - Accent1 203" xfId="135"/>
    <cellStyle name="20% - Accent1 204" xfId="136"/>
    <cellStyle name="20% - Accent1 205" xfId="137"/>
    <cellStyle name="20% - Accent1 206" xfId="138"/>
    <cellStyle name="20% - Accent1 207" xfId="139"/>
    <cellStyle name="20% - Accent1 208" xfId="140"/>
    <cellStyle name="20% - Accent1 209" xfId="141"/>
    <cellStyle name="20% - Accent1 21" xfId="142"/>
    <cellStyle name="20% - Accent1 210" xfId="143"/>
    <cellStyle name="20% - Accent1 211" xfId="144"/>
    <cellStyle name="20% - Accent1 212" xfId="145"/>
    <cellStyle name="20% - Accent1 213" xfId="146"/>
    <cellStyle name="20% - Accent1 214" xfId="147"/>
    <cellStyle name="20% - Accent1 215" xfId="148"/>
    <cellStyle name="20% - Accent1 216" xfId="149"/>
    <cellStyle name="20% - Accent1 217" xfId="150"/>
    <cellStyle name="20% - Accent1 218" xfId="151"/>
    <cellStyle name="20% - Accent1 219" xfId="152"/>
    <cellStyle name="20% - Accent1 22" xfId="153"/>
    <cellStyle name="20% - Accent1 220" xfId="154"/>
    <cellStyle name="20% - Accent1 221" xfId="155"/>
    <cellStyle name="20% - Accent1 222" xfId="156"/>
    <cellStyle name="20% - Accent1 223" xfId="157"/>
    <cellStyle name="20% - Accent1 224" xfId="158"/>
    <cellStyle name="20% - Accent1 225" xfId="159"/>
    <cellStyle name="20% - Accent1 226" xfId="160"/>
    <cellStyle name="20% - Accent1 227" xfId="161"/>
    <cellStyle name="20% - Accent1 228" xfId="162"/>
    <cellStyle name="20% - Accent1 229" xfId="163"/>
    <cellStyle name="20% - Accent1 23" xfId="164"/>
    <cellStyle name="20% - Accent1 230" xfId="165"/>
    <cellStyle name="20% - Accent1 231" xfId="166"/>
    <cellStyle name="20% - Accent1 232" xfId="167"/>
    <cellStyle name="20% - Accent1 233" xfId="168"/>
    <cellStyle name="20% - Accent1 234" xfId="169"/>
    <cellStyle name="20% - Accent1 235" xfId="170"/>
    <cellStyle name="20% - Accent1 236" xfId="171"/>
    <cellStyle name="20% - Accent1 237" xfId="172"/>
    <cellStyle name="20% - Accent1 238" xfId="173"/>
    <cellStyle name="20% - Accent1 239" xfId="174"/>
    <cellStyle name="20% - Accent1 24" xfId="175"/>
    <cellStyle name="20% - Accent1 240" xfId="176"/>
    <cellStyle name="20% - Accent1 241" xfId="177"/>
    <cellStyle name="20% - Accent1 242" xfId="178"/>
    <cellStyle name="20% - Accent1 243" xfId="179"/>
    <cellStyle name="20% - Accent1 244" xfId="180"/>
    <cellStyle name="20% - Accent1 245" xfId="181"/>
    <cellStyle name="20% - Accent1 246" xfId="182"/>
    <cellStyle name="20% - Accent1 247" xfId="183"/>
    <cellStyle name="20% - Accent1 248" xfId="184"/>
    <cellStyle name="20% - Accent1 249" xfId="185"/>
    <cellStyle name="20% - Accent1 25" xfId="186"/>
    <cellStyle name="20% - Accent1 26" xfId="187"/>
    <cellStyle name="20% - Accent1 27" xfId="188"/>
    <cellStyle name="20% - Accent1 28" xfId="189"/>
    <cellStyle name="20% - Accent1 29" xfId="190"/>
    <cellStyle name="20% - Accent1 3" xfId="191"/>
    <cellStyle name="20% - Accent1 3 2" xfId="192"/>
    <cellStyle name="20% - Accent1 30" xfId="193"/>
    <cellStyle name="20% - Accent1 31" xfId="194"/>
    <cellStyle name="20% - Accent1 32" xfId="195"/>
    <cellStyle name="20% - Accent1 33" xfId="196"/>
    <cellStyle name="20% - Accent1 34" xfId="197"/>
    <cellStyle name="20% - Accent1 35" xfId="198"/>
    <cellStyle name="20% - Accent1 36" xfId="199"/>
    <cellStyle name="20% - Accent1 37" xfId="200"/>
    <cellStyle name="20% - Accent1 38" xfId="201"/>
    <cellStyle name="20% - Accent1 39" xfId="202"/>
    <cellStyle name="20% - Accent1 4" xfId="203"/>
    <cellStyle name="20% - Accent1 4 2" xfId="204"/>
    <cellStyle name="20% - Accent1 4 3" xfId="205"/>
    <cellStyle name="20% - Accent1 4 4" xfId="206"/>
    <cellStyle name="20% - Accent1 4 5" xfId="207"/>
    <cellStyle name="20% - Accent1 40" xfId="208"/>
    <cellStyle name="20% - Accent1 41" xfId="209"/>
    <cellStyle name="20% - Accent1 42" xfId="210"/>
    <cellStyle name="20% - Accent1 43" xfId="211"/>
    <cellStyle name="20% - Accent1 44" xfId="212"/>
    <cellStyle name="20% - Accent1 45" xfId="213"/>
    <cellStyle name="20% - Accent1 46" xfId="214"/>
    <cellStyle name="20% - Accent1 47" xfId="215"/>
    <cellStyle name="20% - Accent1 48" xfId="216"/>
    <cellStyle name="20% - Accent1 49" xfId="217"/>
    <cellStyle name="20% - Accent1 5" xfId="218"/>
    <cellStyle name="20% - Accent1 5 2" xfId="219"/>
    <cellStyle name="20% - Accent1 5 3" xfId="220"/>
    <cellStyle name="20% - Accent1 5 4" xfId="221"/>
    <cellStyle name="20% - Accent1 5 5" xfId="222"/>
    <cellStyle name="20% - Accent1 50" xfId="223"/>
    <cellStyle name="20% - Accent1 51" xfId="224"/>
    <cellStyle name="20% - Accent1 52" xfId="225"/>
    <cellStyle name="20% - Accent1 53" xfId="226"/>
    <cellStyle name="20% - Accent1 54" xfId="227"/>
    <cellStyle name="20% - Accent1 55" xfId="228"/>
    <cellStyle name="20% - Accent1 56" xfId="229"/>
    <cellStyle name="20% - Accent1 57" xfId="230"/>
    <cellStyle name="20% - Accent1 58" xfId="231"/>
    <cellStyle name="20% - Accent1 59" xfId="232"/>
    <cellStyle name="20% - Accent1 6" xfId="233"/>
    <cellStyle name="20% - Accent1 6 2" xfId="234"/>
    <cellStyle name="20% - Accent1 6 3" xfId="235"/>
    <cellStyle name="20% - Accent1 6 4" xfId="236"/>
    <cellStyle name="20% - Accent1 60" xfId="237"/>
    <cellStyle name="20% - Accent1 61" xfId="238"/>
    <cellStyle name="20% - Accent1 62" xfId="239"/>
    <cellStyle name="20% - Accent1 63" xfId="240"/>
    <cellStyle name="20% - Accent1 64" xfId="241"/>
    <cellStyle name="20% - Accent1 65" xfId="242"/>
    <cellStyle name="20% - Accent1 66" xfId="243"/>
    <cellStyle name="20% - Accent1 67" xfId="244"/>
    <cellStyle name="20% - Accent1 68" xfId="245"/>
    <cellStyle name="20% - Accent1 69" xfId="246"/>
    <cellStyle name="20% - Accent1 7" xfId="247"/>
    <cellStyle name="20% - Accent1 7 2" xfId="248"/>
    <cellStyle name="20% - Accent1 7 3" xfId="249"/>
    <cellStyle name="20% - Accent1 7 4" xfId="250"/>
    <cellStyle name="20% - Accent1 70" xfId="251"/>
    <cellStyle name="20% - Accent1 71" xfId="252"/>
    <cellStyle name="20% - Accent1 72" xfId="253"/>
    <cellStyle name="20% - Accent1 73" xfId="254"/>
    <cellStyle name="20% - Accent1 74" xfId="255"/>
    <cellStyle name="20% - Accent1 75" xfId="256"/>
    <cellStyle name="20% - Accent1 76" xfId="257"/>
    <cellStyle name="20% - Accent1 77" xfId="258"/>
    <cellStyle name="20% - Accent1 78" xfId="259"/>
    <cellStyle name="20% - Accent1 79" xfId="260"/>
    <cellStyle name="20% - Accent1 8" xfId="261"/>
    <cellStyle name="20% - Accent1 8 2" xfId="262"/>
    <cellStyle name="20% - Accent1 8 3" xfId="263"/>
    <cellStyle name="20% - Accent1 8 4" xfId="264"/>
    <cellStyle name="20% - Accent1 80" xfId="265"/>
    <cellStyle name="20% - Accent1 81" xfId="266"/>
    <cellStyle name="20% - Accent1 82" xfId="267"/>
    <cellStyle name="20% - Accent1 83" xfId="268"/>
    <cellStyle name="20% - Accent1 84" xfId="269"/>
    <cellStyle name="20% - Accent1 85" xfId="270"/>
    <cellStyle name="20% - Accent1 86" xfId="271"/>
    <cellStyle name="20% - Accent1 87" xfId="272"/>
    <cellStyle name="20% - Accent1 88" xfId="273"/>
    <cellStyle name="20% - Accent1 89" xfId="274"/>
    <cellStyle name="20% - Accent1 9" xfId="275"/>
    <cellStyle name="20% - Accent1 9 2" xfId="276"/>
    <cellStyle name="20% - Accent1 9 3" xfId="277"/>
    <cellStyle name="20% - Accent1 9 4" xfId="278"/>
    <cellStyle name="20% - Accent1 90" xfId="279"/>
    <cellStyle name="20% - Accent1 91" xfId="280"/>
    <cellStyle name="20% - Accent1 92" xfId="281"/>
    <cellStyle name="20% - Accent1 93" xfId="282"/>
    <cellStyle name="20% - Accent1 94" xfId="283"/>
    <cellStyle name="20% - Accent1 95" xfId="284"/>
    <cellStyle name="20% - Accent1 96" xfId="285"/>
    <cellStyle name="20% - Accent1 97" xfId="286"/>
    <cellStyle name="20% - Accent1 98" xfId="287"/>
    <cellStyle name="20% - Accent1 99" xfId="288"/>
    <cellStyle name="20% - Accent2" xfId="289" builtinId="34" customBuiltin="1"/>
    <cellStyle name="20% - Accent2 10" xfId="290"/>
    <cellStyle name="20% - Accent2 10 2" xfId="291"/>
    <cellStyle name="20% - Accent2 10 3" xfId="292"/>
    <cellStyle name="20% - Accent2 10 4" xfId="293"/>
    <cellStyle name="20% - Accent2 100" xfId="294"/>
    <cellStyle name="20% - Accent2 101" xfId="295"/>
    <cellStyle name="20% - Accent2 102" xfId="296"/>
    <cellStyle name="20% - Accent2 103" xfId="297"/>
    <cellStyle name="20% - Accent2 104" xfId="298"/>
    <cellStyle name="20% - Accent2 105" xfId="299"/>
    <cellStyle name="20% - Accent2 106" xfId="300"/>
    <cellStyle name="20% - Accent2 107" xfId="301"/>
    <cellStyle name="20% - Accent2 108" xfId="302"/>
    <cellStyle name="20% - Accent2 109" xfId="303"/>
    <cellStyle name="20% - Accent2 11" xfId="304"/>
    <cellStyle name="20% - Accent2 11 2" xfId="305"/>
    <cellStyle name="20% - Accent2 110" xfId="306"/>
    <cellStyle name="20% - Accent2 111" xfId="307"/>
    <cellStyle name="20% - Accent2 112" xfId="308"/>
    <cellStyle name="20% - Accent2 113" xfId="309"/>
    <cellStyle name="20% - Accent2 114" xfId="310"/>
    <cellStyle name="20% - Accent2 115" xfId="311"/>
    <cellStyle name="20% - Accent2 116" xfId="312"/>
    <cellStyle name="20% - Accent2 117" xfId="313"/>
    <cellStyle name="20% - Accent2 118" xfId="314"/>
    <cellStyle name="20% - Accent2 119" xfId="315"/>
    <cellStyle name="20% - Accent2 12" xfId="316"/>
    <cellStyle name="20% - Accent2 12 2" xfId="317"/>
    <cellStyle name="20% - Accent2 120" xfId="318"/>
    <cellStyle name="20% - Accent2 121" xfId="319"/>
    <cellStyle name="20% - Accent2 122" xfId="320"/>
    <cellStyle name="20% - Accent2 123" xfId="321"/>
    <cellStyle name="20% - Accent2 124" xfId="322"/>
    <cellStyle name="20% - Accent2 125" xfId="323"/>
    <cellStyle name="20% - Accent2 126" xfId="324"/>
    <cellStyle name="20% - Accent2 127" xfId="325"/>
    <cellStyle name="20% - Accent2 128" xfId="326"/>
    <cellStyle name="20% - Accent2 129" xfId="327"/>
    <cellStyle name="20% - Accent2 13" xfId="328"/>
    <cellStyle name="20% - Accent2 130" xfId="329"/>
    <cellStyle name="20% - Accent2 131" xfId="330"/>
    <cellStyle name="20% - Accent2 132" xfId="331"/>
    <cellStyle name="20% - Accent2 133" xfId="332"/>
    <cellStyle name="20% - Accent2 134" xfId="333"/>
    <cellStyle name="20% - Accent2 135" xfId="334"/>
    <cellStyle name="20% - Accent2 136" xfId="335"/>
    <cellStyle name="20% - Accent2 137" xfId="336"/>
    <cellStyle name="20% - Accent2 138" xfId="337"/>
    <cellStyle name="20% - Accent2 139" xfId="338"/>
    <cellStyle name="20% - Accent2 14" xfId="339"/>
    <cellStyle name="20% - Accent2 140" xfId="340"/>
    <cellStyle name="20% - Accent2 141" xfId="341"/>
    <cellStyle name="20% - Accent2 142" xfId="342"/>
    <cellStyle name="20% - Accent2 143" xfId="343"/>
    <cellStyle name="20% - Accent2 144" xfId="344"/>
    <cellStyle name="20% - Accent2 145" xfId="345"/>
    <cellStyle name="20% - Accent2 146" xfId="346"/>
    <cellStyle name="20% - Accent2 147" xfId="347"/>
    <cellStyle name="20% - Accent2 148" xfId="348"/>
    <cellStyle name="20% - Accent2 149" xfId="349"/>
    <cellStyle name="20% - Accent2 15" xfId="350"/>
    <cellStyle name="20% - Accent2 150" xfId="351"/>
    <cellStyle name="20% - Accent2 151" xfId="352"/>
    <cellStyle name="20% - Accent2 152" xfId="353"/>
    <cellStyle name="20% - Accent2 153" xfId="354"/>
    <cellStyle name="20% - Accent2 154" xfId="355"/>
    <cellStyle name="20% - Accent2 155" xfId="356"/>
    <cellStyle name="20% - Accent2 156" xfId="357"/>
    <cellStyle name="20% - Accent2 157" xfId="358"/>
    <cellStyle name="20% - Accent2 158" xfId="359"/>
    <cellStyle name="20% - Accent2 159" xfId="360"/>
    <cellStyle name="20% - Accent2 16" xfId="361"/>
    <cellStyle name="20% - Accent2 160" xfId="362"/>
    <cellStyle name="20% - Accent2 161" xfId="363"/>
    <cellStyle name="20% - Accent2 162" xfId="364"/>
    <cellStyle name="20% - Accent2 163" xfId="365"/>
    <cellStyle name="20% - Accent2 164" xfId="366"/>
    <cellStyle name="20% - Accent2 165" xfId="367"/>
    <cellStyle name="20% - Accent2 166" xfId="368"/>
    <cellStyle name="20% - Accent2 167" xfId="369"/>
    <cellStyle name="20% - Accent2 168" xfId="370"/>
    <cellStyle name="20% - Accent2 169" xfId="371"/>
    <cellStyle name="20% - Accent2 17" xfId="372"/>
    <cellStyle name="20% - Accent2 170" xfId="373"/>
    <cellStyle name="20% - Accent2 171" xfId="374"/>
    <cellStyle name="20% - Accent2 172" xfId="375"/>
    <cellStyle name="20% - Accent2 173" xfId="376"/>
    <cellStyle name="20% - Accent2 174" xfId="377"/>
    <cellStyle name="20% - Accent2 175" xfId="378"/>
    <cellStyle name="20% - Accent2 176" xfId="379"/>
    <cellStyle name="20% - Accent2 177" xfId="380"/>
    <cellStyle name="20% - Accent2 178" xfId="381"/>
    <cellStyle name="20% - Accent2 179" xfId="382"/>
    <cellStyle name="20% - Accent2 18" xfId="383"/>
    <cellStyle name="20% - Accent2 180" xfId="384"/>
    <cellStyle name="20% - Accent2 181" xfId="385"/>
    <cellStyle name="20% - Accent2 182" xfId="386"/>
    <cellStyle name="20% - Accent2 183" xfId="387"/>
    <cellStyle name="20% - Accent2 184" xfId="388"/>
    <cellStyle name="20% - Accent2 185" xfId="389"/>
    <cellStyle name="20% - Accent2 186" xfId="390"/>
    <cellStyle name="20% - Accent2 187" xfId="391"/>
    <cellStyle name="20% - Accent2 188" xfId="392"/>
    <cellStyle name="20% - Accent2 189" xfId="393"/>
    <cellStyle name="20% - Accent2 19" xfId="394"/>
    <cellStyle name="20% - Accent2 190" xfId="395"/>
    <cellStyle name="20% - Accent2 191" xfId="396"/>
    <cellStyle name="20% - Accent2 192" xfId="397"/>
    <cellStyle name="20% - Accent2 193" xfId="398"/>
    <cellStyle name="20% - Accent2 194" xfId="399"/>
    <cellStyle name="20% - Accent2 195" xfId="400"/>
    <cellStyle name="20% - Accent2 196" xfId="401"/>
    <cellStyle name="20% - Accent2 197" xfId="402"/>
    <cellStyle name="20% - Accent2 198" xfId="403"/>
    <cellStyle name="20% - Accent2 199" xfId="404"/>
    <cellStyle name="20% - Accent2 2" xfId="405"/>
    <cellStyle name="20% - Accent2 2 2" xfId="406"/>
    <cellStyle name="20% - Accent2 2 2 2" xfId="407"/>
    <cellStyle name="20% - Accent2 2 2 3" xfId="408"/>
    <cellStyle name="20% - Accent2 2 2 4" xfId="409"/>
    <cellStyle name="20% - Accent2 2 2 5" xfId="410"/>
    <cellStyle name="20% - Accent2 2 2 6" xfId="411"/>
    <cellStyle name="20% - Accent2 2 2 7" xfId="412"/>
    <cellStyle name="20% - Accent2 2 3" xfId="413"/>
    <cellStyle name="20% - Accent2 2 4" xfId="414"/>
    <cellStyle name="20% - Accent2 2 5" xfId="415"/>
    <cellStyle name="20% - Accent2 2 6" xfId="416"/>
    <cellStyle name="20% - Accent2 2 7" xfId="417"/>
    <cellStyle name="20% - Accent2 2 8" xfId="418"/>
    <cellStyle name="20% - Accent2 20" xfId="419"/>
    <cellStyle name="20% - Accent2 200" xfId="420"/>
    <cellStyle name="20% - Accent2 201" xfId="421"/>
    <cellStyle name="20% - Accent2 202" xfId="422"/>
    <cellStyle name="20% - Accent2 203" xfId="423"/>
    <cellStyle name="20% - Accent2 204" xfId="424"/>
    <cellStyle name="20% - Accent2 205" xfId="425"/>
    <cellStyle name="20% - Accent2 206" xfId="426"/>
    <cellStyle name="20% - Accent2 207" xfId="427"/>
    <cellStyle name="20% - Accent2 208" xfId="428"/>
    <cellStyle name="20% - Accent2 209" xfId="429"/>
    <cellStyle name="20% - Accent2 21" xfId="430"/>
    <cellStyle name="20% - Accent2 210" xfId="431"/>
    <cellStyle name="20% - Accent2 211" xfId="432"/>
    <cellStyle name="20% - Accent2 212" xfId="433"/>
    <cellStyle name="20% - Accent2 213" xfId="434"/>
    <cellStyle name="20% - Accent2 214" xfId="435"/>
    <cellStyle name="20% - Accent2 215" xfId="436"/>
    <cellStyle name="20% - Accent2 216" xfId="437"/>
    <cellStyle name="20% - Accent2 217" xfId="438"/>
    <cellStyle name="20% - Accent2 218" xfId="439"/>
    <cellStyle name="20% - Accent2 219" xfId="440"/>
    <cellStyle name="20% - Accent2 22" xfId="441"/>
    <cellStyle name="20% - Accent2 220" xfId="442"/>
    <cellStyle name="20% - Accent2 221" xfId="443"/>
    <cellStyle name="20% - Accent2 222" xfId="444"/>
    <cellStyle name="20% - Accent2 223" xfId="445"/>
    <cellStyle name="20% - Accent2 224" xfId="446"/>
    <cellStyle name="20% - Accent2 225" xfId="447"/>
    <cellStyle name="20% - Accent2 226" xfId="448"/>
    <cellStyle name="20% - Accent2 227" xfId="449"/>
    <cellStyle name="20% - Accent2 228" xfId="450"/>
    <cellStyle name="20% - Accent2 229" xfId="451"/>
    <cellStyle name="20% - Accent2 23" xfId="452"/>
    <cellStyle name="20% - Accent2 230" xfId="453"/>
    <cellStyle name="20% - Accent2 231" xfId="454"/>
    <cellStyle name="20% - Accent2 232" xfId="455"/>
    <cellStyle name="20% - Accent2 233" xfId="456"/>
    <cellStyle name="20% - Accent2 234" xfId="457"/>
    <cellStyle name="20% - Accent2 235" xfId="458"/>
    <cellStyle name="20% - Accent2 236" xfId="459"/>
    <cellStyle name="20% - Accent2 237" xfId="460"/>
    <cellStyle name="20% - Accent2 238" xfId="461"/>
    <cellStyle name="20% - Accent2 239" xfId="462"/>
    <cellStyle name="20% - Accent2 24" xfId="463"/>
    <cellStyle name="20% - Accent2 240" xfId="464"/>
    <cellStyle name="20% - Accent2 241" xfId="465"/>
    <cellStyle name="20% - Accent2 242" xfId="466"/>
    <cellStyle name="20% - Accent2 243" xfId="467"/>
    <cellStyle name="20% - Accent2 244" xfId="468"/>
    <cellStyle name="20% - Accent2 245" xfId="469"/>
    <cellStyle name="20% - Accent2 246" xfId="470"/>
    <cellStyle name="20% - Accent2 247" xfId="471"/>
    <cellStyle name="20% - Accent2 248" xfId="472"/>
    <cellStyle name="20% - Accent2 249" xfId="473"/>
    <cellStyle name="20% - Accent2 25" xfId="474"/>
    <cellStyle name="20% - Accent2 26" xfId="475"/>
    <cellStyle name="20% - Accent2 27" xfId="476"/>
    <cellStyle name="20% - Accent2 28" xfId="477"/>
    <cellStyle name="20% - Accent2 29" xfId="478"/>
    <cellStyle name="20% - Accent2 3" xfId="479"/>
    <cellStyle name="20% - Accent2 3 2" xfId="480"/>
    <cellStyle name="20% - Accent2 30" xfId="481"/>
    <cellStyle name="20% - Accent2 31" xfId="482"/>
    <cellStyle name="20% - Accent2 32" xfId="483"/>
    <cellStyle name="20% - Accent2 33" xfId="484"/>
    <cellStyle name="20% - Accent2 34" xfId="485"/>
    <cellStyle name="20% - Accent2 35" xfId="486"/>
    <cellStyle name="20% - Accent2 36" xfId="487"/>
    <cellStyle name="20% - Accent2 37" xfId="488"/>
    <cellStyle name="20% - Accent2 38" xfId="489"/>
    <cellStyle name="20% - Accent2 39" xfId="490"/>
    <cellStyle name="20% - Accent2 4" xfId="491"/>
    <cellStyle name="20% - Accent2 4 2" xfId="492"/>
    <cellStyle name="20% - Accent2 4 3" xfId="493"/>
    <cellStyle name="20% - Accent2 4 4" xfId="494"/>
    <cellStyle name="20% - Accent2 4 5" xfId="495"/>
    <cellStyle name="20% - Accent2 40" xfId="496"/>
    <cellStyle name="20% - Accent2 41" xfId="497"/>
    <cellStyle name="20% - Accent2 42" xfId="498"/>
    <cellStyle name="20% - Accent2 43" xfId="499"/>
    <cellStyle name="20% - Accent2 44" xfId="500"/>
    <cellStyle name="20% - Accent2 45" xfId="501"/>
    <cellStyle name="20% - Accent2 46" xfId="502"/>
    <cellStyle name="20% - Accent2 47" xfId="503"/>
    <cellStyle name="20% - Accent2 48" xfId="504"/>
    <cellStyle name="20% - Accent2 49" xfId="505"/>
    <cellStyle name="20% - Accent2 5" xfId="506"/>
    <cellStyle name="20% - Accent2 5 2" xfId="507"/>
    <cellStyle name="20% - Accent2 5 3" xfId="508"/>
    <cellStyle name="20% - Accent2 5 4" xfId="509"/>
    <cellStyle name="20% - Accent2 5 5" xfId="510"/>
    <cellStyle name="20% - Accent2 50" xfId="511"/>
    <cellStyle name="20% - Accent2 51" xfId="512"/>
    <cellStyle name="20% - Accent2 52" xfId="513"/>
    <cellStyle name="20% - Accent2 53" xfId="514"/>
    <cellStyle name="20% - Accent2 54" xfId="515"/>
    <cellStyle name="20% - Accent2 55" xfId="516"/>
    <cellStyle name="20% - Accent2 56" xfId="517"/>
    <cellStyle name="20% - Accent2 57" xfId="518"/>
    <cellStyle name="20% - Accent2 58" xfId="519"/>
    <cellStyle name="20% - Accent2 59" xfId="520"/>
    <cellStyle name="20% - Accent2 6" xfId="521"/>
    <cellStyle name="20% - Accent2 6 2" xfId="522"/>
    <cellStyle name="20% - Accent2 6 3" xfId="523"/>
    <cellStyle name="20% - Accent2 6 4" xfId="524"/>
    <cellStyle name="20% - Accent2 60" xfId="525"/>
    <cellStyle name="20% - Accent2 61" xfId="526"/>
    <cellStyle name="20% - Accent2 62" xfId="527"/>
    <cellStyle name="20% - Accent2 63" xfId="528"/>
    <cellStyle name="20% - Accent2 64" xfId="529"/>
    <cellStyle name="20% - Accent2 65" xfId="530"/>
    <cellStyle name="20% - Accent2 66" xfId="531"/>
    <cellStyle name="20% - Accent2 67" xfId="532"/>
    <cellStyle name="20% - Accent2 68" xfId="533"/>
    <cellStyle name="20% - Accent2 69" xfId="534"/>
    <cellStyle name="20% - Accent2 7" xfId="535"/>
    <cellStyle name="20% - Accent2 7 2" xfId="536"/>
    <cellStyle name="20% - Accent2 7 3" xfId="537"/>
    <cellStyle name="20% - Accent2 7 4" xfId="538"/>
    <cellStyle name="20% - Accent2 70" xfId="539"/>
    <cellStyle name="20% - Accent2 71" xfId="540"/>
    <cellStyle name="20% - Accent2 72" xfId="541"/>
    <cellStyle name="20% - Accent2 73" xfId="542"/>
    <cellStyle name="20% - Accent2 74" xfId="543"/>
    <cellStyle name="20% - Accent2 75" xfId="544"/>
    <cellStyle name="20% - Accent2 76" xfId="545"/>
    <cellStyle name="20% - Accent2 77" xfId="546"/>
    <cellStyle name="20% - Accent2 78" xfId="547"/>
    <cellStyle name="20% - Accent2 79" xfId="548"/>
    <cellStyle name="20% - Accent2 8" xfId="549"/>
    <cellStyle name="20% - Accent2 8 2" xfId="550"/>
    <cellStyle name="20% - Accent2 8 3" xfId="551"/>
    <cellStyle name="20% - Accent2 8 4" xfId="552"/>
    <cellStyle name="20% - Accent2 80" xfId="553"/>
    <cellStyle name="20% - Accent2 81" xfId="554"/>
    <cellStyle name="20% - Accent2 82" xfId="555"/>
    <cellStyle name="20% - Accent2 83" xfId="556"/>
    <cellStyle name="20% - Accent2 84" xfId="557"/>
    <cellStyle name="20% - Accent2 85" xfId="558"/>
    <cellStyle name="20% - Accent2 86" xfId="559"/>
    <cellStyle name="20% - Accent2 87" xfId="560"/>
    <cellStyle name="20% - Accent2 88" xfId="561"/>
    <cellStyle name="20% - Accent2 89" xfId="562"/>
    <cellStyle name="20% - Accent2 9" xfId="563"/>
    <cellStyle name="20% - Accent2 9 2" xfId="564"/>
    <cellStyle name="20% - Accent2 9 3" xfId="565"/>
    <cellStyle name="20% - Accent2 9 4" xfId="566"/>
    <cellStyle name="20% - Accent2 90" xfId="567"/>
    <cellStyle name="20% - Accent2 91" xfId="568"/>
    <cellStyle name="20% - Accent2 92" xfId="569"/>
    <cellStyle name="20% - Accent2 93" xfId="570"/>
    <cellStyle name="20% - Accent2 94" xfId="571"/>
    <cellStyle name="20% - Accent2 95" xfId="572"/>
    <cellStyle name="20% - Accent2 96" xfId="573"/>
    <cellStyle name="20% - Accent2 97" xfId="574"/>
    <cellStyle name="20% - Accent2 98" xfId="575"/>
    <cellStyle name="20% - Accent2 99" xfId="576"/>
    <cellStyle name="20% - Accent3" xfId="577" builtinId="38" customBuiltin="1"/>
    <cellStyle name="20% - Accent3 10" xfId="578"/>
    <cellStyle name="20% - Accent3 10 2" xfId="579"/>
    <cellStyle name="20% - Accent3 10 3" xfId="580"/>
    <cellStyle name="20% - Accent3 10 4" xfId="581"/>
    <cellStyle name="20% - Accent3 100" xfId="582"/>
    <cellStyle name="20% - Accent3 101" xfId="583"/>
    <cellStyle name="20% - Accent3 102" xfId="584"/>
    <cellStyle name="20% - Accent3 103" xfId="585"/>
    <cellStyle name="20% - Accent3 104" xfId="586"/>
    <cellStyle name="20% - Accent3 105" xfId="587"/>
    <cellStyle name="20% - Accent3 106" xfId="588"/>
    <cellStyle name="20% - Accent3 107" xfId="589"/>
    <cellStyle name="20% - Accent3 108" xfId="590"/>
    <cellStyle name="20% - Accent3 109" xfId="591"/>
    <cellStyle name="20% - Accent3 11" xfId="592"/>
    <cellStyle name="20% - Accent3 11 2" xfId="593"/>
    <cellStyle name="20% - Accent3 110" xfId="594"/>
    <cellStyle name="20% - Accent3 111" xfId="595"/>
    <cellStyle name="20% - Accent3 112" xfId="596"/>
    <cellStyle name="20% - Accent3 113" xfId="597"/>
    <cellStyle name="20% - Accent3 114" xfId="598"/>
    <cellStyle name="20% - Accent3 115" xfId="599"/>
    <cellStyle name="20% - Accent3 116" xfId="600"/>
    <cellStyle name="20% - Accent3 117" xfId="601"/>
    <cellStyle name="20% - Accent3 118" xfId="602"/>
    <cellStyle name="20% - Accent3 119" xfId="603"/>
    <cellStyle name="20% - Accent3 12" xfId="604"/>
    <cellStyle name="20% - Accent3 12 2" xfId="605"/>
    <cellStyle name="20% - Accent3 120" xfId="606"/>
    <cellStyle name="20% - Accent3 121" xfId="607"/>
    <cellStyle name="20% - Accent3 122" xfId="608"/>
    <cellStyle name="20% - Accent3 123" xfId="609"/>
    <cellStyle name="20% - Accent3 124" xfId="610"/>
    <cellStyle name="20% - Accent3 125" xfId="611"/>
    <cellStyle name="20% - Accent3 126" xfId="612"/>
    <cellStyle name="20% - Accent3 127" xfId="613"/>
    <cellStyle name="20% - Accent3 128" xfId="614"/>
    <cellStyle name="20% - Accent3 129" xfId="615"/>
    <cellStyle name="20% - Accent3 13" xfId="616"/>
    <cellStyle name="20% - Accent3 130" xfId="617"/>
    <cellStyle name="20% - Accent3 131" xfId="618"/>
    <cellStyle name="20% - Accent3 132" xfId="619"/>
    <cellStyle name="20% - Accent3 133" xfId="620"/>
    <cellStyle name="20% - Accent3 134" xfId="621"/>
    <cellStyle name="20% - Accent3 135" xfId="622"/>
    <cellStyle name="20% - Accent3 136" xfId="623"/>
    <cellStyle name="20% - Accent3 137" xfId="624"/>
    <cellStyle name="20% - Accent3 138" xfId="625"/>
    <cellStyle name="20% - Accent3 139" xfId="626"/>
    <cellStyle name="20% - Accent3 14" xfId="627"/>
    <cellStyle name="20% - Accent3 140" xfId="628"/>
    <cellStyle name="20% - Accent3 141" xfId="629"/>
    <cellStyle name="20% - Accent3 142" xfId="630"/>
    <cellStyle name="20% - Accent3 143" xfId="631"/>
    <cellStyle name="20% - Accent3 144" xfId="632"/>
    <cellStyle name="20% - Accent3 145" xfId="633"/>
    <cellStyle name="20% - Accent3 146" xfId="634"/>
    <cellStyle name="20% - Accent3 147" xfId="635"/>
    <cellStyle name="20% - Accent3 148" xfId="636"/>
    <cellStyle name="20% - Accent3 149" xfId="637"/>
    <cellStyle name="20% - Accent3 15" xfId="638"/>
    <cellStyle name="20% - Accent3 150" xfId="639"/>
    <cellStyle name="20% - Accent3 151" xfId="640"/>
    <cellStyle name="20% - Accent3 152" xfId="641"/>
    <cellStyle name="20% - Accent3 153" xfId="642"/>
    <cellStyle name="20% - Accent3 154" xfId="643"/>
    <cellStyle name="20% - Accent3 155" xfId="644"/>
    <cellStyle name="20% - Accent3 156" xfId="645"/>
    <cellStyle name="20% - Accent3 157" xfId="646"/>
    <cellStyle name="20% - Accent3 158" xfId="647"/>
    <cellStyle name="20% - Accent3 159" xfId="648"/>
    <cellStyle name="20% - Accent3 16" xfId="649"/>
    <cellStyle name="20% - Accent3 160" xfId="650"/>
    <cellStyle name="20% - Accent3 161" xfId="651"/>
    <cellStyle name="20% - Accent3 162" xfId="652"/>
    <cellStyle name="20% - Accent3 163" xfId="653"/>
    <cellStyle name="20% - Accent3 164" xfId="654"/>
    <cellStyle name="20% - Accent3 165" xfId="655"/>
    <cellStyle name="20% - Accent3 166" xfId="656"/>
    <cellStyle name="20% - Accent3 167" xfId="657"/>
    <cellStyle name="20% - Accent3 168" xfId="658"/>
    <cellStyle name="20% - Accent3 169" xfId="659"/>
    <cellStyle name="20% - Accent3 17" xfId="660"/>
    <cellStyle name="20% - Accent3 170" xfId="661"/>
    <cellStyle name="20% - Accent3 171" xfId="662"/>
    <cellStyle name="20% - Accent3 172" xfId="663"/>
    <cellStyle name="20% - Accent3 173" xfId="664"/>
    <cellStyle name="20% - Accent3 174" xfId="665"/>
    <cellStyle name="20% - Accent3 175" xfId="666"/>
    <cellStyle name="20% - Accent3 176" xfId="667"/>
    <cellStyle name="20% - Accent3 177" xfId="668"/>
    <cellStyle name="20% - Accent3 178" xfId="669"/>
    <cellStyle name="20% - Accent3 179" xfId="670"/>
    <cellStyle name="20% - Accent3 18" xfId="671"/>
    <cellStyle name="20% - Accent3 180" xfId="672"/>
    <cellStyle name="20% - Accent3 181" xfId="673"/>
    <cellStyle name="20% - Accent3 182" xfId="674"/>
    <cellStyle name="20% - Accent3 183" xfId="675"/>
    <cellStyle name="20% - Accent3 184" xfId="676"/>
    <cellStyle name="20% - Accent3 185" xfId="677"/>
    <cellStyle name="20% - Accent3 186" xfId="678"/>
    <cellStyle name="20% - Accent3 187" xfId="679"/>
    <cellStyle name="20% - Accent3 188" xfId="680"/>
    <cellStyle name="20% - Accent3 189" xfId="681"/>
    <cellStyle name="20% - Accent3 19" xfId="682"/>
    <cellStyle name="20% - Accent3 190" xfId="683"/>
    <cellStyle name="20% - Accent3 191" xfId="684"/>
    <cellStyle name="20% - Accent3 192" xfId="685"/>
    <cellStyle name="20% - Accent3 193" xfId="686"/>
    <cellStyle name="20% - Accent3 194" xfId="687"/>
    <cellStyle name="20% - Accent3 195" xfId="688"/>
    <cellStyle name="20% - Accent3 196" xfId="689"/>
    <cellStyle name="20% - Accent3 197" xfId="690"/>
    <cellStyle name="20% - Accent3 198" xfId="691"/>
    <cellStyle name="20% - Accent3 199" xfId="692"/>
    <cellStyle name="20% - Accent3 2" xfId="693"/>
    <cellStyle name="20% - Accent3 2 2" xfId="694"/>
    <cellStyle name="20% - Accent3 2 2 2" xfId="695"/>
    <cellStyle name="20% - Accent3 2 2 3" xfId="696"/>
    <cellStyle name="20% - Accent3 2 2 4" xfId="697"/>
    <cellStyle name="20% - Accent3 2 2 5" xfId="698"/>
    <cellStyle name="20% - Accent3 2 2 6" xfId="699"/>
    <cellStyle name="20% - Accent3 2 2 7" xfId="700"/>
    <cellStyle name="20% - Accent3 2 3" xfId="701"/>
    <cellStyle name="20% - Accent3 2 4" xfId="702"/>
    <cellStyle name="20% - Accent3 2 5" xfId="703"/>
    <cellStyle name="20% - Accent3 2 6" xfId="704"/>
    <cellStyle name="20% - Accent3 2 7" xfId="705"/>
    <cellStyle name="20% - Accent3 2 8" xfId="706"/>
    <cellStyle name="20% - Accent3 20" xfId="707"/>
    <cellStyle name="20% - Accent3 200" xfId="708"/>
    <cellStyle name="20% - Accent3 201" xfId="709"/>
    <cellStyle name="20% - Accent3 202" xfId="710"/>
    <cellStyle name="20% - Accent3 203" xfId="711"/>
    <cellStyle name="20% - Accent3 204" xfId="712"/>
    <cellStyle name="20% - Accent3 205" xfId="713"/>
    <cellStyle name="20% - Accent3 206" xfId="714"/>
    <cellStyle name="20% - Accent3 207" xfId="715"/>
    <cellStyle name="20% - Accent3 208" xfId="716"/>
    <cellStyle name="20% - Accent3 209" xfId="717"/>
    <cellStyle name="20% - Accent3 21" xfId="718"/>
    <cellStyle name="20% - Accent3 210" xfId="719"/>
    <cellStyle name="20% - Accent3 211" xfId="720"/>
    <cellStyle name="20% - Accent3 212" xfId="721"/>
    <cellStyle name="20% - Accent3 213" xfId="722"/>
    <cellStyle name="20% - Accent3 214" xfId="723"/>
    <cellStyle name="20% - Accent3 215" xfId="724"/>
    <cellStyle name="20% - Accent3 216" xfId="725"/>
    <cellStyle name="20% - Accent3 217" xfId="726"/>
    <cellStyle name="20% - Accent3 218" xfId="727"/>
    <cellStyle name="20% - Accent3 219" xfId="728"/>
    <cellStyle name="20% - Accent3 22" xfId="729"/>
    <cellStyle name="20% - Accent3 220" xfId="730"/>
    <cellStyle name="20% - Accent3 221" xfId="731"/>
    <cellStyle name="20% - Accent3 222" xfId="732"/>
    <cellStyle name="20% - Accent3 223" xfId="733"/>
    <cellStyle name="20% - Accent3 224" xfId="734"/>
    <cellStyle name="20% - Accent3 225" xfId="735"/>
    <cellStyle name="20% - Accent3 226" xfId="736"/>
    <cellStyle name="20% - Accent3 227" xfId="737"/>
    <cellStyle name="20% - Accent3 228" xfId="738"/>
    <cellStyle name="20% - Accent3 229" xfId="739"/>
    <cellStyle name="20% - Accent3 23" xfId="740"/>
    <cellStyle name="20% - Accent3 230" xfId="741"/>
    <cellStyle name="20% - Accent3 231" xfId="742"/>
    <cellStyle name="20% - Accent3 232" xfId="743"/>
    <cellStyle name="20% - Accent3 233" xfId="744"/>
    <cellStyle name="20% - Accent3 234" xfId="745"/>
    <cellStyle name="20% - Accent3 235" xfId="746"/>
    <cellStyle name="20% - Accent3 236" xfId="747"/>
    <cellStyle name="20% - Accent3 237" xfId="748"/>
    <cellStyle name="20% - Accent3 238" xfId="749"/>
    <cellStyle name="20% - Accent3 239" xfId="750"/>
    <cellStyle name="20% - Accent3 24" xfId="751"/>
    <cellStyle name="20% - Accent3 240" xfId="752"/>
    <cellStyle name="20% - Accent3 241" xfId="753"/>
    <cellStyle name="20% - Accent3 242" xfId="754"/>
    <cellStyle name="20% - Accent3 243" xfId="755"/>
    <cellStyle name="20% - Accent3 244" xfId="756"/>
    <cellStyle name="20% - Accent3 245" xfId="757"/>
    <cellStyle name="20% - Accent3 246" xfId="758"/>
    <cellStyle name="20% - Accent3 247" xfId="759"/>
    <cellStyle name="20% - Accent3 248" xfId="760"/>
    <cellStyle name="20% - Accent3 249" xfId="761"/>
    <cellStyle name="20% - Accent3 25" xfId="762"/>
    <cellStyle name="20% - Accent3 26" xfId="763"/>
    <cellStyle name="20% - Accent3 27" xfId="764"/>
    <cellStyle name="20% - Accent3 28" xfId="765"/>
    <cellStyle name="20% - Accent3 29" xfId="766"/>
    <cellStyle name="20% - Accent3 3" xfId="767"/>
    <cellStyle name="20% - Accent3 3 2" xfId="768"/>
    <cellStyle name="20% - Accent3 30" xfId="769"/>
    <cellStyle name="20% - Accent3 31" xfId="770"/>
    <cellStyle name="20% - Accent3 32" xfId="771"/>
    <cellStyle name="20% - Accent3 33" xfId="772"/>
    <cellStyle name="20% - Accent3 34" xfId="773"/>
    <cellStyle name="20% - Accent3 35" xfId="774"/>
    <cellStyle name="20% - Accent3 36" xfId="775"/>
    <cellStyle name="20% - Accent3 37" xfId="776"/>
    <cellStyle name="20% - Accent3 38" xfId="777"/>
    <cellStyle name="20% - Accent3 39" xfId="778"/>
    <cellStyle name="20% - Accent3 4" xfId="779"/>
    <cellStyle name="20% - Accent3 4 2" xfId="780"/>
    <cellStyle name="20% - Accent3 4 3" xfId="781"/>
    <cellStyle name="20% - Accent3 4 4" xfId="782"/>
    <cellStyle name="20% - Accent3 4 5" xfId="783"/>
    <cellStyle name="20% - Accent3 40" xfId="784"/>
    <cellStyle name="20% - Accent3 41" xfId="785"/>
    <cellStyle name="20% - Accent3 42" xfId="786"/>
    <cellStyle name="20% - Accent3 43" xfId="787"/>
    <cellStyle name="20% - Accent3 44" xfId="788"/>
    <cellStyle name="20% - Accent3 45" xfId="789"/>
    <cellStyle name="20% - Accent3 46" xfId="790"/>
    <cellStyle name="20% - Accent3 47" xfId="791"/>
    <cellStyle name="20% - Accent3 48" xfId="792"/>
    <cellStyle name="20% - Accent3 49" xfId="793"/>
    <cellStyle name="20% - Accent3 5" xfId="794"/>
    <cellStyle name="20% - Accent3 5 2" xfId="795"/>
    <cellStyle name="20% - Accent3 5 3" xfId="796"/>
    <cellStyle name="20% - Accent3 5 4" xfId="797"/>
    <cellStyle name="20% - Accent3 5 5" xfId="798"/>
    <cellStyle name="20% - Accent3 50" xfId="799"/>
    <cellStyle name="20% - Accent3 51" xfId="800"/>
    <cellStyle name="20% - Accent3 52" xfId="801"/>
    <cellStyle name="20% - Accent3 53" xfId="802"/>
    <cellStyle name="20% - Accent3 54" xfId="803"/>
    <cellStyle name="20% - Accent3 55" xfId="804"/>
    <cellStyle name="20% - Accent3 56" xfId="805"/>
    <cellStyle name="20% - Accent3 57" xfId="806"/>
    <cellStyle name="20% - Accent3 58" xfId="807"/>
    <cellStyle name="20% - Accent3 59" xfId="808"/>
    <cellStyle name="20% - Accent3 6" xfId="809"/>
    <cellStyle name="20% - Accent3 6 2" xfId="810"/>
    <cellStyle name="20% - Accent3 6 3" xfId="811"/>
    <cellStyle name="20% - Accent3 6 4" xfId="812"/>
    <cellStyle name="20% - Accent3 60" xfId="813"/>
    <cellStyle name="20% - Accent3 61" xfId="814"/>
    <cellStyle name="20% - Accent3 62" xfId="815"/>
    <cellStyle name="20% - Accent3 63" xfId="816"/>
    <cellStyle name="20% - Accent3 64" xfId="817"/>
    <cellStyle name="20% - Accent3 65" xfId="818"/>
    <cellStyle name="20% - Accent3 66" xfId="819"/>
    <cellStyle name="20% - Accent3 67" xfId="820"/>
    <cellStyle name="20% - Accent3 68" xfId="821"/>
    <cellStyle name="20% - Accent3 69" xfId="822"/>
    <cellStyle name="20% - Accent3 7" xfId="823"/>
    <cellStyle name="20% - Accent3 7 2" xfId="824"/>
    <cellStyle name="20% - Accent3 7 3" xfId="825"/>
    <cellStyle name="20% - Accent3 7 4" xfId="826"/>
    <cellStyle name="20% - Accent3 70" xfId="827"/>
    <cellStyle name="20% - Accent3 71" xfId="828"/>
    <cellStyle name="20% - Accent3 72" xfId="829"/>
    <cellStyle name="20% - Accent3 73" xfId="830"/>
    <cellStyle name="20% - Accent3 74" xfId="831"/>
    <cellStyle name="20% - Accent3 75" xfId="832"/>
    <cellStyle name="20% - Accent3 76" xfId="833"/>
    <cellStyle name="20% - Accent3 77" xfId="834"/>
    <cellStyle name="20% - Accent3 78" xfId="835"/>
    <cellStyle name="20% - Accent3 79" xfId="836"/>
    <cellStyle name="20% - Accent3 8" xfId="837"/>
    <cellStyle name="20% - Accent3 8 2" xfId="838"/>
    <cellStyle name="20% - Accent3 8 3" xfId="839"/>
    <cellStyle name="20% - Accent3 8 4" xfId="840"/>
    <cellStyle name="20% - Accent3 80" xfId="841"/>
    <cellStyle name="20% - Accent3 81" xfId="842"/>
    <cellStyle name="20% - Accent3 82" xfId="843"/>
    <cellStyle name="20% - Accent3 83" xfId="844"/>
    <cellStyle name="20% - Accent3 84" xfId="845"/>
    <cellStyle name="20% - Accent3 85" xfId="846"/>
    <cellStyle name="20% - Accent3 86" xfId="847"/>
    <cellStyle name="20% - Accent3 87" xfId="848"/>
    <cellStyle name="20% - Accent3 88" xfId="849"/>
    <cellStyle name="20% - Accent3 89" xfId="850"/>
    <cellStyle name="20% - Accent3 9" xfId="851"/>
    <cellStyle name="20% - Accent3 9 2" xfId="852"/>
    <cellStyle name="20% - Accent3 9 3" xfId="853"/>
    <cellStyle name="20% - Accent3 9 4" xfId="854"/>
    <cellStyle name="20% - Accent3 90" xfId="855"/>
    <cellStyle name="20% - Accent3 91" xfId="856"/>
    <cellStyle name="20% - Accent3 92" xfId="857"/>
    <cellStyle name="20% - Accent3 93" xfId="858"/>
    <cellStyle name="20% - Accent3 94" xfId="859"/>
    <cellStyle name="20% - Accent3 95" xfId="860"/>
    <cellStyle name="20% - Accent3 96" xfId="861"/>
    <cellStyle name="20% - Accent3 97" xfId="862"/>
    <cellStyle name="20% - Accent3 98" xfId="863"/>
    <cellStyle name="20% - Accent3 99" xfId="864"/>
    <cellStyle name="20% - Accent4" xfId="865" builtinId="42" customBuiltin="1"/>
    <cellStyle name="20% - Accent4 10" xfId="866"/>
    <cellStyle name="20% - Accent4 10 2" xfId="867"/>
    <cellStyle name="20% - Accent4 10 3" xfId="868"/>
    <cellStyle name="20% - Accent4 10 4" xfId="869"/>
    <cellStyle name="20% - Accent4 100" xfId="870"/>
    <cellStyle name="20% - Accent4 101" xfId="871"/>
    <cellStyle name="20% - Accent4 102" xfId="872"/>
    <cellStyle name="20% - Accent4 103" xfId="873"/>
    <cellStyle name="20% - Accent4 104" xfId="874"/>
    <cellStyle name="20% - Accent4 105" xfId="875"/>
    <cellStyle name="20% - Accent4 106" xfId="876"/>
    <cellStyle name="20% - Accent4 107" xfId="877"/>
    <cellStyle name="20% - Accent4 108" xfId="878"/>
    <cellStyle name="20% - Accent4 109" xfId="879"/>
    <cellStyle name="20% - Accent4 11" xfId="880"/>
    <cellStyle name="20% - Accent4 11 2" xfId="881"/>
    <cellStyle name="20% - Accent4 110" xfId="882"/>
    <cellStyle name="20% - Accent4 111" xfId="883"/>
    <cellStyle name="20% - Accent4 112" xfId="884"/>
    <cellStyle name="20% - Accent4 113" xfId="885"/>
    <cellStyle name="20% - Accent4 114" xfId="886"/>
    <cellStyle name="20% - Accent4 115" xfId="887"/>
    <cellStyle name="20% - Accent4 116" xfId="888"/>
    <cellStyle name="20% - Accent4 117" xfId="889"/>
    <cellStyle name="20% - Accent4 118" xfId="890"/>
    <cellStyle name="20% - Accent4 119" xfId="891"/>
    <cellStyle name="20% - Accent4 12" xfId="892"/>
    <cellStyle name="20% - Accent4 12 2" xfId="893"/>
    <cellStyle name="20% - Accent4 120" xfId="894"/>
    <cellStyle name="20% - Accent4 121" xfId="895"/>
    <cellStyle name="20% - Accent4 122" xfId="896"/>
    <cellStyle name="20% - Accent4 123" xfId="897"/>
    <cellStyle name="20% - Accent4 124" xfId="898"/>
    <cellStyle name="20% - Accent4 125" xfId="899"/>
    <cellStyle name="20% - Accent4 126" xfId="900"/>
    <cellStyle name="20% - Accent4 127" xfId="901"/>
    <cellStyle name="20% - Accent4 128" xfId="902"/>
    <cellStyle name="20% - Accent4 129" xfId="903"/>
    <cellStyle name="20% - Accent4 13" xfId="904"/>
    <cellStyle name="20% - Accent4 130" xfId="905"/>
    <cellStyle name="20% - Accent4 131" xfId="906"/>
    <cellStyle name="20% - Accent4 132" xfId="907"/>
    <cellStyle name="20% - Accent4 133" xfId="908"/>
    <cellStyle name="20% - Accent4 134" xfId="909"/>
    <cellStyle name="20% - Accent4 135" xfId="910"/>
    <cellStyle name="20% - Accent4 136" xfId="911"/>
    <cellStyle name="20% - Accent4 137" xfId="912"/>
    <cellStyle name="20% - Accent4 138" xfId="913"/>
    <cellStyle name="20% - Accent4 139" xfId="914"/>
    <cellStyle name="20% - Accent4 14" xfId="915"/>
    <cellStyle name="20% - Accent4 140" xfId="916"/>
    <cellStyle name="20% - Accent4 141" xfId="917"/>
    <cellStyle name="20% - Accent4 142" xfId="918"/>
    <cellStyle name="20% - Accent4 143" xfId="919"/>
    <cellStyle name="20% - Accent4 144" xfId="920"/>
    <cellStyle name="20% - Accent4 145" xfId="921"/>
    <cellStyle name="20% - Accent4 146" xfId="922"/>
    <cellStyle name="20% - Accent4 147" xfId="923"/>
    <cellStyle name="20% - Accent4 148" xfId="924"/>
    <cellStyle name="20% - Accent4 149" xfId="925"/>
    <cellStyle name="20% - Accent4 15" xfId="926"/>
    <cellStyle name="20% - Accent4 150" xfId="927"/>
    <cellStyle name="20% - Accent4 151" xfId="928"/>
    <cellStyle name="20% - Accent4 152" xfId="929"/>
    <cellStyle name="20% - Accent4 153" xfId="930"/>
    <cellStyle name="20% - Accent4 154" xfId="931"/>
    <cellStyle name="20% - Accent4 155" xfId="932"/>
    <cellStyle name="20% - Accent4 156" xfId="933"/>
    <cellStyle name="20% - Accent4 157" xfId="934"/>
    <cellStyle name="20% - Accent4 158" xfId="935"/>
    <cellStyle name="20% - Accent4 159" xfId="936"/>
    <cellStyle name="20% - Accent4 16" xfId="937"/>
    <cellStyle name="20% - Accent4 160" xfId="938"/>
    <cellStyle name="20% - Accent4 161" xfId="939"/>
    <cellStyle name="20% - Accent4 162" xfId="940"/>
    <cellStyle name="20% - Accent4 163" xfId="941"/>
    <cellStyle name="20% - Accent4 164" xfId="942"/>
    <cellStyle name="20% - Accent4 165" xfId="943"/>
    <cellStyle name="20% - Accent4 166" xfId="944"/>
    <cellStyle name="20% - Accent4 167" xfId="945"/>
    <cellStyle name="20% - Accent4 168" xfId="946"/>
    <cellStyle name="20% - Accent4 169" xfId="947"/>
    <cellStyle name="20% - Accent4 17" xfId="948"/>
    <cellStyle name="20% - Accent4 170" xfId="949"/>
    <cellStyle name="20% - Accent4 171" xfId="950"/>
    <cellStyle name="20% - Accent4 172" xfId="951"/>
    <cellStyle name="20% - Accent4 173" xfId="952"/>
    <cellStyle name="20% - Accent4 174" xfId="953"/>
    <cellStyle name="20% - Accent4 175" xfId="954"/>
    <cellStyle name="20% - Accent4 176" xfId="955"/>
    <cellStyle name="20% - Accent4 177" xfId="956"/>
    <cellStyle name="20% - Accent4 178" xfId="957"/>
    <cellStyle name="20% - Accent4 179" xfId="958"/>
    <cellStyle name="20% - Accent4 18" xfId="959"/>
    <cellStyle name="20% - Accent4 180" xfId="960"/>
    <cellStyle name="20% - Accent4 181" xfId="961"/>
    <cellStyle name="20% - Accent4 182" xfId="962"/>
    <cellStyle name="20% - Accent4 183" xfId="963"/>
    <cellStyle name="20% - Accent4 184" xfId="964"/>
    <cellStyle name="20% - Accent4 185" xfId="965"/>
    <cellStyle name="20% - Accent4 186" xfId="966"/>
    <cellStyle name="20% - Accent4 187" xfId="967"/>
    <cellStyle name="20% - Accent4 188" xfId="968"/>
    <cellStyle name="20% - Accent4 189" xfId="969"/>
    <cellStyle name="20% - Accent4 19" xfId="970"/>
    <cellStyle name="20% - Accent4 190" xfId="971"/>
    <cellStyle name="20% - Accent4 191" xfId="972"/>
    <cellStyle name="20% - Accent4 192" xfId="973"/>
    <cellStyle name="20% - Accent4 193" xfId="974"/>
    <cellStyle name="20% - Accent4 194" xfId="975"/>
    <cellStyle name="20% - Accent4 195" xfId="976"/>
    <cellStyle name="20% - Accent4 196" xfId="977"/>
    <cellStyle name="20% - Accent4 197" xfId="978"/>
    <cellStyle name="20% - Accent4 198" xfId="979"/>
    <cellStyle name="20% - Accent4 199" xfId="980"/>
    <cellStyle name="20% - Accent4 2" xfId="981"/>
    <cellStyle name="20% - Accent4 2 2" xfId="982"/>
    <cellStyle name="20% - Accent4 2 2 2" xfId="983"/>
    <cellStyle name="20% - Accent4 2 2 3" xfId="984"/>
    <cellStyle name="20% - Accent4 2 2 4" xfId="985"/>
    <cellStyle name="20% - Accent4 2 2 5" xfId="986"/>
    <cellStyle name="20% - Accent4 2 2 6" xfId="987"/>
    <cellStyle name="20% - Accent4 2 2 7" xfId="988"/>
    <cellStyle name="20% - Accent4 2 3" xfId="989"/>
    <cellStyle name="20% - Accent4 2 4" xfId="990"/>
    <cellStyle name="20% - Accent4 2 5" xfId="991"/>
    <cellStyle name="20% - Accent4 2 6" xfId="992"/>
    <cellStyle name="20% - Accent4 2 7" xfId="993"/>
    <cellStyle name="20% - Accent4 2 8" xfId="994"/>
    <cellStyle name="20% - Accent4 20" xfId="995"/>
    <cellStyle name="20% - Accent4 200" xfId="996"/>
    <cellStyle name="20% - Accent4 201" xfId="997"/>
    <cellStyle name="20% - Accent4 202" xfId="998"/>
    <cellStyle name="20% - Accent4 203" xfId="999"/>
    <cellStyle name="20% - Accent4 204" xfId="1000"/>
    <cellStyle name="20% - Accent4 205" xfId="1001"/>
    <cellStyle name="20% - Accent4 206" xfId="1002"/>
    <cellStyle name="20% - Accent4 207" xfId="1003"/>
    <cellStyle name="20% - Accent4 208" xfId="1004"/>
    <cellStyle name="20% - Accent4 209" xfId="1005"/>
    <cellStyle name="20% - Accent4 21" xfId="1006"/>
    <cellStyle name="20% - Accent4 210" xfId="1007"/>
    <cellStyle name="20% - Accent4 211" xfId="1008"/>
    <cellStyle name="20% - Accent4 212" xfId="1009"/>
    <cellStyle name="20% - Accent4 213" xfId="1010"/>
    <cellStyle name="20% - Accent4 214" xfId="1011"/>
    <cellStyle name="20% - Accent4 215" xfId="1012"/>
    <cellStyle name="20% - Accent4 216" xfId="1013"/>
    <cellStyle name="20% - Accent4 217" xfId="1014"/>
    <cellStyle name="20% - Accent4 218" xfId="1015"/>
    <cellStyle name="20% - Accent4 219" xfId="1016"/>
    <cellStyle name="20% - Accent4 22" xfId="1017"/>
    <cellStyle name="20% - Accent4 220" xfId="1018"/>
    <cellStyle name="20% - Accent4 221" xfId="1019"/>
    <cellStyle name="20% - Accent4 222" xfId="1020"/>
    <cellStyle name="20% - Accent4 223" xfId="1021"/>
    <cellStyle name="20% - Accent4 224" xfId="1022"/>
    <cellStyle name="20% - Accent4 225" xfId="1023"/>
    <cellStyle name="20% - Accent4 226" xfId="1024"/>
    <cellStyle name="20% - Accent4 227" xfId="1025"/>
    <cellStyle name="20% - Accent4 228" xfId="1026"/>
    <cellStyle name="20% - Accent4 229" xfId="1027"/>
    <cellStyle name="20% - Accent4 23" xfId="1028"/>
    <cellStyle name="20% - Accent4 230" xfId="1029"/>
    <cellStyle name="20% - Accent4 231" xfId="1030"/>
    <cellStyle name="20% - Accent4 232" xfId="1031"/>
    <cellStyle name="20% - Accent4 233" xfId="1032"/>
    <cellStyle name="20% - Accent4 234" xfId="1033"/>
    <cellStyle name="20% - Accent4 235" xfId="1034"/>
    <cellStyle name="20% - Accent4 236" xfId="1035"/>
    <cellStyle name="20% - Accent4 237" xfId="1036"/>
    <cellStyle name="20% - Accent4 238" xfId="1037"/>
    <cellStyle name="20% - Accent4 239" xfId="1038"/>
    <cellStyle name="20% - Accent4 24" xfId="1039"/>
    <cellStyle name="20% - Accent4 240" xfId="1040"/>
    <cellStyle name="20% - Accent4 241" xfId="1041"/>
    <cellStyle name="20% - Accent4 242" xfId="1042"/>
    <cellStyle name="20% - Accent4 243" xfId="1043"/>
    <cellStyle name="20% - Accent4 244" xfId="1044"/>
    <cellStyle name="20% - Accent4 245" xfId="1045"/>
    <cellStyle name="20% - Accent4 246" xfId="1046"/>
    <cellStyle name="20% - Accent4 247" xfId="1047"/>
    <cellStyle name="20% - Accent4 248" xfId="1048"/>
    <cellStyle name="20% - Accent4 249" xfId="1049"/>
    <cellStyle name="20% - Accent4 25" xfId="1050"/>
    <cellStyle name="20% - Accent4 26" xfId="1051"/>
    <cellStyle name="20% - Accent4 27" xfId="1052"/>
    <cellStyle name="20% - Accent4 28" xfId="1053"/>
    <cellStyle name="20% - Accent4 29" xfId="1054"/>
    <cellStyle name="20% - Accent4 3" xfId="1055"/>
    <cellStyle name="20% - Accent4 3 2" xfId="1056"/>
    <cellStyle name="20% - Accent4 30" xfId="1057"/>
    <cellStyle name="20% - Accent4 31" xfId="1058"/>
    <cellStyle name="20% - Accent4 32" xfId="1059"/>
    <cellStyle name="20% - Accent4 33" xfId="1060"/>
    <cellStyle name="20% - Accent4 34" xfId="1061"/>
    <cellStyle name="20% - Accent4 35" xfId="1062"/>
    <cellStyle name="20% - Accent4 36" xfId="1063"/>
    <cellStyle name="20% - Accent4 37" xfId="1064"/>
    <cellStyle name="20% - Accent4 38" xfId="1065"/>
    <cellStyle name="20% - Accent4 39" xfId="1066"/>
    <cellStyle name="20% - Accent4 4" xfId="1067"/>
    <cellStyle name="20% - Accent4 4 2" xfId="1068"/>
    <cellStyle name="20% - Accent4 4 3" xfId="1069"/>
    <cellStyle name="20% - Accent4 4 4" xfId="1070"/>
    <cellStyle name="20% - Accent4 4 5" xfId="1071"/>
    <cellStyle name="20% - Accent4 40" xfId="1072"/>
    <cellStyle name="20% - Accent4 41" xfId="1073"/>
    <cellStyle name="20% - Accent4 42" xfId="1074"/>
    <cellStyle name="20% - Accent4 43" xfId="1075"/>
    <cellStyle name="20% - Accent4 44" xfId="1076"/>
    <cellStyle name="20% - Accent4 45" xfId="1077"/>
    <cellStyle name="20% - Accent4 46" xfId="1078"/>
    <cellStyle name="20% - Accent4 47" xfId="1079"/>
    <cellStyle name="20% - Accent4 48" xfId="1080"/>
    <cellStyle name="20% - Accent4 49" xfId="1081"/>
    <cellStyle name="20% - Accent4 5" xfId="1082"/>
    <cellStyle name="20% - Accent4 5 2" xfId="1083"/>
    <cellStyle name="20% - Accent4 5 3" xfId="1084"/>
    <cellStyle name="20% - Accent4 5 4" xfId="1085"/>
    <cellStyle name="20% - Accent4 5 5" xfId="1086"/>
    <cellStyle name="20% - Accent4 50" xfId="1087"/>
    <cellStyle name="20% - Accent4 51" xfId="1088"/>
    <cellStyle name="20% - Accent4 52" xfId="1089"/>
    <cellStyle name="20% - Accent4 53" xfId="1090"/>
    <cellStyle name="20% - Accent4 54" xfId="1091"/>
    <cellStyle name="20% - Accent4 55" xfId="1092"/>
    <cellStyle name="20% - Accent4 56" xfId="1093"/>
    <cellStyle name="20% - Accent4 57" xfId="1094"/>
    <cellStyle name="20% - Accent4 58" xfId="1095"/>
    <cellStyle name="20% - Accent4 59" xfId="1096"/>
    <cellStyle name="20% - Accent4 6" xfId="1097"/>
    <cellStyle name="20% - Accent4 6 2" xfId="1098"/>
    <cellStyle name="20% - Accent4 6 3" xfId="1099"/>
    <cellStyle name="20% - Accent4 6 4" xfId="1100"/>
    <cellStyle name="20% - Accent4 60" xfId="1101"/>
    <cellStyle name="20% - Accent4 61" xfId="1102"/>
    <cellStyle name="20% - Accent4 62" xfId="1103"/>
    <cellStyle name="20% - Accent4 63" xfId="1104"/>
    <cellStyle name="20% - Accent4 64" xfId="1105"/>
    <cellStyle name="20% - Accent4 65" xfId="1106"/>
    <cellStyle name="20% - Accent4 66" xfId="1107"/>
    <cellStyle name="20% - Accent4 67" xfId="1108"/>
    <cellStyle name="20% - Accent4 68" xfId="1109"/>
    <cellStyle name="20% - Accent4 69" xfId="1110"/>
    <cellStyle name="20% - Accent4 7" xfId="1111"/>
    <cellStyle name="20% - Accent4 7 2" xfId="1112"/>
    <cellStyle name="20% - Accent4 7 3" xfId="1113"/>
    <cellStyle name="20% - Accent4 7 4" xfId="1114"/>
    <cellStyle name="20% - Accent4 70" xfId="1115"/>
    <cellStyle name="20% - Accent4 71" xfId="1116"/>
    <cellStyle name="20% - Accent4 72" xfId="1117"/>
    <cellStyle name="20% - Accent4 73" xfId="1118"/>
    <cellStyle name="20% - Accent4 74" xfId="1119"/>
    <cellStyle name="20% - Accent4 75" xfId="1120"/>
    <cellStyle name="20% - Accent4 76" xfId="1121"/>
    <cellStyle name="20% - Accent4 77" xfId="1122"/>
    <cellStyle name="20% - Accent4 78" xfId="1123"/>
    <cellStyle name="20% - Accent4 79" xfId="1124"/>
    <cellStyle name="20% - Accent4 8" xfId="1125"/>
    <cellStyle name="20% - Accent4 8 2" xfId="1126"/>
    <cellStyle name="20% - Accent4 8 3" xfId="1127"/>
    <cellStyle name="20% - Accent4 8 4" xfId="1128"/>
    <cellStyle name="20% - Accent4 80" xfId="1129"/>
    <cellStyle name="20% - Accent4 81" xfId="1130"/>
    <cellStyle name="20% - Accent4 82" xfId="1131"/>
    <cellStyle name="20% - Accent4 83" xfId="1132"/>
    <cellStyle name="20% - Accent4 84" xfId="1133"/>
    <cellStyle name="20% - Accent4 85" xfId="1134"/>
    <cellStyle name="20% - Accent4 86" xfId="1135"/>
    <cellStyle name="20% - Accent4 87" xfId="1136"/>
    <cellStyle name="20% - Accent4 88" xfId="1137"/>
    <cellStyle name="20% - Accent4 89" xfId="1138"/>
    <cellStyle name="20% - Accent4 9" xfId="1139"/>
    <cellStyle name="20% - Accent4 9 2" xfId="1140"/>
    <cellStyle name="20% - Accent4 9 3" xfId="1141"/>
    <cellStyle name="20% - Accent4 9 4" xfId="1142"/>
    <cellStyle name="20% - Accent4 90" xfId="1143"/>
    <cellStyle name="20% - Accent4 91" xfId="1144"/>
    <cellStyle name="20% - Accent4 92" xfId="1145"/>
    <cellStyle name="20% - Accent4 93" xfId="1146"/>
    <cellStyle name="20% - Accent4 94" xfId="1147"/>
    <cellStyle name="20% - Accent4 95" xfId="1148"/>
    <cellStyle name="20% - Accent4 96" xfId="1149"/>
    <cellStyle name="20% - Accent4 97" xfId="1150"/>
    <cellStyle name="20% - Accent4 98" xfId="1151"/>
    <cellStyle name="20% - Accent4 99" xfId="1152"/>
    <cellStyle name="20% - Accent5" xfId="1153" builtinId="46" customBuiltin="1"/>
    <cellStyle name="20% - Accent5 10" xfId="1154"/>
    <cellStyle name="20% - Accent5 10 2" xfId="1155"/>
    <cellStyle name="20% - Accent5 10 3" xfId="1156"/>
    <cellStyle name="20% - Accent5 10 4" xfId="1157"/>
    <cellStyle name="20% - Accent5 100" xfId="1158"/>
    <cellStyle name="20% - Accent5 101" xfId="1159"/>
    <cellStyle name="20% - Accent5 102" xfId="1160"/>
    <cellStyle name="20% - Accent5 103" xfId="1161"/>
    <cellStyle name="20% - Accent5 104" xfId="1162"/>
    <cellStyle name="20% - Accent5 105" xfId="1163"/>
    <cellStyle name="20% - Accent5 106" xfId="1164"/>
    <cellStyle name="20% - Accent5 107" xfId="1165"/>
    <cellStyle name="20% - Accent5 108" xfId="1166"/>
    <cellStyle name="20% - Accent5 109" xfId="1167"/>
    <cellStyle name="20% - Accent5 11" xfId="1168"/>
    <cellStyle name="20% - Accent5 11 2" xfId="1169"/>
    <cellStyle name="20% - Accent5 110" xfId="1170"/>
    <cellStyle name="20% - Accent5 111" xfId="1171"/>
    <cellStyle name="20% - Accent5 112" xfId="1172"/>
    <cellStyle name="20% - Accent5 113" xfId="1173"/>
    <cellStyle name="20% - Accent5 114" xfId="1174"/>
    <cellStyle name="20% - Accent5 115" xfId="1175"/>
    <cellStyle name="20% - Accent5 116" xfId="1176"/>
    <cellStyle name="20% - Accent5 117" xfId="1177"/>
    <cellStyle name="20% - Accent5 118" xfId="1178"/>
    <cellStyle name="20% - Accent5 119" xfId="1179"/>
    <cellStyle name="20% - Accent5 12" xfId="1180"/>
    <cellStyle name="20% - Accent5 12 2" xfId="1181"/>
    <cellStyle name="20% - Accent5 120" xfId="1182"/>
    <cellStyle name="20% - Accent5 121" xfId="1183"/>
    <cellStyle name="20% - Accent5 122" xfId="1184"/>
    <cellStyle name="20% - Accent5 123" xfId="1185"/>
    <cellStyle name="20% - Accent5 124" xfId="1186"/>
    <cellStyle name="20% - Accent5 125" xfId="1187"/>
    <cellStyle name="20% - Accent5 126" xfId="1188"/>
    <cellStyle name="20% - Accent5 127" xfId="1189"/>
    <cellStyle name="20% - Accent5 128" xfId="1190"/>
    <cellStyle name="20% - Accent5 129" xfId="1191"/>
    <cellStyle name="20% - Accent5 13" xfId="1192"/>
    <cellStyle name="20% - Accent5 130" xfId="1193"/>
    <cellStyle name="20% - Accent5 131" xfId="1194"/>
    <cellStyle name="20% - Accent5 132" xfId="1195"/>
    <cellStyle name="20% - Accent5 133" xfId="1196"/>
    <cellStyle name="20% - Accent5 134" xfId="1197"/>
    <cellStyle name="20% - Accent5 135" xfId="1198"/>
    <cellStyle name="20% - Accent5 136" xfId="1199"/>
    <cellStyle name="20% - Accent5 137" xfId="1200"/>
    <cellStyle name="20% - Accent5 138" xfId="1201"/>
    <cellStyle name="20% - Accent5 139" xfId="1202"/>
    <cellStyle name="20% - Accent5 14" xfId="1203"/>
    <cellStyle name="20% - Accent5 140" xfId="1204"/>
    <cellStyle name="20% - Accent5 141" xfId="1205"/>
    <cellStyle name="20% - Accent5 142" xfId="1206"/>
    <cellStyle name="20% - Accent5 143" xfId="1207"/>
    <cellStyle name="20% - Accent5 144" xfId="1208"/>
    <cellStyle name="20% - Accent5 145" xfId="1209"/>
    <cellStyle name="20% - Accent5 146" xfId="1210"/>
    <cellStyle name="20% - Accent5 147" xfId="1211"/>
    <cellStyle name="20% - Accent5 148" xfId="1212"/>
    <cellStyle name="20% - Accent5 149" xfId="1213"/>
    <cellStyle name="20% - Accent5 15" xfId="1214"/>
    <cellStyle name="20% - Accent5 150" xfId="1215"/>
    <cellStyle name="20% - Accent5 151" xfId="1216"/>
    <cellStyle name="20% - Accent5 152" xfId="1217"/>
    <cellStyle name="20% - Accent5 153" xfId="1218"/>
    <cellStyle name="20% - Accent5 154" xfId="1219"/>
    <cellStyle name="20% - Accent5 155" xfId="1220"/>
    <cellStyle name="20% - Accent5 156" xfId="1221"/>
    <cellStyle name="20% - Accent5 157" xfId="1222"/>
    <cellStyle name="20% - Accent5 158" xfId="1223"/>
    <cellStyle name="20% - Accent5 159" xfId="1224"/>
    <cellStyle name="20% - Accent5 16" xfId="1225"/>
    <cellStyle name="20% - Accent5 160" xfId="1226"/>
    <cellStyle name="20% - Accent5 161" xfId="1227"/>
    <cellStyle name="20% - Accent5 162" xfId="1228"/>
    <cellStyle name="20% - Accent5 163" xfId="1229"/>
    <cellStyle name="20% - Accent5 164" xfId="1230"/>
    <cellStyle name="20% - Accent5 165" xfId="1231"/>
    <cellStyle name="20% - Accent5 166" xfId="1232"/>
    <cellStyle name="20% - Accent5 167" xfId="1233"/>
    <cellStyle name="20% - Accent5 168" xfId="1234"/>
    <cellStyle name="20% - Accent5 169" xfId="1235"/>
    <cellStyle name="20% - Accent5 17" xfId="1236"/>
    <cellStyle name="20% - Accent5 170" xfId="1237"/>
    <cellStyle name="20% - Accent5 171" xfId="1238"/>
    <cellStyle name="20% - Accent5 172" xfId="1239"/>
    <cellStyle name="20% - Accent5 173" xfId="1240"/>
    <cellStyle name="20% - Accent5 174" xfId="1241"/>
    <cellStyle name="20% - Accent5 175" xfId="1242"/>
    <cellStyle name="20% - Accent5 176" xfId="1243"/>
    <cellStyle name="20% - Accent5 177" xfId="1244"/>
    <cellStyle name="20% - Accent5 178" xfId="1245"/>
    <cellStyle name="20% - Accent5 179" xfId="1246"/>
    <cellStyle name="20% - Accent5 18" xfId="1247"/>
    <cellStyle name="20% - Accent5 180" xfId="1248"/>
    <cellStyle name="20% - Accent5 181" xfId="1249"/>
    <cellStyle name="20% - Accent5 182" xfId="1250"/>
    <cellStyle name="20% - Accent5 183" xfId="1251"/>
    <cellStyle name="20% - Accent5 184" xfId="1252"/>
    <cellStyle name="20% - Accent5 185" xfId="1253"/>
    <cellStyle name="20% - Accent5 186" xfId="1254"/>
    <cellStyle name="20% - Accent5 187" xfId="1255"/>
    <cellStyle name="20% - Accent5 188" xfId="1256"/>
    <cellStyle name="20% - Accent5 189" xfId="1257"/>
    <cellStyle name="20% - Accent5 19" xfId="1258"/>
    <cellStyle name="20% - Accent5 190" xfId="1259"/>
    <cellStyle name="20% - Accent5 191" xfId="1260"/>
    <cellStyle name="20% - Accent5 192" xfId="1261"/>
    <cellStyle name="20% - Accent5 193" xfId="1262"/>
    <cellStyle name="20% - Accent5 194" xfId="1263"/>
    <cellStyle name="20% - Accent5 195" xfId="1264"/>
    <cellStyle name="20% - Accent5 196" xfId="1265"/>
    <cellStyle name="20% - Accent5 197" xfId="1266"/>
    <cellStyle name="20% - Accent5 198" xfId="1267"/>
    <cellStyle name="20% - Accent5 199" xfId="1268"/>
    <cellStyle name="20% - Accent5 2" xfId="1269"/>
    <cellStyle name="20% - Accent5 2 2" xfId="1270"/>
    <cellStyle name="20% - Accent5 2 2 2" xfId="1271"/>
    <cellStyle name="20% - Accent5 2 2 3" xfId="1272"/>
    <cellStyle name="20% - Accent5 2 2 4" xfId="1273"/>
    <cellStyle name="20% - Accent5 2 2 5" xfId="1274"/>
    <cellStyle name="20% - Accent5 2 2 6" xfId="1275"/>
    <cellStyle name="20% - Accent5 2 2 7" xfId="1276"/>
    <cellStyle name="20% - Accent5 2 3" xfId="1277"/>
    <cellStyle name="20% - Accent5 2 4" xfId="1278"/>
    <cellStyle name="20% - Accent5 2 5" xfId="1279"/>
    <cellStyle name="20% - Accent5 2 6" xfId="1280"/>
    <cellStyle name="20% - Accent5 2 7" xfId="1281"/>
    <cellStyle name="20% - Accent5 2 8" xfId="1282"/>
    <cellStyle name="20% - Accent5 20" xfId="1283"/>
    <cellStyle name="20% - Accent5 200" xfId="1284"/>
    <cellStyle name="20% - Accent5 201" xfId="1285"/>
    <cellStyle name="20% - Accent5 202" xfId="1286"/>
    <cellStyle name="20% - Accent5 203" xfId="1287"/>
    <cellStyle name="20% - Accent5 204" xfId="1288"/>
    <cellStyle name="20% - Accent5 205" xfId="1289"/>
    <cellStyle name="20% - Accent5 206" xfId="1290"/>
    <cellStyle name="20% - Accent5 207" xfId="1291"/>
    <cellStyle name="20% - Accent5 208" xfId="1292"/>
    <cellStyle name="20% - Accent5 209" xfId="1293"/>
    <cellStyle name="20% - Accent5 21" xfId="1294"/>
    <cellStyle name="20% - Accent5 210" xfId="1295"/>
    <cellStyle name="20% - Accent5 211" xfId="1296"/>
    <cellStyle name="20% - Accent5 212" xfId="1297"/>
    <cellStyle name="20% - Accent5 213" xfId="1298"/>
    <cellStyle name="20% - Accent5 214" xfId="1299"/>
    <cellStyle name="20% - Accent5 215" xfId="1300"/>
    <cellStyle name="20% - Accent5 216" xfId="1301"/>
    <cellStyle name="20% - Accent5 217" xfId="1302"/>
    <cellStyle name="20% - Accent5 218" xfId="1303"/>
    <cellStyle name="20% - Accent5 219" xfId="1304"/>
    <cellStyle name="20% - Accent5 22" xfId="1305"/>
    <cellStyle name="20% - Accent5 220" xfId="1306"/>
    <cellStyle name="20% - Accent5 221" xfId="1307"/>
    <cellStyle name="20% - Accent5 222" xfId="1308"/>
    <cellStyle name="20% - Accent5 223" xfId="1309"/>
    <cellStyle name="20% - Accent5 224" xfId="1310"/>
    <cellStyle name="20% - Accent5 225" xfId="1311"/>
    <cellStyle name="20% - Accent5 226" xfId="1312"/>
    <cellStyle name="20% - Accent5 227" xfId="1313"/>
    <cellStyle name="20% - Accent5 228" xfId="1314"/>
    <cellStyle name="20% - Accent5 229" xfId="1315"/>
    <cellStyle name="20% - Accent5 23" xfId="1316"/>
    <cellStyle name="20% - Accent5 230" xfId="1317"/>
    <cellStyle name="20% - Accent5 231" xfId="1318"/>
    <cellStyle name="20% - Accent5 232" xfId="1319"/>
    <cellStyle name="20% - Accent5 233" xfId="1320"/>
    <cellStyle name="20% - Accent5 234" xfId="1321"/>
    <cellStyle name="20% - Accent5 235" xfId="1322"/>
    <cellStyle name="20% - Accent5 236" xfId="1323"/>
    <cellStyle name="20% - Accent5 237" xfId="1324"/>
    <cellStyle name="20% - Accent5 238" xfId="1325"/>
    <cellStyle name="20% - Accent5 239" xfId="1326"/>
    <cellStyle name="20% - Accent5 24" xfId="1327"/>
    <cellStyle name="20% - Accent5 240" xfId="1328"/>
    <cellStyle name="20% - Accent5 241" xfId="1329"/>
    <cellStyle name="20% - Accent5 242" xfId="1330"/>
    <cellStyle name="20% - Accent5 243" xfId="1331"/>
    <cellStyle name="20% - Accent5 244" xfId="1332"/>
    <cellStyle name="20% - Accent5 245" xfId="1333"/>
    <cellStyle name="20% - Accent5 246" xfId="1334"/>
    <cellStyle name="20% - Accent5 247" xfId="1335"/>
    <cellStyle name="20% - Accent5 248" xfId="1336"/>
    <cellStyle name="20% - Accent5 249" xfId="1337"/>
    <cellStyle name="20% - Accent5 25" xfId="1338"/>
    <cellStyle name="20% - Accent5 26" xfId="1339"/>
    <cellStyle name="20% - Accent5 27" xfId="1340"/>
    <cellStyle name="20% - Accent5 28" xfId="1341"/>
    <cellStyle name="20% - Accent5 29" xfId="1342"/>
    <cellStyle name="20% - Accent5 3" xfId="1343"/>
    <cellStyle name="20% - Accent5 3 2" xfId="1344"/>
    <cellStyle name="20% - Accent5 30" xfId="1345"/>
    <cellStyle name="20% - Accent5 31" xfId="1346"/>
    <cellStyle name="20% - Accent5 32" xfId="1347"/>
    <cellStyle name="20% - Accent5 33" xfId="1348"/>
    <cellStyle name="20% - Accent5 34" xfId="1349"/>
    <cellStyle name="20% - Accent5 35" xfId="1350"/>
    <cellStyle name="20% - Accent5 36" xfId="1351"/>
    <cellStyle name="20% - Accent5 37" xfId="1352"/>
    <cellStyle name="20% - Accent5 38" xfId="1353"/>
    <cellStyle name="20% - Accent5 39" xfId="1354"/>
    <cellStyle name="20% - Accent5 4" xfId="1355"/>
    <cellStyle name="20% - Accent5 4 2" xfId="1356"/>
    <cellStyle name="20% - Accent5 4 3" xfId="1357"/>
    <cellStyle name="20% - Accent5 4 4" xfId="1358"/>
    <cellStyle name="20% - Accent5 4 5" xfId="1359"/>
    <cellStyle name="20% - Accent5 40" xfId="1360"/>
    <cellStyle name="20% - Accent5 41" xfId="1361"/>
    <cellStyle name="20% - Accent5 42" xfId="1362"/>
    <cellStyle name="20% - Accent5 43" xfId="1363"/>
    <cellStyle name="20% - Accent5 44" xfId="1364"/>
    <cellStyle name="20% - Accent5 45" xfId="1365"/>
    <cellStyle name="20% - Accent5 46" xfId="1366"/>
    <cellStyle name="20% - Accent5 47" xfId="1367"/>
    <cellStyle name="20% - Accent5 48" xfId="1368"/>
    <cellStyle name="20% - Accent5 49" xfId="1369"/>
    <cellStyle name="20% - Accent5 5" xfId="1370"/>
    <cellStyle name="20% - Accent5 5 2" xfId="1371"/>
    <cellStyle name="20% - Accent5 5 3" xfId="1372"/>
    <cellStyle name="20% - Accent5 5 4" xfId="1373"/>
    <cellStyle name="20% - Accent5 5 5" xfId="1374"/>
    <cellStyle name="20% - Accent5 50" xfId="1375"/>
    <cellStyle name="20% - Accent5 51" xfId="1376"/>
    <cellStyle name="20% - Accent5 52" xfId="1377"/>
    <cellStyle name="20% - Accent5 53" xfId="1378"/>
    <cellStyle name="20% - Accent5 54" xfId="1379"/>
    <cellStyle name="20% - Accent5 55" xfId="1380"/>
    <cellStyle name="20% - Accent5 56" xfId="1381"/>
    <cellStyle name="20% - Accent5 57" xfId="1382"/>
    <cellStyle name="20% - Accent5 58" xfId="1383"/>
    <cellStyle name="20% - Accent5 59" xfId="1384"/>
    <cellStyle name="20% - Accent5 6" xfId="1385"/>
    <cellStyle name="20% - Accent5 6 2" xfId="1386"/>
    <cellStyle name="20% - Accent5 6 3" xfId="1387"/>
    <cellStyle name="20% - Accent5 6 4" xfId="1388"/>
    <cellStyle name="20% - Accent5 60" xfId="1389"/>
    <cellStyle name="20% - Accent5 61" xfId="1390"/>
    <cellStyle name="20% - Accent5 62" xfId="1391"/>
    <cellStyle name="20% - Accent5 63" xfId="1392"/>
    <cellStyle name="20% - Accent5 64" xfId="1393"/>
    <cellStyle name="20% - Accent5 65" xfId="1394"/>
    <cellStyle name="20% - Accent5 66" xfId="1395"/>
    <cellStyle name="20% - Accent5 67" xfId="1396"/>
    <cellStyle name="20% - Accent5 68" xfId="1397"/>
    <cellStyle name="20% - Accent5 69" xfId="1398"/>
    <cellStyle name="20% - Accent5 7" xfId="1399"/>
    <cellStyle name="20% - Accent5 7 2" xfId="1400"/>
    <cellStyle name="20% - Accent5 7 3" xfId="1401"/>
    <cellStyle name="20% - Accent5 7 4" xfId="1402"/>
    <cellStyle name="20% - Accent5 70" xfId="1403"/>
    <cellStyle name="20% - Accent5 71" xfId="1404"/>
    <cellStyle name="20% - Accent5 72" xfId="1405"/>
    <cellStyle name="20% - Accent5 73" xfId="1406"/>
    <cellStyle name="20% - Accent5 74" xfId="1407"/>
    <cellStyle name="20% - Accent5 75" xfId="1408"/>
    <cellStyle name="20% - Accent5 76" xfId="1409"/>
    <cellStyle name="20% - Accent5 77" xfId="1410"/>
    <cellStyle name="20% - Accent5 78" xfId="1411"/>
    <cellStyle name="20% - Accent5 79" xfId="1412"/>
    <cellStyle name="20% - Accent5 8" xfId="1413"/>
    <cellStyle name="20% - Accent5 8 2" xfId="1414"/>
    <cellStyle name="20% - Accent5 8 3" xfId="1415"/>
    <cellStyle name="20% - Accent5 8 4" xfId="1416"/>
    <cellStyle name="20% - Accent5 80" xfId="1417"/>
    <cellStyle name="20% - Accent5 81" xfId="1418"/>
    <cellStyle name="20% - Accent5 82" xfId="1419"/>
    <cellStyle name="20% - Accent5 83" xfId="1420"/>
    <cellStyle name="20% - Accent5 84" xfId="1421"/>
    <cellStyle name="20% - Accent5 85" xfId="1422"/>
    <cellStyle name="20% - Accent5 86" xfId="1423"/>
    <cellStyle name="20% - Accent5 87" xfId="1424"/>
    <cellStyle name="20% - Accent5 88" xfId="1425"/>
    <cellStyle name="20% - Accent5 89" xfId="1426"/>
    <cellStyle name="20% - Accent5 9" xfId="1427"/>
    <cellStyle name="20% - Accent5 9 2" xfId="1428"/>
    <cellStyle name="20% - Accent5 9 3" xfId="1429"/>
    <cellStyle name="20% - Accent5 9 4" xfId="1430"/>
    <cellStyle name="20% - Accent5 90" xfId="1431"/>
    <cellStyle name="20% - Accent5 91" xfId="1432"/>
    <cellStyle name="20% - Accent5 92" xfId="1433"/>
    <cellStyle name="20% - Accent5 93" xfId="1434"/>
    <cellStyle name="20% - Accent5 94" xfId="1435"/>
    <cellStyle name="20% - Accent5 95" xfId="1436"/>
    <cellStyle name="20% - Accent5 96" xfId="1437"/>
    <cellStyle name="20% - Accent5 97" xfId="1438"/>
    <cellStyle name="20% - Accent5 98" xfId="1439"/>
    <cellStyle name="20% - Accent5 99" xfId="1440"/>
    <cellStyle name="20% - Accent6" xfId="1441" builtinId="50" customBuiltin="1"/>
    <cellStyle name="20% - Accent6 10" xfId="1442"/>
    <cellStyle name="20% - Accent6 10 2" xfId="1443"/>
    <cellStyle name="20% - Accent6 10 3" xfId="1444"/>
    <cellStyle name="20% - Accent6 10 4" xfId="1445"/>
    <cellStyle name="20% - Accent6 100" xfId="1446"/>
    <cellStyle name="20% - Accent6 101" xfId="1447"/>
    <cellStyle name="20% - Accent6 102" xfId="1448"/>
    <cellStyle name="20% - Accent6 103" xfId="1449"/>
    <cellStyle name="20% - Accent6 104" xfId="1450"/>
    <cellStyle name="20% - Accent6 105" xfId="1451"/>
    <cellStyle name="20% - Accent6 106" xfId="1452"/>
    <cellStyle name="20% - Accent6 107" xfId="1453"/>
    <cellStyle name="20% - Accent6 108" xfId="1454"/>
    <cellStyle name="20% - Accent6 109" xfId="1455"/>
    <cellStyle name="20% - Accent6 11" xfId="1456"/>
    <cellStyle name="20% - Accent6 11 2" xfId="1457"/>
    <cellStyle name="20% - Accent6 110" xfId="1458"/>
    <cellStyle name="20% - Accent6 111" xfId="1459"/>
    <cellStyle name="20% - Accent6 112" xfId="1460"/>
    <cellStyle name="20% - Accent6 113" xfId="1461"/>
    <cellStyle name="20% - Accent6 114" xfId="1462"/>
    <cellStyle name="20% - Accent6 115" xfId="1463"/>
    <cellStyle name="20% - Accent6 116" xfId="1464"/>
    <cellStyle name="20% - Accent6 117" xfId="1465"/>
    <cellStyle name="20% - Accent6 118" xfId="1466"/>
    <cellStyle name="20% - Accent6 119" xfId="1467"/>
    <cellStyle name="20% - Accent6 12" xfId="1468"/>
    <cellStyle name="20% - Accent6 12 2" xfId="1469"/>
    <cellStyle name="20% - Accent6 120" xfId="1470"/>
    <cellStyle name="20% - Accent6 121" xfId="1471"/>
    <cellStyle name="20% - Accent6 122" xfId="1472"/>
    <cellStyle name="20% - Accent6 123" xfId="1473"/>
    <cellStyle name="20% - Accent6 124" xfId="1474"/>
    <cellStyle name="20% - Accent6 125" xfId="1475"/>
    <cellStyle name="20% - Accent6 126" xfId="1476"/>
    <cellStyle name="20% - Accent6 127" xfId="1477"/>
    <cellStyle name="20% - Accent6 128" xfId="1478"/>
    <cellStyle name="20% - Accent6 129" xfId="1479"/>
    <cellStyle name="20% - Accent6 13" xfId="1480"/>
    <cellStyle name="20% - Accent6 130" xfId="1481"/>
    <cellStyle name="20% - Accent6 131" xfId="1482"/>
    <cellStyle name="20% - Accent6 132" xfId="1483"/>
    <cellStyle name="20% - Accent6 133" xfId="1484"/>
    <cellStyle name="20% - Accent6 134" xfId="1485"/>
    <cellStyle name="20% - Accent6 135" xfId="1486"/>
    <cellStyle name="20% - Accent6 136" xfId="1487"/>
    <cellStyle name="20% - Accent6 137" xfId="1488"/>
    <cellStyle name="20% - Accent6 138" xfId="1489"/>
    <cellStyle name="20% - Accent6 139" xfId="1490"/>
    <cellStyle name="20% - Accent6 14" xfId="1491"/>
    <cellStyle name="20% - Accent6 140" xfId="1492"/>
    <cellStyle name="20% - Accent6 141" xfId="1493"/>
    <cellStyle name="20% - Accent6 142" xfId="1494"/>
    <cellStyle name="20% - Accent6 143" xfId="1495"/>
    <cellStyle name="20% - Accent6 144" xfId="1496"/>
    <cellStyle name="20% - Accent6 145" xfId="1497"/>
    <cellStyle name="20% - Accent6 146" xfId="1498"/>
    <cellStyle name="20% - Accent6 147" xfId="1499"/>
    <cellStyle name="20% - Accent6 148" xfId="1500"/>
    <cellStyle name="20% - Accent6 149" xfId="1501"/>
    <cellStyle name="20% - Accent6 15" xfId="1502"/>
    <cellStyle name="20% - Accent6 150" xfId="1503"/>
    <cellStyle name="20% - Accent6 151" xfId="1504"/>
    <cellStyle name="20% - Accent6 152" xfId="1505"/>
    <cellStyle name="20% - Accent6 153" xfId="1506"/>
    <cellStyle name="20% - Accent6 154" xfId="1507"/>
    <cellStyle name="20% - Accent6 155" xfId="1508"/>
    <cellStyle name="20% - Accent6 156" xfId="1509"/>
    <cellStyle name="20% - Accent6 157" xfId="1510"/>
    <cellStyle name="20% - Accent6 158" xfId="1511"/>
    <cellStyle name="20% - Accent6 159" xfId="1512"/>
    <cellStyle name="20% - Accent6 16" xfId="1513"/>
    <cellStyle name="20% - Accent6 160" xfId="1514"/>
    <cellStyle name="20% - Accent6 161" xfId="1515"/>
    <cellStyle name="20% - Accent6 162" xfId="1516"/>
    <cellStyle name="20% - Accent6 163" xfId="1517"/>
    <cellStyle name="20% - Accent6 164" xfId="1518"/>
    <cellStyle name="20% - Accent6 165" xfId="1519"/>
    <cellStyle name="20% - Accent6 166" xfId="1520"/>
    <cellStyle name="20% - Accent6 167" xfId="1521"/>
    <cellStyle name="20% - Accent6 168" xfId="1522"/>
    <cellStyle name="20% - Accent6 169" xfId="1523"/>
    <cellStyle name="20% - Accent6 17" xfId="1524"/>
    <cellStyle name="20% - Accent6 170" xfId="1525"/>
    <cellStyle name="20% - Accent6 171" xfId="1526"/>
    <cellStyle name="20% - Accent6 172" xfId="1527"/>
    <cellStyle name="20% - Accent6 173" xfId="1528"/>
    <cellStyle name="20% - Accent6 174" xfId="1529"/>
    <cellStyle name="20% - Accent6 175" xfId="1530"/>
    <cellStyle name="20% - Accent6 176" xfId="1531"/>
    <cellStyle name="20% - Accent6 177" xfId="1532"/>
    <cellStyle name="20% - Accent6 178" xfId="1533"/>
    <cellStyle name="20% - Accent6 179" xfId="1534"/>
    <cellStyle name="20% - Accent6 18" xfId="1535"/>
    <cellStyle name="20% - Accent6 180" xfId="1536"/>
    <cellStyle name="20% - Accent6 181" xfId="1537"/>
    <cellStyle name="20% - Accent6 182" xfId="1538"/>
    <cellStyle name="20% - Accent6 183" xfId="1539"/>
    <cellStyle name="20% - Accent6 184" xfId="1540"/>
    <cellStyle name="20% - Accent6 185" xfId="1541"/>
    <cellStyle name="20% - Accent6 186" xfId="1542"/>
    <cellStyle name="20% - Accent6 187" xfId="1543"/>
    <cellStyle name="20% - Accent6 188" xfId="1544"/>
    <cellStyle name="20% - Accent6 189" xfId="1545"/>
    <cellStyle name="20% - Accent6 19" xfId="1546"/>
    <cellStyle name="20% - Accent6 190" xfId="1547"/>
    <cellStyle name="20% - Accent6 191" xfId="1548"/>
    <cellStyle name="20% - Accent6 192" xfId="1549"/>
    <cellStyle name="20% - Accent6 193" xfId="1550"/>
    <cellStyle name="20% - Accent6 194" xfId="1551"/>
    <cellStyle name="20% - Accent6 195" xfId="1552"/>
    <cellStyle name="20% - Accent6 196" xfId="1553"/>
    <cellStyle name="20% - Accent6 197" xfId="1554"/>
    <cellStyle name="20% - Accent6 198" xfId="1555"/>
    <cellStyle name="20% - Accent6 199" xfId="1556"/>
    <cellStyle name="20% - Accent6 2" xfId="1557"/>
    <cellStyle name="20% - Accent6 2 2" xfId="1558"/>
    <cellStyle name="20% - Accent6 2 2 2" xfId="1559"/>
    <cellStyle name="20% - Accent6 2 2 3" xfId="1560"/>
    <cellStyle name="20% - Accent6 2 2 4" xfId="1561"/>
    <cellStyle name="20% - Accent6 2 2 5" xfId="1562"/>
    <cellStyle name="20% - Accent6 2 2 6" xfId="1563"/>
    <cellStyle name="20% - Accent6 2 2 7" xfId="1564"/>
    <cellStyle name="20% - Accent6 2 3" xfId="1565"/>
    <cellStyle name="20% - Accent6 2 4" xfId="1566"/>
    <cellStyle name="20% - Accent6 2 5" xfId="1567"/>
    <cellStyle name="20% - Accent6 2 6" xfId="1568"/>
    <cellStyle name="20% - Accent6 2 7" xfId="1569"/>
    <cellStyle name="20% - Accent6 2 8" xfId="1570"/>
    <cellStyle name="20% - Accent6 20" xfId="1571"/>
    <cellStyle name="20% - Accent6 200" xfId="1572"/>
    <cellStyle name="20% - Accent6 201" xfId="1573"/>
    <cellStyle name="20% - Accent6 202" xfId="1574"/>
    <cellStyle name="20% - Accent6 203" xfId="1575"/>
    <cellStyle name="20% - Accent6 204" xfId="1576"/>
    <cellStyle name="20% - Accent6 205" xfId="1577"/>
    <cellStyle name="20% - Accent6 206" xfId="1578"/>
    <cellStyle name="20% - Accent6 207" xfId="1579"/>
    <cellStyle name="20% - Accent6 208" xfId="1580"/>
    <cellStyle name="20% - Accent6 209" xfId="1581"/>
    <cellStyle name="20% - Accent6 21" xfId="1582"/>
    <cellStyle name="20% - Accent6 210" xfId="1583"/>
    <cellStyle name="20% - Accent6 211" xfId="1584"/>
    <cellStyle name="20% - Accent6 212" xfId="1585"/>
    <cellStyle name="20% - Accent6 213" xfId="1586"/>
    <cellStyle name="20% - Accent6 214" xfId="1587"/>
    <cellStyle name="20% - Accent6 215" xfId="1588"/>
    <cellStyle name="20% - Accent6 216" xfId="1589"/>
    <cellStyle name="20% - Accent6 217" xfId="1590"/>
    <cellStyle name="20% - Accent6 218" xfId="1591"/>
    <cellStyle name="20% - Accent6 219" xfId="1592"/>
    <cellStyle name="20% - Accent6 22" xfId="1593"/>
    <cellStyle name="20% - Accent6 220" xfId="1594"/>
    <cellStyle name="20% - Accent6 221" xfId="1595"/>
    <cellStyle name="20% - Accent6 222" xfId="1596"/>
    <cellStyle name="20% - Accent6 223" xfId="1597"/>
    <cellStyle name="20% - Accent6 224" xfId="1598"/>
    <cellStyle name="20% - Accent6 225" xfId="1599"/>
    <cellStyle name="20% - Accent6 226" xfId="1600"/>
    <cellStyle name="20% - Accent6 227" xfId="1601"/>
    <cellStyle name="20% - Accent6 228" xfId="1602"/>
    <cellStyle name="20% - Accent6 229" xfId="1603"/>
    <cellStyle name="20% - Accent6 23" xfId="1604"/>
    <cellStyle name="20% - Accent6 230" xfId="1605"/>
    <cellStyle name="20% - Accent6 231" xfId="1606"/>
    <cellStyle name="20% - Accent6 232" xfId="1607"/>
    <cellStyle name="20% - Accent6 233" xfId="1608"/>
    <cellStyle name="20% - Accent6 234" xfId="1609"/>
    <cellStyle name="20% - Accent6 235" xfId="1610"/>
    <cellStyle name="20% - Accent6 236" xfId="1611"/>
    <cellStyle name="20% - Accent6 237" xfId="1612"/>
    <cellStyle name="20% - Accent6 238" xfId="1613"/>
    <cellStyle name="20% - Accent6 239" xfId="1614"/>
    <cellStyle name="20% - Accent6 24" xfId="1615"/>
    <cellStyle name="20% - Accent6 240" xfId="1616"/>
    <cellStyle name="20% - Accent6 241" xfId="1617"/>
    <cellStyle name="20% - Accent6 242" xfId="1618"/>
    <cellStyle name="20% - Accent6 243" xfId="1619"/>
    <cellStyle name="20% - Accent6 244" xfId="1620"/>
    <cellStyle name="20% - Accent6 245" xfId="1621"/>
    <cellStyle name="20% - Accent6 246" xfId="1622"/>
    <cellStyle name="20% - Accent6 247" xfId="1623"/>
    <cellStyle name="20% - Accent6 248" xfId="1624"/>
    <cellStyle name="20% - Accent6 249" xfId="1625"/>
    <cellStyle name="20% - Accent6 25" xfId="1626"/>
    <cellStyle name="20% - Accent6 26" xfId="1627"/>
    <cellStyle name="20% - Accent6 27" xfId="1628"/>
    <cellStyle name="20% - Accent6 28" xfId="1629"/>
    <cellStyle name="20% - Accent6 29" xfId="1630"/>
    <cellStyle name="20% - Accent6 3" xfId="1631"/>
    <cellStyle name="20% - Accent6 3 2" xfId="1632"/>
    <cellStyle name="20% - Accent6 30" xfId="1633"/>
    <cellStyle name="20% - Accent6 31" xfId="1634"/>
    <cellStyle name="20% - Accent6 32" xfId="1635"/>
    <cellStyle name="20% - Accent6 33" xfId="1636"/>
    <cellStyle name="20% - Accent6 34" xfId="1637"/>
    <cellStyle name="20% - Accent6 35" xfId="1638"/>
    <cellStyle name="20% - Accent6 36" xfId="1639"/>
    <cellStyle name="20% - Accent6 37" xfId="1640"/>
    <cellStyle name="20% - Accent6 38" xfId="1641"/>
    <cellStyle name="20% - Accent6 39" xfId="1642"/>
    <cellStyle name="20% - Accent6 4" xfId="1643"/>
    <cellStyle name="20% - Accent6 4 2" xfId="1644"/>
    <cellStyle name="20% - Accent6 4 3" xfId="1645"/>
    <cellStyle name="20% - Accent6 4 4" xfId="1646"/>
    <cellStyle name="20% - Accent6 4 5" xfId="1647"/>
    <cellStyle name="20% - Accent6 40" xfId="1648"/>
    <cellStyle name="20% - Accent6 41" xfId="1649"/>
    <cellStyle name="20% - Accent6 42" xfId="1650"/>
    <cellStyle name="20% - Accent6 43" xfId="1651"/>
    <cellStyle name="20% - Accent6 44" xfId="1652"/>
    <cellStyle name="20% - Accent6 45" xfId="1653"/>
    <cellStyle name="20% - Accent6 46" xfId="1654"/>
    <cellStyle name="20% - Accent6 47" xfId="1655"/>
    <cellStyle name="20% - Accent6 48" xfId="1656"/>
    <cellStyle name="20% - Accent6 49" xfId="1657"/>
    <cellStyle name="20% - Accent6 5" xfId="1658"/>
    <cellStyle name="20% - Accent6 5 2" xfId="1659"/>
    <cellStyle name="20% - Accent6 5 3" xfId="1660"/>
    <cellStyle name="20% - Accent6 5 4" xfId="1661"/>
    <cellStyle name="20% - Accent6 5 5" xfId="1662"/>
    <cellStyle name="20% - Accent6 50" xfId="1663"/>
    <cellStyle name="20% - Accent6 51" xfId="1664"/>
    <cellStyle name="20% - Accent6 52" xfId="1665"/>
    <cellStyle name="20% - Accent6 53" xfId="1666"/>
    <cellStyle name="20% - Accent6 54" xfId="1667"/>
    <cellStyle name="20% - Accent6 55" xfId="1668"/>
    <cellStyle name="20% - Accent6 56" xfId="1669"/>
    <cellStyle name="20% - Accent6 57" xfId="1670"/>
    <cellStyle name="20% - Accent6 58" xfId="1671"/>
    <cellStyle name="20% - Accent6 59" xfId="1672"/>
    <cellStyle name="20% - Accent6 6" xfId="1673"/>
    <cellStyle name="20% - Accent6 6 2" xfId="1674"/>
    <cellStyle name="20% - Accent6 6 3" xfId="1675"/>
    <cellStyle name="20% - Accent6 6 4" xfId="1676"/>
    <cellStyle name="20% - Accent6 60" xfId="1677"/>
    <cellStyle name="20% - Accent6 61" xfId="1678"/>
    <cellStyle name="20% - Accent6 62" xfId="1679"/>
    <cellStyle name="20% - Accent6 63" xfId="1680"/>
    <cellStyle name="20% - Accent6 64" xfId="1681"/>
    <cellStyle name="20% - Accent6 65" xfId="1682"/>
    <cellStyle name="20% - Accent6 66" xfId="1683"/>
    <cellStyle name="20% - Accent6 67" xfId="1684"/>
    <cellStyle name="20% - Accent6 68" xfId="1685"/>
    <cellStyle name="20% - Accent6 69" xfId="1686"/>
    <cellStyle name="20% - Accent6 7" xfId="1687"/>
    <cellStyle name="20% - Accent6 7 2" xfId="1688"/>
    <cellStyle name="20% - Accent6 7 3" xfId="1689"/>
    <cellStyle name="20% - Accent6 7 4" xfId="1690"/>
    <cellStyle name="20% - Accent6 70" xfId="1691"/>
    <cellStyle name="20% - Accent6 71" xfId="1692"/>
    <cellStyle name="20% - Accent6 72" xfId="1693"/>
    <cellStyle name="20% - Accent6 73" xfId="1694"/>
    <cellStyle name="20% - Accent6 74" xfId="1695"/>
    <cellStyle name="20% - Accent6 75" xfId="1696"/>
    <cellStyle name="20% - Accent6 76" xfId="1697"/>
    <cellStyle name="20% - Accent6 77" xfId="1698"/>
    <cellStyle name="20% - Accent6 78" xfId="1699"/>
    <cellStyle name="20% - Accent6 79" xfId="1700"/>
    <cellStyle name="20% - Accent6 8" xfId="1701"/>
    <cellStyle name="20% - Accent6 8 2" xfId="1702"/>
    <cellStyle name="20% - Accent6 8 3" xfId="1703"/>
    <cellStyle name="20% - Accent6 8 4" xfId="1704"/>
    <cellStyle name="20% - Accent6 80" xfId="1705"/>
    <cellStyle name="20% - Accent6 81" xfId="1706"/>
    <cellStyle name="20% - Accent6 82" xfId="1707"/>
    <cellStyle name="20% - Accent6 83" xfId="1708"/>
    <cellStyle name="20% - Accent6 84" xfId="1709"/>
    <cellStyle name="20% - Accent6 85" xfId="1710"/>
    <cellStyle name="20% - Accent6 86" xfId="1711"/>
    <cellStyle name="20% - Accent6 87" xfId="1712"/>
    <cellStyle name="20% - Accent6 88" xfId="1713"/>
    <cellStyle name="20% - Accent6 89" xfId="1714"/>
    <cellStyle name="20% - Accent6 9" xfId="1715"/>
    <cellStyle name="20% - Accent6 9 2" xfId="1716"/>
    <cellStyle name="20% - Accent6 9 3" xfId="1717"/>
    <cellStyle name="20% - Accent6 9 4" xfId="1718"/>
    <cellStyle name="20% - Accent6 90" xfId="1719"/>
    <cellStyle name="20% - Accent6 91" xfId="1720"/>
    <cellStyle name="20% - Accent6 92" xfId="1721"/>
    <cellStyle name="20% - Accent6 93" xfId="1722"/>
    <cellStyle name="20% - Accent6 94" xfId="1723"/>
    <cellStyle name="20% - Accent6 95" xfId="1724"/>
    <cellStyle name="20% - Accent6 96" xfId="1725"/>
    <cellStyle name="20% - Accent6 97" xfId="1726"/>
    <cellStyle name="20% - Accent6 98" xfId="1727"/>
    <cellStyle name="20% - Accent6 99" xfId="1728"/>
    <cellStyle name="40% - Accent1" xfId="1729" builtinId="31" customBuiltin="1"/>
    <cellStyle name="40% - Accent1 10" xfId="1730"/>
    <cellStyle name="40% - Accent1 10 2" xfId="1731"/>
    <cellStyle name="40% - Accent1 10 3" xfId="1732"/>
    <cellStyle name="40% - Accent1 10 4" xfId="1733"/>
    <cellStyle name="40% - Accent1 100" xfId="1734"/>
    <cellStyle name="40% - Accent1 101" xfId="1735"/>
    <cellStyle name="40% - Accent1 102" xfId="1736"/>
    <cellStyle name="40% - Accent1 103" xfId="1737"/>
    <cellStyle name="40% - Accent1 104" xfId="1738"/>
    <cellStyle name="40% - Accent1 105" xfId="1739"/>
    <cellStyle name="40% - Accent1 106" xfId="1740"/>
    <cellStyle name="40% - Accent1 107" xfId="1741"/>
    <cellStyle name="40% - Accent1 108" xfId="1742"/>
    <cellStyle name="40% - Accent1 109" xfId="1743"/>
    <cellStyle name="40% - Accent1 11" xfId="1744"/>
    <cellStyle name="40% - Accent1 11 2" xfId="1745"/>
    <cellStyle name="40% - Accent1 110" xfId="1746"/>
    <cellStyle name="40% - Accent1 111" xfId="1747"/>
    <cellStyle name="40% - Accent1 112" xfId="1748"/>
    <cellStyle name="40% - Accent1 113" xfId="1749"/>
    <cellStyle name="40% - Accent1 114" xfId="1750"/>
    <cellStyle name="40% - Accent1 115" xfId="1751"/>
    <cellStyle name="40% - Accent1 116" xfId="1752"/>
    <cellStyle name="40% - Accent1 117" xfId="1753"/>
    <cellStyle name="40% - Accent1 118" xfId="1754"/>
    <cellStyle name="40% - Accent1 119" xfId="1755"/>
    <cellStyle name="40% - Accent1 12" xfId="1756"/>
    <cellStyle name="40% - Accent1 12 2" xfId="1757"/>
    <cellStyle name="40% - Accent1 120" xfId="1758"/>
    <cellStyle name="40% - Accent1 121" xfId="1759"/>
    <cellStyle name="40% - Accent1 122" xfId="1760"/>
    <cellStyle name="40% - Accent1 123" xfId="1761"/>
    <cellStyle name="40% - Accent1 124" xfId="1762"/>
    <cellStyle name="40% - Accent1 125" xfId="1763"/>
    <cellStyle name="40% - Accent1 126" xfId="1764"/>
    <cellStyle name="40% - Accent1 127" xfId="1765"/>
    <cellStyle name="40% - Accent1 128" xfId="1766"/>
    <cellStyle name="40% - Accent1 129" xfId="1767"/>
    <cellStyle name="40% - Accent1 13" xfId="1768"/>
    <cellStyle name="40% - Accent1 130" xfId="1769"/>
    <cellStyle name="40% - Accent1 131" xfId="1770"/>
    <cellStyle name="40% - Accent1 132" xfId="1771"/>
    <cellStyle name="40% - Accent1 133" xfId="1772"/>
    <cellStyle name="40% - Accent1 134" xfId="1773"/>
    <cellStyle name="40% - Accent1 135" xfId="1774"/>
    <cellStyle name="40% - Accent1 136" xfId="1775"/>
    <cellStyle name="40% - Accent1 137" xfId="1776"/>
    <cellStyle name="40% - Accent1 138" xfId="1777"/>
    <cellStyle name="40% - Accent1 139" xfId="1778"/>
    <cellStyle name="40% - Accent1 14" xfId="1779"/>
    <cellStyle name="40% - Accent1 140" xfId="1780"/>
    <cellStyle name="40% - Accent1 141" xfId="1781"/>
    <cellStyle name="40% - Accent1 142" xfId="1782"/>
    <cellStyle name="40% - Accent1 143" xfId="1783"/>
    <cellStyle name="40% - Accent1 144" xfId="1784"/>
    <cellStyle name="40% - Accent1 145" xfId="1785"/>
    <cellStyle name="40% - Accent1 146" xfId="1786"/>
    <cellStyle name="40% - Accent1 147" xfId="1787"/>
    <cellStyle name="40% - Accent1 148" xfId="1788"/>
    <cellStyle name="40% - Accent1 149" xfId="1789"/>
    <cellStyle name="40% - Accent1 15" xfId="1790"/>
    <cellStyle name="40% - Accent1 150" xfId="1791"/>
    <cellStyle name="40% - Accent1 151" xfId="1792"/>
    <cellStyle name="40% - Accent1 152" xfId="1793"/>
    <cellStyle name="40% - Accent1 153" xfId="1794"/>
    <cellStyle name="40% - Accent1 154" xfId="1795"/>
    <cellStyle name="40% - Accent1 155" xfId="1796"/>
    <cellStyle name="40% - Accent1 156" xfId="1797"/>
    <cellStyle name="40% - Accent1 157" xfId="1798"/>
    <cellStyle name="40% - Accent1 158" xfId="1799"/>
    <cellStyle name="40% - Accent1 159" xfId="1800"/>
    <cellStyle name="40% - Accent1 16" xfId="1801"/>
    <cellStyle name="40% - Accent1 160" xfId="1802"/>
    <cellStyle name="40% - Accent1 161" xfId="1803"/>
    <cellStyle name="40% - Accent1 162" xfId="1804"/>
    <cellStyle name="40% - Accent1 163" xfId="1805"/>
    <cellStyle name="40% - Accent1 164" xfId="1806"/>
    <cellStyle name="40% - Accent1 165" xfId="1807"/>
    <cellStyle name="40% - Accent1 166" xfId="1808"/>
    <cellStyle name="40% - Accent1 167" xfId="1809"/>
    <cellStyle name="40% - Accent1 168" xfId="1810"/>
    <cellStyle name="40% - Accent1 169" xfId="1811"/>
    <cellStyle name="40% - Accent1 17" xfId="1812"/>
    <cellStyle name="40% - Accent1 170" xfId="1813"/>
    <cellStyle name="40% - Accent1 171" xfId="1814"/>
    <cellStyle name="40% - Accent1 172" xfId="1815"/>
    <cellStyle name="40% - Accent1 173" xfId="1816"/>
    <cellStyle name="40% - Accent1 174" xfId="1817"/>
    <cellStyle name="40% - Accent1 175" xfId="1818"/>
    <cellStyle name="40% - Accent1 176" xfId="1819"/>
    <cellStyle name="40% - Accent1 177" xfId="1820"/>
    <cellStyle name="40% - Accent1 178" xfId="1821"/>
    <cellStyle name="40% - Accent1 179" xfId="1822"/>
    <cellStyle name="40% - Accent1 18" xfId="1823"/>
    <cellStyle name="40% - Accent1 180" xfId="1824"/>
    <cellStyle name="40% - Accent1 181" xfId="1825"/>
    <cellStyle name="40% - Accent1 182" xfId="1826"/>
    <cellStyle name="40% - Accent1 183" xfId="1827"/>
    <cellStyle name="40% - Accent1 184" xfId="1828"/>
    <cellStyle name="40% - Accent1 185" xfId="1829"/>
    <cellStyle name="40% - Accent1 186" xfId="1830"/>
    <cellStyle name="40% - Accent1 187" xfId="1831"/>
    <cellStyle name="40% - Accent1 188" xfId="1832"/>
    <cellStyle name="40% - Accent1 189" xfId="1833"/>
    <cellStyle name="40% - Accent1 19" xfId="1834"/>
    <cellStyle name="40% - Accent1 190" xfId="1835"/>
    <cellStyle name="40% - Accent1 191" xfId="1836"/>
    <cellStyle name="40% - Accent1 192" xfId="1837"/>
    <cellStyle name="40% - Accent1 193" xfId="1838"/>
    <cellStyle name="40% - Accent1 194" xfId="1839"/>
    <cellStyle name="40% - Accent1 195" xfId="1840"/>
    <cellStyle name="40% - Accent1 196" xfId="1841"/>
    <cellStyle name="40% - Accent1 197" xfId="1842"/>
    <cellStyle name="40% - Accent1 198" xfId="1843"/>
    <cellStyle name="40% - Accent1 199" xfId="1844"/>
    <cellStyle name="40% - Accent1 2" xfId="1845"/>
    <cellStyle name="40% - Accent1 2 2" xfId="1846"/>
    <cellStyle name="40% - Accent1 2 2 2" xfId="1847"/>
    <cellStyle name="40% - Accent1 2 2 3" xfId="1848"/>
    <cellStyle name="40% - Accent1 2 2 4" xfId="1849"/>
    <cellStyle name="40% - Accent1 2 2 5" xfId="1850"/>
    <cellStyle name="40% - Accent1 2 2 6" xfId="1851"/>
    <cellStyle name="40% - Accent1 2 2 7" xfId="1852"/>
    <cellStyle name="40% - Accent1 2 3" xfId="1853"/>
    <cellStyle name="40% - Accent1 2 4" xfId="1854"/>
    <cellStyle name="40% - Accent1 2 5" xfId="1855"/>
    <cellStyle name="40% - Accent1 2 6" xfId="1856"/>
    <cellStyle name="40% - Accent1 2 7" xfId="1857"/>
    <cellStyle name="40% - Accent1 2 8" xfId="1858"/>
    <cellStyle name="40% - Accent1 20" xfId="1859"/>
    <cellStyle name="40% - Accent1 200" xfId="1860"/>
    <cellStyle name="40% - Accent1 201" xfId="1861"/>
    <cellStyle name="40% - Accent1 202" xfId="1862"/>
    <cellStyle name="40% - Accent1 203" xfId="1863"/>
    <cellStyle name="40% - Accent1 204" xfId="1864"/>
    <cellStyle name="40% - Accent1 205" xfId="1865"/>
    <cellStyle name="40% - Accent1 206" xfId="1866"/>
    <cellStyle name="40% - Accent1 207" xfId="1867"/>
    <cellStyle name="40% - Accent1 208" xfId="1868"/>
    <cellStyle name="40% - Accent1 209" xfId="1869"/>
    <cellStyle name="40% - Accent1 21" xfId="1870"/>
    <cellStyle name="40% - Accent1 210" xfId="1871"/>
    <cellStyle name="40% - Accent1 211" xfId="1872"/>
    <cellStyle name="40% - Accent1 212" xfId="1873"/>
    <cellStyle name="40% - Accent1 213" xfId="1874"/>
    <cellStyle name="40% - Accent1 214" xfId="1875"/>
    <cellStyle name="40% - Accent1 215" xfId="1876"/>
    <cellStyle name="40% - Accent1 216" xfId="1877"/>
    <cellStyle name="40% - Accent1 217" xfId="1878"/>
    <cellStyle name="40% - Accent1 218" xfId="1879"/>
    <cellStyle name="40% - Accent1 219" xfId="1880"/>
    <cellStyle name="40% - Accent1 22" xfId="1881"/>
    <cellStyle name="40% - Accent1 220" xfId="1882"/>
    <cellStyle name="40% - Accent1 221" xfId="1883"/>
    <cellStyle name="40% - Accent1 222" xfId="1884"/>
    <cellStyle name="40% - Accent1 223" xfId="1885"/>
    <cellStyle name="40% - Accent1 224" xfId="1886"/>
    <cellStyle name="40% - Accent1 225" xfId="1887"/>
    <cellStyle name="40% - Accent1 226" xfId="1888"/>
    <cellStyle name="40% - Accent1 227" xfId="1889"/>
    <cellStyle name="40% - Accent1 228" xfId="1890"/>
    <cellStyle name="40% - Accent1 229" xfId="1891"/>
    <cellStyle name="40% - Accent1 23" xfId="1892"/>
    <cellStyle name="40% - Accent1 230" xfId="1893"/>
    <cellStyle name="40% - Accent1 231" xfId="1894"/>
    <cellStyle name="40% - Accent1 232" xfId="1895"/>
    <cellStyle name="40% - Accent1 233" xfId="1896"/>
    <cellStyle name="40% - Accent1 234" xfId="1897"/>
    <cellStyle name="40% - Accent1 235" xfId="1898"/>
    <cellStyle name="40% - Accent1 236" xfId="1899"/>
    <cellStyle name="40% - Accent1 237" xfId="1900"/>
    <cellStyle name="40% - Accent1 238" xfId="1901"/>
    <cellStyle name="40% - Accent1 239" xfId="1902"/>
    <cellStyle name="40% - Accent1 24" xfId="1903"/>
    <cellStyle name="40% - Accent1 240" xfId="1904"/>
    <cellStyle name="40% - Accent1 241" xfId="1905"/>
    <cellStyle name="40% - Accent1 242" xfId="1906"/>
    <cellStyle name="40% - Accent1 243" xfId="1907"/>
    <cellStyle name="40% - Accent1 244" xfId="1908"/>
    <cellStyle name="40% - Accent1 245" xfId="1909"/>
    <cellStyle name="40% - Accent1 246" xfId="1910"/>
    <cellStyle name="40% - Accent1 247" xfId="1911"/>
    <cellStyle name="40% - Accent1 248" xfId="1912"/>
    <cellStyle name="40% - Accent1 249" xfId="1913"/>
    <cellStyle name="40% - Accent1 25" xfId="1914"/>
    <cellStyle name="40% - Accent1 26" xfId="1915"/>
    <cellStyle name="40% - Accent1 27" xfId="1916"/>
    <cellStyle name="40% - Accent1 28" xfId="1917"/>
    <cellStyle name="40% - Accent1 29" xfId="1918"/>
    <cellStyle name="40% - Accent1 3" xfId="1919"/>
    <cellStyle name="40% - Accent1 3 2" xfId="1920"/>
    <cellStyle name="40% - Accent1 30" xfId="1921"/>
    <cellStyle name="40% - Accent1 31" xfId="1922"/>
    <cellStyle name="40% - Accent1 32" xfId="1923"/>
    <cellStyle name="40% - Accent1 33" xfId="1924"/>
    <cellStyle name="40% - Accent1 34" xfId="1925"/>
    <cellStyle name="40% - Accent1 35" xfId="1926"/>
    <cellStyle name="40% - Accent1 36" xfId="1927"/>
    <cellStyle name="40% - Accent1 37" xfId="1928"/>
    <cellStyle name="40% - Accent1 38" xfId="1929"/>
    <cellStyle name="40% - Accent1 39" xfId="1930"/>
    <cellStyle name="40% - Accent1 4" xfId="1931"/>
    <cellStyle name="40% - Accent1 4 2" xfId="1932"/>
    <cellStyle name="40% - Accent1 4 3" xfId="1933"/>
    <cellStyle name="40% - Accent1 4 4" xfId="1934"/>
    <cellStyle name="40% - Accent1 4 5" xfId="1935"/>
    <cellStyle name="40% - Accent1 40" xfId="1936"/>
    <cellStyle name="40% - Accent1 41" xfId="1937"/>
    <cellStyle name="40% - Accent1 42" xfId="1938"/>
    <cellStyle name="40% - Accent1 43" xfId="1939"/>
    <cellStyle name="40% - Accent1 44" xfId="1940"/>
    <cellStyle name="40% - Accent1 45" xfId="1941"/>
    <cellStyle name="40% - Accent1 46" xfId="1942"/>
    <cellStyle name="40% - Accent1 47" xfId="1943"/>
    <cellStyle name="40% - Accent1 48" xfId="1944"/>
    <cellStyle name="40% - Accent1 49" xfId="1945"/>
    <cellStyle name="40% - Accent1 5" xfId="1946"/>
    <cellStyle name="40% - Accent1 5 2" xfId="1947"/>
    <cellStyle name="40% - Accent1 5 3" xfId="1948"/>
    <cellStyle name="40% - Accent1 5 4" xfId="1949"/>
    <cellStyle name="40% - Accent1 5 5" xfId="1950"/>
    <cellStyle name="40% - Accent1 50" xfId="1951"/>
    <cellStyle name="40% - Accent1 51" xfId="1952"/>
    <cellStyle name="40% - Accent1 52" xfId="1953"/>
    <cellStyle name="40% - Accent1 53" xfId="1954"/>
    <cellStyle name="40% - Accent1 54" xfId="1955"/>
    <cellStyle name="40% - Accent1 55" xfId="1956"/>
    <cellStyle name="40% - Accent1 56" xfId="1957"/>
    <cellStyle name="40% - Accent1 57" xfId="1958"/>
    <cellStyle name="40% - Accent1 58" xfId="1959"/>
    <cellStyle name="40% - Accent1 59" xfId="1960"/>
    <cellStyle name="40% - Accent1 6" xfId="1961"/>
    <cellStyle name="40% - Accent1 6 2" xfId="1962"/>
    <cellStyle name="40% - Accent1 6 3" xfId="1963"/>
    <cellStyle name="40% - Accent1 6 4" xfId="1964"/>
    <cellStyle name="40% - Accent1 60" xfId="1965"/>
    <cellStyle name="40% - Accent1 61" xfId="1966"/>
    <cellStyle name="40% - Accent1 62" xfId="1967"/>
    <cellStyle name="40% - Accent1 63" xfId="1968"/>
    <cellStyle name="40% - Accent1 64" xfId="1969"/>
    <cellStyle name="40% - Accent1 65" xfId="1970"/>
    <cellStyle name="40% - Accent1 66" xfId="1971"/>
    <cellStyle name="40% - Accent1 67" xfId="1972"/>
    <cellStyle name="40% - Accent1 68" xfId="1973"/>
    <cellStyle name="40% - Accent1 69" xfId="1974"/>
    <cellStyle name="40% - Accent1 7" xfId="1975"/>
    <cellStyle name="40% - Accent1 7 2" xfId="1976"/>
    <cellStyle name="40% - Accent1 7 3" xfId="1977"/>
    <cellStyle name="40% - Accent1 7 4" xfId="1978"/>
    <cellStyle name="40% - Accent1 70" xfId="1979"/>
    <cellStyle name="40% - Accent1 71" xfId="1980"/>
    <cellStyle name="40% - Accent1 72" xfId="1981"/>
    <cellStyle name="40% - Accent1 73" xfId="1982"/>
    <cellStyle name="40% - Accent1 74" xfId="1983"/>
    <cellStyle name="40% - Accent1 75" xfId="1984"/>
    <cellStyle name="40% - Accent1 76" xfId="1985"/>
    <cellStyle name="40% - Accent1 77" xfId="1986"/>
    <cellStyle name="40% - Accent1 78" xfId="1987"/>
    <cellStyle name="40% - Accent1 79" xfId="1988"/>
    <cellStyle name="40% - Accent1 8" xfId="1989"/>
    <cellStyle name="40% - Accent1 8 2" xfId="1990"/>
    <cellStyle name="40% - Accent1 8 3" xfId="1991"/>
    <cellStyle name="40% - Accent1 8 4" xfId="1992"/>
    <cellStyle name="40% - Accent1 80" xfId="1993"/>
    <cellStyle name="40% - Accent1 81" xfId="1994"/>
    <cellStyle name="40% - Accent1 82" xfId="1995"/>
    <cellStyle name="40% - Accent1 83" xfId="1996"/>
    <cellStyle name="40% - Accent1 84" xfId="1997"/>
    <cellStyle name="40% - Accent1 85" xfId="1998"/>
    <cellStyle name="40% - Accent1 86" xfId="1999"/>
    <cellStyle name="40% - Accent1 87" xfId="2000"/>
    <cellStyle name="40% - Accent1 88" xfId="2001"/>
    <cellStyle name="40% - Accent1 89" xfId="2002"/>
    <cellStyle name="40% - Accent1 9" xfId="2003"/>
    <cellStyle name="40% - Accent1 9 2" xfId="2004"/>
    <cellStyle name="40% - Accent1 9 3" xfId="2005"/>
    <cellStyle name="40% - Accent1 9 4" xfId="2006"/>
    <cellStyle name="40% - Accent1 90" xfId="2007"/>
    <cellStyle name="40% - Accent1 91" xfId="2008"/>
    <cellStyle name="40% - Accent1 92" xfId="2009"/>
    <cellStyle name="40% - Accent1 93" xfId="2010"/>
    <cellStyle name="40% - Accent1 94" xfId="2011"/>
    <cellStyle name="40% - Accent1 95" xfId="2012"/>
    <cellStyle name="40% - Accent1 96" xfId="2013"/>
    <cellStyle name="40% - Accent1 97" xfId="2014"/>
    <cellStyle name="40% - Accent1 98" xfId="2015"/>
    <cellStyle name="40% - Accent1 99" xfId="2016"/>
    <cellStyle name="40% - Accent2" xfId="2017" builtinId="35" customBuiltin="1"/>
    <cellStyle name="40% - Accent2 10" xfId="2018"/>
    <cellStyle name="40% - Accent2 10 2" xfId="2019"/>
    <cellStyle name="40% - Accent2 10 3" xfId="2020"/>
    <cellStyle name="40% - Accent2 10 4" xfId="2021"/>
    <cellStyle name="40% - Accent2 100" xfId="2022"/>
    <cellStyle name="40% - Accent2 101" xfId="2023"/>
    <cellStyle name="40% - Accent2 102" xfId="2024"/>
    <cellStyle name="40% - Accent2 103" xfId="2025"/>
    <cellStyle name="40% - Accent2 104" xfId="2026"/>
    <cellStyle name="40% - Accent2 105" xfId="2027"/>
    <cellStyle name="40% - Accent2 106" xfId="2028"/>
    <cellStyle name="40% - Accent2 107" xfId="2029"/>
    <cellStyle name="40% - Accent2 108" xfId="2030"/>
    <cellStyle name="40% - Accent2 109" xfId="2031"/>
    <cellStyle name="40% - Accent2 11" xfId="2032"/>
    <cellStyle name="40% - Accent2 11 2" xfId="2033"/>
    <cellStyle name="40% - Accent2 110" xfId="2034"/>
    <cellStyle name="40% - Accent2 111" xfId="2035"/>
    <cellStyle name="40% - Accent2 112" xfId="2036"/>
    <cellStyle name="40% - Accent2 113" xfId="2037"/>
    <cellStyle name="40% - Accent2 114" xfId="2038"/>
    <cellStyle name="40% - Accent2 115" xfId="2039"/>
    <cellStyle name="40% - Accent2 116" xfId="2040"/>
    <cellStyle name="40% - Accent2 117" xfId="2041"/>
    <cellStyle name="40% - Accent2 118" xfId="2042"/>
    <cellStyle name="40% - Accent2 119" xfId="2043"/>
    <cellStyle name="40% - Accent2 12" xfId="2044"/>
    <cellStyle name="40% - Accent2 12 2" xfId="2045"/>
    <cellStyle name="40% - Accent2 120" xfId="2046"/>
    <cellStyle name="40% - Accent2 121" xfId="2047"/>
    <cellStyle name="40% - Accent2 122" xfId="2048"/>
    <cellStyle name="40% - Accent2 123" xfId="2049"/>
    <cellStyle name="40% - Accent2 124" xfId="2050"/>
    <cellStyle name="40% - Accent2 125" xfId="2051"/>
    <cellStyle name="40% - Accent2 126" xfId="2052"/>
    <cellStyle name="40% - Accent2 127" xfId="2053"/>
    <cellStyle name="40% - Accent2 128" xfId="2054"/>
    <cellStyle name="40% - Accent2 129" xfId="2055"/>
    <cellStyle name="40% - Accent2 13" xfId="2056"/>
    <cellStyle name="40% - Accent2 130" xfId="2057"/>
    <cellStyle name="40% - Accent2 131" xfId="2058"/>
    <cellStyle name="40% - Accent2 132" xfId="2059"/>
    <cellStyle name="40% - Accent2 133" xfId="2060"/>
    <cellStyle name="40% - Accent2 134" xfId="2061"/>
    <cellStyle name="40% - Accent2 135" xfId="2062"/>
    <cellStyle name="40% - Accent2 136" xfId="2063"/>
    <cellStyle name="40% - Accent2 137" xfId="2064"/>
    <cellStyle name="40% - Accent2 138" xfId="2065"/>
    <cellStyle name="40% - Accent2 139" xfId="2066"/>
    <cellStyle name="40% - Accent2 14" xfId="2067"/>
    <cellStyle name="40% - Accent2 140" xfId="2068"/>
    <cellStyle name="40% - Accent2 141" xfId="2069"/>
    <cellStyle name="40% - Accent2 142" xfId="2070"/>
    <cellStyle name="40% - Accent2 143" xfId="2071"/>
    <cellStyle name="40% - Accent2 144" xfId="2072"/>
    <cellStyle name="40% - Accent2 145" xfId="2073"/>
    <cellStyle name="40% - Accent2 146" xfId="2074"/>
    <cellStyle name="40% - Accent2 147" xfId="2075"/>
    <cellStyle name="40% - Accent2 148" xfId="2076"/>
    <cellStyle name="40% - Accent2 149" xfId="2077"/>
    <cellStyle name="40% - Accent2 15" xfId="2078"/>
    <cellStyle name="40% - Accent2 150" xfId="2079"/>
    <cellStyle name="40% - Accent2 151" xfId="2080"/>
    <cellStyle name="40% - Accent2 152" xfId="2081"/>
    <cellStyle name="40% - Accent2 153" xfId="2082"/>
    <cellStyle name="40% - Accent2 154" xfId="2083"/>
    <cellStyle name="40% - Accent2 155" xfId="2084"/>
    <cellStyle name="40% - Accent2 156" xfId="2085"/>
    <cellStyle name="40% - Accent2 157" xfId="2086"/>
    <cellStyle name="40% - Accent2 158" xfId="2087"/>
    <cellStyle name="40% - Accent2 159" xfId="2088"/>
    <cellStyle name="40% - Accent2 16" xfId="2089"/>
    <cellStyle name="40% - Accent2 160" xfId="2090"/>
    <cellStyle name="40% - Accent2 161" xfId="2091"/>
    <cellStyle name="40% - Accent2 162" xfId="2092"/>
    <cellStyle name="40% - Accent2 163" xfId="2093"/>
    <cellStyle name="40% - Accent2 164" xfId="2094"/>
    <cellStyle name="40% - Accent2 165" xfId="2095"/>
    <cellStyle name="40% - Accent2 166" xfId="2096"/>
    <cellStyle name="40% - Accent2 167" xfId="2097"/>
    <cellStyle name="40% - Accent2 168" xfId="2098"/>
    <cellStyle name="40% - Accent2 169" xfId="2099"/>
    <cellStyle name="40% - Accent2 17" xfId="2100"/>
    <cellStyle name="40% - Accent2 170" xfId="2101"/>
    <cellStyle name="40% - Accent2 171" xfId="2102"/>
    <cellStyle name="40% - Accent2 172" xfId="2103"/>
    <cellStyle name="40% - Accent2 173" xfId="2104"/>
    <cellStyle name="40% - Accent2 174" xfId="2105"/>
    <cellStyle name="40% - Accent2 175" xfId="2106"/>
    <cellStyle name="40% - Accent2 176" xfId="2107"/>
    <cellStyle name="40% - Accent2 177" xfId="2108"/>
    <cellStyle name="40% - Accent2 178" xfId="2109"/>
    <cellStyle name="40% - Accent2 179" xfId="2110"/>
    <cellStyle name="40% - Accent2 18" xfId="2111"/>
    <cellStyle name="40% - Accent2 180" xfId="2112"/>
    <cellStyle name="40% - Accent2 181" xfId="2113"/>
    <cellStyle name="40% - Accent2 182" xfId="2114"/>
    <cellStyle name="40% - Accent2 183" xfId="2115"/>
    <cellStyle name="40% - Accent2 184" xfId="2116"/>
    <cellStyle name="40% - Accent2 185" xfId="2117"/>
    <cellStyle name="40% - Accent2 186" xfId="2118"/>
    <cellStyle name="40% - Accent2 187" xfId="2119"/>
    <cellStyle name="40% - Accent2 188" xfId="2120"/>
    <cellStyle name="40% - Accent2 189" xfId="2121"/>
    <cellStyle name="40% - Accent2 19" xfId="2122"/>
    <cellStyle name="40% - Accent2 190" xfId="2123"/>
    <cellStyle name="40% - Accent2 191" xfId="2124"/>
    <cellStyle name="40% - Accent2 192" xfId="2125"/>
    <cellStyle name="40% - Accent2 193" xfId="2126"/>
    <cellStyle name="40% - Accent2 194" xfId="2127"/>
    <cellStyle name="40% - Accent2 195" xfId="2128"/>
    <cellStyle name="40% - Accent2 196" xfId="2129"/>
    <cellStyle name="40% - Accent2 197" xfId="2130"/>
    <cellStyle name="40% - Accent2 198" xfId="2131"/>
    <cellStyle name="40% - Accent2 199" xfId="2132"/>
    <cellStyle name="40% - Accent2 2" xfId="2133"/>
    <cellStyle name="40% - Accent2 2 2" xfId="2134"/>
    <cellStyle name="40% - Accent2 2 2 2" xfId="2135"/>
    <cellStyle name="40% - Accent2 2 2 3" xfId="2136"/>
    <cellStyle name="40% - Accent2 2 2 4" xfId="2137"/>
    <cellStyle name="40% - Accent2 2 2 5" xfId="2138"/>
    <cellStyle name="40% - Accent2 2 2 6" xfId="2139"/>
    <cellStyle name="40% - Accent2 2 2 7" xfId="2140"/>
    <cellStyle name="40% - Accent2 2 3" xfId="2141"/>
    <cellStyle name="40% - Accent2 2 4" xfId="2142"/>
    <cellStyle name="40% - Accent2 2 5" xfId="2143"/>
    <cellStyle name="40% - Accent2 2 6" xfId="2144"/>
    <cellStyle name="40% - Accent2 2 7" xfId="2145"/>
    <cellStyle name="40% - Accent2 2 8" xfId="2146"/>
    <cellStyle name="40% - Accent2 20" xfId="2147"/>
    <cellStyle name="40% - Accent2 200" xfId="2148"/>
    <cellStyle name="40% - Accent2 201" xfId="2149"/>
    <cellStyle name="40% - Accent2 202" xfId="2150"/>
    <cellStyle name="40% - Accent2 203" xfId="2151"/>
    <cellStyle name="40% - Accent2 204" xfId="2152"/>
    <cellStyle name="40% - Accent2 205" xfId="2153"/>
    <cellStyle name="40% - Accent2 206" xfId="2154"/>
    <cellStyle name="40% - Accent2 207" xfId="2155"/>
    <cellStyle name="40% - Accent2 208" xfId="2156"/>
    <cellStyle name="40% - Accent2 209" xfId="2157"/>
    <cellStyle name="40% - Accent2 21" xfId="2158"/>
    <cellStyle name="40% - Accent2 210" xfId="2159"/>
    <cellStyle name="40% - Accent2 211" xfId="2160"/>
    <cellStyle name="40% - Accent2 212" xfId="2161"/>
    <cellStyle name="40% - Accent2 213" xfId="2162"/>
    <cellStyle name="40% - Accent2 214" xfId="2163"/>
    <cellStyle name="40% - Accent2 215" xfId="2164"/>
    <cellStyle name="40% - Accent2 216" xfId="2165"/>
    <cellStyle name="40% - Accent2 217" xfId="2166"/>
    <cellStyle name="40% - Accent2 218" xfId="2167"/>
    <cellStyle name="40% - Accent2 219" xfId="2168"/>
    <cellStyle name="40% - Accent2 22" xfId="2169"/>
    <cellStyle name="40% - Accent2 220" xfId="2170"/>
    <cellStyle name="40% - Accent2 221" xfId="2171"/>
    <cellStyle name="40% - Accent2 222" xfId="2172"/>
    <cellStyle name="40% - Accent2 223" xfId="2173"/>
    <cellStyle name="40% - Accent2 224" xfId="2174"/>
    <cellStyle name="40% - Accent2 225" xfId="2175"/>
    <cellStyle name="40% - Accent2 226" xfId="2176"/>
    <cellStyle name="40% - Accent2 227" xfId="2177"/>
    <cellStyle name="40% - Accent2 228" xfId="2178"/>
    <cellStyle name="40% - Accent2 229" xfId="2179"/>
    <cellStyle name="40% - Accent2 23" xfId="2180"/>
    <cellStyle name="40% - Accent2 230" xfId="2181"/>
    <cellStyle name="40% - Accent2 231" xfId="2182"/>
    <cellStyle name="40% - Accent2 232" xfId="2183"/>
    <cellStyle name="40% - Accent2 233" xfId="2184"/>
    <cellStyle name="40% - Accent2 234" xfId="2185"/>
    <cellStyle name="40% - Accent2 235" xfId="2186"/>
    <cellStyle name="40% - Accent2 236" xfId="2187"/>
    <cellStyle name="40% - Accent2 237" xfId="2188"/>
    <cellStyle name="40% - Accent2 238" xfId="2189"/>
    <cellStyle name="40% - Accent2 239" xfId="2190"/>
    <cellStyle name="40% - Accent2 24" xfId="2191"/>
    <cellStyle name="40% - Accent2 240" xfId="2192"/>
    <cellStyle name="40% - Accent2 241" xfId="2193"/>
    <cellStyle name="40% - Accent2 242" xfId="2194"/>
    <cellStyle name="40% - Accent2 243" xfId="2195"/>
    <cellStyle name="40% - Accent2 244" xfId="2196"/>
    <cellStyle name="40% - Accent2 245" xfId="2197"/>
    <cellStyle name="40% - Accent2 246" xfId="2198"/>
    <cellStyle name="40% - Accent2 247" xfId="2199"/>
    <cellStyle name="40% - Accent2 248" xfId="2200"/>
    <cellStyle name="40% - Accent2 249" xfId="2201"/>
    <cellStyle name="40% - Accent2 25" xfId="2202"/>
    <cellStyle name="40% - Accent2 26" xfId="2203"/>
    <cellStyle name="40% - Accent2 27" xfId="2204"/>
    <cellStyle name="40% - Accent2 28" xfId="2205"/>
    <cellStyle name="40% - Accent2 29" xfId="2206"/>
    <cellStyle name="40% - Accent2 3" xfId="2207"/>
    <cellStyle name="40% - Accent2 3 2" xfId="2208"/>
    <cellStyle name="40% - Accent2 30" xfId="2209"/>
    <cellStyle name="40% - Accent2 31" xfId="2210"/>
    <cellStyle name="40% - Accent2 32" xfId="2211"/>
    <cellStyle name="40% - Accent2 33" xfId="2212"/>
    <cellStyle name="40% - Accent2 34" xfId="2213"/>
    <cellStyle name="40% - Accent2 35" xfId="2214"/>
    <cellStyle name="40% - Accent2 36" xfId="2215"/>
    <cellStyle name="40% - Accent2 37" xfId="2216"/>
    <cellStyle name="40% - Accent2 38" xfId="2217"/>
    <cellStyle name="40% - Accent2 39" xfId="2218"/>
    <cellStyle name="40% - Accent2 4" xfId="2219"/>
    <cellStyle name="40% - Accent2 4 2" xfId="2220"/>
    <cellStyle name="40% - Accent2 4 3" xfId="2221"/>
    <cellStyle name="40% - Accent2 4 4" xfId="2222"/>
    <cellStyle name="40% - Accent2 4 5" xfId="2223"/>
    <cellStyle name="40% - Accent2 40" xfId="2224"/>
    <cellStyle name="40% - Accent2 41" xfId="2225"/>
    <cellStyle name="40% - Accent2 42" xfId="2226"/>
    <cellStyle name="40% - Accent2 43" xfId="2227"/>
    <cellStyle name="40% - Accent2 44" xfId="2228"/>
    <cellStyle name="40% - Accent2 45" xfId="2229"/>
    <cellStyle name="40% - Accent2 46" xfId="2230"/>
    <cellStyle name="40% - Accent2 47" xfId="2231"/>
    <cellStyle name="40% - Accent2 48" xfId="2232"/>
    <cellStyle name="40% - Accent2 49" xfId="2233"/>
    <cellStyle name="40% - Accent2 5" xfId="2234"/>
    <cellStyle name="40% - Accent2 5 2" xfId="2235"/>
    <cellStyle name="40% - Accent2 5 3" xfId="2236"/>
    <cellStyle name="40% - Accent2 5 4" xfId="2237"/>
    <cellStyle name="40% - Accent2 5 5" xfId="2238"/>
    <cellStyle name="40% - Accent2 50" xfId="2239"/>
    <cellStyle name="40% - Accent2 51" xfId="2240"/>
    <cellStyle name="40% - Accent2 52" xfId="2241"/>
    <cellStyle name="40% - Accent2 53" xfId="2242"/>
    <cellStyle name="40% - Accent2 54" xfId="2243"/>
    <cellStyle name="40% - Accent2 55" xfId="2244"/>
    <cellStyle name="40% - Accent2 56" xfId="2245"/>
    <cellStyle name="40% - Accent2 57" xfId="2246"/>
    <cellStyle name="40% - Accent2 58" xfId="2247"/>
    <cellStyle name="40% - Accent2 59" xfId="2248"/>
    <cellStyle name="40% - Accent2 6" xfId="2249"/>
    <cellStyle name="40% - Accent2 6 2" xfId="2250"/>
    <cellStyle name="40% - Accent2 6 3" xfId="2251"/>
    <cellStyle name="40% - Accent2 6 4" xfId="2252"/>
    <cellStyle name="40% - Accent2 60" xfId="2253"/>
    <cellStyle name="40% - Accent2 61" xfId="2254"/>
    <cellStyle name="40% - Accent2 62" xfId="2255"/>
    <cellStyle name="40% - Accent2 63" xfId="2256"/>
    <cellStyle name="40% - Accent2 64" xfId="2257"/>
    <cellStyle name="40% - Accent2 65" xfId="2258"/>
    <cellStyle name="40% - Accent2 66" xfId="2259"/>
    <cellStyle name="40% - Accent2 67" xfId="2260"/>
    <cellStyle name="40% - Accent2 68" xfId="2261"/>
    <cellStyle name="40% - Accent2 69" xfId="2262"/>
    <cellStyle name="40% - Accent2 7" xfId="2263"/>
    <cellStyle name="40% - Accent2 7 2" xfId="2264"/>
    <cellStyle name="40% - Accent2 7 3" xfId="2265"/>
    <cellStyle name="40% - Accent2 7 4" xfId="2266"/>
    <cellStyle name="40% - Accent2 70" xfId="2267"/>
    <cellStyle name="40% - Accent2 71" xfId="2268"/>
    <cellStyle name="40% - Accent2 72" xfId="2269"/>
    <cellStyle name="40% - Accent2 73" xfId="2270"/>
    <cellStyle name="40% - Accent2 74" xfId="2271"/>
    <cellStyle name="40% - Accent2 75" xfId="2272"/>
    <cellStyle name="40% - Accent2 76" xfId="2273"/>
    <cellStyle name="40% - Accent2 77" xfId="2274"/>
    <cellStyle name="40% - Accent2 78" xfId="2275"/>
    <cellStyle name="40% - Accent2 79" xfId="2276"/>
    <cellStyle name="40% - Accent2 8" xfId="2277"/>
    <cellStyle name="40% - Accent2 8 2" xfId="2278"/>
    <cellStyle name="40% - Accent2 8 3" xfId="2279"/>
    <cellStyle name="40% - Accent2 8 4" xfId="2280"/>
    <cellStyle name="40% - Accent2 80" xfId="2281"/>
    <cellStyle name="40% - Accent2 81" xfId="2282"/>
    <cellStyle name="40% - Accent2 82" xfId="2283"/>
    <cellStyle name="40% - Accent2 83" xfId="2284"/>
    <cellStyle name="40% - Accent2 84" xfId="2285"/>
    <cellStyle name="40% - Accent2 85" xfId="2286"/>
    <cellStyle name="40% - Accent2 86" xfId="2287"/>
    <cellStyle name="40% - Accent2 87" xfId="2288"/>
    <cellStyle name="40% - Accent2 88" xfId="2289"/>
    <cellStyle name="40% - Accent2 89" xfId="2290"/>
    <cellStyle name="40% - Accent2 9" xfId="2291"/>
    <cellStyle name="40% - Accent2 9 2" xfId="2292"/>
    <cellStyle name="40% - Accent2 9 3" xfId="2293"/>
    <cellStyle name="40% - Accent2 9 4" xfId="2294"/>
    <cellStyle name="40% - Accent2 90" xfId="2295"/>
    <cellStyle name="40% - Accent2 91" xfId="2296"/>
    <cellStyle name="40% - Accent2 92" xfId="2297"/>
    <cellStyle name="40% - Accent2 93" xfId="2298"/>
    <cellStyle name="40% - Accent2 94" xfId="2299"/>
    <cellStyle name="40% - Accent2 95" xfId="2300"/>
    <cellStyle name="40% - Accent2 96" xfId="2301"/>
    <cellStyle name="40% - Accent2 97" xfId="2302"/>
    <cellStyle name="40% - Accent2 98" xfId="2303"/>
    <cellStyle name="40% - Accent2 99" xfId="2304"/>
    <cellStyle name="40% - Accent3" xfId="2305" builtinId="39" customBuiltin="1"/>
    <cellStyle name="40% - Accent3 10" xfId="2306"/>
    <cellStyle name="40% - Accent3 10 2" xfId="2307"/>
    <cellStyle name="40% - Accent3 10 3" xfId="2308"/>
    <cellStyle name="40% - Accent3 10 4" xfId="2309"/>
    <cellStyle name="40% - Accent3 100" xfId="2310"/>
    <cellStyle name="40% - Accent3 101" xfId="2311"/>
    <cellStyle name="40% - Accent3 102" xfId="2312"/>
    <cellStyle name="40% - Accent3 103" xfId="2313"/>
    <cellStyle name="40% - Accent3 104" xfId="2314"/>
    <cellStyle name="40% - Accent3 105" xfId="2315"/>
    <cellStyle name="40% - Accent3 106" xfId="2316"/>
    <cellStyle name="40% - Accent3 107" xfId="2317"/>
    <cellStyle name="40% - Accent3 108" xfId="2318"/>
    <cellStyle name="40% - Accent3 109" xfId="2319"/>
    <cellStyle name="40% - Accent3 11" xfId="2320"/>
    <cellStyle name="40% - Accent3 11 2" xfId="2321"/>
    <cellStyle name="40% - Accent3 110" xfId="2322"/>
    <cellStyle name="40% - Accent3 111" xfId="2323"/>
    <cellStyle name="40% - Accent3 112" xfId="2324"/>
    <cellStyle name="40% - Accent3 113" xfId="2325"/>
    <cellStyle name="40% - Accent3 114" xfId="2326"/>
    <cellStyle name="40% - Accent3 115" xfId="2327"/>
    <cellStyle name="40% - Accent3 116" xfId="2328"/>
    <cellStyle name="40% - Accent3 117" xfId="2329"/>
    <cellStyle name="40% - Accent3 118" xfId="2330"/>
    <cellStyle name="40% - Accent3 119" xfId="2331"/>
    <cellStyle name="40% - Accent3 12" xfId="2332"/>
    <cellStyle name="40% - Accent3 12 2" xfId="2333"/>
    <cellStyle name="40% - Accent3 120" xfId="2334"/>
    <cellStyle name="40% - Accent3 121" xfId="2335"/>
    <cellStyle name="40% - Accent3 122" xfId="2336"/>
    <cellStyle name="40% - Accent3 123" xfId="2337"/>
    <cellStyle name="40% - Accent3 124" xfId="2338"/>
    <cellStyle name="40% - Accent3 125" xfId="2339"/>
    <cellStyle name="40% - Accent3 126" xfId="2340"/>
    <cellStyle name="40% - Accent3 127" xfId="2341"/>
    <cellStyle name="40% - Accent3 128" xfId="2342"/>
    <cellStyle name="40% - Accent3 129" xfId="2343"/>
    <cellStyle name="40% - Accent3 13" xfId="2344"/>
    <cellStyle name="40% - Accent3 130" xfId="2345"/>
    <cellStyle name="40% - Accent3 131" xfId="2346"/>
    <cellStyle name="40% - Accent3 132" xfId="2347"/>
    <cellStyle name="40% - Accent3 133" xfId="2348"/>
    <cellStyle name="40% - Accent3 134" xfId="2349"/>
    <cellStyle name="40% - Accent3 135" xfId="2350"/>
    <cellStyle name="40% - Accent3 136" xfId="2351"/>
    <cellStyle name="40% - Accent3 137" xfId="2352"/>
    <cellStyle name="40% - Accent3 138" xfId="2353"/>
    <cellStyle name="40% - Accent3 139" xfId="2354"/>
    <cellStyle name="40% - Accent3 14" xfId="2355"/>
    <cellStyle name="40% - Accent3 140" xfId="2356"/>
    <cellStyle name="40% - Accent3 141" xfId="2357"/>
    <cellStyle name="40% - Accent3 142" xfId="2358"/>
    <cellStyle name="40% - Accent3 143" xfId="2359"/>
    <cellStyle name="40% - Accent3 144" xfId="2360"/>
    <cellStyle name="40% - Accent3 145" xfId="2361"/>
    <cellStyle name="40% - Accent3 146" xfId="2362"/>
    <cellStyle name="40% - Accent3 147" xfId="2363"/>
    <cellStyle name="40% - Accent3 148" xfId="2364"/>
    <cellStyle name="40% - Accent3 149" xfId="2365"/>
    <cellStyle name="40% - Accent3 15" xfId="2366"/>
    <cellStyle name="40% - Accent3 150" xfId="2367"/>
    <cellStyle name="40% - Accent3 151" xfId="2368"/>
    <cellStyle name="40% - Accent3 152" xfId="2369"/>
    <cellStyle name="40% - Accent3 153" xfId="2370"/>
    <cellStyle name="40% - Accent3 154" xfId="2371"/>
    <cellStyle name="40% - Accent3 155" xfId="2372"/>
    <cellStyle name="40% - Accent3 156" xfId="2373"/>
    <cellStyle name="40% - Accent3 157" xfId="2374"/>
    <cellStyle name="40% - Accent3 158" xfId="2375"/>
    <cellStyle name="40% - Accent3 159" xfId="2376"/>
    <cellStyle name="40% - Accent3 16" xfId="2377"/>
    <cellStyle name="40% - Accent3 160" xfId="2378"/>
    <cellStyle name="40% - Accent3 161" xfId="2379"/>
    <cellStyle name="40% - Accent3 162" xfId="2380"/>
    <cellStyle name="40% - Accent3 163" xfId="2381"/>
    <cellStyle name="40% - Accent3 164" xfId="2382"/>
    <cellStyle name="40% - Accent3 165" xfId="2383"/>
    <cellStyle name="40% - Accent3 166" xfId="2384"/>
    <cellStyle name="40% - Accent3 167" xfId="2385"/>
    <cellStyle name="40% - Accent3 168" xfId="2386"/>
    <cellStyle name="40% - Accent3 169" xfId="2387"/>
    <cellStyle name="40% - Accent3 17" xfId="2388"/>
    <cellStyle name="40% - Accent3 170" xfId="2389"/>
    <cellStyle name="40% - Accent3 171" xfId="2390"/>
    <cellStyle name="40% - Accent3 172" xfId="2391"/>
    <cellStyle name="40% - Accent3 173" xfId="2392"/>
    <cellStyle name="40% - Accent3 174" xfId="2393"/>
    <cellStyle name="40% - Accent3 175" xfId="2394"/>
    <cellStyle name="40% - Accent3 176" xfId="2395"/>
    <cellStyle name="40% - Accent3 177" xfId="2396"/>
    <cellStyle name="40% - Accent3 178" xfId="2397"/>
    <cellStyle name="40% - Accent3 179" xfId="2398"/>
    <cellStyle name="40% - Accent3 18" xfId="2399"/>
    <cellStyle name="40% - Accent3 180" xfId="2400"/>
    <cellStyle name="40% - Accent3 181" xfId="2401"/>
    <cellStyle name="40% - Accent3 182" xfId="2402"/>
    <cellStyle name="40% - Accent3 183" xfId="2403"/>
    <cellStyle name="40% - Accent3 184" xfId="2404"/>
    <cellStyle name="40% - Accent3 185" xfId="2405"/>
    <cellStyle name="40% - Accent3 186" xfId="2406"/>
    <cellStyle name="40% - Accent3 187" xfId="2407"/>
    <cellStyle name="40% - Accent3 188" xfId="2408"/>
    <cellStyle name="40% - Accent3 189" xfId="2409"/>
    <cellStyle name="40% - Accent3 19" xfId="2410"/>
    <cellStyle name="40% - Accent3 190" xfId="2411"/>
    <cellStyle name="40% - Accent3 191" xfId="2412"/>
    <cellStyle name="40% - Accent3 192" xfId="2413"/>
    <cellStyle name="40% - Accent3 193" xfId="2414"/>
    <cellStyle name="40% - Accent3 194" xfId="2415"/>
    <cellStyle name="40% - Accent3 195" xfId="2416"/>
    <cellStyle name="40% - Accent3 196" xfId="2417"/>
    <cellStyle name="40% - Accent3 197" xfId="2418"/>
    <cellStyle name="40% - Accent3 198" xfId="2419"/>
    <cellStyle name="40% - Accent3 199" xfId="2420"/>
    <cellStyle name="40% - Accent3 2" xfId="2421"/>
    <cellStyle name="40% - Accent3 2 2" xfId="2422"/>
    <cellStyle name="40% - Accent3 2 2 2" xfId="2423"/>
    <cellStyle name="40% - Accent3 2 2 3" xfId="2424"/>
    <cellStyle name="40% - Accent3 2 2 4" xfId="2425"/>
    <cellStyle name="40% - Accent3 2 2 5" xfId="2426"/>
    <cellStyle name="40% - Accent3 2 2 6" xfId="2427"/>
    <cellStyle name="40% - Accent3 2 2 7" xfId="2428"/>
    <cellStyle name="40% - Accent3 2 3" xfId="2429"/>
    <cellStyle name="40% - Accent3 2 4" xfId="2430"/>
    <cellStyle name="40% - Accent3 2 5" xfId="2431"/>
    <cellStyle name="40% - Accent3 2 6" xfId="2432"/>
    <cellStyle name="40% - Accent3 2 7" xfId="2433"/>
    <cellStyle name="40% - Accent3 2 8" xfId="2434"/>
    <cellStyle name="40% - Accent3 20" xfId="2435"/>
    <cellStyle name="40% - Accent3 200" xfId="2436"/>
    <cellStyle name="40% - Accent3 201" xfId="2437"/>
    <cellStyle name="40% - Accent3 202" xfId="2438"/>
    <cellStyle name="40% - Accent3 203" xfId="2439"/>
    <cellStyle name="40% - Accent3 204" xfId="2440"/>
    <cellStyle name="40% - Accent3 205" xfId="2441"/>
    <cellStyle name="40% - Accent3 206" xfId="2442"/>
    <cellStyle name="40% - Accent3 207" xfId="2443"/>
    <cellStyle name="40% - Accent3 208" xfId="2444"/>
    <cellStyle name="40% - Accent3 209" xfId="2445"/>
    <cellStyle name="40% - Accent3 21" xfId="2446"/>
    <cellStyle name="40% - Accent3 210" xfId="2447"/>
    <cellStyle name="40% - Accent3 211" xfId="2448"/>
    <cellStyle name="40% - Accent3 212" xfId="2449"/>
    <cellStyle name="40% - Accent3 213" xfId="2450"/>
    <cellStyle name="40% - Accent3 214" xfId="2451"/>
    <cellStyle name="40% - Accent3 215" xfId="2452"/>
    <cellStyle name="40% - Accent3 216" xfId="2453"/>
    <cellStyle name="40% - Accent3 217" xfId="2454"/>
    <cellStyle name="40% - Accent3 218" xfId="2455"/>
    <cellStyle name="40% - Accent3 219" xfId="2456"/>
    <cellStyle name="40% - Accent3 22" xfId="2457"/>
    <cellStyle name="40% - Accent3 220" xfId="2458"/>
    <cellStyle name="40% - Accent3 221" xfId="2459"/>
    <cellStyle name="40% - Accent3 222" xfId="2460"/>
    <cellStyle name="40% - Accent3 223" xfId="2461"/>
    <cellStyle name="40% - Accent3 224" xfId="2462"/>
    <cellStyle name="40% - Accent3 225" xfId="2463"/>
    <cellStyle name="40% - Accent3 226" xfId="2464"/>
    <cellStyle name="40% - Accent3 227" xfId="2465"/>
    <cellStyle name="40% - Accent3 228" xfId="2466"/>
    <cellStyle name="40% - Accent3 229" xfId="2467"/>
    <cellStyle name="40% - Accent3 23" xfId="2468"/>
    <cellStyle name="40% - Accent3 230" xfId="2469"/>
    <cellStyle name="40% - Accent3 231" xfId="2470"/>
    <cellStyle name="40% - Accent3 232" xfId="2471"/>
    <cellStyle name="40% - Accent3 233" xfId="2472"/>
    <cellStyle name="40% - Accent3 234" xfId="2473"/>
    <cellStyle name="40% - Accent3 235" xfId="2474"/>
    <cellStyle name="40% - Accent3 236" xfId="2475"/>
    <cellStyle name="40% - Accent3 237" xfId="2476"/>
    <cellStyle name="40% - Accent3 238" xfId="2477"/>
    <cellStyle name="40% - Accent3 239" xfId="2478"/>
    <cellStyle name="40% - Accent3 24" xfId="2479"/>
    <cellStyle name="40% - Accent3 240" xfId="2480"/>
    <cellStyle name="40% - Accent3 241" xfId="2481"/>
    <cellStyle name="40% - Accent3 242" xfId="2482"/>
    <cellStyle name="40% - Accent3 243" xfId="2483"/>
    <cellStyle name="40% - Accent3 244" xfId="2484"/>
    <cellStyle name="40% - Accent3 245" xfId="2485"/>
    <cellStyle name="40% - Accent3 246" xfId="2486"/>
    <cellStyle name="40% - Accent3 247" xfId="2487"/>
    <cellStyle name="40% - Accent3 248" xfId="2488"/>
    <cellStyle name="40% - Accent3 249" xfId="2489"/>
    <cellStyle name="40% - Accent3 25" xfId="2490"/>
    <cellStyle name="40% - Accent3 26" xfId="2491"/>
    <cellStyle name="40% - Accent3 27" xfId="2492"/>
    <cellStyle name="40% - Accent3 28" xfId="2493"/>
    <cellStyle name="40% - Accent3 29" xfId="2494"/>
    <cellStyle name="40% - Accent3 3" xfId="2495"/>
    <cellStyle name="40% - Accent3 3 2" xfId="2496"/>
    <cellStyle name="40% - Accent3 30" xfId="2497"/>
    <cellStyle name="40% - Accent3 31" xfId="2498"/>
    <cellStyle name="40% - Accent3 32" xfId="2499"/>
    <cellStyle name="40% - Accent3 33" xfId="2500"/>
    <cellStyle name="40% - Accent3 34" xfId="2501"/>
    <cellStyle name="40% - Accent3 35" xfId="2502"/>
    <cellStyle name="40% - Accent3 36" xfId="2503"/>
    <cellStyle name="40% - Accent3 37" xfId="2504"/>
    <cellStyle name="40% - Accent3 38" xfId="2505"/>
    <cellStyle name="40% - Accent3 39" xfId="2506"/>
    <cellStyle name="40% - Accent3 4" xfId="2507"/>
    <cellStyle name="40% - Accent3 4 2" xfId="2508"/>
    <cellStyle name="40% - Accent3 4 3" xfId="2509"/>
    <cellStyle name="40% - Accent3 4 4" xfId="2510"/>
    <cellStyle name="40% - Accent3 4 5" xfId="2511"/>
    <cellStyle name="40% - Accent3 40" xfId="2512"/>
    <cellStyle name="40% - Accent3 41" xfId="2513"/>
    <cellStyle name="40% - Accent3 42" xfId="2514"/>
    <cellStyle name="40% - Accent3 43" xfId="2515"/>
    <cellStyle name="40% - Accent3 44" xfId="2516"/>
    <cellStyle name="40% - Accent3 45" xfId="2517"/>
    <cellStyle name="40% - Accent3 46" xfId="2518"/>
    <cellStyle name="40% - Accent3 47" xfId="2519"/>
    <cellStyle name="40% - Accent3 48" xfId="2520"/>
    <cellStyle name="40% - Accent3 49" xfId="2521"/>
    <cellStyle name="40% - Accent3 5" xfId="2522"/>
    <cellStyle name="40% - Accent3 5 2" xfId="2523"/>
    <cellStyle name="40% - Accent3 5 3" xfId="2524"/>
    <cellStyle name="40% - Accent3 5 4" xfId="2525"/>
    <cellStyle name="40% - Accent3 5 5" xfId="2526"/>
    <cellStyle name="40% - Accent3 50" xfId="2527"/>
    <cellStyle name="40% - Accent3 51" xfId="2528"/>
    <cellStyle name="40% - Accent3 52" xfId="2529"/>
    <cellStyle name="40% - Accent3 53" xfId="2530"/>
    <cellStyle name="40% - Accent3 54" xfId="2531"/>
    <cellStyle name="40% - Accent3 55" xfId="2532"/>
    <cellStyle name="40% - Accent3 56" xfId="2533"/>
    <cellStyle name="40% - Accent3 57" xfId="2534"/>
    <cellStyle name="40% - Accent3 58" xfId="2535"/>
    <cellStyle name="40% - Accent3 59" xfId="2536"/>
    <cellStyle name="40% - Accent3 6" xfId="2537"/>
    <cellStyle name="40% - Accent3 6 2" xfId="2538"/>
    <cellStyle name="40% - Accent3 6 3" xfId="2539"/>
    <cellStyle name="40% - Accent3 6 4" xfId="2540"/>
    <cellStyle name="40% - Accent3 60" xfId="2541"/>
    <cellStyle name="40% - Accent3 61" xfId="2542"/>
    <cellStyle name="40% - Accent3 62" xfId="2543"/>
    <cellStyle name="40% - Accent3 63" xfId="2544"/>
    <cellStyle name="40% - Accent3 64" xfId="2545"/>
    <cellStyle name="40% - Accent3 65" xfId="2546"/>
    <cellStyle name="40% - Accent3 66" xfId="2547"/>
    <cellStyle name="40% - Accent3 67" xfId="2548"/>
    <cellStyle name="40% - Accent3 68" xfId="2549"/>
    <cellStyle name="40% - Accent3 69" xfId="2550"/>
    <cellStyle name="40% - Accent3 7" xfId="2551"/>
    <cellStyle name="40% - Accent3 7 2" xfId="2552"/>
    <cellStyle name="40% - Accent3 7 3" xfId="2553"/>
    <cellStyle name="40% - Accent3 7 4" xfId="2554"/>
    <cellStyle name="40% - Accent3 70" xfId="2555"/>
    <cellStyle name="40% - Accent3 71" xfId="2556"/>
    <cellStyle name="40% - Accent3 72" xfId="2557"/>
    <cellStyle name="40% - Accent3 73" xfId="2558"/>
    <cellStyle name="40% - Accent3 74" xfId="2559"/>
    <cellStyle name="40% - Accent3 75" xfId="2560"/>
    <cellStyle name="40% - Accent3 76" xfId="2561"/>
    <cellStyle name="40% - Accent3 77" xfId="2562"/>
    <cellStyle name="40% - Accent3 78" xfId="2563"/>
    <cellStyle name="40% - Accent3 79" xfId="2564"/>
    <cellStyle name="40% - Accent3 8" xfId="2565"/>
    <cellStyle name="40% - Accent3 8 2" xfId="2566"/>
    <cellStyle name="40% - Accent3 8 3" xfId="2567"/>
    <cellStyle name="40% - Accent3 8 4" xfId="2568"/>
    <cellStyle name="40% - Accent3 80" xfId="2569"/>
    <cellStyle name="40% - Accent3 81" xfId="2570"/>
    <cellStyle name="40% - Accent3 82" xfId="2571"/>
    <cellStyle name="40% - Accent3 83" xfId="2572"/>
    <cellStyle name="40% - Accent3 84" xfId="2573"/>
    <cellStyle name="40% - Accent3 85" xfId="2574"/>
    <cellStyle name="40% - Accent3 86" xfId="2575"/>
    <cellStyle name="40% - Accent3 87" xfId="2576"/>
    <cellStyle name="40% - Accent3 88" xfId="2577"/>
    <cellStyle name="40% - Accent3 89" xfId="2578"/>
    <cellStyle name="40% - Accent3 9" xfId="2579"/>
    <cellStyle name="40% - Accent3 9 2" xfId="2580"/>
    <cellStyle name="40% - Accent3 9 3" xfId="2581"/>
    <cellStyle name="40% - Accent3 9 4" xfId="2582"/>
    <cellStyle name="40% - Accent3 90" xfId="2583"/>
    <cellStyle name="40% - Accent3 91" xfId="2584"/>
    <cellStyle name="40% - Accent3 92" xfId="2585"/>
    <cellStyle name="40% - Accent3 93" xfId="2586"/>
    <cellStyle name="40% - Accent3 94" xfId="2587"/>
    <cellStyle name="40% - Accent3 95" xfId="2588"/>
    <cellStyle name="40% - Accent3 96" xfId="2589"/>
    <cellStyle name="40% - Accent3 97" xfId="2590"/>
    <cellStyle name="40% - Accent3 98" xfId="2591"/>
    <cellStyle name="40% - Accent3 99" xfId="2592"/>
    <cellStyle name="40% - Accent4" xfId="2593" builtinId="43" customBuiltin="1"/>
    <cellStyle name="40% - Accent4 10" xfId="2594"/>
    <cellStyle name="40% - Accent4 10 2" xfId="2595"/>
    <cellStyle name="40% - Accent4 10 3" xfId="2596"/>
    <cellStyle name="40% - Accent4 10 4" xfId="2597"/>
    <cellStyle name="40% - Accent4 100" xfId="2598"/>
    <cellStyle name="40% - Accent4 101" xfId="2599"/>
    <cellStyle name="40% - Accent4 102" xfId="2600"/>
    <cellStyle name="40% - Accent4 103" xfId="2601"/>
    <cellStyle name="40% - Accent4 104" xfId="2602"/>
    <cellStyle name="40% - Accent4 105" xfId="2603"/>
    <cellStyle name="40% - Accent4 106" xfId="2604"/>
    <cellStyle name="40% - Accent4 107" xfId="2605"/>
    <cellStyle name="40% - Accent4 108" xfId="2606"/>
    <cellStyle name="40% - Accent4 109" xfId="2607"/>
    <cellStyle name="40% - Accent4 11" xfId="2608"/>
    <cellStyle name="40% - Accent4 11 2" xfId="2609"/>
    <cellStyle name="40% - Accent4 110" xfId="2610"/>
    <cellStyle name="40% - Accent4 111" xfId="2611"/>
    <cellStyle name="40% - Accent4 112" xfId="2612"/>
    <cellStyle name="40% - Accent4 113" xfId="2613"/>
    <cellStyle name="40% - Accent4 114" xfId="2614"/>
    <cellStyle name="40% - Accent4 115" xfId="2615"/>
    <cellStyle name="40% - Accent4 116" xfId="2616"/>
    <cellStyle name="40% - Accent4 117" xfId="2617"/>
    <cellStyle name="40% - Accent4 118" xfId="2618"/>
    <cellStyle name="40% - Accent4 119" xfId="2619"/>
    <cellStyle name="40% - Accent4 12" xfId="2620"/>
    <cellStyle name="40% - Accent4 12 2" xfId="2621"/>
    <cellStyle name="40% - Accent4 120" xfId="2622"/>
    <cellStyle name="40% - Accent4 121" xfId="2623"/>
    <cellStyle name="40% - Accent4 122" xfId="2624"/>
    <cellStyle name="40% - Accent4 123" xfId="2625"/>
    <cellStyle name="40% - Accent4 124" xfId="2626"/>
    <cellStyle name="40% - Accent4 125" xfId="2627"/>
    <cellStyle name="40% - Accent4 126" xfId="2628"/>
    <cellStyle name="40% - Accent4 127" xfId="2629"/>
    <cellStyle name="40% - Accent4 128" xfId="2630"/>
    <cellStyle name="40% - Accent4 129" xfId="2631"/>
    <cellStyle name="40% - Accent4 13" xfId="2632"/>
    <cellStyle name="40% - Accent4 130" xfId="2633"/>
    <cellStyle name="40% - Accent4 131" xfId="2634"/>
    <cellStyle name="40% - Accent4 132" xfId="2635"/>
    <cellStyle name="40% - Accent4 133" xfId="2636"/>
    <cellStyle name="40% - Accent4 134" xfId="2637"/>
    <cellStyle name="40% - Accent4 135" xfId="2638"/>
    <cellStyle name="40% - Accent4 136" xfId="2639"/>
    <cellStyle name="40% - Accent4 137" xfId="2640"/>
    <cellStyle name="40% - Accent4 138" xfId="2641"/>
    <cellStyle name="40% - Accent4 139" xfId="2642"/>
    <cellStyle name="40% - Accent4 14" xfId="2643"/>
    <cellStyle name="40% - Accent4 140" xfId="2644"/>
    <cellStyle name="40% - Accent4 141" xfId="2645"/>
    <cellStyle name="40% - Accent4 142" xfId="2646"/>
    <cellStyle name="40% - Accent4 143" xfId="2647"/>
    <cellStyle name="40% - Accent4 144" xfId="2648"/>
    <cellStyle name="40% - Accent4 145" xfId="2649"/>
    <cellStyle name="40% - Accent4 146" xfId="2650"/>
    <cellStyle name="40% - Accent4 147" xfId="2651"/>
    <cellStyle name="40% - Accent4 148" xfId="2652"/>
    <cellStyle name="40% - Accent4 149" xfId="2653"/>
    <cellStyle name="40% - Accent4 15" xfId="2654"/>
    <cellStyle name="40% - Accent4 150" xfId="2655"/>
    <cellStyle name="40% - Accent4 151" xfId="2656"/>
    <cellStyle name="40% - Accent4 152" xfId="2657"/>
    <cellStyle name="40% - Accent4 153" xfId="2658"/>
    <cellStyle name="40% - Accent4 154" xfId="2659"/>
    <cellStyle name="40% - Accent4 155" xfId="2660"/>
    <cellStyle name="40% - Accent4 156" xfId="2661"/>
    <cellStyle name="40% - Accent4 157" xfId="2662"/>
    <cellStyle name="40% - Accent4 158" xfId="2663"/>
    <cellStyle name="40% - Accent4 159" xfId="2664"/>
    <cellStyle name="40% - Accent4 16" xfId="2665"/>
    <cellStyle name="40% - Accent4 160" xfId="2666"/>
    <cellStyle name="40% - Accent4 161" xfId="2667"/>
    <cellStyle name="40% - Accent4 162" xfId="2668"/>
    <cellStyle name="40% - Accent4 163" xfId="2669"/>
    <cellStyle name="40% - Accent4 164" xfId="2670"/>
    <cellStyle name="40% - Accent4 165" xfId="2671"/>
    <cellStyle name="40% - Accent4 166" xfId="2672"/>
    <cellStyle name="40% - Accent4 167" xfId="2673"/>
    <cellStyle name="40% - Accent4 168" xfId="2674"/>
    <cellStyle name="40% - Accent4 169" xfId="2675"/>
    <cellStyle name="40% - Accent4 17" xfId="2676"/>
    <cellStyle name="40% - Accent4 170" xfId="2677"/>
    <cellStyle name="40% - Accent4 171" xfId="2678"/>
    <cellStyle name="40% - Accent4 172" xfId="2679"/>
    <cellStyle name="40% - Accent4 173" xfId="2680"/>
    <cellStyle name="40% - Accent4 174" xfId="2681"/>
    <cellStyle name="40% - Accent4 175" xfId="2682"/>
    <cellStyle name="40% - Accent4 176" xfId="2683"/>
    <cellStyle name="40% - Accent4 177" xfId="2684"/>
    <cellStyle name="40% - Accent4 178" xfId="2685"/>
    <cellStyle name="40% - Accent4 179" xfId="2686"/>
    <cellStyle name="40% - Accent4 18" xfId="2687"/>
    <cellStyle name="40% - Accent4 180" xfId="2688"/>
    <cellStyle name="40% - Accent4 181" xfId="2689"/>
    <cellStyle name="40% - Accent4 182" xfId="2690"/>
    <cellStyle name="40% - Accent4 183" xfId="2691"/>
    <cellStyle name="40% - Accent4 184" xfId="2692"/>
    <cellStyle name="40% - Accent4 185" xfId="2693"/>
    <cellStyle name="40% - Accent4 186" xfId="2694"/>
    <cellStyle name="40% - Accent4 187" xfId="2695"/>
    <cellStyle name="40% - Accent4 188" xfId="2696"/>
    <cellStyle name="40% - Accent4 189" xfId="2697"/>
    <cellStyle name="40% - Accent4 19" xfId="2698"/>
    <cellStyle name="40% - Accent4 190" xfId="2699"/>
    <cellStyle name="40% - Accent4 191" xfId="2700"/>
    <cellStyle name="40% - Accent4 192" xfId="2701"/>
    <cellStyle name="40% - Accent4 193" xfId="2702"/>
    <cellStyle name="40% - Accent4 194" xfId="2703"/>
    <cellStyle name="40% - Accent4 195" xfId="2704"/>
    <cellStyle name="40% - Accent4 196" xfId="2705"/>
    <cellStyle name="40% - Accent4 197" xfId="2706"/>
    <cellStyle name="40% - Accent4 198" xfId="2707"/>
    <cellStyle name="40% - Accent4 199" xfId="2708"/>
    <cellStyle name="40% - Accent4 2" xfId="2709"/>
    <cellStyle name="40% - Accent4 2 2" xfId="2710"/>
    <cellStyle name="40% - Accent4 2 2 2" xfId="2711"/>
    <cellStyle name="40% - Accent4 2 2 3" xfId="2712"/>
    <cellStyle name="40% - Accent4 2 2 4" xfId="2713"/>
    <cellStyle name="40% - Accent4 2 2 5" xfId="2714"/>
    <cellStyle name="40% - Accent4 2 2 6" xfId="2715"/>
    <cellStyle name="40% - Accent4 2 2 7" xfId="2716"/>
    <cellStyle name="40% - Accent4 2 3" xfId="2717"/>
    <cellStyle name="40% - Accent4 2 4" xfId="2718"/>
    <cellStyle name="40% - Accent4 2 5" xfId="2719"/>
    <cellStyle name="40% - Accent4 2 6" xfId="2720"/>
    <cellStyle name="40% - Accent4 2 7" xfId="2721"/>
    <cellStyle name="40% - Accent4 2 8" xfId="2722"/>
    <cellStyle name="40% - Accent4 20" xfId="2723"/>
    <cellStyle name="40% - Accent4 200" xfId="2724"/>
    <cellStyle name="40% - Accent4 201" xfId="2725"/>
    <cellStyle name="40% - Accent4 202" xfId="2726"/>
    <cellStyle name="40% - Accent4 203" xfId="2727"/>
    <cellStyle name="40% - Accent4 204" xfId="2728"/>
    <cellStyle name="40% - Accent4 205" xfId="2729"/>
    <cellStyle name="40% - Accent4 206" xfId="2730"/>
    <cellStyle name="40% - Accent4 207" xfId="2731"/>
    <cellStyle name="40% - Accent4 208" xfId="2732"/>
    <cellStyle name="40% - Accent4 209" xfId="2733"/>
    <cellStyle name="40% - Accent4 21" xfId="2734"/>
    <cellStyle name="40% - Accent4 210" xfId="2735"/>
    <cellStyle name="40% - Accent4 211" xfId="2736"/>
    <cellStyle name="40% - Accent4 212" xfId="2737"/>
    <cellStyle name="40% - Accent4 213" xfId="2738"/>
    <cellStyle name="40% - Accent4 214" xfId="2739"/>
    <cellStyle name="40% - Accent4 215" xfId="2740"/>
    <cellStyle name="40% - Accent4 216" xfId="2741"/>
    <cellStyle name="40% - Accent4 217" xfId="2742"/>
    <cellStyle name="40% - Accent4 218" xfId="2743"/>
    <cellStyle name="40% - Accent4 219" xfId="2744"/>
    <cellStyle name="40% - Accent4 22" xfId="2745"/>
    <cellStyle name="40% - Accent4 220" xfId="2746"/>
    <cellStyle name="40% - Accent4 221" xfId="2747"/>
    <cellStyle name="40% - Accent4 222" xfId="2748"/>
    <cellStyle name="40% - Accent4 223" xfId="2749"/>
    <cellStyle name="40% - Accent4 224" xfId="2750"/>
    <cellStyle name="40% - Accent4 225" xfId="2751"/>
    <cellStyle name="40% - Accent4 226" xfId="2752"/>
    <cellStyle name="40% - Accent4 227" xfId="2753"/>
    <cellStyle name="40% - Accent4 228" xfId="2754"/>
    <cellStyle name="40% - Accent4 229" xfId="2755"/>
    <cellStyle name="40% - Accent4 23" xfId="2756"/>
    <cellStyle name="40% - Accent4 230" xfId="2757"/>
    <cellStyle name="40% - Accent4 231" xfId="2758"/>
    <cellStyle name="40% - Accent4 232" xfId="2759"/>
    <cellStyle name="40% - Accent4 233" xfId="2760"/>
    <cellStyle name="40% - Accent4 234" xfId="2761"/>
    <cellStyle name="40% - Accent4 235" xfId="2762"/>
    <cellStyle name="40% - Accent4 236" xfId="2763"/>
    <cellStyle name="40% - Accent4 237" xfId="2764"/>
    <cellStyle name="40% - Accent4 238" xfId="2765"/>
    <cellStyle name="40% - Accent4 239" xfId="2766"/>
    <cellStyle name="40% - Accent4 24" xfId="2767"/>
    <cellStyle name="40% - Accent4 240" xfId="2768"/>
    <cellStyle name="40% - Accent4 241" xfId="2769"/>
    <cellStyle name="40% - Accent4 242" xfId="2770"/>
    <cellStyle name="40% - Accent4 243" xfId="2771"/>
    <cellStyle name="40% - Accent4 244" xfId="2772"/>
    <cellStyle name="40% - Accent4 245" xfId="2773"/>
    <cellStyle name="40% - Accent4 246" xfId="2774"/>
    <cellStyle name="40% - Accent4 247" xfId="2775"/>
    <cellStyle name="40% - Accent4 248" xfId="2776"/>
    <cellStyle name="40% - Accent4 249" xfId="2777"/>
    <cellStyle name="40% - Accent4 25" xfId="2778"/>
    <cellStyle name="40% - Accent4 26" xfId="2779"/>
    <cellStyle name="40% - Accent4 27" xfId="2780"/>
    <cellStyle name="40% - Accent4 28" xfId="2781"/>
    <cellStyle name="40% - Accent4 29" xfId="2782"/>
    <cellStyle name="40% - Accent4 3" xfId="2783"/>
    <cellStyle name="40% - Accent4 3 2" xfId="2784"/>
    <cellStyle name="40% - Accent4 30" xfId="2785"/>
    <cellStyle name="40% - Accent4 31" xfId="2786"/>
    <cellStyle name="40% - Accent4 32" xfId="2787"/>
    <cellStyle name="40% - Accent4 33" xfId="2788"/>
    <cellStyle name="40% - Accent4 34" xfId="2789"/>
    <cellStyle name="40% - Accent4 35" xfId="2790"/>
    <cellStyle name="40% - Accent4 36" xfId="2791"/>
    <cellStyle name="40% - Accent4 37" xfId="2792"/>
    <cellStyle name="40% - Accent4 38" xfId="2793"/>
    <cellStyle name="40% - Accent4 39" xfId="2794"/>
    <cellStyle name="40% - Accent4 4" xfId="2795"/>
    <cellStyle name="40% - Accent4 4 2" xfId="2796"/>
    <cellStyle name="40% - Accent4 4 3" xfId="2797"/>
    <cellStyle name="40% - Accent4 4 4" xfId="2798"/>
    <cellStyle name="40% - Accent4 4 5" xfId="2799"/>
    <cellStyle name="40% - Accent4 40" xfId="2800"/>
    <cellStyle name="40% - Accent4 41" xfId="2801"/>
    <cellStyle name="40% - Accent4 42" xfId="2802"/>
    <cellStyle name="40% - Accent4 43" xfId="2803"/>
    <cellStyle name="40% - Accent4 44" xfId="2804"/>
    <cellStyle name="40% - Accent4 45" xfId="2805"/>
    <cellStyle name="40% - Accent4 46" xfId="2806"/>
    <cellStyle name="40% - Accent4 47" xfId="2807"/>
    <cellStyle name="40% - Accent4 48" xfId="2808"/>
    <cellStyle name="40% - Accent4 49" xfId="2809"/>
    <cellStyle name="40% - Accent4 5" xfId="2810"/>
    <cellStyle name="40% - Accent4 5 2" xfId="2811"/>
    <cellStyle name="40% - Accent4 5 3" xfId="2812"/>
    <cellStyle name="40% - Accent4 5 4" xfId="2813"/>
    <cellStyle name="40% - Accent4 5 5" xfId="2814"/>
    <cellStyle name="40% - Accent4 50" xfId="2815"/>
    <cellStyle name="40% - Accent4 51" xfId="2816"/>
    <cellStyle name="40% - Accent4 52" xfId="2817"/>
    <cellStyle name="40% - Accent4 53" xfId="2818"/>
    <cellStyle name="40% - Accent4 54" xfId="2819"/>
    <cellStyle name="40% - Accent4 55" xfId="2820"/>
    <cellStyle name="40% - Accent4 56" xfId="2821"/>
    <cellStyle name="40% - Accent4 57" xfId="2822"/>
    <cellStyle name="40% - Accent4 58" xfId="2823"/>
    <cellStyle name="40% - Accent4 59" xfId="2824"/>
    <cellStyle name="40% - Accent4 6" xfId="2825"/>
    <cellStyle name="40% - Accent4 6 2" xfId="2826"/>
    <cellStyle name="40% - Accent4 6 3" xfId="2827"/>
    <cellStyle name="40% - Accent4 6 4" xfId="2828"/>
    <cellStyle name="40% - Accent4 60" xfId="2829"/>
    <cellStyle name="40% - Accent4 61" xfId="2830"/>
    <cellStyle name="40% - Accent4 62" xfId="2831"/>
    <cellStyle name="40% - Accent4 63" xfId="2832"/>
    <cellStyle name="40% - Accent4 64" xfId="2833"/>
    <cellStyle name="40% - Accent4 65" xfId="2834"/>
    <cellStyle name="40% - Accent4 66" xfId="2835"/>
    <cellStyle name="40% - Accent4 67" xfId="2836"/>
    <cellStyle name="40% - Accent4 68" xfId="2837"/>
    <cellStyle name="40% - Accent4 69" xfId="2838"/>
    <cellStyle name="40% - Accent4 7" xfId="2839"/>
    <cellStyle name="40% - Accent4 7 2" xfId="2840"/>
    <cellStyle name="40% - Accent4 7 3" xfId="2841"/>
    <cellStyle name="40% - Accent4 7 4" xfId="2842"/>
    <cellStyle name="40% - Accent4 70" xfId="2843"/>
    <cellStyle name="40% - Accent4 71" xfId="2844"/>
    <cellStyle name="40% - Accent4 72" xfId="2845"/>
    <cellStyle name="40% - Accent4 73" xfId="2846"/>
    <cellStyle name="40% - Accent4 74" xfId="2847"/>
    <cellStyle name="40% - Accent4 75" xfId="2848"/>
    <cellStyle name="40% - Accent4 76" xfId="2849"/>
    <cellStyle name="40% - Accent4 77" xfId="2850"/>
    <cellStyle name="40% - Accent4 78" xfId="2851"/>
    <cellStyle name="40% - Accent4 79" xfId="2852"/>
    <cellStyle name="40% - Accent4 8" xfId="2853"/>
    <cellStyle name="40% - Accent4 8 2" xfId="2854"/>
    <cellStyle name="40% - Accent4 8 3" xfId="2855"/>
    <cellStyle name="40% - Accent4 8 4" xfId="2856"/>
    <cellStyle name="40% - Accent4 80" xfId="2857"/>
    <cellStyle name="40% - Accent4 81" xfId="2858"/>
    <cellStyle name="40% - Accent4 82" xfId="2859"/>
    <cellStyle name="40% - Accent4 83" xfId="2860"/>
    <cellStyle name="40% - Accent4 84" xfId="2861"/>
    <cellStyle name="40% - Accent4 85" xfId="2862"/>
    <cellStyle name="40% - Accent4 86" xfId="2863"/>
    <cellStyle name="40% - Accent4 87" xfId="2864"/>
    <cellStyle name="40% - Accent4 88" xfId="2865"/>
    <cellStyle name="40% - Accent4 89" xfId="2866"/>
    <cellStyle name="40% - Accent4 9" xfId="2867"/>
    <cellStyle name="40% - Accent4 9 2" xfId="2868"/>
    <cellStyle name="40% - Accent4 9 3" xfId="2869"/>
    <cellStyle name="40% - Accent4 9 4" xfId="2870"/>
    <cellStyle name="40% - Accent4 90" xfId="2871"/>
    <cellStyle name="40% - Accent4 91" xfId="2872"/>
    <cellStyle name="40% - Accent4 92" xfId="2873"/>
    <cellStyle name="40% - Accent4 93" xfId="2874"/>
    <cellStyle name="40% - Accent4 94" xfId="2875"/>
    <cellStyle name="40% - Accent4 95" xfId="2876"/>
    <cellStyle name="40% - Accent4 96" xfId="2877"/>
    <cellStyle name="40% - Accent4 97" xfId="2878"/>
    <cellStyle name="40% - Accent4 98" xfId="2879"/>
    <cellStyle name="40% - Accent4 99" xfId="2880"/>
    <cellStyle name="40% - Accent5" xfId="2881" builtinId="47" customBuiltin="1"/>
    <cellStyle name="40% - Accent5 10" xfId="2882"/>
    <cellStyle name="40% - Accent5 10 2" xfId="2883"/>
    <cellStyle name="40% - Accent5 10 3" xfId="2884"/>
    <cellStyle name="40% - Accent5 10 4" xfId="2885"/>
    <cellStyle name="40% - Accent5 100" xfId="2886"/>
    <cellStyle name="40% - Accent5 101" xfId="2887"/>
    <cellStyle name="40% - Accent5 102" xfId="2888"/>
    <cellStyle name="40% - Accent5 103" xfId="2889"/>
    <cellStyle name="40% - Accent5 104" xfId="2890"/>
    <cellStyle name="40% - Accent5 105" xfId="2891"/>
    <cellStyle name="40% - Accent5 106" xfId="2892"/>
    <cellStyle name="40% - Accent5 107" xfId="2893"/>
    <cellStyle name="40% - Accent5 108" xfId="2894"/>
    <cellStyle name="40% - Accent5 109" xfId="2895"/>
    <cellStyle name="40% - Accent5 11" xfId="2896"/>
    <cellStyle name="40% - Accent5 11 2" xfId="2897"/>
    <cellStyle name="40% - Accent5 110" xfId="2898"/>
    <cellStyle name="40% - Accent5 111" xfId="2899"/>
    <cellStyle name="40% - Accent5 112" xfId="2900"/>
    <cellStyle name="40% - Accent5 113" xfId="2901"/>
    <cellStyle name="40% - Accent5 114" xfId="2902"/>
    <cellStyle name="40% - Accent5 115" xfId="2903"/>
    <cellStyle name="40% - Accent5 116" xfId="2904"/>
    <cellStyle name="40% - Accent5 117" xfId="2905"/>
    <cellStyle name="40% - Accent5 118" xfId="2906"/>
    <cellStyle name="40% - Accent5 119" xfId="2907"/>
    <cellStyle name="40% - Accent5 12" xfId="2908"/>
    <cellStyle name="40% - Accent5 12 2" xfId="2909"/>
    <cellStyle name="40% - Accent5 120" xfId="2910"/>
    <cellStyle name="40% - Accent5 121" xfId="2911"/>
    <cellStyle name="40% - Accent5 122" xfId="2912"/>
    <cellStyle name="40% - Accent5 123" xfId="2913"/>
    <cellStyle name="40% - Accent5 124" xfId="2914"/>
    <cellStyle name="40% - Accent5 125" xfId="2915"/>
    <cellStyle name="40% - Accent5 126" xfId="2916"/>
    <cellStyle name="40% - Accent5 127" xfId="2917"/>
    <cellStyle name="40% - Accent5 128" xfId="2918"/>
    <cellStyle name="40% - Accent5 129" xfId="2919"/>
    <cellStyle name="40% - Accent5 13" xfId="2920"/>
    <cellStyle name="40% - Accent5 130" xfId="2921"/>
    <cellStyle name="40% - Accent5 131" xfId="2922"/>
    <cellStyle name="40% - Accent5 132" xfId="2923"/>
    <cellStyle name="40% - Accent5 133" xfId="2924"/>
    <cellStyle name="40% - Accent5 134" xfId="2925"/>
    <cellStyle name="40% - Accent5 135" xfId="2926"/>
    <cellStyle name="40% - Accent5 136" xfId="2927"/>
    <cellStyle name="40% - Accent5 137" xfId="2928"/>
    <cellStyle name="40% - Accent5 138" xfId="2929"/>
    <cellStyle name="40% - Accent5 139" xfId="2930"/>
    <cellStyle name="40% - Accent5 14" xfId="2931"/>
    <cellStyle name="40% - Accent5 140" xfId="2932"/>
    <cellStyle name="40% - Accent5 141" xfId="2933"/>
    <cellStyle name="40% - Accent5 142" xfId="2934"/>
    <cellStyle name="40% - Accent5 143" xfId="2935"/>
    <cellStyle name="40% - Accent5 144" xfId="2936"/>
    <cellStyle name="40% - Accent5 145" xfId="2937"/>
    <cellStyle name="40% - Accent5 146" xfId="2938"/>
    <cellStyle name="40% - Accent5 147" xfId="2939"/>
    <cellStyle name="40% - Accent5 148" xfId="2940"/>
    <cellStyle name="40% - Accent5 149" xfId="2941"/>
    <cellStyle name="40% - Accent5 15" xfId="2942"/>
    <cellStyle name="40% - Accent5 150" xfId="2943"/>
    <cellStyle name="40% - Accent5 151" xfId="2944"/>
    <cellStyle name="40% - Accent5 152" xfId="2945"/>
    <cellStyle name="40% - Accent5 153" xfId="2946"/>
    <cellStyle name="40% - Accent5 154" xfId="2947"/>
    <cellStyle name="40% - Accent5 155" xfId="2948"/>
    <cellStyle name="40% - Accent5 156" xfId="2949"/>
    <cellStyle name="40% - Accent5 157" xfId="2950"/>
    <cellStyle name="40% - Accent5 158" xfId="2951"/>
    <cellStyle name="40% - Accent5 159" xfId="2952"/>
    <cellStyle name="40% - Accent5 16" xfId="2953"/>
    <cellStyle name="40% - Accent5 160" xfId="2954"/>
    <cellStyle name="40% - Accent5 161" xfId="2955"/>
    <cellStyle name="40% - Accent5 162" xfId="2956"/>
    <cellStyle name="40% - Accent5 163" xfId="2957"/>
    <cellStyle name="40% - Accent5 164" xfId="2958"/>
    <cellStyle name="40% - Accent5 165" xfId="2959"/>
    <cellStyle name="40% - Accent5 166" xfId="2960"/>
    <cellStyle name="40% - Accent5 167" xfId="2961"/>
    <cellStyle name="40% - Accent5 168" xfId="2962"/>
    <cellStyle name="40% - Accent5 169" xfId="2963"/>
    <cellStyle name="40% - Accent5 17" xfId="2964"/>
    <cellStyle name="40% - Accent5 170" xfId="2965"/>
    <cellStyle name="40% - Accent5 171" xfId="2966"/>
    <cellStyle name="40% - Accent5 172" xfId="2967"/>
    <cellStyle name="40% - Accent5 173" xfId="2968"/>
    <cellStyle name="40% - Accent5 174" xfId="2969"/>
    <cellStyle name="40% - Accent5 175" xfId="2970"/>
    <cellStyle name="40% - Accent5 176" xfId="2971"/>
    <cellStyle name="40% - Accent5 177" xfId="2972"/>
    <cellStyle name="40% - Accent5 178" xfId="2973"/>
    <cellStyle name="40% - Accent5 179" xfId="2974"/>
    <cellStyle name="40% - Accent5 18" xfId="2975"/>
    <cellStyle name="40% - Accent5 180" xfId="2976"/>
    <cellStyle name="40% - Accent5 181" xfId="2977"/>
    <cellStyle name="40% - Accent5 182" xfId="2978"/>
    <cellStyle name="40% - Accent5 183" xfId="2979"/>
    <cellStyle name="40% - Accent5 184" xfId="2980"/>
    <cellStyle name="40% - Accent5 185" xfId="2981"/>
    <cellStyle name="40% - Accent5 186" xfId="2982"/>
    <cellStyle name="40% - Accent5 187" xfId="2983"/>
    <cellStyle name="40% - Accent5 188" xfId="2984"/>
    <cellStyle name="40% - Accent5 189" xfId="2985"/>
    <cellStyle name="40% - Accent5 19" xfId="2986"/>
    <cellStyle name="40% - Accent5 190" xfId="2987"/>
    <cellStyle name="40% - Accent5 191" xfId="2988"/>
    <cellStyle name="40% - Accent5 192" xfId="2989"/>
    <cellStyle name="40% - Accent5 193" xfId="2990"/>
    <cellStyle name="40% - Accent5 194" xfId="2991"/>
    <cellStyle name="40% - Accent5 195" xfId="2992"/>
    <cellStyle name="40% - Accent5 196" xfId="2993"/>
    <cellStyle name="40% - Accent5 197" xfId="2994"/>
    <cellStyle name="40% - Accent5 198" xfId="2995"/>
    <cellStyle name="40% - Accent5 199" xfId="2996"/>
    <cellStyle name="40% - Accent5 2" xfId="2997"/>
    <cellStyle name="40% - Accent5 2 2" xfId="2998"/>
    <cellStyle name="40% - Accent5 2 2 2" xfId="2999"/>
    <cellStyle name="40% - Accent5 2 2 3" xfId="3000"/>
    <cellStyle name="40% - Accent5 2 2 4" xfId="3001"/>
    <cellStyle name="40% - Accent5 2 2 5" xfId="3002"/>
    <cellStyle name="40% - Accent5 2 2 6" xfId="3003"/>
    <cellStyle name="40% - Accent5 2 2 7" xfId="3004"/>
    <cellStyle name="40% - Accent5 2 3" xfId="3005"/>
    <cellStyle name="40% - Accent5 2 4" xfId="3006"/>
    <cellStyle name="40% - Accent5 2 5" xfId="3007"/>
    <cellStyle name="40% - Accent5 2 6" xfId="3008"/>
    <cellStyle name="40% - Accent5 2 7" xfId="3009"/>
    <cellStyle name="40% - Accent5 2 8" xfId="3010"/>
    <cellStyle name="40% - Accent5 20" xfId="3011"/>
    <cellStyle name="40% - Accent5 200" xfId="3012"/>
    <cellStyle name="40% - Accent5 201" xfId="3013"/>
    <cellStyle name="40% - Accent5 202" xfId="3014"/>
    <cellStyle name="40% - Accent5 203" xfId="3015"/>
    <cellStyle name="40% - Accent5 204" xfId="3016"/>
    <cellStyle name="40% - Accent5 205" xfId="3017"/>
    <cellStyle name="40% - Accent5 206" xfId="3018"/>
    <cellStyle name="40% - Accent5 207" xfId="3019"/>
    <cellStyle name="40% - Accent5 208" xfId="3020"/>
    <cellStyle name="40% - Accent5 209" xfId="3021"/>
    <cellStyle name="40% - Accent5 21" xfId="3022"/>
    <cellStyle name="40% - Accent5 210" xfId="3023"/>
    <cellStyle name="40% - Accent5 211" xfId="3024"/>
    <cellStyle name="40% - Accent5 212" xfId="3025"/>
    <cellStyle name="40% - Accent5 213" xfId="3026"/>
    <cellStyle name="40% - Accent5 214" xfId="3027"/>
    <cellStyle name="40% - Accent5 215" xfId="3028"/>
    <cellStyle name="40% - Accent5 216" xfId="3029"/>
    <cellStyle name="40% - Accent5 217" xfId="3030"/>
    <cellStyle name="40% - Accent5 218" xfId="3031"/>
    <cellStyle name="40% - Accent5 219" xfId="3032"/>
    <cellStyle name="40% - Accent5 22" xfId="3033"/>
    <cellStyle name="40% - Accent5 220" xfId="3034"/>
    <cellStyle name="40% - Accent5 221" xfId="3035"/>
    <cellStyle name="40% - Accent5 222" xfId="3036"/>
    <cellStyle name="40% - Accent5 223" xfId="3037"/>
    <cellStyle name="40% - Accent5 224" xfId="3038"/>
    <cellStyle name="40% - Accent5 225" xfId="3039"/>
    <cellStyle name="40% - Accent5 226" xfId="3040"/>
    <cellStyle name="40% - Accent5 227" xfId="3041"/>
    <cellStyle name="40% - Accent5 228" xfId="3042"/>
    <cellStyle name="40% - Accent5 229" xfId="3043"/>
    <cellStyle name="40% - Accent5 23" xfId="3044"/>
    <cellStyle name="40% - Accent5 230" xfId="3045"/>
    <cellStyle name="40% - Accent5 231" xfId="3046"/>
    <cellStyle name="40% - Accent5 232" xfId="3047"/>
    <cellStyle name="40% - Accent5 233" xfId="3048"/>
    <cellStyle name="40% - Accent5 234" xfId="3049"/>
    <cellStyle name="40% - Accent5 235" xfId="3050"/>
    <cellStyle name="40% - Accent5 236" xfId="3051"/>
    <cellStyle name="40% - Accent5 237" xfId="3052"/>
    <cellStyle name="40% - Accent5 238" xfId="3053"/>
    <cellStyle name="40% - Accent5 239" xfId="3054"/>
    <cellStyle name="40% - Accent5 24" xfId="3055"/>
    <cellStyle name="40% - Accent5 240" xfId="3056"/>
    <cellStyle name="40% - Accent5 241" xfId="3057"/>
    <cellStyle name="40% - Accent5 242" xfId="3058"/>
    <cellStyle name="40% - Accent5 243" xfId="3059"/>
    <cellStyle name="40% - Accent5 244" xfId="3060"/>
    <cellStyle name="40% - Accent5 245" xfId="3061"/>
    <cellStyle name="40% - Accent5 246" xfId="3062"/>
    <cellStyle name="40% - Accent5 247" xfId="3063"/>
    <cellStyle name="40% - Accent5 248" xfId="3064"/>
    <cellStyle name="40% - Accent5 249" xfId="3065"/>
    <cellStyle name="40% - Accent5 25" xfId="3066"/>
    <cellStyle name="40% - Accent5 26" xfId="3067"/>
    <cellStyle name="40% - Accent5 27" xfId="3068"/>
    <cellStyle name="40% - Accent5 28" xfId="3069"/>
    <cellStyle name="40% - Accent5 29" xfId="3070"/>
    <cellStyle name="40% - Accent5 3" xfId="3071"/>
    <cellStyle name="40% - Accent5 3 2" xfId="3072"/>
    <cellStyle name="40% - Accent5 30" xfId="3073"/>
    <cellStyle name="40% - Accent5 31" xfId="3074"/>
    <cellStyle name="40% - Accent5 32" xfId="3075"/>
    <cellStyle name="40% - Accent5 33" xfId="3076"/>
    <cellStyle name="40% - Accent5 34" xfId="3077"/>
    <cellStyle name="40% - Accent5 35" xfId="3078"/>
    <cellStyle name="40% - Accent5 36" xfId="3079"/>
    <cellStyle name="40% - Accent5 37" xfId="3080"/>
    <cellStyle name="40% - Accent5 38" xfId="3081"/>
    <cellStyle name="40% - Accent5 39" xfId="3082"/>
    <cellStyle name="40% - Accent5 4" xfId="3083"/>
    <cellStyle name="40% - Accent5 4 2" xfId="3084"/>
    <cellStyle name="40% - Accent5 4 3" xfId="3085"/>
    <cellStyle name="40% - Accent5 4 4" xfId="3086"/>
    <cellStyle name="40% - Accent5 4 5" xfId="3087"/>
    <cellStyle name="40% - Accent5 40" xfId="3088"/>
    <cellStyle name="40% - Accent5 41" xfId="3089"/>
    <cellStyle name="40% - Accent5 42" xfId="3090"/>
    <cellStyle name="40% - Accent5 43" xfId="3091"/>
    <cellStyle name="40% - Accent5 44" xfId="3092"/>
    <cellStyle name="40% - Accent5 45" xfId="3093"/>
    <cellStyle name="40% - Accent5 46" xfId="3094"/>
    <cellStyle name="40% - Accent5 47" xfId="3095"/>
    <cellStyle name="40% - Accent5 48" xfId="3096"/>
    <cellStyle name="40% - Accent5 49" xfId="3097"/>
    <cellStyle name="40% - Accent5 5" xfId="3098"/>
    <cellStyle name="40% - Accent5 5 2" xfId="3099"/>
    <cellStyle name="40% - Accent5 5 3" xfId="3100"/>
    <cellStyle name="40% - Accent5 5 4" xfId="3101"/>
    <cellStyle name="40% - Accent5 5 5" xfId="3102"/>
    <cellStyle name="40% - Accent5 50" xfId="3103"/>
    <cellStyle name="40% - Accent5 51" xfId="3104"/>
    <cellStyle name="40% - Accent5 52" xfId="3105"/>
    <cellStyle name="40% - Accent5 53" xfId="3106"/>
    <cellStyle name="40% - Accent5 54" xfId="3107"/>
    <cellStyle name="40% - Accent5 55" xfId="3108"/>
    <cellStyle name="40% - Accent5 56" xfId="3109"/>
    <cellStyle name="40% - Accent5 57" xfId="3110"/>
    <cellStyle name="40% - Accent5 58" xfId="3111"/>
    <cellStyle name="40% - Accent5 59" xfId="3112"/>
    <cellStyle name="40% - Accent5 6" xfId="3113"/>
    <cellStyle name="40% - Accent5 6 2" xfId="3114"/>
    <cellStyle name="40% - Accent5 6 3" xfId="3115"/>
    <cellStyle name="40% - Accent5 6 4" xfId="3116"/>
    <cellStyle name="40% - Accent5 60" xfId="3117"/>
    <cellStyle name="40% - Accent5 61" xfId="3118"/>
    <cellStyle name="40% - Accent5 62" xfId="3119"/>
    <cellStyle name="40% - Accent5 63" xfId="3120"/>
    <cellStyle name="40% - Accent5 64" xfId="3121"/>
    <cellStyle name="40% - Accent5 65" xfId="3122"/>
    <cellStyle name="40% - Accent5 66" xfId="3123"/>
    <cellStyle name="40% - Accent5 67" xfId="3124"/>
    <cellStyle name="40% - Accent5 68" xfId="3125"/>
    <cellStyle name="40% - Accent5 69" xfId="3126"/>
    <cellStyle name="40% - Accent5 7" xfId="3127"/>
    <cellStyle name="40% - Accent5 7 2" xfId="3128"/>
    <cellStyle name="40% - Accent5 7 3" xfId="3129"/>
    <cellStyle name="40% - Accent5 7 4" xfId="3130"/>
    <cellStyle name="40% - Accent5 70" xfId="3131"/>
    <cellStyle name="40% - Accent5 71" xfId="3132"/>
    <cellStyle name="40% - Accent5 72" xfId="3133"/>
    <cellStyle name="40% - Accent5 73" xfId="3134"/>
    <cellStyle name="40% - Accent5 74" xfId="3135"/>
    <cellStyle name="40% - Accent5 75" xfId="3136"/>
    <cellStyle name="40% - Accent5 76" xfId="3137"/>
    <cellStyle name="40% - Accent5 77" xfId="3138"/>
    <cellStyle name="40% - Accent5 78" xfId="3139"/>
    <cellStyle name="40% - Accent5 79" xfId="3140"/>
    <cellStyle name="40% - Accent5 8" xfId="3141"/>
    <cellStyle name="40% - Accent5 8 2" xfId="3142"/>
    <cellStyle name="40% - Accent5 8 3" xfId="3143"/>
    <cellStyle name="40% - Accent5 8 4" xfId="3144"/>
    <cellStyle name="40% - Accent5 80" xfId="3145"/>
    <cellStyle name="40% - Accent5 81" xfId="3146"/>
    <cellStyle name="40% - Accent5 82" xfId="3147"/>
    <cellStyle name="40% - Accent5 83" xfId="3148"/>
    <cellStyle name="40% - Accent5 84" xfId="3149"/>
    <cellStyle name="40% - Accent5 85" xfId="3150"/>
    <cellStyle name="40% - Accent5 86" xfId="3151"/>
    <cellStyle name="40% - Accent5 87" xfId="3152"/>
    <cellStyle name="40% - Accent5 88" xfId="3153"/>
    <cellStyle name="40% - Accent5 89" xfId="3154"/>
    <cellStyle name="40% - Accent5 9" xfId="3155"/>
    <cellStyle name="40% - Accent5 9 2" xfId="3156"/>
    <cellStyle name="40% - Accent5 9 3" xfId="3157"/>
    <cellStyle name="40% - Accent5 9 4" xfId="3158"/>
    <cellStyle name="40% - Accent5 90" xfId="3159"/>
    <cellStyle name="40% - Accent5 91" xfId="3160"/>
    <cellStyle name="40% - Accent5 92" xfId="3161"/>
    <cellStyle name="40% - Accent5 93" xfId="3162"/>
    <cellStyle name="40% - Accent5 94" xfId="3163"/>
    <cellStyle name="40% - Accent5 95" xfId="3164"/>
    <cellStyle name="40% - Accent5 96" xfId="3165"/>
    <cellStyle name="40% - Accent5 97" xfId="3166"/>
    <cellStyle name="40% - Accent5 98" xfId="3167"/>
    <cellStyle name="40% - Accent5 99" xfId="3168"/>
    <cellStyle name="40% - Accent6" xfId="3169" builtinId="51" customBuiltin="1"/>
    <cellStyle name="40% - Accent6 10" xfId="3170"/>
    <cellStyle name="40% - Accent6 10 2" xfId="3171"/>
    <cellStyle name="40% - Accent6 10 3" xfId="3172"/>
    <cellStyle name="40% - Accent6 10 4" xfId="3173"/>
    <cellStyle name="40% - Accent6 100" xfId="3174"/>
    <cellStyle name="40% - Accent6 101" xfId="3175"/>
    <cellStyle name="40% - Accent6 102" xfId="3176"/>
    <cellStyle name="40% - Accent6 103" xfId="3177"/>
    <cellStyle name="40% - Accent6 104" xfId="3178"/>
    <cellStyle name="40% - Accent6 105" xfId="3179"/>
    <cellStyle name="40% - Accent6 106" xfId="3180"/>
    <cellStyle name="40% - Accent6 107" xfId="3181"/>
    <cellStyle name="40% - Accent6 108" xfId="3182"/>
    <cellStyle name="40% - Accent6 109" xfId="3183"/>
    <cellStyle name="40% - Accent6 11" xfId="3184"/>
    <cellStyle name="40% - Accent6 11 2" xfId="3185"/>
    <cellStyle name="40% - Accent6 110" xfId="3186"/>
    <cellStyle name="40% - Accent6 111" xfId="3187"/>
    <cellStyle name="40% - Accent6 112" xfId="3188"/>
    <cellStyle name="40% - Accent6 113" xfId="3189"/>
    <cellStyle name="40% - Accent6 114" xfId="3190"/>
    <cellStyle name="40% - Accent6 115" xfId="3191"/>
    <cellStyle name="40% - Accent6 116" xfId="3192"/>
    <cellStyle name="40% - Accent6 117" xfId="3193"/>
    <cellStyle name="40% - Accent6 118" xfId="3194"/>
    <cellStyle name="40% - Accent6 119" xfId="3195"/>
    <cellStyle name="40% - Accent6 12" xfId="3196"/>
    <cellStyle name="40% - Accent6 12 2" xfId="3197"/>
    <cellStyle name="40% - Accent6 120" xfId="3198"/>
    <cellStyle name="40% - Accent6 121" xfId="3199"/>
    <cellStyle name="40% - Accent6 122" xfId="3200"/>
    <cellStyle name="40% - Accent6 123" xfId="3201"/>
    <cellStyle name="40% - Accent6 124" xfId="3202"/>
    <cellStyle name="40% - Accent6 125" xfId="3203"/>
    <cellStyle name="40% - Accent6 126" xfId="3204"/>
    <cellStyle name="40% - Accent6 127" xfId="3205"/>
    <cellStyle name="40% - Accent6 128" xfId="3206"/>
    <cellStyle name="40% - Accent6 129" xfId="3207"/>
    <cellStyle name="40% - Accent6 13" xfId="3208"/>
    <cellStyle name="40% - Accent6 130" xfId="3209"/>
    <cellStyle name="40% - Accent6 131" xfId="3210"/>
    <cellStyle name="40% - Accent6 132" xfId="3211"/>
    <cellStyle name="40% - Accent6 133" xfId="3212"/>
    <cellStyle name="40% - Accent6 134" xfId="3213"/>
    <cellStyle name="40% - Accent6 135" xfId="3214"/>
    <cellStyle name="40% - Accent6 136" xfId="3215"/>
    <cellStyle name="40% - Accent6 137" xfId="3216"/>
    <cellStyle name="40% - Accent6 138" xfId="3217"/>
    <cellStyle name="40% - Accent6 139" xfId="3218"/>
    <cellStyle name="40% - Accent6 14" xfId="3219"/>
    <cellStyle name="40% - Accent6 140" xfId="3220"/>
    <cellStyle name="40% - Accent6 141" xfId="3221"/>
    <cellStyle name="40% - Accent6 142" xfId="3222"/>
    <cellStyle name="40% - Accent6 143" xfId="3223"/>
    <cellStyle name="40% - Accent6 144" xfId="3224"/>
    <cellStyle name="40% - Accent6 145" xfId="3225"/>
    <cellStyle name="40% - Accent6 146" xfId="3226"/>
    <cellStyle name="40% - Accent6 147" xfId="3227"/>
    <cellStyle name="40% - Accent6 148" xfId="3228"/>
    <cellStyle name="40% - Accent6 149" xfId="3229"/>
    <cellStyle name="40% - Accent6 15" xfId="3230"/>
    <cellStyle name="40% - Accent6 150" xfId="3231"/>
    <cellStyle name="40% - Accent6 151" xfId="3232"/>
    <cellStyle name="40% - Accent6 152" xfId="3233"/>
    <cellStyle name="40% - Accent6 153" xfId="3234"/>
    <cellStyle name="40% - Accent6 154" xfId="3235"/>
    <cellStyle name="40% - Accent6 155" xfId="3236"/>
    <cellStyle name="40% - Accent6 156" xfId="3237"/>
    <cellStyle name="40% - Accent6 157" xfId="3238"/>
    <cellStyle name="40% - Accent6 158" xfId="3239"/>
    <cellStyle name="40% - Accent6 159" xfId="3240"/>
    <cellStyle name="40% - Accent6 16" xfId="3241"/>
    <cellStyle name="40% - Accent6 160" xfId="3242"/>
    <cellStyle name="40% - Accent6 161" xfId="3243"/>
    <cellStyle name="40% - Accent6 162" xfId="3244"/>
    <cellStyle name="40% - Accent6 163" xfId="3245"/>
    <cellStyle name="40% - Accent6 164" xfId="3246"/>
    <cellStyle name="40% - Accent6 165" xfId="3247"/>
    <cellStyle name="40% - Accent6 166" xfId="3248"/>
    <cellStyle name="40% - Accent6 167" xfId="3249"/>
    <cellStyle name="40% - Accent6 168" xfId="3250"/>
    <cellStyle name="40% - Accent6 169" xfId="3251"/>
    <cellStyle name="40% - Accent6 17" xfId="3252"/>
    <cellStyle name="40% - Accent6 170" xfId="3253"/>
    <cellStyle name="40% - Accent6 171" xfId="3254"/>
    <cellStyle name="40% - Accent6 172" xfId="3255"/>
    <cellStyle name="40% - Accent6 173" xfId="3256"/>
    <cellStyle name="40% - Accent6 174" xfId="3257"/>
    <cellStyle name="40% - Accent6 175" xfId="3258"/>
    <cellStyle name="40% - Accent6 176" xfId="3259"/>
    <cellStyle name="40% - Accent6 177" xfId="3260"/>
    <cellStyle name="40% - Accent6 178" xfId="3261"/>
    <cellStyle name="40% - Accent6 179" xfId="3262"/>
    <cellStyle name="40% - Accent6 18" xfId="3263"/>
    <cellStyle name="40% - Accent6 180" xfId="3264"/>
    <cellStyle name="40% - Accent6 181" xfId="3265"/>
    <cellStyle name="40% - Accent6 182" xfId="3266"/>
    <cellStyle name="40% - Accent6 183" xfId="3267"/>
    <cellStyle name="40% - Accent6 184" xfId="3268"/>
    <cellStyle name="40% - Accent6 185" xfId="3269"/>
    <cellStyle name="40% - Accent6 186" xfId="3270"/>
    <cellStyle name="40% - Accent6 187" xfId="3271"/>
    <cellStyle name="40% - Accent6 188" xfId="3272"/>
    <cellStyle name="40% - Accent6 189" xfId="3273"/>
    <cellStyle name="40% - Accent6 19" xfId="3274"/>
    <cellStyle name="40% - Accent6 190" xfId="3275"/>
    <cellStyle name="40% - Accent6 191" xfId="3276"/>
    <cellStyle name="40% - Accent6 192" xfId="3277"/>
    <cellStyle name="40% - Accent6 193" xfId="3278"/>
    <cellStyle name="40% - Accent6 194" xfId="3279"/>
    <cellStyle name="40% - Accent6 195" xfId="3280"/>
    <cellStyle name="40% - Accent6 196" xfId="3281"/>
    <cellStyle name="40% - Accent6 197" xfId="3282"/>
    <cellStyle name="40% - Accent6 198" xfId="3283"/>
    <cellStyle name="40% - Accent6 199" xfId="3284"/>
    <cellStyle name="40% - Accent6 2" xfId="3285"/>
    <cellStyle name="40% - Accent6 2 2" xfId="3286"/>
    <cellStyle name="40% - Accent6 2 2 2" xfId="3287"/>
    <cellStyle name="40% - Accent6 2 2 3" xfId="3288"/>
    <cellStyle name="40% - Accent6 2 2 4" xfId="3289"/>
    <cellStyle name="40% - Accent6 2 2 5" xfId="3290"/>
    <cellStyle name="40% - Accent6 2 2 6" xfId="3291"/>
    <cellStyle name="40% - Accent6 2 2 7" xfId="3292"/>
    <cellStyle name="40% - Accent6 2 3" xfId="3293"/>
    <cellStyle name="40% - Accent6 2 4" xfId="3294"/>
    <cellStyle name="40% - Accent6 2 5" xfId="3295"/>
    <cellStyle name="40% - Accent6 2 6" xfId="3296"/>
    <cellStyle name="40% - Accent6 2 7" xfId="3297"/>
    <cellStyle name="40% - Accent6 2 8" xfId="3298"/>
    <cellStyle name="40% - Accent6 20" xfId="3299"/>
    <cellStyle name="40% - Accent6 200" xfId="3300"/>
    <cellStyle name="40% - Accent6 201" xfId="3301"/>
    <cellStyle name="40% - Accent6 202" xfId="3302"/>
    <cellStyle name="40% - Accent6 203" xfId="3303"/>
    <cellStyle name="40% - Accent6 204" xfId="3304"/>
    <cellStyle name="40% - Accent6 205" xfId="3305"/>
    <cellStyle name="40% - Accent6 206" xfId="3306"/>
    <cellStyle name="40% - Accent6 207" xfId="3307"/>
    <cellStyle name="40% - Accent6 208" xfId="3308"/>
    <cellStyle name="40% - Accent6 209" xfId="3309"/>
    <cellStyle name="40% - Accent6 21" xfId="3310"/>
    <cellStyle name="40% - Accent6 210" xfId="3311"/>
    <cellStyle name="40% - Accent6 211" xfId="3312"/>
    <cellStyle name="40% - Accent6 212" xfId="3313"/>
    <cellStyle name="40% - Accent6 213" xfId="3314"/>
    <cellStyle name="40% - Accent6 214" xfId="3315"/>
    <cellStyle name="40% - Accent6 215" xfId="3316"/>
    <cellStyle name="40% - Accent6 216" xfId="3317"/>
    <cellStyle name="40% - Accent6 217" xfId="3318"/>
    <cellStyle name="40% - Accent6 218" xfId="3319"/>
    <cellStyle name="40% - Accent6 219" xfId="3320"/>
    <cellStyle name="40% - Accent6 22" xfId="3321"/>
    <cellStyle name="40% - Accent6 220" xfId="3322"/>
    <cellStyle name="40% - Accent6 221" xfId="3323"/>
    <cellStyle name="40% - Accent6 222" xfId="3324"/>
    <cellStyle name="40% - Accent6 223" xfId="3325"/>
    <cellStyle name="40% - Accent6 224" xfId="3326"/>
    <cellStyle name="40% - Accent6 225" xfId="3327"/>
    <cellStyle name="40% - Accent6 226" xfId="3328"/>
    <cellStyle name="40% - Accent6 227" xfId="3329"/>
    <cellStyle name="40% - Accent6 228" xfId="3330"/>
    <cellStyle name="40% - Accent6 229" xfId="3331"/>
    <cellStyle name="40% - Accent6 23" xfId="3332"/>
    <cellStyle name="40% - Accent6 230" xfId="3333"/>
    <cellStyle name="40% - Accent6 231" xfId="3334"/>
    <cellStyle name="40% - Accent6 232" xfId="3335"/>
    <cellStyle name="40% - Accent6 233" xfId="3336"/>
    <cellStyle name="40% - Accent6 234" xfId="3337"/>
    <cellStyle name="40% - Accent6 235" xfId="3338"/>
    <cellStyle name="40% - Accent6 236" xfId="3339"/>
    <cellStyle name="40% - Accent6 237" xfId="3340"/>
    <cellStyle name="40% - Accent6 238" xfId="3341"/>
    <cellStyle name="40% - Accent6 239" xfId="3342"/>
    <cellStyle name="40% - Accent6 24" xfId="3343"/>
    <cellStyle name="40% - Accent6 240" xfId="3344"/>
    <cellStyle name="40% - Accent6 241" xfId="3345"/>
    <cellStyle name="40% - Accent6 242" xfId="3346"/>
    <cellStyle name="40% - Accent6 243" xfId="3347"/>
    <cellStyle name="40% - Accent6 244" xfId="3348"/>
    <cellStyle name="40% - Accent6 245" xfId="3349"/>
    <cellStyle name="40% - Accent6 246" xfId="3350"/>
    <cellStyle name="40% - Accent6 247" xfId="3351"/>
    <cellStyle name="40% - Accent6 248" xfId="3352"/>
    <cellStyle name="40% - Accent6 249" xfId="3353"/>
    <cellStyle name="40% - Accent6 25" xfId="3354"/>
    <cellStyle name="40% - Accent6 26" xfId="3355"/>
    <cellStyle name="40% - Accent6 27" xfId="3356"/>
    <cellStyle name="40% - Accent6 28" xfId="3357"/>
    <cellStyle name="40% - Accent6 29" xfId="3358"/>
    <cellStyle name="40% - Accent6 3" xfId="3359"/>
    <cellStyle name="40% - Accent6 3 2" xfId="3360"/>
    <cellStyle name="40% - Accent6 30" xfId="3361"/>
    <cellStyle name="40% - Accent6 31" xfId="3362"/>
    <cellStyle name="40% - Accent6 32" xfId="3363"/>
    <cellStyle name="40% - Accent6 33" xfId="3364"/>
    <cellStyle name="40% - Accent6 34" xfId="3365"/>
    <cellStyle name="40% - Accent6 35" xfId="3366"/>
    <cellStyle name="40% - Accent6 36" xfId="3367"/>
    <cellStyle name="40% - Accent6 37" xfId="3368"/>
    <cellStyle name="40% - Accent6 38" xfId="3369"/>
    <cellStyle name="40% - Accent6 39" xfId="3370"/>
    <cellStyle name="40% - Accent6 4" xfId="3371"/>
    <cellStyle name="40% - Accent6 4 2" xfId="3372"/>
    <cellStyle name="40% - Accent6 4 3" xfId="3373"/>
    <cellStyle name="40% - Accent6 4 4" xfId="3374"/>
    <cellStyle name="40% - Accent6 4 5" xfId="3375"/>
    <cellStyle name="40% - Accent6 40" xfId="3376"/>
    <cellStyle name="40% - Accent6 41" xfId="3377"/>
    <cellStyle name="40% - Accent6 42" xfId="3378"/>
    <cellStyle name="40% - Accent6 43" xfId="3379"/>
    <cellStyle name="40% - Accent6 44" xfId="3380"/>
    <cellStyle name="40% - Accent6 45" xfId="3381"/>
    <cellStyle name="40% - Accent6 46" xfId="3382"/>
    <cellStyle name="40% - Accent6 47" xfId="3383"/>
    <cellStyle name="40% - Accent6 48" xfId="3384"/>
    <cellStyle name="40% - Accent6 49" xfId="3385"/>
    <cellStyle name="40% - Accent6 5" xfId="3386"/>
    <cellStyle name="40% - Accent6 5 2" xfId="3387"/>
    <cellStyle name="40% - Accent6 5 3" xfId="3388"/>
    <cellStyle name="40% - Accent6 5 4" xfId="3389"/>
    <cellStyle name="40% - Accent6 5 5" xfId="3390"/>
    <cellStyle name="40% - Accent6 50" xfId="3391"/>
    <cellStyle name="40% - Accent6 51" xfId="3392"/>
    <cellStyle name="40% - Accent6 52" xfId="3393"/>
    <cellStyle name="40% - Accent6 53" xfId="3394"/>
    <cellStyle name="40% - Accent6 54" xfId="3395"/>
    <cellStyle name="40% - Accent6 55" xfId="3396"/>
    <cellStyle name="40% - Accent6 56" xfId="3397"/>
    <cellStyle name="40% - Accent6 57" xfId="3398"/>
    <cellStyle name="40% - Accent6 58" xfId="3399"/>
    <cellStyle name="40% - Accent6 59" xfId="3400"/>
    <cellStyle name="40% - Accent6 6" xfId="3401"/>
    <cellStyle name="40% - Accent6 6 2" xfId="3402"/>
    <cellStyle name="40% - Accent6 6 3" xfId="3403"/>
    <cellStyle name="40% - Accent6 6 4" xfId="3404"/>
    <cellStyle name="40% - Accent6 60" xfId="3405"/>
    <cellStyle name="40% - Accent6 61" xfId="3406"/>
    <cellStyle name="40% - Accent6 62" xfId="3407"/>
    <cellStyle name="40% - Accent6 63" xfId="3408"/>
    <cellStyle name="40% - Accent6 64" xfId="3409"/>
    <cellStyle name="40% - Accent6 65" xfId="3410"/>
    <cellStyle name="40% - Accent6 66" xfId="3411"/>
    <cellStyle name="40% - Accent6 67" xfId="3412"/>
    <cellStyle name="40% - Accent6 68" xfId="3413"/>
    <cellStyle name="40% - Accent6 69" xfId="3414"/>
    <cellStyle name="40% - Accent6 7" xfId="3415"/>
    <cellStyle name="40% - Accent6 7 2" xfId="3416"/>
    <cellStyle name="40% - Accent6 7 3" xfId="3417"/>
    <cellStyle name="40% - Accent6 7 4" xfId="3418"/>
    <cellStyle name="40% - Accent6 70" xfId="3419"/>
    <cellStyle name="40% - Accent6 71" xfId="3420"/>
    <cellStyle name="40% - Accent6 72" xfId="3421"/>
    <cellStyle name="40% - Accent6 73" xfId="3422"/>
    <cellStyle name="40% - Accent6 74" xfId="3423"/>
    <cellStyle name="40% - Accent6 75" xfId="3424"/>
    <cellStyle name="40% - Accent6 76" xfId="3425"/>
    <cellStyle name="40% - Accent6 77" xfId="3426"/>
    <cellStyle name="40% - Accent6 78" xfId="3427"/>
    <cellStyle name="40% - Accent6 79" xfId="3428"/>
    <cellStyle name="40% - Accent6 8" xfId="3429"/>
    <cellStyle name="40% - Accent6 8 2" xfId="3430"/>
    <cellStyle name="40% - Accent6 8 3" xfId="3431"/>
    <cellStyle name="40% - Accent6 8 4" xfId="3432"/>
    <cellStyle name="40% - Accent6 80" xfId="3433"/>
    <cellStyle name="40% - Accent6 81" xfId="3434"/>
    <cellStyle name="40% - Accent6 82" xfId="3435"/>
    <cellStyle name="40% - Accent6 83" xfId="3436"/>
    <cellStyle name="40% - Accent6 84" xfId="3437"/>
    <cellStyle name="40% - Accent6 85" xfId="3438"/>
    <cellStyle name="40% - Accent6 86" xfId="3439"/>
    <cellStyle name="40% - Accent6 87" xfId="3440"/>
    <cellStyle name="40% - Accent6 88" xfId="3441"/>
    <cellStyle name="40% - Accent6 89" xfId="3442"/>
    <cellStyle name="40% - Accent6 9" xfId="3443"/>
    <cellStyle name="40% - Accent6 9 2" xfId="3444"/>
    <cellStyle name="40% - Accent6 9 3" xfId="3445"/>
    <cellStyle name="40% - Accent6 9 4" xfId="3446"/>
    <cellStyle name="40% - Accent6 90" xfId="3447"/>
    <cellStyle name="40% - Accent6 91" xfId="3448"/>
    <cellStyle name="40% - Accent6 92" xfId="3449"/>
    <cellStyle name="40% - Accent6 93" xfId="3450"/>
    <cellStyle name="40% - Accent6 94" xfId="3451"/>
    <cellStyle name="40% - Accent6 95" xfId="3452"/>
    <cellStyle name="40% - Accent6 96" xfId="3453"/>
    <cellStyle name="40% - Accent6 97" xfId="3454"/>
    <cellStyle name="40% - Accent6 98" xfId="3455"/>
    <cellStyle name="40% - Accent6 99" xfId="3456"/>
    <cellStyle name="60% - Accent1" xfId="3457" builtinId="32" customBuiltin="1"/>
    <cellStyle name="60% - Accent1 10" xfId="3458"/>
    <cellStyle name="60% - Accent1 10 2" xfId="3459"/>
    <cellStyle name="60% - Accent1 10 3" xfId="3460"/>
    <cellStyle name="60% - Accent1 10 4" xfId="3461"/>
    <cellStyle name="60% - Accent1 100" xfId="3462"/>
    <cellStyle name="60% - Accent1 101" xfId="3463"/>
    <cellStyle name="60% - Accent1 102" xfId="3464"/>
    <cellStyle name="60% - Accent1 103" xfId="3465"/>
    <cellStyle name="60% - Accent1 104" xfId="3466"/>
    <cellStyle name="60% - Accent1 105" xfId="3467"/>
    <cellStyle name="60% - Accent1 106" xfId="3468"/>
    <cellStyle name="60% - Accent1 107" xfId="3469"/>
    <cellStyle name="60% - Accent1 108" xfId="3470"/>
    <cellStyle name="60% - Accent1 109" xfId="3471"/>
    <cellStyle name="60% - Accent1 11" xfId="3472"/>
    <cellStyle name="60% - Accent1 11 2" xfId="3473"/>
    <cellStyle name="60% - Accent1 110" xfId="3474"/>
    <cellStyle name="60% - Accent1 111" xfId="3475"/>
    <cellStyle name="60% - Accent1 112" xfId="3476"/>
    <cellStyle name="60% - Accent1 113" xfId="3477"/>
    <cellStyle name="60% - Accent1 114" xfId="3478"/>
    <cellStyle name="60% - Accent1 115" xfId="3479"/>
    <cellStyle name="60% - Accent1 116" xfId="3480"/>
    <cellStyle name="60% - Accent1 117" xfId="3481"/>
    <cellStyle name="60% - Accent1 118" xfId="3482"/>
    <cellStyle name="60% - Accent1 119" xfId="3483"/>
    <cellStyle name="60% - Accent1 12" xfId="3484"/>
    <cellStyle name="60% - Accent1 12 2" xfId="3485"/>
    <cellStyle name="60% - Accent1 120" xfId="3486"/>
    <cellStyle name="60% - Accent1 121" xfId="3487"/>
    <cellStyle name="60% - Accent1 122" xfId="3488"/>
    <cellStyle name="60% - Accent1 123" xfId="3489"/>
    <cellStyle name="60% - Accent1 124" xfId="3490"/>
    <cellStyle name="60% - Accent1 125" xfId="3491"/>
    <cellStyle name="60% - Accent1 126" xfId="3492"/>
    <cellStyle name="60% - Accent1 127" xfId="3493"/>
    <cellStyle name="60% - Accent1 128" xfId="3494"/>
    <cellStyle name="60% - Accent1 129" xfId="3495"/>
    <cellStyle name="60% - Accent1 13" xfId="3496"/>
    <cellStyle name="60% - Accent1 130" xfId="3497"/>
    <cellStyle name="60% - Accent1 131" xfId="3498"/>
    <cellStyle name="60% - Accent1 132" xfId="3499"/>
    <cellStyle name="60% - Accent1 133" xfId="3500"/>
    <cellStyle name="60% - Accent1 134" xfId="3501"/>
    <cellStyle name="60% - Accent1 135" xfId="3502"/>
    <cellStyle name="60% - Accent1 136" xfId="3503"/>
    <cellStyle name="60% - Accent1 137" xfId="3504"/>
    <cellStyle name="60% - Accent1 138" xfId="3505"/>
    <cellStyle name="60% - Accent1 139" xfId="3506"/>
    <cellStyle name="60% - Accent1 14" xfId="3507"/>
    <cellStyle name="60% - Accent1 140" xfId="3508"/>
    <cellStyle name="60% - Accent1 141" xfId="3509"/>
    <cellStyle name="60% - Accent1 142" xfId="3510"/>
    <cellStyle name="60% - Accent1 143" xfId="3511"/>
    <cellStyle name="60% - Accent1 144" xfId="3512"/>
    <cellStyle name="60% - Accent1 145" xfId="3513"/>
    <cellStyle name="60% - Accent1 146" xfId="3514"/>
    <cellStyle name="60% - Accent1 147" xfId="3515"/>
    <cellStyle name="60% - Accent1 148" xfId="3516"/>
    <cellStyle name="60% - Accent1 149" xfId="3517"/>
    <cellStyle name="60% - Accent1 15" xfId="3518"/>
    <cellStyle name="60% - Accent1 150" xfId="3519"/>
    <cellStyle name="60% - Accent1 151" xfId="3520"/>
    <cellStyle name="60% - Accent1 152" xfId="3521"/>
    <cellStyle name="60% - Accent1 153" xfId="3522"/>
    <cellStyle name="60% - Accent1 154" xfId="3523"/>
    <cellStyle name="60% - Accent1 155" xfId="3524"/>
    <cellStyle name="60% - Accent1 156" xfId="3525"/>
    <cellStyle name="60% - Accent1 157" xfId="3526"/>
    <cellStyle name="60% - Accent1 158" xfId="3527"/>
    <cellStyle name="60% - Accent1 159" xfId="3528"/>
    <cellStyle name="60% - Accent1 16" xfId="3529"/>
    <cellStyle name="60% - Accent1 160" xfId="3530"/>
    <cellStyle name="60% - Accent1 161" xfId="3531"/>
    <cellStyle name="60% - Accent1 162" xfId="3532"/>
    <cellStyle name="60% - Accent1 163" xfId="3533"/>
    <cellStyle name="60% - Accent1 164" xfId="3534"/>
    <cellStyle name="60% - Accent1 165" xfId="3535"/>
    <cellStyle name="60% - Accent1 166" xfId="3536"/>
    <cellStyle name="60% - Accent1 167" xfId="3537"/>
    <cellStyle name="60% - Accent1 168" xfId="3538"/>
    <cellStyle name="60% - Accent1 169" xfId="3539"/>
    <cellStyle name="60% - Accent1 17" xfId="3540"/>
    <cellStyle name="60% - Accent1 170" xfId="3541"/>
    <cellStyle name="60% - Accent1 171" xfId="3542"/>
    <cellStyle name="60% - Accent1 172" xfId="3543"/>
    <cellStyle name="60% - Accent1 173" xfId="3544"/>
    <cellStyle name="60% - Accent1 174" xfId="3545"/>
    <cellStyle name="60% - Accent1 175" xfId="3546"/>
    <cellStyle name="60% - Accent1 176" xfId="3547"/>
    <cellStyle name="60% - Accent1 177" xfId="3548"/>
    <cellStyle name="60% - Accent1 178" xfId="3549"/>
    <cellStyle name="60% - Accent1 179" xfId="3550"/>
    <cellStyle name="60% - Accent1 18" xfId="3551"/>
    <cellStyle name="60% - Accent1 180" xfId="3552"/>
    <cellStyle name="60% - Accent1 181" xfId="3553"/>
    <cellStyle name="60% - Accent1 182" xfId="3554"/>
    <cellStyle name="60% - Accent1 183" xfId="3555"/>
    <cellStyle name="60% - Accent1 184" xfId="3556"/>
    <cellStyle name="60% - Accent1 185" xfId="3557"/>
    <cellStyle name="60% - Accent1 186" xfId="3558"/>
    <cellStyle name="60% - Accent1 187" xfId="3559"/>
    <cellStyle name="60% - Accent1 188" xfId="3560"/>
    <cellStyle name="60% - Accent1 189" xfId="3561"/>
    <cellStyle name="60% - Accent1 19" xfId="3562"/>
    <cellStyle name="60% - Accent1 190" xfId="3563"/>
    <cellStyle name="60% - Accent1 191" xfId="3564"/>
    <cellStyle name="60% - Accent1 192" xfId="3565"/>
    <cellStyle name="60% - Accent1 193" xfId="3566"/>
    <cellStyle name="60% - Accent1 194" xfId="3567"/>
    <cellStyle name="60% - Accent1 195" xfId="3568"/>
    <cellStyle name="60% - Accent1 196" xfId="3569"/>
    <cellStyle name="60% - Accent1 197" xfId="3570"/>
    <cellStyle name="60% - Accent1 198" xfId="3571"/>
    <cellStyle name="60% - Accent1 199" xfId="3572"/>
    <cellStyle name="60% - Accent1 2" xfId="3573"/>
    <cellStyle name="60% - Accent1 2 2" xfId="3574"/>
    <cellStyle name="60% - Accent1 2 2 2" xfId="3575"/>
    <cellStyle name="60% - Accent1 2 2 3" xfId="3576"/>
    <cellStyle name="60% - Accent1 2 2 4" xfId="3577"/>
    <cellStyle name="60% - Accent1 2 2 5" xfId="3578"/>
    <cellStyle name="60% - Accent1 2 2 6" xfId="3579"/>
    <cellStyle name="60% - Accent1 2 2 7" xfId="3580"/>
    <cellStyle name="60% - Accent1 2 3" xfId="3581"/>
    <cellStyle name="60% - Accent1 2 4" xfId="3582"/>
    <cellStyle name="60% - Accent1 2 5" xfId="3583"/>
    <cellStyle name="60% - Accent1 2 6" xfId="3584"/>
    <cellStyle name="60% - Accent1 2 7" xfId="3585"/>
    <cellStyle name="60% - Accent1 2 8" xfId="3586"/>
    <cellStyle name="60% - Accent1 20" xfId="3587"/>
    <cellStyle name="60% - Accent1 200" xfId="3588"/>
    <cellStyle name="60% - Accent1 201" xfId="3589"/>
    <cellStyle name="60% - Accent1 202" xfId="3590"/>
    <cellStyle name="60% - Accent1 203" xfId="3591"/>
    <cellStyle name="60% - Accent1 204" xfId="3592"/>
    <cellStyle name="60% - Accent1 205" xfId="3593"/>
    <cellStyle name="60% - Accent1 206" xfId="3594"/>
    <cellStyle name="60% - Accent1 207" xfId="3595"/>
    <cellStyle name="60% - Accent1 208" xfId="3596"/>
    <cellStyle name="60% - Accent1 209" xfId="3597"/>
    <cellStyle name="60% - Accent1 21" xfId="3598"/>
    <cellStyle name="60% - Accent1 210" xfId="3599"/>
    <cellStyle name="60% - Accent1 211" xfId="3600"/>
    <cellStyle name="60% - Accent1 212" xfId="3601"/>
    <cellStyle name="60% - Accent1 213" xfId="3602"/>
    <cellStyle name="60% - Accent1 214" xfId="3603"/>
    <cellStyle name="60% - Accent1 215" xfId="3604"/>
    <cellStyle name="60% - Accent1 216" xfId="3605"/>
    <cellStyle name="60% - Accent1 217" xfId="3606"/>
    <cellStyle name="60% - Accent1 218" xfId="3607"/>
    <cellStyle name="60% - Accent1 219" xfId="3608"/>
    <cellStyle name="60% - Accent1 22" xfId="3609"/>
    <cellStyle name="60% - Accent1 220" xfId="3610"/>
    <cellStyle name="60% - Accent1 221" xfId="3611"/>
    <cellStyle name="60% - Accent1 222" xfId="3612"/>
    <cellStyle name="60% - Accent1 223" xfId="3613"/>
    <cellStyle name="60% - Accent1 224" xfId="3614"/>
    <cellStyle name="60% - Accent1 225" xfId="3615"/>
    <cellStyle name="60% - Accent1 226" xfId="3616"/>
    <cellStyle name="60% - Accent1 227" xfId="3617"/>
    <cellStyle name="60% - Accent1 228" xfId="3618"/>
    <cellStyle name="60% - Accent1 229" xfId="3619"/>
    <cellStyle name="60% - Accent1 23" xfId="3620"/>
    <cellStyle name="60% - Accent1 230" xfId="3621"/>
    <cellStyle name="60% - Accent1 231" xfId="3622"/>
    <cellStyle name="60% - Accent1 232" xfId="3623"/>
    <cellStyle name="60% - Accent1 233" xfId="3624"/>
    <cellStyle name="60% - Accent1 234" xfId="3625"/>
    <cellStyle name="60% - Accent1 235" xfId="3626"/>
    <cellStyle name="60% - Accent1 236" xfId="3627"/>
    <cellStyle name="60% - Accent1 237" xfId="3628"/>
    <cellStyle name="60% - Accent1 238" xfId="3629"/>
    <cellStyle name="60% - Accent1 239" xfId="3630"/>
    <cellStyle name="60% - Accent1 24" xfId="3631"/>
    <cellStyle name="60% - Accent1 240" xfId="3632"/>
    <cellStyle name="60% - Accent1 241" xfId="3633"/>
    <cellStyle name="60% - Accent1 242" xfId="3634"/>
    <cellStyle name="60% - Accent1 243" xfId="3635"/>
    <cellStyle name="60% - Accent1 244" xfId="3636"/>
    <cellStyle name="60% - Accent1 245" xfId="3637"/>
    <cellStyle name="60% - Accent1 246" xfId="3638"/>
    <cellStyle name="60% - Accent1 247" xfId="3639"/>
    <cellStyle name="60% - Accent1 248" xfId="3640"/>
    <cellStyle name="60% - Accent1 249" xfId="3641"/>
    <cellStyle name="60% - Accent1 25" xfId="3642"/>
    <cellStyle name="60% - Accent1 26" xfId="3643"/>
    <cellStyle name="60% - Accent1 27" xfId="3644"/>
    <cellStyle name="60% - Accent1 28" xfId="3645"/>
    <cellStyle name="60% - Accent1 29" xfId="3646"/>
    <cellStyle name="60% - Accent1 3" xfId="3647"/>
    <cellStyle name="60% - Accent1 3 2" xfId="3648"/>
    <cellStyle name="60% - Accent1 30" xfId="3649"/>
    <cellStyle name="60% - Accent1 31" xfId="3650"/>
    <cellStyle name="60% - Accent1 32" xfId="3651"/>
    <cellStyle name="60% - Accent1 33" xfId="3652"/>
    <cellStyle name="60% - Accent1 34" xfId="3653"/>
    <cellStyle name="60% - Accent1 35" xfId="3654"/>
    <cellStyle name="60% - Accent1 36" xfId="3655"/>
    <cellStyle name="60% - Accent1 37" xfId="3656"/>
    <cellStyle name="60% - Accent1 38" xfId="3657"/>
    <cellStyle name="60% - Accent1 39" xfId="3658"/>
    <cellStyle name="60% - Accent1 4" xfId="3659"/>
    <cellStyle name="60% - Accent1 4 2" xfId="3660"/>
    <cellStyle name="60% - Accent1 4 3" xfId="3661"/>
    <cellStyle name="60% - Accent1 4 4" xfId="3662"/>
    <cellStyle name="60% - Accent1 4 5" xfId="3663"/>
    <cellStyle name="60% - Accent1 40" xfId="3664"/>
    <cellStyle name="60% - Accent1 41" xfId="3665"/>
    <cellStyle name="60% - Accent1 42" xfId="3666"/>
    <cellStyle name="60% - Accent1 43" xfId="3667"/>
    <cellStyle name="60% - Accent1 44" xfId="3668"/>
    <cellStyle name="60% - Accent1 45" xfId="3669"/>
    <cellStyle name="60% - Accent1 46" xfId="3670"/>
    <cellStyle name="60% - Accent1 47" xfId="3671"/>
    <cellStyle name="60% - Accent1 48" xfId="3672"/>
    <cellStyle name="60% - Accent1 49" xfId="3673"/>
    <cellStyle name="60% - Accent1 5" xfId="3674"/>
    <cellStyle name="60% - Accent1 5 2" xfId="3675"/>
    <cellStyle name="60% - Accent1 5 3" xfId="3676"/>
    <cellStyle name="60% - Accent1 5 4" xfId="3677"/>
    <cellStyle name="60% - Accent1 5 5" xfId="3678"/>
    <cellStyle name="60% - Accent1 50" xfId="3679"/>
    <cellStyle name="60% - Accent1 51" xfId="3680"/>
    <cellStyle name="60% - Accent1 52" xfId="3681"/>
    <cellStyle name="60% - Accent1 53" xfId="3682"/>
    <cellStyle name="60% - Accent1 54" xfId="3683"/>
    <cellStyle name="60% - Accent1 55" xfId="3684"/>
    <cellStyle name="60% - Accent1 56" xfId="3685"/>
    <cellStyle name="60% - Accent1 57" xfId="3686"/>
    <cellStyle name="60% - Accent1 58" xfId="3687"/>
    <cellStyle name="60% - Accent1 59" xfId="3688"/>
    <cellStyle name="60% - Accent1 6" xfId="3689"/>
    <cellStyle name="60% - Accent1 6 2" xfId="3690"/>
    <cellStyle name="60% - Accent1 6 3" xfId="3691"/>
    <cellStyle name="60% - Accent1 6 4" xfId="3692"/>
    <cellStyle name="60% - Accent1 60" xfId="3693"/>
    <cellStyle name="60% - Accent1 61" xfId="3694"/>
    <cellStyle name="60% - Accent1 62" xfId="3695"/>
    <cellStyle name="60% - Accent1 63" xfId="3696"/>
    <cellStyle name="60% - Accent1 64" xfId="3697"/>
    <cellStyle name="60% - Accent1 65" xfId="3698"/>
    <cellStyle name="60% - Accent1 66" xfId="3699"/>
    <cellStyle name="60% - Accent1 67" xfId="3700"/>
    <cellStyle name="60% - Accent1 68" xfId="3701"/>
    <cellStyle name="60% - Accent1 69" xfId="3702"/>
    <cellStyle name="60% - Accent1 7" xfId="3703"/>
    <cellStyle name="60% - Accent1 7 2" xfId="3704"/>
    <cellStyle name="60% - Accent1 7 3" xfId="3705"/>
    <cellStyle name="60% - Accent1 7 4" xfId="3706"/>
    <cellStyle name="60% - Accent1 70" xfId="3707"/>
    <cellStyle name="60% - Accent1 71" xfId="3708"/>
    <cellStyle name="60% - Accent1 72" xfId="3709"/>
    <cellStyle name="60% - Accent1 73" xfId="3710"/>
    <cellStyle name="60% - Accent1 74" xfId="3711"/>
    <cellStyle name="60% - Accent1 75" xfId="3712"/>
    <cellStyle name="60% - Accent1 76" xfId="3713"/>
    <cellStyle name="60% - Accent1 77" xfId="3714"/>
    <cellStyle name="60% - Accent1 78" xfId="3715"/>
    <cellStyle name="60% - Accent1 79" xfId="3716"/>
    <cellStyle name="60% - Accent1 8" xfId="3717"/>
    <cellStyle name="60% - Accent1 8 2" xfId="3718"/>
    <cellStyle name="60% - Accent1 8 3" xfId="3719"/>
    <cellStyle name="60% - Accent1 8 4" xfId="3720"/>
    <cellStyle name="60% - Accent1 80" xfId="3721"/>
    <cellStyle name="60% - Accent1 81" xfId="3722"/>
    <cellStyle name="60% - Accent1 82" xfId="3723"/>
    <cellStyle name="60% - Accent1 83" xfId="3724"/>
    <cellStyle name="60% - Accent1 84" xfId="3725"/>
    <cellStyle name="60% - Accent1 85" xfId="3726"/>
    <cellStyle name="60% - Accent1 86" xfId="3727"/>
    <cellStyle name="60% - Accent1 87" xfId="3728"/>
    <cellStyle name="60% - Accent1 88" xfId="3729"/>
    <cellStyle name="60% - Accent1 89" xfId="3730"/>
    <cellStyle name="60% - Accent1 9" xfId="3731"/>
    <cellStyle name="60% - Accent1 9 2" xfId="3732"/>
    <cellStyle name="60% - Accent1 9 3" xfId="3733"/>
    <cellStyle name="60% - Accent1 9 4" xfId="3734"/>
    <cellStyle name="60% - Accent1 90" xfId="3735"/>
    <cellStyle name="60% - Accent1 91" xfId="3736"/>
    <cellStyle name="60% - Accent1 92" xfId="3737"/>
    <cellStyle name="60% - Accent1 93" xfId="3738"/>
    <cellStyle name="60% - Accent1 94" xfId="3739"/>
    <cellStyle name="60% - Accent1 95" xfId="3740"/>
    <cellStyle name="60% - Accent1 96" xfId="3741"/>
    <cellStyle name="60% - Accent1 97" xfId="3742"/>
    <cellStyle name="60% - Accent1 98" xfId="3743"/>
    <cellStyle name="60% - Accent1 99" xfId="3744"/>
    <cellStyle name="60% - Accent2" xfId="3745" builtinId="36" customBuiltin="1"/>
    <cellStyle name="60% - Accent2 10" xfId="3746"/>
    <cellStyle name="60% - Accent2 10 2" xfId="3747"/>
    <cellStyle name="60% - Accent2 10 3" xfId="3748"/>
    <cellStyle name="60% - Accent2 10 4" xfId="3749"/>
    <cellStyle name="60% - Accent2 100" xfId="3750"/>
    <cellStyle name="60% - Accent2 101" xfId="3751"/>
    <cellStyle name="60% - Accent2 102" xfId="3752"/>
    <cellStyle name="60% - Accent2 103" xfId="3753"/>
    <cellStyle name="60% - Accent2 104" xfId="3754"/>
    <cellStyle name="60% - Accent2 105" xfId="3755"/>
    <cellStyle name="60% - Accent2 106" xfId="3756"/>
    <cellStyle name="60% - Accent2 107" xfId="3757"/>
    <cellStyle name="60% - Accent2 108" xfId="3758"/>
    <cellStyle name="60% - Accent2 109" xfId="3759"/>
    <cellStyle name="60% - Accent2 11" xfId="3760"/>
    <cellStyle name="60% - Accent2 11 2" xfId="3761"/>
    <cellStyle name="60% - Accent2 110" xfId="3762"/>
    <cellStyle name="60% - Accent2 111" xfId="3763"/>
    <cellStyle name="60% - Accent2 112" xfId="3764"/>
    <cellStyle name="60% - Accent2 113" xfId="3765"/>
    <cellStyle name="60% - Accent2 114" xfId="3766"/>
    <cellStyle name="60% - Accent2 115" xfId="3767"/>
    <cellStyle name="60% - Accent2 116" xfId="3768"/>
    <cellStyle name="60% - Accent2 117" xfId="3769"/>
    <cellStyle name="60% - Accent2 118" xfId="3770"/>
    <cellStyle name="60% - Accent2 119" xfId="3771"/>
    <cellStyle name="60% - Accent2 12" xfId="3772"/>
    <cellStyle name="60% - Accent2 12 2" xfId="3773"/>
    <cellStyle name="60% - Accent2 120" xfId="3774"/>
    <cellStyle name="60% - Accent2 121" xfId="3775"/>
    <cellStyle name="60% - Accent2 122" xfId="3776"/>
    <cellStyle name="60% - Accent2 123" xfId="3777"/>
    <cellStyle name="60% - Accent2 124" xfId="3778"/>
    <cellStyle name="60% - Accent2 125" xfId="3779"/>
    <cellStyle name="60% - Accent2 126" xfId="3780"/>
    <cellStyle name="60% - Accent2 127" xfId="3781"/>
    <cellStyle name="60% - Accent2 128" xfId="3782"/>
    <cellStyle name="60% - Accent2 129" xfId="3783"/>
    <cellStyle name="60% - Accent2 13" xfId="3784"/>
    <cellStyle name="60% - Accent2 130" xfId="3785"/>
    <cellStyle name="60% - Accent2 131" xfId="3786"/>
    <cellStyle name="60% - Accent2 132" xfId="3787"/>
    <cellStyle name="60% - Accent2 133" xfId="3788"/>
    <cellStyle name="60% - Accent2 134" xfId="3789"/>
    <cellStyle name="60% - Accent2 135" xfId="3790"/>
    <cellStyle name="60% - Accent2 136" xfId="3791"/>
    <cellStyle name="60% - Accent2 137" xfId="3792"/>
    <cellStyle name="60% - Accent2 138" xfId="3793"/>
    <cellStyle name="60% - Accent2 139" xfId="3794"/>
    <cellStyle name="60% - Accent2 14" xfId="3795"/>
    <cellStyle name="60% - Accent2 140" xfId="3796"/>
    <cellStyle name="60% - Accent2 141" xfId="3797"/>
    <cellStyle name="60% - Accent2 142" xfId="3798"/>
    <cellStyle name="60% - Accent2 143" xfId="3799"/>
    <cellStyle name="60% - Accent2 144" xfId="3800"/>
    <cellStyle name="60% - Accent2 145" xfId="3801"/>
    <cellStyle name="60% - Accent2 146" xfId="3802"/>
    <cellStyle name="60% - Accent2 147" xfId="3803"/>
    <cellStyle name="60% - Accent2 148" xfId="3804"/>
    <cellStyle name="60% - Accent2 149" xfId="3805"/>
    <cellStyle name="60% - Accent2 15" xfId="3806"/>
    <cellStyle name="60% - Accent2 150" xfId="3807"/>
    <cellStyle name="60% - Accent2 151" xfId="3808"/>
    <cellStyle name="60% - Accent2 152" xfId="3809"/>
    <cellStyle name="60% - Accent2 153" xfId="3810"/>
    <cellStyle name="60% - Accent2 154" xfId="3811"/>
    <cellStyle name="60% - Accent2 155" xfId="3812"/>
    <cellStyle name="60% - Accent2 156" xfId="3813"/>
    <cellStyle name="60% - Accent2 157" xfId="3814"/>
    <cellStyle name="60% - Accent2 158" xfId="3815"/>
    <cellStyle name="60% - Accent2 159" xfId="3816"/>
    <cellStyle name="60% - Accent2 16" xfId="3817"/>
    <cellStyle name="60% - Accent2 160" xfId="3818"/>
    <cellStyle name="60% - Accent2 161" xfId="3819"/>
    <cellStyle name="60% - Accent2 162" xfId="3820"/>
    <cellStyle name="60% - Accent2 163" xfId="3821"/>
    <cellStyle name="60% - Accent2 164" xfId="3822"/>
    <cellStyle name="60% - Accent2 165" xfId="3823"/>
    <cellStyle name="60% - Accent2 166" xfId="3824"/>
    <cellStyle name="60% - Accent2 167" xfId="3825"/>
    <cellStyle name="60% - Accent2 168" xfId="3826"/>
    <cellStyle name="60% - Accent2 169" xfId="3827"/>
    <cellStyle name="60% - Accent2 17" xfId="3828"/>
    <cellStyle name="60% - Accent2 170" xfId="3829"/>
    <cellStyle name="60% - Accent2 171" xfId="3830"/>
    <cellStyle name="60% - Accent2 172" xfId="3831"/>
    <cellStyle name="60% - Accent2 173" xfId="3832"/>
    <cellStyle name="60% - Accent2 174" xfId="3833"/>
    <cellStyle name="60% - Accent2 175" xfId="3834"/>
    <cellStyle name="60% - Accent2 176" xfId="3835"/>
    <cellStyle name="60% - Accent2 177" xfId="3836"/>
    <cellStyle name="60% - Accent2 178" xfId="3837"/>
    <cellStyle name="60% - Accent2 179" xfId="3838"/>
    <cellStyle name="60% - Accent2 18" xfId="3839"/>
    <cellStyle name="60% - Accent2 180" xfId="3840"/>
    <cellStyle name="60% - Accent2 181" xfId="3841"/>
    <cellStyle name="60% - Accent2 182" xfId="3842"/>
    <cellStyle name="60% - Accent2 183" xfId="3843"/>
    <cellStyle name="60% - Accent2 184" xfId="3844"/>
    <cellStyle name="60% - Accent2 185" xfId="3845"/>
    <cellStyle name="60% - Accent2 186" xfId="3846"/>
    <cellStyle name="60% - Accent2 187" xfId="3847"/>
    <cellStyle name="60% - Accent2 188" xfId="3848"/>
    <cellStyle name="60% - Accent2 189" xfId="3849"/>
    <cellStyle name="60% - Accent2 19" xfId="3850"/>
    <cellStyle name="60% - Accent2 190" xfId="3851"/>
    <cellStyle name="60% - Accent2 191" xfId="3852"/>
    <cellStyle name="60% - Accent2 192" xfId="3853"/>
    <cellStyle name="60% - Accent2 193" xfId="3854"/>
    <cellStyle name="60% - Accent2 194" xfId="3855"/>
    <cellStyle name="60% - Accent2 195" xfId="3856"/>
    <cellStyle name="60% - Accent2 196" xfId="3857"/>
    <cellStyle name="60% - Accent2 197" xfId="3858"/>
    <cellStyle name="60% - Accent2 198" xfId="3859"/>
    <cellStyle name="60% - Accent2 199" xfId="3860"/>
    <cellStyle name="60% - Accent2 2" xfId="3861"/>
    <cellStyle name="60% - Accent2 2 2" xfId="3862"/>
    <cellStyle name="60% - Accent2 2 2 2" xfId="3863"/>
    <cellStyle name="60% - Accent2 2 2 3" xfId="3864"/>
    <cellStyle name="60% - Accent2 2 2 4" xfId="3865"/>
    <cellStyle name="60% - Accent2 2 2 5" xfId="3866"/>
    <cellStyle name="60% - Accent2 2 2 6" xfId="3867"/>
    <cellStyle name="60% - Accent2 2 2 7" xfId="3868"/>
    <cellStyle name="60% - Accent2 2 3" xfId="3869"/>
    <cellStyle name="60% - Accent2 2 4" xfId="3870"/>
    <cellStyle name="60% - Accent2 2 5" xfId="3871"/>
    <cellStyle name="60% - Accent2 2 6" xfId="3872"/>
    <cellStyle name="60% - Accent2 2 7" xfId="3873"/>
    <cellStyle name="60% - Accent2 2 8" xfId="3874"/>
    <cellStyle name="60% - Accent2 20" xfId="3875"/>
    <cellStyle name="60% - Accent2 200" xfId="3876"/>
    <cellStyle name="60% - Accent2 201" xfId="3877"/>
    <cellStyle name="60% - Accent2 202" xfId="3878"/>
    <cellStyle name="60% - Accent2 203" xfId="3879"/>
    <cellStyle name="60% - Accent2 204" xfId="3880"/>
    <cellStyle name="60% - Accent2 205" xfId="3881"/>
    <cellStyle name="60% - Accent2 206" xfId="3882"/>
    <cellStyle name="60% - Accent2 207" xfId="3883"/>
    <cellStyle name="60% - Accent2 208" xfId="3884"/>
    <cellStyle name="60% - Accent2 209" xfId="3885"/>
    <cellStyle name="60% - Accent2 21" xfId="3886"/>
    <cellStyle name="60% - Accent2 210" xfId="3887"/>
    <cellStyle name="60% - Accent2 211" xfId="3888"/>
    <cellStyle name="60% - Accent2 212" xfId="3889"/>
    <cellStyle name="60% - Accent2 213" xfId="3890"/>
    <cellStyle name="60% - Accent2 214" xfId="3891"/>
    <cellStyle name="60% - Accent2 215" xfId="3892"/>
    <cellStyle name="60% - Accent2 216" xfId="3893"/>
    <cellStyle name="60% - Accent2 217" xfId="3894"/>
    <cellStyle name="60% - Accent2 218" xfId="3895"/>
    <cellStyle name="60% - Accent2 219" xfId="3896"/>
    <cellStyle name="60% - Accent2 22" xfId="3897"/>
    <cellStyle name="60% - Accent2 220" xfId="3898"/>
    <cellStyle name="60% - Accent2 221" xfId="3899"/>
    <cellStyle name="60% - Accent2 222" xfId="3900"/>
    <cellStyle name="60% - Accent2 223" xfId="3901"/>
    <cellStyle name="60% - Accent2 224" xfId="3902"/>
    <cellStyle name="60% - Accent2 225" xfId="3903"/>
    <cellStyle name="60% - Accent2 226" xfId="3904"/>
    <cellStyle name="60% - Accent2 227" xfId="3905"/>
    <cellStyle name="60% - Accent2 228" xfId="3906"/>
    <cellStyle name="60% - Accent2 229" xfId="3907"/>
    <cellStyle name="60% - Accent2 23" xfId="3908"/>
    <cellStyle name="60% - Accent2 230" xfId="3909"/>
    <cellStyle name="60% - Accent2 231" xfId="3910"/>
    <cellStyle name="60% - Accent2 232" xfId="3911"/>
    <cellStyle name="60% - Accent2 233" xfId="3912"/>
    <cellStyle name="60% - Accent2 234" xfId="3913"/>
    <cellStyle name="60% - Accent2 235" xfId="3914"/>
    <cellStyle name="60% - Accent2 236" xfId="3915"/>
    <cellStyle name="60% - Accent2 237" xfId="3916"/>
    <cellStyle name="60% - Accent2 238" xfId="3917"/>
    <cellStyle name="60% - Accent2 239" xfId="3918"/>
    <cellStyle name="60% - Accent2 24" xfId="3919"/>
    <cellStyle name="60% - Accent2 240" xfId="3920"/>
    <cellStyle name="60% - Accent2 241" xfId="3921"/>
    <cellStyle name="60% - Accent2 242" xfId="3922"/>
    <cellStyle name="60% - Accent2 243" xfId="3923"/>
    <cellStyle name="60% - Accent2 244" xfId="3924"/>
    <cellStyle name="60% - Accent2 245" xfId="3925"/>
    <cellStyle name="60% - Accent2 246" xfId="3926"/>
    <cellStyle name="60% - Accent2 247" xfId="3927"/>
    <cellStyle name="60% - Accent2 248" xfId="3928"/>
    <cellStyle name="60% - Accent2 249" xfId="3929"/>
    <cellStyle name="60% - Accent2 25" xfId="3930"/>
    <cellStyle name="60% - Accent2 26" xfId="3931"/>
    <cellStyle name="60% - Accent2 27" xfId="3932"/>
    <cellStyle name="60% - Accent2 28" xfId="3933"/>
    <cellStyle name="60% - Accent2 29" xfId="3934"/>
    <cellStyle name="60% - Accent2 3" xfId="3935"/>
    <cellStyle name="60% - Accent2 3 2" xfId="3936"/>
    <cellStyle name="60% - Accent2 30" xfId="3937"/>
    <cellStyle name="60% - Accent2 31" xfId="3938"/>
    <cellStyle name="60% - Accent2 32" xfId="3939"/>
    <cellStyle name="60% - Accent2 33" xfId="3940"/>
    <cellStyle name="60% - Accent2 34" xfId="3941"/>
    <cellStyle name="60% - Accent2 35" xfId="3942"/>
    <cellStyle name="60% - Accent2 36" xfId="3943"/>
    <cellStyle name="60% - Accent2 37" xfId="3944"/>
    <cellStyle name="60% - Accent2 38" xfId="3945"/>
    <cellStyle name="60% - Accent2 39" xfId="3946"/>
    <cellStyle name="60% - Accent2 4" xfId="3947"/>
    <cellStyle name="60% - Accent2 4 2" xfId="3948"/>
    <cellStyle name="60% - Accent2 4 3" xfId="3949"/>
    <cellStyle name="60% - Accent2 4 4" xfId="3950"/>
    <cellStyle name="60% - Accent2 4 5" xfId="3951"/>
    <cellStyle name="60% - Accent2 40" xfId="3952"/>
    <cellStyle name="60% - Accent2 41" xfId="3953"/>
    <cellStyle name="60% - Accent2 42" xfId="3954"/>
    <cellStyle name="60% - Accent2 43" xfId="3955"/>
    <cellStyle name="60% - Accent2 44" xfId="3956"/>
    <cellStyle name="60% - Accent2 45" xfId="3957"/>
    <cellStyle name="60% - Accent2 46" xfId="3958"/>
    <cellStyle name="60% - Accent2 47" xfId="3959"/>
    <cellStyle name="60% - Accent2 48" xfId="3960"/>
    <cellStyle name="60% - Accent2 49" xfId="3961"/>
    <cellStyle name="60% - Accent2 5" xfId="3962"/>
    <cellStyle name="60% - Accent2 5 2" xfId="3963"/>
    <cellStyle name="60% - Accent2 5 3" xfId="3964"/>
    <cellStyle name="60% - Accent2 5 4" xfId="3965"/>
    <cellStyle name="60% - Accent2 5 5" xfId="3966"/>
    <cellStyle name="60% - Accent2 50" xfId="3967"/>
    <cellStyle name="60% - Accent2 51" xfId="3968"/>
    <cellStyle name="60% - Accent2 52" xfId="3969"/>
    <cellStyle name="60% - Accent2 53" xfId="3970"/>
    <cellStyle name="60% - Accent2 54" xfId="3971"/>
    <cellStyle name="60% - Accent2 55" xfId="3972"/>
    <cellStyle name="60% - Accent2 56" xfId="3973"/>
    <cellStyle name="60% - Accent2 57" xfId="3974"/>
    <cellStyle name="60% - Accent2 58" xfId="3975"/>
    <cellStyle name="60% - Accent2 59" xfId="3976"/>
    <cellStyle name="60% - Accent2 6" xfId="3977"/>
    <cellStyle name="60% - Accent2 6 2" xfId="3978"/>
    <cellStyle name="60% - Accent2 6 3" xfId="3979"/>
    <cellStyle name="60% - Accent2 6 4" xfId="3980"/>
    <cellStyle name="60% - Accent2 60" xfId="3981"/>
    <cellStyle name="60% - Accent2 61" xfId="3982"/>
    <cellStyle name="60% - Accent2 62" xfId="3983"/>
    <cellStyle name="60% - Accent2 63" xfId="3984"/>
    <cellStyle name="60% - Accent2 64" xfId="3985"/>
    <cellStyle name="60% - Accent2 65" xfId="3986"/>
    <cellStyle name="60% - Accent2 66" xfId="3987"/>
    <cellStyle name="60% - Accent2 67" xfId="3988"/>
    <cellStyle name="60% - Accent2 68" xfId="3989"/>
    <cellStyle name="60% - Accent2 69" xfId="3990"/>
    <cellStyle name="60% - Accent2 7" xfId="3991"/>
    <cellStyle name="60% - Accent2 7 2" xfId="3992"/>
    <cellStyle name="60% - Accent2 7 3" xfId="3993"/>
    <cellStyle name="60% - Accent2 7 4" xfId="3994"/>
    <cellStyle name="60% - Accent2 70" xfId="3995"/>
    <cellStyle name="60% - Accent2 71" xfId="3996"/>
    <cellStyle name="60% - Accent2 72" xfId="3997"/>
    <cellStyle name="60% - Accent2 73" xfId="3998"/>
    <cellStyle name="60% - Accent2 74" xfId="3999"/>
    <cellStyle name="60% - Accent2 75" xfId="4000"/>
    <cellStyle name="60% - Accent2 76" xfId="4001"/>
    <cellStyle name="60% - Accent2 77" xfId="4002"/>
    <cellStyle name="60% - Accent2 78" xfId="4003"/>
    <cellStyle name="60% - Accent2 79" xfId="4004"/>
    <cellStyle name="60% - Accent2 8" xfId="4005"/>
    <cellStyle name="60% - Accent2 8 2" xfId="4006"/>
    <cellStyle name="60% - Accent2 8 3" xfId="4007"/>
    <cellStyle name="60% - Accent2 8 4" xfId="4008"/>
    <cellStyle name="60% - Accent2 80" xfId="4009"/>
    <cellStyle name="60% - Accent2 81" xfId="4010"/>
    <cellStyle name="60% - Accent2 82" xfId="4011"/>
    <cellStyle name="60% - Accent2 83" xfId="4012"/>
    <cellStyle name="60% - Accent2 84" xfId="4013"/>
    <cellStyle name="60% - Accent2 85" xfId="4014"/>
    <cellStyle name="60% - Accent2 86" xfId="4015"/>
    <cellStyle name="60% - Accent2 87" xfId="4016"/>
    <cellStyle name="60% - Accent2 88" xfId="4017"/>
    <cellStyle name="60% - Accent2 89" xfId="4018"/>
    <cellStyle name="60% - Accent2 9" xfId="4019"/>
    <cellStyle name="60% - Accent2 9 2" xfId="4020"/>
    <cellStyle name="60% - Accent2 9 3" xfId="4021"/>
    <cellStyle name="60% - Accent2 9 4" xfId="4022"/>
    <cellStyle name="60% - Accent2 90" xfId="4023"/>
    <cellStyle name="60% - Accent2 91" xfId="4024"/>
    <cellStyle name="60% - Accent2 92" xfId="4025"/>
    <cellStyle name="60% - Accent2 93" xfId="4026"/>
    <cellStyle name="60% - Accent2 94" xfId="4027"/>
    <cellStyle name="60% - Accent2 95" xfId="4028"/>
    <cellStyle name="60% - Accent2 96" xfId="4029"/>
    <cellStyle name="60% - Accent2 97" xfId="4030"/>
    <cellStyle name="60% - Accent2 98" xfId="4031"/>
    <cellStyle name="60% - Accent2 99" xfId="4032"/>
    <cellStyle name="60% - Accent3" xfId="4033" builtinId="40" customBuiltin="1"/>
    <cellStyle name="60% - Accent3 10" xfId="4034"/>
    <cellStyle name="60% - Accent3 10 2" xfId="4035"/>
    <cellStyle name="60% - Accent3 10 3" xfId="4036"/>
    <cellStyle name="60% - Accent3 10 4" xfId="4037"/>
    <cellStyle name="60% - Accent3 100" xfId="4038"/>
    <cellStyle name="60% - Accent3 101" xfId="4039"/>
    <cellStyle name="60% - Accent3 102" xfId="4040"/>
    <cellStyle name="60% - Accent3 103" xfId="4041"/>
    <cellStyle name="60% - Accent3 104" xfId="4042"/>
    <cellStyle name="60% - Accent3 105" xfId="4043"/>
    <cellStyle name="60% - Accent3 106" xfId="4044"/>
    <cellStyle name="60% - Accent3 107" xfId="4045"/>
    <cellStyle name="60% - Accent3 108" xfId="4046"/>
    <cellStyle name="60% - Accent3 109" xfId="4047"/>
    <cellStyle name="60% - Accent3 11" xfId="4048"/>
    <cellStyle name="60% - Accent3 11 2" xfId="4049"/>
    <cellStyle name="60% - Accent3 110" xfId="4050"/>
    <cellStyle name="60% - Accent3 111" xfId="4051"/>
    <cellStyle name="60% - Accent3 112" xfId="4052"/>
    <cellStyle name="60% - Accent3 113" xfId="4053"/>
    <cellStyle name="60% - Accent3 114" xfId="4054"/>
    <cellStyle name="60% - Accent3 115" xfId="4055"/>
    <cellStyle name="60% - Accent3 116" xfId="4056"/>
    <cellStyle name="60% - Accent3 117" xfId="4057"/>
    <cellStyle name="60% - Accent3 118" xfId="4058"/>
    <cellStyle name="60% - Accent3 119" xfId="4059"/>
    <cellStyle name="60% - Accent3 12" xfId="4060"/>
    <cellStyle name="60% - Accent3 12 2" xfId="4061"/>
    <cellStyle name="60% - Accent3 120" xfId="4062"/>
    <cellStyle name="60% - Accent3 121" xfId="4063"/>
    <cellStyle name="60% - Accent3 122" xfId="4064"/>
    <cellStyle name="60% - Accent3 123" xfId="4065"/>
    <cellStyle name="60% - Accent3 124" xfId="4066"/>
    <cellStyle name="60% - Accent3 125" xfId="4067"/>
    <cellStyle name="60% - Accent3 126" xfId="4068"/>
    <cellStyle name="60% - Accent3 127" xfId="4069"/>
    <cellStyle name="60% - Accent3 128" xfId="4070"/>
    <cellStyle name="60% - Accent3 129" xfId="4071"/>
    <cellStyle name="60% - Accent3 13" xfId="4072"/>
    <cellStyle name="60% - Accent3 130" xfId="4073"/>
    <cellStyle name="60% - Accent3 131" xfId="4074"/>
    <cellStyle name="60% - Accent3 132" xfId="4075"/>
    <cellStyle name="60% - Accent3 133" xfId="4076"/>
    <cellStyle name="60% - Accent3 134" xfId="4077"/>
    <cellStyle name="60% - Accent3 135" xfId="4078"/>
    <cellStyle name="60% - Accent3 136" xfId="4079"/>
    <cellStyle name="60% - Accent3 137" xfId="4080"/>
    <cellStyle name="60% - Accent3 138" xfId="4081"/>
    <cellStyle name="60% - Accent3 139" xfId="4082"/>
    <cellStyle name="60% - Accent3 14" xfId="4083"/>
    <cellStyle name="60% - Accent3 140" xfId="4084"/>
    <cellStyle name="60% - Accent3 141" xfId="4085"/>
    <cellStyle name="60% - Accent3 142" xfId="4086"/>
    <cellStyle name="60% - Accent3 143" xfId="4087"/>
    <cellStyle name="60% - Accent3 144" xfId="4088"/>
    <cellStyle name="60% - Accent3 145" xfId="4089"/>
    <cellStyle name="60% - Accent3 146" xfId="4090"/>
    <cellStyle name="60% - Accent3 147" xfId="4091"/>
    <cellStyle name="60% - Accent3 148" xfId="4092"/>
    <cellStyle name="60% - Accent3 149" xfId="4093"/>
    <cellStyle name="60% - Accent3 15" xfId="4094"/>
    <cellStyle name="60% - Accent3 150" xfId="4095"/>
    <cellStyle name="60% - Accent3 151" xfId="4096"/>
    <cellStyle name="60% - Accent3 152" xfId="4097"/>
    <cellStyle name="60% - Accent3 153" xfId="4098"/>
    <cellStyle name="60% - Accent3 154" xfId="4099"/>
    <cellStyle name="60% - Accent3 155" xfId="4100"/>
    <cellStyle name="60% - Accent3 156" xfId="4101"/>
    <cellStyle name="60% - Accent3 157" xfId="4102"/>
    <cellStyle name="60% - Accent3 158" xfId="4103"/>
    <cellStyle name="60% - Accent3 159" xfId="4104"/>
    <cellStyle name="60% - Accent3 16" xfId="4105"/>
    <cellStyle name="60% - Accent3 160" xfId="4106"/>
    <cellStyle name="60% - Accent3 161" xfId="4107"/>
    <cellStyle name="60% - Accent3 162" xfId="4108"/>
    <cellStyle name="60% - Accent3 163" xfId="4109"/>
    <cellStyle name="60% - Accent3 164" xfId="4110"/>
    <cellStyle name="60% - Accent3 165" xfId="4111"/>
    <cellStyle name="60% - Accent3 166" xfId="4112"/>
    <cellStyle name="60% - Accent3 167" xfId="4113"/>
    <cellStyle name="60% - Accent3 168" xfId="4114"/>
    <cellStyle name="60% - Accent3 169" xfId="4115"/>
    <cellStyle name="60% - Accent3 17" xfId="4116"/>
    <cellStyle name="60% - Accent3 170" xfId="4117"/>
    <cellStyle name="60% - Accent3 171" xfId="4118"/>
    <cellStyle name="60% - Accent3 172" xfId="4119"/>
    <cellStyle name="60% - Accent3 173" xfId="4120"/>
    <cellStyle name="60% - Accent3 174" xfId="4121"/>
    <cellStyle name="60% - Accent3 175" xfId="4122"/>
    <cellStyle name="60% - Accent3 176" xfId="4123"/>
    <cellStyle name="60% - Accent3 177" xfId="4124"/>
    <cellStyle name="60% - Accent3 178" xfId="4125"/>
    <cellStyle name="60% - Accent3 179" xfId="4126"/>
    <cellStyle name="60% - Accent3 18" xfId="4127"/>
    <cellStyle name="60% - Accent3 180" xfId="4128"/>
    <cellStyle name="60% - Accent3 181" xfId="4129"/>
    <cellStyle name="60% - Accent3 182" xfId="4130"/>
    <cellStyle name="60% - Accent3 183" xfId="4131"/>
    <cellStyle name="60% - Accent3 184" xfId="4132"/>
    <cellStyle name="60% - Accent3 185" xfId="4133"/>
    <cellStyle name="60% - Accent3 186" xfId="4134"/>
    <cellStyle name="60% - Accent3 187" xfId="4135"/>
    <cellStyle name="60% - Accent3 188" xfId="4136"/>
    <cellStyle name="60% - Accent3 189" xfId="4137"/>
    <cellStyle name="60% - Accent3 19" xfId="4138"/>
    <cellStyle name="60% - Accent3 190" xfId="4139"/>
    <cellStyle name="60% - Accent3 191" xfId="4140"/>
    <cellStyle name="60% - Accent3 192" xfId="4141"/>
    <cellStyle name="60% - Accent3 193" xfId="4142"/>
    <cellStyle name="60% - Accent3 194" xfId="4143"/>
    <cellStyle name="60% - Accent3 195" xfId="4144"/>
    <cellStyle name="60% - Accent3 196" xfId="4145"/>
    <cellStyle name="60% - Accent3 197" xfId="4146"/>
    <cellStyle name="60% - Accent3 198" xfId="4147"/>
    <cellStyle name="60% - Accent3 199" xfId="4148"/>
    <cellStyle name="60% - Accent3 2" xfId="4149"/>
    <cellStyle name="60% - Accent3 2 2" xfId="4150"/>
    <cellStyle name="60% - Accent3 2 2 2" xfId="4151"/>
    <cellStyle name="60% - Accent3 2 2 3" xfId="4152"/>
    <cellStyle name="60% - Accent3 2 2 4" xfId="4153"/>
    <cellStyle name="60% - Accent3 2 2 5" xfId="4154"/>
    <cellStyle name="60% - Accent3 2 2 6" xfId="4155"/>
    <cellStyle name="60% - Accent3 2 2 7" xfId="4156"/>
    <cellStyle name="60% - Accent3 2 3" xfId="4157"/>
    <cellStyle name="60% - Accent3 2 4" xfId="4158"/>
    <cellStyle name="60% - Accent3 2 5" xfId="4159"/>
    <cellStyle name="60% - Accent3 2 6" xfId="4160"/>
    <cellStyle name="60% - Accent3 2 7" xfId="4161"/>
    <cellStyle name="60% - Accent3 2 8" xfId="4162"/>
    <cellStyle name="60% - Accent3 20" xfId="4163"/>
    <cellStyle name="60% - Accent3 200" xfId="4164"/>
    <cellStyle name="60% - Accent3 201" xfId="4165"/>
    <cellStyle name="60% - Accent3 202" xfId="4166"/>
    <cellStyle name="60% - Accent3 203" xfId="4167"/>
    <cellStyle name="60% - Accent3 204" xfId="4168"/>
    <cellStyle name="60% - Accent3 205" xfId="4169"/>
    <cellStyle name="60% - Accent3 206" xfId="4170"/>
    <cellStyle name="60% - Accent3 207" xfId="4171"/>
    <cellStyle name="60% - Accent3 208" xfId="4172"/>
    <cellStyle name="60% - Accent3 209" xfId="4173"/>
    <cellStyle name="60% - Accent3 21" xfId="4174"/>
    <cellStyle name="60% - Accent3 210" xfId="4175"/>
    <cellStyle name="60% - Accent3 211" xfId="4176"/>
    <cellStyle name="60% - Accent3 212" xfId="4177"/>
    <cellStyle name="60% - Accent3 213" xfId="4178"/>
    <cellStyle name="60% - Accent3 214" xfId="4179"/>
    <cellStyle name="60% - Accent3 215" xfId="4180"/>
    <cellStyle name="60% - Accent3 216" xfId="4181"/>
    <cellStyle name="60% - Accent3 217" xfId="4182"/>
    <cellStyle name="60% - Accent3 218" xfId="4183"/>
    <cellStyle name="60% - Accent3 219" xfId="4184"/>
    <cellStyle name="60% - Accent3 22" xfId="4185"/>
    <cellStyle name="60% - Accent3 220" xfId="4186"/>
    <cellStyle name="60% - Accent3 221" xfId="4187"/>
    <cellStyle name="60% - Accent3 222" xfId="4188"/>
    <cellStyle name="60% - Accent3 223" xfId="4189"/>
    <cellStyle name="60% - Accent3 224" xfId="4190"/>
    <cellStyle name="60% - Accent3 225" xfId="4191"/>
    <cellStyle name="60% - Accent3 226" xfId="4192"/>
    <cellStyle name="60% - Accent3 227" xfId="4193"/>
    <cellStyle name="60% - Accent3 228" xfId="4194"/>
    <cellStyle name="60% - Accent3 229" xfId="4195"/>
    <cellStyle name="60% - Accent3 23" xfId="4196"/>
    <cellStyle name="60% - Accent3 230" xfId="4197"/>
    <cellStyle name="60% - Accent3 231" xfId="4198"/>
    <cellStyle name="60% - Accent3 232" xfId="4199"/>
    <cellStyle name="60% - Accent3 233" xfId="4200"/>
    <cellStyle name="60% - Accent3 234" xfId="4201"/>
    <cellStyle name="60% - Accent3 235" xfId="4202"/>
    <cellStyle name="60% - Accent3 236" xfId="4203"/>
    <cellStyle name="60% - Accent3 237" xfId="4204"/>
    <cellStyle name="60% - Accent3 238" xfId="4205"/>
    <cellStyle name="60% - Accent3 239" xfId="4206"/>
    <cellStyle name="60% - Accent3 24" xfId="4207"/>
    <cellStyle name="60% - Accent3 240" xfId="4208"/>
    <cellStyle name="60% - Accent3 241" xfId="4209"/>
    <cellStyle name="60% - Accent3 242" xfId="4210"/>
    <cellStyle name="60% - Accent3 243" xfId="4211"/>
    <cellStyle name="60% - Accent3 244" xfId="4212"/>
    <cellStyle name="60% - Accent3 245" xfId="4213"/>
    <cellStyle name="60% - Accent3 246" xfId="4214"/>
    <cellStyle name="60% - Accent3 247" xfId="4215"/>
    <cellStyle name="60% - Accent3 248" xfId="4216"/>
    <cellStyle name="60% - Accent3 249" xfId="4217"/>
    <cellStyle name="60% - Accent3 25" xfId="4218"/>
    <cellStyle name="60% - Accent3 26" xfId="4219"/>
    <cellStyle name="60% - Accent3 27" xfId="4220"/>
    <cellStyle name="60% - Accent3 28" xfId="4221"/>
    <cellStyle name="60% - Accent3 29" xfId="4222"/>
    <cellStyle name="60% - Accent3 3" xfId="4223"/>
    <cellStyle name="60% - Accent3 3 2" xfId="4224"/>
    <cellStyle name="60% - Accent3 30" xfId="4225"/>
    <cellStyle name="60% - Accent3 31" xfId="4226"/>
    <cellStyle name="60% - Accent3 32" xfId="4227"/>
    <cellStyle name="60% - Accent3 33" xfId="4228"/>
    <cellStyle name="60% - Accent3 34" xfId="4229"/>
    <cellStyle name="60% - Accent3 35" xfId="4230"/>
    <cellStyle name="60% - Accent3 36" xfId="4231"/>
    <cellStyle name="60% - Accent3 37" xfId="4232"/>
    <cellStyle name="60% - Accent3 38" xfId="4233"/>
    <cellStyle name="60% - Accent3 39" xfId="4234"/>
    <cellStyle name="60% - Accent3 4" xfId="4235"/>
    <cellStyle name="60% - Accent3 4 2" xfId="4236"/>
    <cellStyle name="60% - Accent3 4 3" xfId="4237"/>
    <cellStyle name="60% - Accent3 4 4" xfId="4238"/>
    <cellStyle name="60% - Accent3 4 5" xfId="4239"/>
    <cellStyle name="60% - Accent3 40" xfId="4240"/>
    <cellStyle name="60% - Accent3 41" xfId="4241"/>
    <cellStyle name="60% - Accent3 42" xfId="4242"/>
    <cellStyle name="60% - Accent3 43" xfId="4243"/>
    <cellStyle name="60% - Accent3 44" xfId="4244"/>
    <cellStyle name="60% - Accent3 45" xfId="4245"/>
    <cellStyle name="60% - Accent3 46" xfId="4246"/>
    <cellStyle name="60% - Accent3 47" xfId="4247"/>
    <cellStyle name="60% - Accent3 48" xfId="4248"/>
    <cellStyle name="60% - Accent3 49" xfId="4249"/>
    <cellStyle name="60% - Accent3 5" xfId="4250"/>
    <cellStyle name="60% - Accent3 5 2" xfId="4251"/>
    <cellStyle name="60% - Accent3 5 3" xfId="4252"/>
    <cellStyle name="60% - Accent3 5 4" xfId="4253"/>
    <cellStyle name="60% - Accent3 5 5" xfId="4254"/>
    <cellStyle name="60% - Accent3 50" xfId="4255"/>
    <cellStyle name="60% - Accent3 51" xfId="4256"/>
    <cellStyle name="60% - Accent3 52" xfId="4257"/>
    <cellStyle name="60% - Accent3 53" xfId="4258"/>
    <cellStyle name="60% - Accent3 54" xfId="4259"/>
    <cellStyle name="60% - Accent3 55" xfId="4260"/>
    <cellStyle name="60% - Accent3 56" xfId="4261"/>
    <cellStyle name="60% - Accent3 57" xfId="4262"/>
    <cellStyle name="60% - Accent3 58" xfId="4263"/>
    <cellStyle name="60% - Accent3 59" xfId="4264"/>
    <cellStyle name="60% - Accent3 6" xfId="4265"/>
    <cellStyle name="60% - Accent3 6 2" xfId="4266"/>
    <cellStyle name="60% - Accent3 6 3" xfId="4267"/>
    <cellStyle name="60% - Accent3 6 4" xfId="4268"/>
    <cellStyle name="60% - Accent3 60" xfId="4269"/>
    <cellStyle name="60% - Accent3 61" xfId="4270"/>
    <cellStyle name="60% - Accent3 62" xfId="4271"/>
    <cellStyle name="60% - Accent3 63" xfId="4272"/>
    <cellStyle name="60% - Accent3 64" xfId="4273"/>
    <cellStyle name="60% - Accent3 65" xfId="4274"/>
    <cellStyle name="60% - Accent3 66" xfId="4275"/>
    <cellStyle name="60% - Accent3 67" xfId="4276"/>
    <cellStyle name="60% - Accent3 68" xfId="4277"/>
    <cellStyle name="60% - Accent3 69" xfId="4278"/>
    <cellStyle name="60% - Accent3 7" xfId="4279"/>
    <cellStyle name="60% - Accent3 7 2" xfId="4280"/>
    <cellStyle name="60% - Accent3 7 3" xfId="4281"/>
    <cellStyle name="60% - Accent3 7 4" xfId="4282"/>
    <cellStyle name="60% - Accent3 70" xfId="4283"/>
    <cellStyle name="60% - Accent3 71" xfId="4284"/>
    <cellStyle name="60% - Accent3 72" xfId="4285"/>
    <cellStyle name="60% - Accent3 73" xfId="4286"/>
    <cellStyle name="60% - Accent3 74" xfId="4287"/>
    <cellStyle name="60% - Accent3 75" xfId="4288"/>
    <cellStyle name="60% - Accent3 76" xfId="4289"/>
    <cellStyle name="60% - Accent3 77" xfId="4290"/>
    <cellStyle name="60% - Accent3 78" xfId="4291"/>
    <cellStyle name="60% - Accent3 79" xfId="4292"/>
    <cellStyle name="60% - Accent3 8" xfId="4293"/>
    <cellStyle name="60% - Accent3 8 2" xfId="4294"/>
    <cellStyle name="60% - Accent3 8 3" xfId="4295"/>
    <cellStyle name="60% - Accent3 8 4" xfId="4296"/>
    <cellStyle name="60% - Accent3 80" xfId="4297"/>
    <cellStyle name="60% - Accent3 81" xfId="4298"/>
    <cellStyle name="60% - Accent3 82" xfId="4299"/>
    <cellStyle name="60% - Accent3 83" xfId="4300"/>
    <cellStyle name="60% - Accent3 84" xfId="4301"/>
    <cellStyle name="60% - Accent3 85" xfId="4302"/>
    <cellStyle name="60% - Accent3 86" xfId="4303"/>
    <cellStyle name="60% - Accent3 87" xfId="4304"/>
    <cellStyle name="60% - Accent3 88" xfId="4305"/>
    <cellStyle name="60% - Accent3 89" xfId="4306"/>
    <cellStyle name="60% - Accent3 9" xfId="4307"/>
    <cellStyle name="60% - Accent3 9 2" xfId="4308"/>
    <cellStyle name="60% - Accent3 9 3" xfId="4309"/>
    <cellStyle name="60% - Accent3 9 4" xfId="4310"/>
    <cellStyle name="60% - Accent3 90" xfId="4311"/>
    <cellStyle name="60% - Accent3 91" xfId="4312"/>
    <cellStyle name="60% - Accent3 92" xfId="4313"/>
    <cellStyle name="60% - Accent3 93" xfId="4314"/>
    <cellStyle name="60% - Accent3 94" xfId="4315"/>
    <cellStyle name="60% - Accent3 95" xfId="4316"/>
    <cellStyle name="60% - Accent3 96" xfId="4317"/>
    <cellStyle name="60% - Accent3 97" xfId="4318"/>
    <cellStyle name="60% - Accent3 98" xfId="4319"/>
    <cellStyle name="60% - Accent3 99" xfId="4320"/>
    <cellStyle name="60% - Accent4" xfId="4321" builtinId="44" customBuiltin="1"/>
    <cellStyle name="60% - Accent4 10" xfId="4322"/>
    <cellStyle name="60% - Accent4 10 2" xfId="4323"/>
    <cellStyle name="60% - Accent4 10 3" xfId="4324"/>
    <cellStyle name="60% - Accent4 10 4" xfId="4325"/>
    <cellStyle name="60% - Accent4 100" xfId="4326"/>
    <cellStyle name="60% - Accent4 101" xfId="4327"/>
    <cellStyle name="60% - Accent4 102" xfId="4328"/>
    <cellStyle name="60% - Accent4 103" xfId="4329"/>
    <cellStyle name="60% - Accent4 104" xfId="4330"/>
    <cellStyle name="60% - Accent4 105" xfId="4331"/>
    <cellStyle name="60% - Accent4 106" xfId="4332"/>
    <cellStyle name="60% - Accent4 107" xfId="4333"/>
    <cellStyle name="60% - Accent4 108" xfId="4334"/>
    <cellStyle name="60% - Accent4 109" xfId="4335"/>
    <cellStyle name="60% - Accent4 11" xfId="4336"/>
    <cellStyle name="60% - Accent4 11 2" xfId="4337"/>
    <cellStyle name="60% - Accent4 110" xfId="4338"/>
    <cellStyle name="60% - Accent4 111" xfId="4339"/>
    <cellStyle name="60% - Accent4 112" xfId="4340"/>
    <cellStyle name="60% - Accent4 113" xfId="4341"/>
    <cellStyle name="60% - Accent4 114" xfId="4342"/>
    <cellStyle name="60% - Accent4 115" xfId="4343"/>
    <cellStyle name="60% - Accent4 116" xfId="4344"/>
    <cellStyle name="60% - Accent4 117" xfId="4345"/>
    <cellStyle name="60% - Accent4 118" xfId="4346"/>
    <cellStyle name="60% - Accent4 119" xfId="4347"/>
    <cellStyle name="60% - Accent4 12" xfId="4348"/>
    <cellStyle name="60% - Accent4 12 2" xfId="4349"/>
    <cellStyle name="60% - Accent4 120" xfId="4350"/>
    <cellStyle name="60% - Accent4 121" xfId="4351"/>
    <cellStyle name="60% - Accent4 122" xfId="4352"/>
    <cellStyle name="60% - Accent4 123" xfId="4353"/>
    <cellStyle name="60% - Accent4 124" xfId="4354"/>
    <cellStyle name="60% - Accent4 125" xfId="4355"/>
    <cellStyle name="60% - Accent4 126" xfId="4356"/>
    <cellStyle name="60% - Accent4 127" xfId="4357"/>
    <cellStyle name="60% - Accent4 128" xfId="4358"/>
    <cellStyle name="60% - Accent4 129" xfId="4359"/>
    <cellStyle name="60% - Accent4 13" xfId="4360"/>
    <cellStyle name="60% - Accent4 130" xfId="4361"/>
    <cellStyle name="60% - Accent4 131" xfId="4362"/>
    <cellStyle name="60% - Accent4 132" xfId="4363"/>
    <cellStyle name="60% - Accent4 133" xfId="4364"/>
    <cellStyle name="60% - Accent4 134" xfId="4365"/>
    <cellStyle name="60% - Accent4 135" xfId="4366"/>
    <cellStyle name="60% - Accent4 136" xfId="4367"/>
    <cellStyle name="60% - Accent4 137" xfId="4368"/>
    <cellStyle name="60% - Accent4 138" xfId="4369"/>
    <cellStyle name="60% - Accent4 139" xfId="4370"/>
    <cellStyle name="60% - Accent4 14" xfId="4371"/>
    <cellStyle name="60% - Accent4 140" xfId="4372"/>
    <cellStyle name="60% - Accent4 141" xfId="4373"/>
    <cellStyle name="60% - Accent4 142" xfId="4374"/>
    <cellStyle name="60% - Accent4 143" xfId="4375"/>
    <cellStyle name="60% - Accent4 144" xfId="4376"/>
    <cellStyle name="60% - Accent4 145" xfId="4377"/>
    <cellStyle name="60% - Accent4 146" xfId="4378"/>
    <cellStyle name="60% - Accent4 147" xfId="4379"/>
    <cellStyle name="60% - Accent4 148" xfId="4380"/>
    <cellStyle name="60% - Accent4 149" xfId="4381"/>
    <cellStyle name="60% - Accent4 15" xfId="4382"/>
    <cellStyle name="60% - Accent4 150" xfId="4383"/>
    <cellStyle name="60% - Accent4 151" xfId="4384"/>
    <cellStyle name="60% - Accent4 152" xfId="4385"/>
    <cellStyle name="60% - Accent4 153" xfId="4386"/>
    <cellStyle name="60% - Accent4 154" xfId="4387"/>
    <cellStyle name="60% - Accent4 155" xfId="4388"/>
    <cellStyle name="60% - Accent4 156" xfId="4389"/>
    <cellStyle name="60% - Accent4 157" xfId="4390"/>
    <cellStyle name="60% - Accent4 158" xfId="4391"/>
    <cellStyle name="60% - Accent4 159" xfId="4392"/>
    <cellStyle name="60% - Accent4 16" xfId="4393"/>
    <cellStyle name="60% - Accent4 160" xfId="4394"/>
    <cellStyle name="60% - Accent4 161" xfId="4395"/>
    <cellStyle name="60% - Accent4 162" xfId="4396"/>
    <cellStyle name="60% - Accent4 163" xfId="4397"/>
    <cellStyle name="60% - Accent4 164" xfId="4398"/>
    <cellStyle name="60% - Accent4 165" xfId="4399"/>
    <cellStyle name="60% - Accent4 166" xfId="4400"/>
    <cellStyle name="60% - Accent4 167" xfId="4401"/>
    <cellStyle name="60% - Accent4 168" xfId="4402"/>
    <cellStyle name="60% - Accent4 169" xfId="4403"/>
    <cellStyle name="60% - Accent4 17" xfId="4404"/>
    <cellStyle name="60% - Accent4 170" xfId="4405"/>
    <cellStyle name="60% - Accent4 171" xfId="4406"/>
    <cellStyle name="60% - Accent4 172" xfId="4407"/>
    <cellStyle name="60% - Accent4 173" xfId="4408"/>
    <cellStyle name="60% - Accent4 174" xfId="4409"/>
    <cellStyle name="60% - Accent4 175" xfId="4410"/>
    <cellStyle name="60% - Accent4 176" xfId="4411"/>
    <cellStyle name="60% - Accent4 177" xfId="4412"/>
    <cellStyle name="60% - Accent4 178" xfId="4413"/>
    <cellStyle name="60% - Accent4 179" xfId="4414"/>
    <cellStyle name="60% - Accent4 18" xfId="4415"/>
    <cellStyle name="60% - Accent4 180" xfId="4416"/>
    <cellStyle name="60% - Accent4 181" xfId="4417"/>
    <cellStyle name="60% - Accent4 182" xfId="4418"/>
    <cellStyle name="60% - Accent4 183" xfId="4419"/>
    <cellStyle name="60% - Accent4 184" xfId="4420"/>
    <cellStyle name="60% - Accent4 185" xfId="4421"/>
    <cellStyle name="60% - Accent4 186" xfId="4422"/>
    <cellStyle name="60% - Accent4 187" xfId="4423"/>
    <cellStyle name="60% - Accent4 188" xfId="4424"/>
    <cellStyle name="60% - Accent4 189" xfId="4425"/>
    <cellStyle name="60% - Accent4 19" xfId="4426"/>
    <cellStyle name="60% - Accent4 190" xfId="4427"/>
    <cellStyle name="60% - Accent4 191" xfId="4428"/>
    <cellStyle name="60% - Accent4 192" xfId="4429"/>
    <cellStyle name="60% - Accent4 193" xfId="4430"/>
    <cellStyle name="60% - Accent4 194" xfId="4431"/>
    <cellStyle name="60% - Accent4 195" xfId="4432"/>
    <cellStyle name="60% - Accent4 196" xfId="4433"/>
    <cellStyle name="60% - Accent4 197" xfId="4434"/>
    <cellStyle name="60% - Accent4 198" xfId="4435"/>
    <cellStyle name="60% - Accent4 199" xfId="4436"/>
    <cellStyle name="60% - Accent4 2" xfId="4437"/>
    <cellStyle name="60% - Accent4 2 2" xfId="4438"/>
    <cellStyle name="60% - Accent4 2 2 2" xfId="4439"/>
    <cellStyle name="60% - Accent4 2 2 3" xfId="4440"/>
    <cellStyle name="60% - Accent4 2 2 4" xfId="4441"/>
    <cellStyle name="60% - Accent4 2 2 5" xfId="4442"/>
    <cellStyle name="60% - Accent4 2 2 6" xfId="4443"/>
    <cellStyle name="60% - Accent4 2 2 7" xfId="4444"/>
    <cellStyle name="60% - Accent4 2 3" xfId="4445"/>
    <cellStyle name="60% - Accent4 2 4" xfId="4446"/>
    <cellStyle name="60% - Accent4 2 5" xfId="4447"/>
    <cellStyle name="60% - Accent4 2 6" xfId="4448"/>
    <cellStyle name="60% - Accent4 2 7" xfId="4449"/>
    <cellStyle name="60% - Accent4 2 8" xfId="4450"/>
    <cellStyle name="60% - Accent4 20" xfId="4451"/>
    <cellStyle name="60% - Accent4 200" xfId="4452"/>
    <cellStyle name="60% - Accent4 201" xfId="4453"/>
    <cellStyle name="60% - Accent4 202" xfId="4454"/>
    <cellStyle name="60% - Accent4 203" xfId="4455"/>
    <cellStyle name="60% - Accent4 204" xfId="4456"/>
    <cellStyle name="60% - Accent4 205" xfId="4457"/>
    <cellStyle name="60% - Accent4 206" xfId="4458"/>
    <cellStyle name="60% - Accent4 207" xfId="4459"/>
    <cellStyle name="60% - Accent4 208" xfId="4460"/>
    <cellStyle name="60% - Accent4 209" xfId="4461"/>
    <cellStyle name="60% - Accent4 21" xfId="4462"/>
    <cellStyle name="60% - Accent4 210" xfId="4463"/>
    <cellStyle name="60% - Accent4 211" xfId="4464"/>
    <cellStyle name="60% - Accent4 212" xfId="4465"/>
    <cellStyle name="60% - Accent4 213" xfId="4466"/>
    <cellStyle name="60% - Accent4 214" xfId="4467"/>
    <cellStyle name="60% - Accent4 215" xfId="4468"/>
    <cellStyle name="60% - Accent4 216" xfId="4469"/>
    <cellStyle name="60% - Accent4 217" xfId="4470"/>
    <cellStyle name="60% - Accent4 218" xfId="4471"/>
    <cellStyle name="60% - Accent4 219" xfId="4472"/>
    <cellStyle name="60% - Accent4 22" xfId="4473"/>
    <cellStyle name="60% - Accent4 220" xfId="4474"/>
    <cellStyle name="60% - Accent4 221" xfId="4475"/>
    <cellStyle name="60% - Accent4 222" xfId="4476"/>
    <cellStyle name="60% - Accent4 223" xfId="4477"/>
    <cellStyle name="60% - Accent4 224" xfId="4478"/>
    <cellStyle name="60% - Accent4 225" xfId="4479"/>
    <cellStyle name="60% - Accent4 226" xfId="4480"/>
    <cellStyle name="60% - Accent4 227" xfId="4481"/>
    <cellStyle name="60% - Accent4 228" xfId="4482"/>
    <cellStyle name="60% - Accent4 229" xfId="4483"/>
    <cellStyle name="60% - Accent4 23" xfId="4484"/>
    <cellStyle name="60% - Accent4 230" xfId="4485"/>
    <cellStyle name="60% - Accent4 231" xfId="4486"/>
    <cellStyle name="60% - Accent4 232" xfId="4487"/>
    <cellStyle name="60% - Accent4 233" xfId="4488"/>
    <cellStyle name="60% - Accent4 234" xfId="4489"/>
    <cellStyle name="60% - Accent4 235" xfId="4490"/>
    <cellStyle name="60% - Accent4 236" xfId="4491"/>
    <cellStyle name="60% - Accent4 237" xfId="4492"/>
    <cellStyle name="60% - Accent4 238" xfId="4493"/>
    <cellStyle name="60% - Accent4 239" xfId="4494"/>
    <cellStyle name="60% - Accent4 24" xfId="4495"/>
    <cellStyle name="60% - Accent4 240" xfId="4496"/>
    <cellStyle name="60% - Accent4 241" xfId="4497"/>
    <cellStyle name="60% - Accent4 242" xfId="4498"/>
    <cellStyle name="60% - Accent4 243" xfId="4499"/>
    <cellStyle name="60% - Accent4 244" xfId="4500"/>
    <cellStyle name="60% - Accent4 245" xfId="4501"/>
    <cellStyle name="60% - Accent4 246" xfId="4502"/>
    <cellStyle name="60% - Accent4 247" xfId="4503"/>
    <cellStyle name="60% - Accent4 248" xfId="4504"/>
    <cellStyle name="60% - Accent4 249" xfId="4505"/>
    <cellStyle name="60% - Accent4 25" xfId="4506"/>
    <cellStyle name="60% - Accent4 26" xfId="4507"/>
    <cellStyle name="60% - Accent4 27" xfId="4508"/>
    <cellStyle name="60% - Accent4 28" xfId="4509"/>
    <cellStyle name="60% - Accent4 29" xfId="4510"/>
    <cellStyle name="60% - Accent4 3" xfId="4511"/>
    <cellStyle name="60% - Accent4 3 2" xfId="4512"/>
    <cellStyle name="60% - Accent4 30" xfId="4513"/>
    <cellStyle name="60% - Accent4 31" xfId="4514"/>
    <cellStyle name="60% - Accent4 32" xfId="4515"/>
    <cellStyle name="60% - Accent4 33" xfId="4516"/>
    <cellStyle name="60% - Accent4 34" xfId="4517"/>
    <cellStyle name="60% - Accent4 35" xfId="4518"/>
    <cellStyle name="60% - Accent4 36" xfId="4519"/>
    <cellStyle name="60% - Accent4 37" xfId="4520"/>
    <cellStyle name="60% - Accent4 38" xfId="4521"/>
    <cellStyle name="60% - Accent4 39" xfId="4522"/>
    <cellStyle name="60% - Accent4 4" xfId="4523"/>
    <cellStyle name="60% - Accent4 4 2" xfId="4524"/>
    <cellStyle name="60% - Accent4 4 3" xfId="4525"/>
    <cellStyle name="60% - Accent4 4 4" xfId="4526"/>
    <cellStyle name="60% - Accent4 4 5" xfId="4527"/>
    <cellStyle name="60% - Accent4 40" xfId="4528"/>
    <cellStyle name="60% - Accent4 41" xfId="4529"/>
    <cellStyle name="60% - Accent4 42" xfId="4530"/>
    <cellStyle name="60% - Accent4 43" xfId="4531"/>
    <cellStyle name="60% - Accent4 44" xfId="4532"/>
    <cellStyle name="60% - Accent4 45" xfId="4533"/>
    <cellStyle name="60% - Accent4 46" xfId="4534"/>
    <cellStyle name="60% - Accent4 47" xfId="4535"/>
    <cellStyle name="60% - Accent4 48" xfId="4536"/>
    <cellStyle name="60% - Accent4 49" xfId="4537"/>
    <cellStyle name="60% - Accent4 5" xfId="4538"/>
    <cellStyle name="60% - Accent4 5 2" xfId="4539"/>
    <cellStyle name="60% - Accent4 5 3" xfId="4540"/>
    <cellStyle name="60% - Accent4 5 4" xfId="4541"/>
    <cellStyle name="60% - Accent4 5 5" xfId="4542"/>
    <cellStyle name="60% - Accent4 50" xfId="4543"/>
    <cellStyle name="60% - Accent4 51" xfId="4544"/>
    <cellStyle name="60% - Accent4 52" xfId="4545"/>
    <cellStyle name="60% - Accent4 53" xfId="4546"/>
    <cellStyle name="60% - Accent4 54" xfId="4547"/>
    <cellStyle name="60% - Accent4 55" xfId="4548"/>
    <cellStyle name="60% - Accent4 56" xfId="4549"/>
    <cellStyle name="60% - Accent4 57" xfId="4550"/>
    <cellStyle name="60% - Accent4 58" xfId="4551"/>
    <cellStyle name="60% - Accent4 59" xfId="4552"/>
    <cellStyle name="60% - Accent4 6" xfId="4553"/>
    <cellStyle name="60% - Accent4 6 2" xfId="4554"/>
    <cellStyle name="60% - Accent4 6 3" xfId="4555"/>
    <cellStyle name="60% - Accent4 6 4" xfId="4556"/>
    <cellStyle name="60% - Accent4 60" xfId="4557"/>
    <cellStyle name="60% - Accent4 61" xfId="4558"/>
    <cellStyle name="60% - Accent4 62" xfId="4559"/>
    <cellStyle name="60% - Accent4 63" xfId="4560"/>
    <cellStyle name="60% - Accent4 64" xfId="4561"/>
    <cellStyle name="60% - Accent4 65" xfId="4562"/>
    <cellStyle name="60% - Accent4 66" xfId="4563"/>
    <cellStyle name="60% - Accent4 67" xfId="4564"/>
    <cellStyle name="60% - Accent4 68" xfId="4565"/>
    <cellStyle name="60% - Accent4 69" xfId="4566"/>
    <cellStyle name="60% - Accent4 7" xfId="4567"/>
    <cellStyle name="60% - Accent4 7 2" xfId="4568"/>
    <cellStyle name="60% - Accent4 7 3" xfId="4569"/>
    <cellStyle name="60% - Accent4 7 4" xfId="4570"/>
    <cellStyle name="60% - Accent4 70" xfId="4571"/>
    <cellStyle name="60% - Accent4 71" xfId="4572"/>
    <cellStyle name="60% - Accent4 72" xfId="4573"/>
    <cellStyle name="60% - Accent4 73" xfId="4574"/>
    <cellStyle name="60% - Accent4 74" xfId="4575"/>
    <cellStyle name="60% - Accent4 75" xfId="4576"/>
    <cellStyle name="60% - Accent4 76" xfId="4577"/>
    <cellStyle name="60% - Accent4 77" xfId="4578"/>
    <cellStyle name="60% - Accent4 78" xfId="4579"/>
    <cellStyle name="60% - Accent4 79" xfId="4580"/>
    <cellStyle name="60% - Accent4 8" xfId="4581"/>
    <cellStyle name="60% - Accent4 8 2" xfId="4582"/>
    <cellStyle name="60% - Accent4 8 3" xfId="4583"/>
    <cellStyle name="60% - Accent4 8 4" xfId="4584"/>
    <cellStyle name="60% - Accent4 80" xfId="4585"/>
    <cellStyle name="60% - Accent4 81" xfId="4586"/>
    <cellStyle name="60% - Accent4 82" xfId="4587"/>
    <cellStyle name="60% - Accent4 83" xfId="4588"/>
    <cellStyle name="60% - Accent4 84" xfId="4589"/>
    <cellStyle name="60% - Accent4 85" xfId="4590"/>
    <cellStyle name="60% - Accent4 86" xfId="4591"/>
    <cellStyle name="60% - Accent4 87" xfId="4592"/>
    <cellStyle name="60% - Accent4 88" xfId="4593"/>
    <cellStyle name="60% - Accent4 89" xfId="4594"/>
    <cellStyle name="60% - Accent4 9" xfId="4595"/>
    <cellStyle name="60% - Accent4 9 2" xfId="4596"/>
    <cellStyle name="60% - Accent4 9 3" xfId="4597"/>
    <cellStyle name="60% - Accent4 9 4" xfId="4598"/>
    <cellStyle name="60% - Accent4 90" xfId="4599"/>
    <cellStyle name="60% - Accent4 91" xfId="4600"/>
    <cellStyle name="60% - Accent4 92" xfId="4601"/>
    <cellStyle name="60% - Accent4 93" xfId="4602"/>
    <cellStyle name="60% - Accent4 94" xfId="4603"/>
    <cellStyle name="60% - Accent4 95" xfId="4604"/>
    <cellStyle name="60% - Accent4 96" xfId="4605"/>
    <cellStyle name="60% - Accent4 97" xfId="4606"/>
    <cellStyle name="60% - Accent4 98" xfId="4607"/>
    <cellStyle name="60% - Accent4 99" xfId="4608"/>
    <cellStyle name="60% - Accent5" xfId="4609" builtinId="48" customBuiltin="1"/>
    <cellStyle name="60% - Accent5 10" xfId="4610"/>
    <cellStyle name="60% - Accent5 10 2" xfId="4611"/>
    <cellStyle name="60% - Accent5 10 3" xfId="4612"/>
    <cellStyle name="60% - Accent5 10 4" xfId="4613"/>
    <cellStyle name="60% - Accent5 100" xfId="4614"/>
    <cellStyle name="60% - Accent5 101" xfId="4615"/>
    <cellStyle name="60% - Accent5 102" xfId="4616"/>
    <cellStyle name="60% - Accent5 103" xfId="4617"/>
    <cellStyle name="60% - Accent5 104" xfId="4618"/>
    <cellStyle name="60% - Accent5 105" xfId="4619"/>
    <cellStyle name="60% - Accent5 106" xfId="4620"/>
    <cellStyle name="60% - Accent5 107" xfId="4621"/>
    <cellStyle name="60% - Accent5 108" xfId="4622"/>
    <cellStyle name="60% - Accent5 109" xfId="4623"/>
    <cellStyle name="60% - Accent5 11" xfId="4624"/>
    <cellStyle name="60% - Accent5 11 2" xfId="4625"/>
    <cellStyle name="60% - Accent5 110" xfId="4626"/>
    <cellStyle name="60% - Accent5 111" xfId="4627"/>
    <cellStyle name="60% - Accent5 112" xfId="4628"/>
    <cellStyle name="60% - Accent5 113" xfId="4629"/>
    <cellStyle name="60% - Accent5 114" xfId="4630"/>
    <cellStyle name="60% - Accent5 115" xfId="4631"/>
    <cellStyle name="60% - Accent5 116" xfId="4632"/>
    <cellStyle name="60% - Accent5 117" xfId="4633"/>
    <cellStyle name="60% - Accent5 118" xfId="4634"/>
    <cellStyle name="60% - Accent5 119" xfId="4635"/>
    <cellStyle name="60% - Accent5 12" xfId="4636"/>
    <cellStyle name="60% - Accent5 12 2" xfId="4637"/>
    <cellStyle name="60% - Accent5 120" xfId="4638"/>
    <cellStyle name="60% - Accent5 121" xfId="4639"/>
    <cellStyle name="60% - Accent5 122" xfId="4640"/>
    <cellStyle name="60% - Accent5 123" xfId="4641"/>
    <cellStyle name="60% - Accent5 124" xfId="4642"/>
    <cellStyle name="60% - Accent5 125" xfId="4643"/>
    <cellStyle name="60% - Accent5 126" xfId="4644"/>
    <cellStyle name="60% - Accent5 127" xfId="4645"/>
    <cellStyle name="60% - Accent5 128" xfId="4646"/>
    <cellStyle name="60% - Accent5 129" xfId="4647"/>
    <cellStyle name="60% - Accent5 13" xfId="4648"/>
    <cellStyle name="60% - Accent5 130" xfId="4649"/>
    <cellStyle name="60% - Accent5 131" xfId="4650"/>
    <cellStyle name="60% - Accent5 132" xfId="4651"/>
    <cellStyle name="60% - Accent5 133" xfId="4652"/>
    <cellStyle name="60% - Accent5 134" xfId="4653"/>
    <cellStyle name="60% - Accent5 135" xfId="4654"/>
    <cellStyle name="60% - Accent5 136" xfId="4655"/>
    <cellStyle name="60% - Accent5 137" xfId="4656"/>
    <cellStyle name="60% - Accent5 138" xfId="4657"/>
    <cellStyle name="60% - Accent5 139" xfId="4658"/>
    <cellStyle name="60% - Accent5 14" xfId="4659"/>
    <cellStyle name="60% - Accent5 140" xfId="4660"/>
    <cellStyle name="60% - Accent5 141" xfId="4661"/>
    <cellStyle name="60% - Accent5 142" xfId="4662"/>
    <cellStyle name="60% - Accent5 143" xfId="4663"/>
    <cellStyle name="60% - Accent5 144" xfId="4664"/>
    <cellStyle name="60% - Accent5 145" xfId="4665"/>
    <cellStyle name="60% - Accent5 146" xfId="4666"/>
    <cellStyle name="60% - Accent5 147" xfId="4667"/>
    <cellStyle name="60% - Accent5 148" xfId="4668"/>
    <cellStyle name="60% - Accent5 149" xfId="4669"/>
    <cellStyle name="60% - Accent5 15" xfId="4670"/>
    <cellStyle name="60% - Accent5 150" xfId="4671"/>
    <cellStyle name="60% - Accent5 151" xfId="4672"/>
    <cellStyle name="60% - Accent5 152" xfId="4673"/>
    <cellStyle name="60% - Accent5 153" xfId="4674"/>
    <cellStyle name="60% - Accent5 154" xfId="4675"/>
    <cellStyle name="60% - Accent5 155" xfId="4676"/>
    <cellStyle name="60% - Accent5 156" xfId="4677"/>
    <cellStyle name="60% - Accent5 157" xfId="4678"/>
    <cellStyle name="60% - Accent5 158" xfId="4679"/>
    <cellStyle name="60% - Accent5 159" xfId="4680"/>
    <cellStyle name="60% - Accent5 16" xfId="4681"/>
    <cellStyle name="60% - Accent5 160" xfId="4682"/>
    <cellStyle name="60% - Accent5 161" xfId="4683"/>
    <cellStyle name="60% - Accent5 162" xfId="4684"/>
    <cellStyle name="60% - Accent5 163" xfId="4685"/>
    <cellStyle name="60% - Accent5 164" xfId="4686"/>
    <cellStyle name="60% - Accent5 165" xfId="4687"/>
    <cellStyle name="60% - Accent5 166" xfId="4688"/>
    <cellStyle name="60% - Accent5 167" xfId="4689"/>
    <cellStyle name="60% - Accent5 168" xfId="4690"/>
    <cellStyle name="60% - Accent5 169" xfId="4691"/>
    <cellStyle name="60% - Accent5 17" xfId="4692"/>
    <cellStyle name="60% - Accent5 170" xfId="4693"/>
    <cellStyle name="60% - Accent5 171" xfId="4694"/>
    <cellStyle name="60% - Accent5 172" xfId="4695"/>
    <cellStyle name="60% - Accent5 173" xfId="4696"/>
    <cellStyle name="60% - Accent5 174" xfId="4697"/>
    <cellStyle name="60% - Accent5 175" xfId="4698"/>
    <cellStyle name="60% - Accent5 176" xfId="4699"/>
    <cellStyle name="60% - Accent5 177" xfId="4700"/>
    <cellStyle name="60% - Accent5 178" xfId="4701"/>
    <cellStyle name="60% - Accent5 179" xfId="4702"/>
    <cellStyle name="60% - Accent5 18" xfId="4703"/>
    <cellStyle name="60% - Accent5 180" xfId="4704"/>
    <cellStyle name="60% - Accent5 181" xfId="4705"/>
    <cellStyle name="60% - Accent5 182" xfId="4706"/>
    <cellStyle name="60% - Accent5 183" xfId="4707"/>
    <cellStyle name="60% - Accent5 184" xfId="4708"/>
    <cellStyle name="60% - Accent5 185" xfId="4709"/>
    <cellStyle name="60% - Accent5 186" xfId="4710"/>
    <cellStyle name="60% - Accent5 187" xfId="4711"/>
    <cellStyle name="60% - Accent5 188" xfId="4712"/>
    <cellStyle name="60% - Accent5 189" xfId="4713"/>
    <cellStyle name="60% - Accent5 19" xfId="4714"/>
    <cellStyle name="60% - Accent5 190" xfId="4715"/>
    <cellStyle name="60% - Accent5 191" xfId="4716"/>
    <cellStyle name="60% - Accent5 192" xfId="4717"/>
    <cellStyle name="60% - Accent5 193" xfId="4718"/>
    <cellStyle name="60% - Accent5 194" xfId="4719"/>
    <cellStyle name="60% - Accent5 195" xfId="4720"/>
    <cellStyle name="60% - Accent5 196" xfId="4721"/>
    <cellStyle name="60% - Accent5 197" xfId="4722"/>
    <cellStyle name="60% - Accent5 198" xfId="4723"/>
    <cellStyle name="60% - Accent5 199" xfId="4724"/>
    <cellStyle name="60% - Accent5 2" xfId="4725"/>
    <cellStyle name="60% - Accent5 2 2" xfId="4726"/>
    <cellStyle name="60% - Accent5 2 2 2" xfId="4727"/>
    <cellStyle name="60% - Accent5 2 2 3" xfId="4728"/>
    <cellStyle name="60% - Accent5 2 2 4" xfId="4729"/>
    <cellStyle name="60% - Accent5 2 2 5" xfId="4730"/>
    <cellStyle name="60% - Accent5 2 2 6" xfId="4731"/>
    <cellStyle name="60% - Accent5 2 2 7" xfId="4732"/>
    <cellStyle name="60% - Accent5 2 3" xfId="4733"/>
    <cellStyle name="60% - Accent5 2 4" xfId="4734"/>
    <cellStyle name="60% - Accent5 2 5" xfId="4735"/>
    <cellStyle name="60% - Accent5 2 6" xfId="4736"/>
    <cellStyle name="60% - Accent5 2 7" xfId="4737"/>
    <cellStyle name="60% - Accent5 2 8" xfId="4738"/>
    <cellStyle name="60% - Accent5 20" xfId="4739"/>
    <cellStyle name="60% - Accent5 200" xfId="4740"/>
    <cellStyle name="60% - Accent5 201" xfId="4741"/>
    <cellStyle name="60% - Accent5 202" xfId="4742"/>
    <cellStyle name="60% - Accent5 203" xfId="4743"/>
    <cellStyle name="60% - Accent5 204" xfId="4744"/>
    <cellStyle name="60% - Accent5 205" xfId="4745"/>
    <cellStyle name="60% - Accent5 206" xfId="4746"/>
    <cellStyle name="60% - Accent5 207" xfId="4747"/>
    <cellStyle name="60% - Accent5 208" xfId="4748"/>
    <cellStyle name="60% - Accent5 209" xfId="4749"/>
    <cellStyle name="60% - Accent5 21" xfId="4750"/>
    <cellStyle name="60% - Accent5 210" xfId="4751"/>
    <cellStyle name="60% - Accent5 211" xfId="4752"/>
    <cellStyle name="60% - Accent5 212" xfId="4753"/>
    <cellStyle name="60% - Accent5 213" xfId="4754"/>
    <cellStyle name="60% - Accent5 214" xfId="4755"/>
    <cellStyle name="60% - Accent5 215" xfId="4756"/>
    <cellStyle name="60% - Accent5 216" xfId="4757"/>
    <cellStyle name="60% - Accent5 217" xfId="4758"/>
    <cellStyle name="60% - Accent5 218" xfId="4759"/>
    <cellStyle name="60% - Accent5 219" xfId="4760"/>
    <cellStyle name="60% - Accent5 22" xfId="4761"/>
    <cellStyle name="60% - Accent5 220" xfId="4762"/>
    <cellStyle name="60% - Accent5 221" xfId="4763"/>
    <cellStyle name="60% - Accent5 222" xfId="4764"/>
    <cellStyle name="60% - Accent5 223" xfId="4765"/>
    <cellStyle name="60% - Accent5 224" xfId="4766"/>
    <cellStyle name="60% - Accent5 225" xfId="4767"/>
    <cellStyle name="60% - Accent5 226" xfId="4768"/>
    <cellStyle name="60% - Accent5 227" xfId="4769"/>
    <cellStyle name="60% - Accent5 228" xfId="4770"/>
    <cellStyle name="60% - Accent5 229" xfId="4771"/>
    <cellStyle name="60% - Accent5 23" xfId="4772"/>
    <cellStyle name="60% - Accent5 230" xfId="4773"/>
    <cellStyle name="60% - Accent5 231" xfId="4774"/>
    <cellStyle name="60% - Accent5 232" xfId="4775"/>
    <cellStyle name="60% - Accent5 233" xfId="4776"/>
    <cellStyle name="60% - Accent5 234" xfId="4777"/>
    <cellStyle name="60% - Accent5 235" xfId="4778"/>
    <cellStyle name="60% - Accent5 236" xfId="4779"/>
    <cellStyle name="60% - Accent5 237" xfId="4780"/>
    <cellStyle name="60% - Accent5 238" xfId="4781"/>
    <cellStyle name="60% - Accent5 239" xfId="4782"/>
    <cellStyle name="60% - Accent5 24" xfId="4783"/>
    <cellStyle name="60% - Accent5 240" xfId="4784"/>
    <cellStyle name="60% - Accent5 241" xfId="4785"/>
    <cellStyle name="60% - Accent5 242" xfId="4786"/>
    <cellStyle name="60% - Accent5 243" xfId="4787"/>
    <cellStyle name="60% - Accent5 244" xfId="4788"/>
    <cellStyle name="60% - Accent5 245" xfId="4789"/>
    <cellStyle name="60% - Accent5 246" xfId="4790"/>
    <cellStyle name="60% - Accent5 247" xfId="4791"/>
    <cellStyle name="60% - Accent5 248" xfId="4792"/>
    <cellStyle name="60% - Accent5 249" xfId="4793"/>
    <cellStyle name="60% - Accent5 25" xfId="4794"/>
    <cellStyle name="60% - Accent5 26" xfId="4795"/>
    <cellStyle name="60% - Accent5 27" xfId="4796"/>
    <cellStyle name="60% - Accent5 28" xfId="4797"/>
    <cellStyle name="60% - Accent5 29" xfId="4798"/>
    <cellStyle name="60% - Accent5 3" xfId="4799"/>
    <cellStyle name="60% - Accent5 3 2" xfId="4800"/>
    <cellStyle name="60% - Accent5 30" xfId="4801"/>
    <cellStyle name="60% - Accent5 31" xfId="4802"/>
    <cellStyle name="60% - Accent5 32" xfId="4803"/>
    <cellStyle name="60% - Accent5 33" xfId="4804"/>
    <cellStyle name="60% - Accent5 34" xfId="4805"/>
    <cellStyle name="60% - Accent5 35" xfId="4806"/>
    <cellStyle name="60% - Accent5 36" xfId="4807"/>
    <cellStyle name="60% - Accent5 37" xfId="4808"/>
    <cellStyle name="60% - Accent5 38" xfId="4809"/>
    <cellStyle name="60% - Accent5 39" xfId="4810"/>
    <cellStyle name="60% - Accent5 4" xfId="4811"/>
    <cellStyle name="60% - Accent5 4 2" xfId="4812"/>
    <cellStyle name="60% - Accent5 4 3" xfId="4813"/>
    <cellStyle name="60% - Accent5 4 4" xfId="4814"/>
    <cellStyle name="60% - Accent5 4 5" xfId="4815"/>
    <cellStyle name="60% - Accent5 40" xfId="4816"/>
    <cellStyle name="60% - Accent5 41" xfId="4817"/>
    <cellStyle name="60% - Accent5 42" xfId="4818"/>
    <cellStyle name="60% - Accent5 43" xfId="4819"/>
    <cellStyle name="60% - Accent5 44" xfId="4820"/>
    <cellStyle name="60% - Accent5 45" xfId="4821"/>
    <cellStyle name="60% - Accent5 46" xfId="4822"/>
    <cellStyle name="60% - Accent5 47" xfId="4823"/>
    <cellStyle name="60% - Accent5 48" xfId="4824"/>
    <cellStyle name="60% - Accent5 49" xfId="4825"/>
    <cellStyle name="60% - Accent5 5" xfId="4826"/>
    <cellStyle name="60% - Accent5 5 2" xfId="4827"/>
    <cellStyle name="60% - Accent5 5 3" xfId="4828"/>
    <cellStyle name="60% - Accent5 5 4" xfId="4829"/>
    <cellStyle name="60% - Accent5 5 5" xfId="4830"/>
    <cellStyle name="60% - Accent5 50" xfId="4831"/>
    <cellStyle name="60% - Accent5 51" xfId="4832"/>
    <cellStyle name="60% - Accent5 52" xfId="4833"/>
    <cellStyle name="60% - Accent5 53" xfId="4834"/>
    <cellStyle name="60% - Accent5 54" xfId="4835"/>
    <cellStyle name="60% - Accent5 55" xfId="4836"/>
    <cellStyle name="60% - Accent5 56" xfId="4837"/>
    <cellStyle name="60% - Accent5 57" xfId="4838"/>
    <cellStyle name="60% - Accent5 58" xfId="4839"/>
    <cellStyle name="60% - Accent5 59" xfId="4840"/>
    <cellStyle name="60% - Accent5 6" xfId="4841"/>
    <cellStyle name="60% - Accent5 6 2" xfId="4842"/>
    <cellStyle name="60% - Accent5 6 3" xfId="4843"/>
    <cellStyle name="60% - Accent5 6 4" xfId="4844"/>
    <cellStyle name="60% - Accent5 60" xfId="4845"/>
    <cellStyle name="60% - Accent5 61" xfId="4846"/>
    <cellStyle name="60% - Accent5 62" xfId="4847"/>
    <cellStyle name="60% - Accent5 63" xfId="4848"/>
    <cellStyle name="60% - Accent5 64" xfId="4849"/>
    <cellStyle name="60% - Accent5 65" xfId="4850"/>
    <cellStyle name="60% - Accent5 66" xfId="4851"/>
    <cellStyle name="60% - Accent5 67" xfId="4852"/>
    <cellStyle name="60% - Accent5 68" xfId="4853"/>
    <cellStyle name="60% - Accent5 69" xfId="4854"/>
    <cellStyle name="60% - Accent5 7" xfId="4855"/>
    <cellStyle name="60% - Accent5 7 2" xfId="4856"/>
    <cellStyle name="60% - Accent5 7 3" xfId="4857"/>
    <cellStyle name="60% - Accent5 7 4" xfId="4858"/>
    <cellStyle name="60% - Accent5 70" xfId="4859"/>
    <cellStyle name="60% - Accent5 71" xfId="4860"/>
    <cellStyle name="60% - Accent5 72" xfId="4861"/>
    <cellStyle name="60% - Accent5 73" xfId="4862"/>
    <cellStyle name="60% - Accent5 74" xfId="4863"/>
    <cellStyle name="60% - Accent5 75" xfId="4864"/>
    <cellStyle name="60% - Accent5 76" xfId="4865"/>
    <cellStyle name="60% - Accent5 77" xfId="4866"/>
    <cellStyle name="60% - Accent5 78" xfId="4867"/>
    <cellStyle name="60% - Accent5 79" xfId="4868"/>
    <cellStyle name="60% - Accent5 8" xfId="4869"/>
    <cellStyle name="60% - Accent5 8 2" xfId="4870"/>
    <cellStyle name="60% - Accent5 8 3" xfId="4871"/>
    <cellStyle name="60% - Accent5 8 4" xfId="4872"/>
    <cellStyle name="60% - Accent5 80" xfId="4873"/>
    <cellStyle name="60% - Accent5 81" xfId="4874"/>
    <cellStyle name="60% - Accent5 82" xfId="4875"/>
    <cellStyle name="60% - Accent5 83" xfId="4876"/>
    <cellStyle name="60% - Accent5 84" xfId="4877"/>
    <cellStyle name="60% - Accent5 85" xfId="4878"/>
    <cellStyle name="60% - Accent5 86" xfId="4879"/>
    <cellStyle name="60% - Accent5 87" xfId="4880"/>
    <cellStyle name="60% - Accent5 88" xfId="4881"/>
    <cellStyle name="60% - Accent5 89" xfId="4882"/>
    <cellStyle name="60% - Accent5 9" xfId="4883"/>
    <cellStyle name="60% - Accent5 9 2" xfId="4884"/>
    <cellStyle name="60% - Accent5 9 3" xfId="4885"/>
    <cellStyle name="60% - Accent5 9 4" xfId="4886"/>
    <cellStyle name="60% - Accent5 90" xfId="4887"/>
    <cellStyle name="60% - Accent5 91" xfId="4888"/>
    <cellStyle name="60% - Accent5 92" xfId="4889"/>
    <cellStyle name="60% - Accent5 93" xfId="4890"/>
    <cellStyle name="60% - Accent5 94" xfId="4891"/>
    <cellStyle name="60% - Accent5 95" xfId="4892"/>
    <cellStyle name="60% - Accent5 96" xfId="4893"/>
    <cellStyle name="60% - Accent5 97" xfId="4894"/>
    <cellStyle name="60% - Accent5 98" xfId="4895"/>
    <cellStyle name="60% - Accent5 99" xfId="4896"/>
    <cellStyle name="60% - Accent6" xfId="4897" builtinId="52" customBuiltin="1"/>
    <cellStyle name="60% - Accent6 10" xfId="4898"/>
    <cellStyle name="60% - Accent6 10 2" xfId="4899"/>
    <cellStyle name="60% - Accent6 10 3" xfId="4900"/>
    <cellStyle name="60% - Accent6 10 4" xfId="4901"/>
    <cellStyle name="60% - Accent6 100" xfId="4902"/>
    <cellStyle name="60% - Accent6 101" xfId="4903"/>
    <cellStyle name="60% - Accent6 102" xfId="4904"/>
    <cellStyle name="60% - Accent6 103" xfId="4905"/>
    <cellStyle name="60% - Accent6 104" xfId="4906"/>
    <cellStyle name="60% - Accent6 105" xfId="4907"/>
    <cellStyle name="60% - Accent6 106" xfId="4908"/>
    <cellStyle name="60% - Accent6 107" xfId="4909"/>
    <cellStyle name="60% - Accent6 108" xfId="4910"/>
    <cellStyle name="60% - Accent6 109" xfId="4911"/>
    <cellStyle name="60% - Accent6 11" xfId="4912"/>
    <cellStyle name="60% - Accent6 11 2" xfId="4913"/>
    <cellStyle name="60% - Accent6 110" xfId="4914"/>
    <cellStyle name="60% - Accent6 111" xfId="4915"/>
    <cellStyle name="60% - Accent6 112" xfId="4916"/>
    <cellStyle name="60% - Accent6 113" xfId="4917"/>
    <cellStyle name="60% - Accent6 114" xfId="4918"/>
    <cellStyle name="60% - Accent6 115" xfId="4919"/>
    <cellStyle name="60% - Accent6 116" xfId="4920"/>
    <cellStyle name="60% - Accent6 117" xfId="4921"/>
    <cellStyle name="60% - Accent6 118" xfId="4922"/>
    <cellStyle name="60% - Accent6 119" xfId="4923"/>
    <cellStyle name="60% - Accent6 12" xfId="4924"/>
    <cellStyle name="60% - Accent6 12 2" xfId="4925"/>
    <cellStyle name="60% - Accent6 120" xfId="4926"/>
    <cellStyle name="60% - Accent6 121" xfId="4927"/>
    <cellStyle name="60% - Accent6 122" xfId="4928"/>
    <cellStyle name="60% - Accent6 123" xfId="4929"/>
    <cellStyle name="60% - Accent6 124" xfId="4930"/>
    <cellStyle name="60% - Accent6 125" xfId="4931"/>
    <cellStyle name="60% - Accent6 126" xfId="4932"/>
    <cellStyle name="60% - Accent6 127" xfId="4933"/>
    <cellStyle name="60% - Accent6 128" xfId="4934"/>
    <cellStyle name="60% - Accent6 129" xfId="4935"/>
    <cellStyle name="60% - Accent6 13" xfId="4936"/>
    <cellStyle name="60% - Accent6 130" xfId="4937"/>
    <cellStyle name="60% - Accent6 131" xfId="4938"/>
    <cellStyle name="60% - Accent6 132" xfId="4939"/>
    <cellStyle name="60% - Accent6 133" xfId="4940"/>
    <cellStyle name="60% - Accent6 134" xfId="4941"/>
    <cellStyle name="60% - Accent6 135" xfId="4942"/>
    <cellStyle name="60% - Accent6 136" xfId="4943"/>
    <cellStyle name="60% - Accent6 137" xfId="4944"/>
    <cellStyle name="60% - Accent6 138" xfId="4945"/>
    <cellStyle name="60% - Accent6 139" xfId="4946"/>
    <cellStyle name="60% - Accent6 14" xfId="4947"/>
    <cellStyle name="60% - Accent6 140" xfId="4948"/>
    <cellStyle name="60% - Accent6 141" xfId="4949"/>
    <cellStyle name="60% - Accent6 142" xfId="4950"/>
    <cellStyle name="60% - Accent6 143" xfId="4951"/>
    <cellStyle name="60% - Accent6 144" xfId="4952"/>
    <cellStyle name="60% - Accent6 145" xfId="4953"/>
    <cellStyle name="60% - Accent6 146" xfId="4954"/>
    <cellStyle name="60% - Accent6 147" xfId="4955"/>
    <cellStyle name="60% - Accent6 148" xfId="4956"/>
    <cellStyle name="60% - Accent6 149" xfId="4957"/>
    <cellStyle name="60% - Accent6 15" xfId="4958"/>
    <cellStyle name="60% - Accent6 150" xfId="4959"/>
    <cellStyle name="60% - Accent6 151" xfId="4960"/>
    <cellStyle name="60% - Accent6 152" xfId="4961"/>
    <cellStyle name="60% - Accent6 153" xfId="4962"/>
    <cellStyle name="60% - Accent6 154" xfId="4963"/>
    <cellStyle name="60% - Accent6 155" xfId="4964"/>
    <cellStyle name="60% - Accent6 156" xfId="4965"/>
    <cellStyle name="60% - Accent6 157" xfId="4966"/>
    <cellStyle name="60% - Accent6 158" xfId="4967"/>
    <cellStyle name="60% - Accent6 159" xfId="4968"/>
    <cellStyle name="60% - Accent6 16" xfId="4969"/>
    <cellStyle name="60% - Accent6 160" xfId="4970"/>
    <cellStyle name="60% - Accent6 161" xfId="4971"/>
    <cellStyle name="60% - Accent6 162" xfId="4972"/>
    <cellStyle name="60% - Accent6 163" xfId="4973"/>
    <cellStyle name="60% - Accent6 164" xfId="4974"/>
    <cellStyle name="60% - Accent6 165" xfId="4975"/>
    <cellStyle name="60% - Accent6 166" xfId="4976"/>
    <cellStyle name="60% - Accent6 167" xfId="4977"/>
    <cellStyle name="60% - Accent6 168" xfId="4978"/>
    <cellStyle name="60% - Accent6 169" xfId="4979"/>
    <cellStyle name="60% - Accent6 17" xfId="4980"/>
    <cellStyle name="60% - Accent6 170" xfId="4981"/>
    <cellStyle name="60% - Accent6 171" xfId="4982"/>
    <cellStyle name="60% - Accent6 172" xfId="4983"/>
    <cellStyle name="60% - Accent6 173" xfId="4984"/>
    <cellStyle name="60% - Accent6 174" xfId="4985"/>
    <cellStyle name="60% - Accent6 175" xfId="4986"/>
    <cellStyle name="60% - Accent6 176" xfId="4987"/>
    <cellStyle name="60% - Accent6 177" xfId="4988"/>
    <cellStyle name="60% - Accent6 178" xfId="4989"/>
    <cellStyle name="60% - Accent6 179" xfId="4990"/>
    <cellStyle name="60% - Accent6 18" xfId="4991"/>
    <cellStyle name="60% - Accent6 180" xfId="4992"/>
    <cellStyle name="60% - Accent6 181" xfId="4993"/>
    <cellStyle name="60% - Accent6 182" xfId="4994"/>
    <cellStyle name="60% - Accent6 183" xfId="4995"/>
    <cellStyle name="60% - Accent6 184" xfId="4996"/>
    <cellStyle name="60% - Accent6 185" xfId="4997"/>
    <cellStyle name="60% - Accent6 186" xfId="4998"/>
    <cellStyle name="60% - Accent6 187" xfId="4999"/>
    <cellStyle name="60% - Accent6 188" xfId="5000"/>
    <cellStyle name="60% - Accent6 189" xfId="5001"/>
    <cellStyle name="60% - Accent6 19" xfId="5002"/>
    <cellStyle name="60% - Accent6 190" xfId="5003"/>
    <cellStyle name="60% - Accent6 191" xfId="5004"/>
    <cellStyle name="60% - Accent6 192" xfId="5005"/>
    <cellStyle name="60% - Accent6 193" xfId="5006"/>
    <cellStyle name="60% - Accent6 194" xfId="5007"/>
    <cellStyle name="60% - Accent6 195" xfId="5008"/>
    <cellStyle name="60% - Accent6 196" xfId="5009"/>
    <cellStyle name="60% - Accent6 197" xfId="5010"/>
    <cellStyle name="60% - Accent6 198" xfId="5011"/>
    <cellStyle name="60% - Accent6 199" xfId="5012"/>
    <cellStyle name="60% - Accent6 2" xfId="5013"/>
    <cellStyle name="60% - Accent6 2 2" xfId="5014"/>
    <cellStyle name="60% - Accent6 2 2 2" xfId="5015"/>
    <cellStyle name="60% - Accent6 2 2 3" xfId="5016"/>
    <cellStyle name="60% - Accent6 2 2 4" xfId="5017"/>
    <cellStyle name="60% - Accent6 2 2 5" xfId="5018"/>
    <cellStyle name="60% - Accent6 2 2 6" xfId="5019"/>
    <cellStyle name="60% - Accent6 2 2 7" xfId="5020"/>
    <cellStyle name="60% - Accent6 2 3" xfId="5021"/>
    <cellStyle name="60% - Accent6 2 4" xfId="5022"/>
    <cellStyle name="60% - Accent6 2 5" xfId="5023"/>
    <cellStyle name="60% - Accent6 2 6" xfId="5024"/>
    <cellStyle name="60% - Accent6 2 7" xfId="5025"/>
    <cellStyle name="60% - Accent6 2 8" xfId="5026"/>
    <cellStyle name="60% - Accent6 20" xfId="5027"/>
    <cellStyle name="60% - Accent6 200" xfId="5028"/>
    <cellStyle name="60% - Accent6 201" xfId="5029"/>
    <cellStyle name="60% - Accent6 202" xfId="5030"/>
    <cellStyle name="60% - Accent6 203" xfId="5031"/>
    <cellStyle name="60% - Accent6 204" xfId="5032"/>
    <cellStyle name="60% - Accent6 205" xfId="5033"/>
    <cellStyle name="60% - Accent6 206" xfId="5034"/>
    <cellStyle name="60% - Accent6 207" xfId="5035"/>
    <cellStyle name="60% - Accent6 208" xfId="5036"/>
    <cellStyle name="60% - Accent6 209" xfId="5037"/>
    <cellStyle name="60% - Accent6 21" xfId="5038"/>
    <cellStyle name="60% - Accent6 210" xfId="5039"/>
    <cellStyle name="60% - Accent6 211" xfId="5040"/>
    <cellStyle name="60% - Accent6 212" xfId="5041"/>
    <cellStyle name="60% - Accent6 213" xfId="5042"/>
    <cellStyle name="60% - Accent6 214" xfId="5043"/>
    <cellStyle name="60% - Accent6 215" xfId="5044"/>
    <cellStyle name="60% - Accent6 216" xfId="5045"/>
    <cellStyle name="60% - Accent6 217" xfId="5046"/>
    <cellStyle name="60% - Accent6 218" xfId="5047"/>
    <cellStyle name="60% - Accent6 219" xfId="5048"/>
    <cellStyle name="60% - Accent6 22" xfId="5049"/>
    <cellStyle name="60% - Accent6 220" xfId="5050"/>
    <cellStyle name="60% - Accent6 221" xfId="5051"/>
    <cellStyle name="60% - Accent6 222" xfId="5052"/>
    <cellStyle name="60% - Accent6 223" xfId="5053"/>
    <cellStyle name="60% - Accent6 224" xfId="5054"/>
    <cellStyle name="60% - Accent6 225" xfId="5055"/>
    <cellStyle name="60% - Accent6 226" xfId="5056"/>
    <cellStyle name="60% - Accent6 227" xfId="5057"/>
    <cellStyle name="60% - Accent6 228" xfId="5058"/>
    <cellStyle name="60% - Accent6 229" xfId="5059"/>
    <cellStyle name="60% - Accent6 23" xfId="5060"/>
    <cellStyle name="60% - Accent6 230" xfId="5061"/>
    <cellStyle name="60% - Accent6 231" xfId="5062"/>
    <cellStyle name="60% - Accent6 232" xfId="5063"/>
    <cellStyle name="60% - Accent6 233" xfId="5064"/>
    <cellStyle name="60% - Accent6 234" xfId="5065"/>
    <cellStyle name="60% - Accent6 235" xfId="5066"/>
    <cellStyle name="60% - Accent6 236" xfId="5067"/>
    <cellStyle name="60% - Accent6 237" xfId="5068"/>
    <cellStyle name="60% - Accent6 238" xfId="5069"/>
    <cellStyle name="60% - Accent6 239" xfId="5070"/>
    <cellStyle name="60% - Accent6 24" xfId="5071"/>
    <cellStyle name="60% - Accent6 240" xfId="5072"/>
    <cellStyle name="60% - Accent6 241" xfId="5073"/>
    <cellStyle name="60% - Accent6 242" xfId="5074"/>
    <cellStyle name="60% - Accent6 243" xfId="5075"/>
    <cellStyle name="60% - Accent6 244" xfId="5076"/>
    <cellStyle name="60% - Accent6 245" xfId="5077"/>
    <cellStyle name="60% - Accent6 246" xfId="5078"/>
    <cellStyle name="60% - Accent6 247" xfId="5079"/>
    <cellStyle name="60% - Accent6 248" xfId="5080"/>
    <cellStyle name="60% - Accent6 249" xfId="5081"/>
    <cellStyle name="60% - Accent6 25" xfId="5082"/>
    <cellStyle name="60% - Accent6 26" xfId="5083"/>
    <cellStyle name="60% - Accent6 27" xfId="5084"/>
    <cellStyle name="60% - Accent6 28" xfId="5085"/>
    <cellStyle name="60% - Accent6 29" xfId="5086"/>
    <cellStyle name="60% - Accent6 3" xfId="5087"/>
    <cellStyle name="60% - Accent6 3 2" xfId="5088"/>
    <cellStyle name="60% - Accent6 30" xfId="5089"/>
    <cellStyle name="60% - Accent6 31" xfId="5090"/>
    <cellStyle name="60% - Accent6 32" xfId="5091"/>
    <cellStyle name="60% - Accent6 33" xfId="5092"/>
    <cellStyle name="60% - Accent6 34" xfId="5093"/>
    <cellStyle name="60% - Accent6 35" xfId="5094"/>
    <cellStyle name="60% - Accent6 36" xfId="5095"/>
    <cellStyle name="60% - Accent6 37" xfId="5096"/>
    <cellStyle name="60% - Accent6 38" xfId="5097"/>
    <cellStyle name="60% - Accent6 39" xfId="5098"/>
    <cellStyle name="60% - Accent6 4" xfId="5099"/>
    <cellStyle name="60% - Accent6 4 2" xfId="5100"/>
    <cellStyle name="60% - Accent6 4 3" xfId="5101"/>
    <cellStyle name="60% - Accent6 4 4" xfId="5102"/>
    <cellStyle name="60% - Accent6 4 5" xfId="5103"/>
    <cellStyle name="60% - Accent6 40" xfId="5104"/>
    <cellStyle name="60% - Accent6 41" xfId="5105"/>
    <cellStyle name="60% - Accent6 42" xfId="5106"/>
    <cellStyle name="60% - Accent6 43" xfId="5107"/>
    <cellStyle name="60% - Accent6 44" xfId="5108"/>
    <cellStyle name="60% - Accent6 45" xfId="5109"/>
    <cellStyle name="60% - Accent6 46" xfId="5110"/>
    <cellStyle name="60% - Accent6 47" xfId="5111"/>
    <cellStyle name="60% - Accent6 48" xfId="5112"/>
    <cellStyle name="60% - Accent6 49" xfId="5113"/>
    <cellStyle name="60% - Accent6 5" xfId="5114"/>
    <cellStyle name="60% - Accent6 5 2" xfId="5115"/>
    <cellStyle name="60% - Accent6 5 3" xfId="5116"/>
    <cellStyle name="60% - Accent6 5 4" xfId="5117"/>
    <cellStyle name="60% - Accent6 5 5" xfId="5118"/>
    <cellStyle name="60% - Accent6 50" xfId="5119"/>
    <cellStyle name="60% - Accent6 51" xfId="5120"/>
    <cellStyle name="60% - Accent6 52" xfId="5121"/>
    <cellStyle name="60% - Accent6 53" xfId="5122"/>
    <cellStyle name="60% - Accent6 54" xfId="5123"/>
    <cellStyle name="60% - Accent6 55" xfId="5124"/>
    <cellStyle name="60% - Accent6 56" xfId="5125"/>
    <cellStyle name="60% - Accent6 57" xfId="5126"/>
    <cellStyle name="60% - Accent6 58" xfId="5127"/>
    <cellStyle name="60% - Accent6 59" xfId="5128"/>
    <cellStyle name="60% - Accent6 6" xfId="5129"/>
    <cellStyle name="60% - Accent6 6 2" xfId="5130"/>
    <cellStyle name="60% - Accent6 6 3" xfId="5131"/>
    <cellStyle name="60% - Accent6 6 4" xfId="5132"/>
    <cellStyle name="60% - Accent6 60" xfId="5133"/>
    <cellStyle name="60% - Accent6 61" xfId="5134"/>
    <cellStyle name="60% - Accent6 62" xfId="5135"/>
    <cellStyle name="60% - Accent6 63" xfId="5136"/>
    <cellStyle name="60% - Accent6 64" xfId="5137"/>
    <cellStyle name="60% - Accent6 65" xfId="5138"/>
    <cellStyle name="60% - Accent6 66" xfId="5139"/>
    <cellStyle name="60% - Accent6 67" xfId="5140"/>
    <cellStyle name="60% - Accent6 68" xfId="5141"/>
    <cellStyle name="60% - Accent6 69" xfId="5142"/>
    <cellStyle name="60% - Accent6 7" xfId="5143"/>
    <cellStyle name="60% - Accent6 7 2" xfId="5144"/>
    <cellStyle name="60% - Accent6 7 3" xfId="5145"/>
    <cellStyle name="60% - Accent6 7 4" xfId="5146"/>
    <cellStyle name="60% - Accent6 70" xfId="5147"/>
    <cellStyle name="60% - Accent6 71" xfId="5148"/>
    <cellStyle name="60% - Accent6 72" xfId="5149"/>
    <cellStyle name="60% - Accent6 73" xfId="5150"/>
    <cellStyle name="60% - Accent6 74" xfId="5151"/>
    <cellStyle name="60% - Accent6 75" xfId="5152"/>
    <cellStyle name="60% - Accent6 76" xfId="5153"/>
    <cellStyle name="60% - Accent6 77" xfId="5154"/>
    <cellStyle name="60% - Accent6 78" xfId="5155"/>
    <cellStyle name="60% - Accent6 79" xfId="5156"/>
    <cellStyle name="60% - Accent6 8" xfId="5157"/>
    <cellStyle name="60% - Accent6 8 2" xfId="5158"/>
    <cellStyle name="60% - Accent6 8 3" xfId="5159"/>
    <cellStyle name="60% - Accent6 8 4" xfId="5160"/>
    <cellStyle name="60% - Accent6 80" xfId="5161"/>
    <cellStyle name="60% - Accent6 81" xfId="5162"/>
    <cellStyle name="60% - Accent6 82" xfId="5163"/>
    <cellStyle name="60% - Accent6 83" xfId="5164"/>
    <cellStyle name="60% - Accent6 84" xfId="5165"/>
    <cellStyle name="60% - Accent6 85" xfId="5166"/>
    <cellStyle name="60% - Accent6 86" xfId="5167"/>
    <cellStyle name="60% - Accent6 87" xfId="5168"/>
    <cellStyle name="60% - Accent6 88" xfId="5169"/>
    <cellStyle name="60% - Accent6 89" xfId="5170"/>
    <cellStyle name="60% - Accent6 9" xfId="5171"/>
    <cellStyle name="60% - Accent6 9 2" xfId="5172"/>
    <cellStyle name="60% - Accent6 9 3" xfId="5173"/>
    <cellStyle name="60% - Accent6 9 4" xfId="5174"/>
    <cellStyle name="60% - Accent6 90" xfId="5175"/>
    <cellStyle name="60% - Accent6 91" xfId="5176"/>
    <cellStyle name="60% - Accent6 92" xfId="5177"/>
    <cellStyle name="60% - Accent6 93" xfId="5178"/>
    <cellStyle name="60% - Accent6 94" xfId="5179"/>
    <cellStyle name="60% - Accent6 95" xfId="5180"/>
    <cellStyle name="60% - Accent6 96" xfId="5181"/>
    <cellStyle name="60% - Accent6 97" xfId="5182"/>
    <cellStyle name="60% - Accent6 98" xfId="5183"/>
    <cellStyle name="60% - Accent6 99" xfId="5184"/>
    <cellStyle name="Accent1" xfId="5185" builtinId="29" customBuiltin="1"/>
    <cellStyle name="Accent1 10" xfId="5186"/>
    <cellStyle name="Accent1 10 2" xfId="5187"/>
    <cellStyle name="Accent1 10 3" xfId="5188"/>
    <cellStyle name="Accent1 10 4" xfId="5189"/>
    <cellStyle name="Accent1 100" xfId="5190"/>
    <cellStyle name="Accent1 101" xfId="5191"/>
    <cellStyle name="Accent1 102" xfId="5192"/>
    <cellStyle name="Accent1 103" xfId="5193"/>
    <cellStyle name="Accent1 104" xfId="5194"/>
    <cellStyle name="Accent1 105" xfId="5195"/>
    <cellStyle name="Accent1 106" xfId="5196"/>
    <cellStyle name="Accent1 107" xfId="5197"/>
    <cellStyle name="Accent1 108" xfId="5198"/>
    <cellStyle name="Accent1 109" xfId="5199"/>
    <cellStyle name="Accent1 11" xfId="5200"/>
    <cellStyle name="Accent1 11 2" xfId="5201"/>
    <cellStyle name="Accent1 110" xfId="5202"/>
    <cellStyle name="Accent1 111" xfId="5203"/>
    <cellStyle name="Accent1 112" xfId="5204"/>
    <cellStyle name="Accent1 113" xfId="5205"/>
    <cellStyle name="Accent1 114" xfId="5206"/>
    <cellStyle name="Accent1 115" xfId="5207"/>
    <cellStyle name="Accent1 116" xfId="5208"/>
    <cellStyle name="Accent1 117" xfId="5209"/>
    <cellStyle name="Accent1 118" xfId="5210"/>
    <cellStyle name="Accent1 119" xfId="5211"/>
    <cellStyle name="Accent1 12" xfId="5212"/>
    <cellStyle name="Accent1 12 2" xfId="5213"/>
    <cellStyle name="Accent1 120" xfId="5214"/>
    <cellStyle name="Accent1 121" xfId="5215"/>
    <cellStyle name="Accent1 122" xfId="5216"/>
    <cellStyle name="Accent1 123" xfId="5217"/>
    <cellStyle name="Accent1 124" xfId="5218"/>
    <cellStyle name="Accent1 125" xfId="5219"/>
    <cellStyle name="Accent1 126" xfId="5220"/>
    <cellStyle name="Accent1 127" xfId="5221"/>
    <cellStyle name="Accent1 128" xfId="5222"/>
    <cellStyle name="Accent1 129" xfId="5223"/>
    <cellStyle name="Accent1 13" xfId="5224"/>
    <cellStyle name="Accent1 130" xfId="5225"/>
    <cellStyle name="Accent1 131" xfId="5226"/>
    <cellStyle name="Accent1 132" xfId="5227"/>
    <cellStyle name="Accent1 133" xfId="5228"/>
    <cellStyle name="Accent1 134" xfId="5229"/>
    <cellStyle name="Accent1 135" xfId="5230"/>
    <cellStyle name="Accent1 136" xfId="5231"/>
    <cellStyle name="Accent1 137" xfId="5232"/>
    <cellStyle name="Accent1 138" xfId="5233"/>
    <cellStyle name="Accent1 139" xfId="5234"/>
    <cellStyle name="Accent1 14" xfId="5235"/>
    <cellStyle name="Accent1 140" xfId="5236"/>
    <cellStyle name="Accent1 141" xfId="5237"/>
    <cellStyle name="Accent1 142" xfId="5238"/>
    <cellStyle name="Accent1 143" xfId="5239"/>
    <cellStyle name="Accent1 144" xfId="5240"/>
    <cellStyle name="Accent1 145" xfId="5241"/>
    <cellStyle name="Accent1 146" xfId="5242"/>
    <cellStyle name="Accent1 147" xfId="5243"/>
    <cellStyle name="Accent1 148" xfId="5244"/>
    <cellStyle name="Accent1 149" xfId="5245"/>
    <cellStyle name="Accent1 15" xfId="5246"/>
    <cellStyle name="Accent1 150" xfId="5247"/>
    <cellStyle name="Accent1 151" xfId="5248"/>
    <cellStyle name="Accent1 152" xfId="5249"/>
    <cellStyle name="Accent1 153" xfId="5250"/>
    <cellStyle name="Accent1 154" xfId="5251"/>
    <cellStyle name="Accent1 155" xfId="5252"/>
    <cellStyle name="Accent1 156" xfId="5253"/>
    <cellStyle name="Accent1 157" xfId="5254"/>
    <cellStyle name="Accent1 158" xfId="5255"/>
    <cellStyle name="Accent1 159" xfId="5256"/>
    <cellStyle name="Accent1 16" xfId="5257"/>
    <cellStyle name="Accent1 160" xfId="5258"/>
    <cellStyle name="Accent1 161" xfId="5259"/>
    <cellStyle name="Accent1 162" xfId="5260"/>
    <cellStyle name="Accent1 163" xfId="5261"/>
    <cellStyle name="Accent1 164" xfId="5262"/>
    <cellStyle name="Accent1 165" xfId="5263"/>
    <cellStyle name="Accent1 166" xfId="5264"/>
    <cellStyle name="Accent1 167" xfId="5265"/>
    <cellStyle name="Accent1 168" xfId="5266"/>
    <cellStyle name="Accent1 169" xfId="5267"/>
    <cellStyle name="Accent1 17" xfId="5268"/>
    <cellStyle name="Accent1 170" xfId="5269"/>
    <cellStyle name="Accent1 171" xfId="5270"/>
    <cellStyle name="Accent1 172" xfId="5271"/>
    <cellStyle name="Accent1 173" xfId="5272"/>
    <cellStyle name="Accent1 174" xfId="5273"/>
    <cellStyle name="Accent1 175" xfId="5274"/>
    <cellStyle name="Accent1 176" xfId="5275"/>
    <cellStyle name="Accent1 177" xfId="5276"/>
    <cellStyle name="Accent1 178" xfId="5277"/>
    <cellStyle name="Accent1 179" xfId="5278"/>
    <cellStyle name="Accent1 18" xfId="5279"/>
    <cellStyle name="Accent1 180" xfId="5280"/>
    <cellStyle name="Accent1 181" xfId="5281"/>
    <cellStyle name="Accent1 182" xfId="5282"/>
    <cellStyle name="Accent1 183" xfId="5283"/>
    <cellStyle name="Accent1 184" xfId="5284"/>
    <cellStyle name="Accent1 185" xfId="5285"/>
    <cellStyle name="Accent1 186" xfId="5286"/>
    <cellStyle name="Accent1 187" xfId="5287"/>
    <cellStyle name="Accent1 188" xfId="5288"/>
    <cellStyle name="Accent1 189" xfId="5289"/>
    <cellStyle name="Accent1 19" xfId="5290"/>
    <cellStyle name="Accent1 190" xfId="5291"/>
    <cellStyle name="Accent1 191" xfId="5292"/>
    <cellStyle name="Accent1 192" xfId="5293"/>
    <cellStyle name="Accent1 193" xfId="5294"/>
    <cellStyle name="Accent1 194" xfId="5295"/>
    <cellStyle name="Accent1 195" xfId="5296"/>
    <cellStyle name="Accent1 196" xfId="5297"/>
    <cellStyle name="Accent1 197" xfId="5298"/>
    <cellStyle name="Accent1 198" xfId="5299"/>
    <cellStyle name="Accent1 199" xfId="5300"/>
    <cellStyle name="Accent1 2" xfId="5301"/>
    <cellStyle name="Accent1 2 2" xfId="5302"/>
    <cellStyle name="Accent1 2 2 2" xfId="5303"/>
    <cellStyle name="Accent1 2 2 3" xfId="5304"/>
    <cellStyle name="Accent1 2 2 4" xfId="5305"/>
    <cellStyle name="Accent1 2 2 5" xfId="5306"/>
    <cellStyle name="Accent1 2 2 6" xfId="5307"/>
    <cellStyle name="Accent1 2 2 7" xfId="5308"/>
    <cellStyle name="Accent1 2 3" xfId="5309"/>
    <cellStyle name="Accent1 2 4" xfId="5310"/>
    <cellStyle name="Accent1 2 5" xfId="5311"/>
    <cellStyle name="Accent1 2 6" xfId="5312"/>
    <cellStyle name="Accent1 2 7" xfId="5313"/>
    <cellStyle name="Accent1 2 8" xfId="5314"/>
    <cellStyle name="Accent1 20" xfId="5315"/>
    <cellStyle name="Accent1 200" xfId="5316"/>
    <cellStyle name="Accent1 201" xfId="5317"/>
    <cellStyle name="Accent1 202" xfId="5318"/>
    <cellStyle name="Accent1 203" xfId="5319"/>
    <cellStyle name="Accent1 204" xfId="5320"/>
    <cellStyle name="Accent1 205" xfId="5321"/>
    <cellStyle name="Accent1 206" xfId="5322"/>
    <cellStyle name="Accent1 207" xfId="5323"/>
    <cellStyle name="Accent1 208" xfId="5324"/>
    <cellStyle name="Accent1 209" xfId="5325"/>
    <cellStyle name="Accent1 21" xfId="5326"/>
    <cellStyle name="Accent1 210" xfId="5327"/>
    <cellStyle name="Accent1 211" xfId="5328"/>
    <cellStyle name="Accent1 212" xfId="5329"/>
    <cellStyle name="Accent1 213" xfId="5330"/>
    <cellStyle name="Accent1 214" xfId="5331"/>
    <cellStyle name="Accent1 215" xfId="5332"/>
    <cellStyle name="Accent1 216" xfId="5333"/>
    <cellStyle name="Accent1 217" xfId="5334"/>
    <cellStyle name="Accent1 218" xfId="5335"/>
    <cellStyle name="Accent1 219" xfId="5336"/>
    <cellStyle name="Accent1 22" xfId="5337"/>
    <cellStyle name="Accent1 220" xfId="5338"/>
    <cellStyle name="Accent1 221" xfId="5339"/>
    <cellStyle name="Accent1 222" xfId="5340"/>
    <cellStyle name="Accent1 223" xfId="5341"/>
    <cellStyle name="Accent1 224" xfId="5342"/>
    <cellStyle name="Accent1 225" xfId="5343"/>
    <cellStyle name="Accent1 226" xfId="5344"/>
    <cellStyle name="Accent1 227" xfId="5345"/>
    <cellStyle name="Accent1 228" xfId="5346"/>
    <cellStyle name="Accent1 229" xfId="5347"/>
    <cellStyle name="Accent1 23" xfId="5348"/>
    <cellStyle name="Accent1 230" xfId="5349"/>
    <cellStyle name="Accent1 231" xfId="5350"/>
    <cellStyle name="Accent1 232" xfId="5351"/>
    <cellStyle name="Accent1 233" xfId="5352"/>
    <cellStyle name="Accent1 234" xfId="5353"/>
    <cellStyle name="Accent1 235" xfId="5354"/>
    <cellStyle name="Accent1 236" xfId="5355"/>
    <cellStyle name="Accent1 237" xfId="5356"/>
    <cellStyle name="Accent1 238" xfId="5357"/>
    <cellStyle name="Accent1 239" xfId="5358"/>
    <cellStyle name="Accent1 24" xfId="5359"/>
    <cellStyle name="Accent1 240" xfId="5360"/>
    <cellStyle name="Accent1 241" xfId="5361"/>
    <cellStyle name="Accent1 242" xfId="5362"/>
    <cellStyle name="Accent1 243" xfId="5363"/>
    <cellStyle name="Accent1 244" xfId="5364"/>
    <cellStyle name="Accent1 245" xfId="5365"/>
    <cellStyle name="Accent1 246" xfId="5366"/>
    <cellStyle name="Accent1 247" xfId="5367"/>
    <cellStyle name="Accent1 248" xfId="5368"/>
    <cellStyle name="Accent1 249" xfId="5369"/>
    <cellStyle name="Accent1 25" xfId="5370"/>
    <cellStyle name="Accent1 26" xfId="5371"/>
    <cellStyle name="Accent1 27" xfId="5372"/>
    <cellStyle name="Accent1 28" xfId="5373"/>
    <cellStyle name="Accent1 29" xfId="5374"/>
    <cellStyle name="Accent1 3" xfId="5375"/>
    <cellStyle name="Accent1 3 2" xfId="5376"/>
    <cellStyle name="Accent1 30" xfId="5377"/>
    <cellStyle name="Accent1 31" xfId="5378"/>
    <cellStyle name="Accent1 32" xfId="5379"/>
    <cellStyle name="Accent1 33" xfId="5380"/>
    <cellStyle name="Accent1 34" xfId="5381"/>
    <cellStyle name="Accent1 35" xfId="5382"/>
    <cellStyle name="Accent1 36" xfId="5383"/>
    <cellStyle name="Accent1 37" xfId="5384"/>
    <cellStyle name="Accent1 38" xfId="5385"/>
    <cellStyle name="Accent1 39" xfId="5386"/>
    <cellStyle name="Accent1 4" xfId="5387"/>
    <cellStyle name="Accent1 4 2" xfId="5388"/>
    <cellStyle name="Accent1 4 3" xfId="5389"/>
    <cellStyle name="Accent1 4 4" xfId="5390"/>
    <cellStyle name="Accent1 4 5" xfId="5391"/>
    <cellStyle name="Accent1 40" xfId="5392"/>
    <cellStyle name="Accent1 41" xfId="5393"/>
    <cellStyle name="Accent1 42" xfId="5394"/>
    <cellStyle name="Accent1 43" xfId="5395"/>
    <cellStyle name="Accent1 44" xfId="5396"/>
    <cellStyle name="Accent1 45" xfId="5397"/>
    <cellStyle name="Accent1 46" xfId="5398"/>
    <cellStyle name="Accent1 47" xfId="5399"/>
    <cellStyle name="Accent1 48" xfId="5400"/>
    <cellStyle name="Accent1 49" xfId="5401"/>
    <cellStyle name="Accent1 5" xfId="5402"/>
    <cellStyle name="Accent1 5 2" xfId="5403"/>
    <cellStyle name="Accent1 5 3" xfId="5404"/>
    <cellStyle name="Accent1 5 4" xfId="5405"/>
    <cellStyle name="Accent1 5 5" xfId="5406"/>
    <cellStyle name="Accent1 50" xfId="5407"/>
    <cellStyle name="Accent1 51" xfId="5408"/>
    <cellStyle name="Accent1 52" xfId="5409"/>
    <cellStyle name="Accent1 53" xfId="5410"/>
    <cellStyle name="Accent1 54" xfId="5411"/>
    <cellStyle name="Accent1 55" xfId="5412"/>
    <cellStyle name="Accent1 56" xfId="5413"/>
    <cellStyle name="Accent1 57" xfId="5414"/>
    <cellStyle name="Accent1 58" xfId="5415"/>
    <cellStyle name="Accent1 59" xfId="5416"/>
    <cellStyle name="Accent1 6" xfId="5417"/>
    <cellStyle name="Accent1 6 2" xfId="5418"/>
    <cellStyle name="Accent1 6 3" xfId="5419"/>
    <cellStyle name="Accent1 6 4" xfId="5420"/>
    <cellStyle name="Accent1 60" xfId="5421"/>
    <cellStyle name="Accent1 61" xfId="5422"/>
    <cellStyle name="Accent1 62" xfId="5423"/>
    <cellStyle name="Accent1 63" xfId="5424"/>
    <cellStyle name="Accent1 64" xfId="5425"/>
    <cellStyle name="Accent1 65" xfId="5426"/>
    <cellStyle name="Accent1 66" xfId="5427"/>
    <cellStyle name="Accent1 67" xfId="5428"/>
    <cellStyle name="Accent1 68" xfId="5429"/>
    <cellStyle name="Accent1 69" xfId="5430"/>
    <cellStyle name="Accent1 7" xfId="5431"/>
    <cellStyle name="Accent1 7 2" xfId="5432"/>
    <cellStyle name="Accent1 7 3" xfId="5433"/>
    <cellStyle name="Accent1 7 4" xfId="5434"/>
    <cellStyle name="Accent1 70" xfId="5435"/>
    <cellStyle name="Accent1 71" xfId="5436"/>
    <cellStyle name="Accent1 72" xfId="5437"/>
    <cellStyle name="Accent1 73" xfId="5438"/>
    <cellStyle name="Accent1 74" xfId="5439"/>
    <cellStyle name="Accent1 75" xfId="5440"/>
    <cellStyle name="Accent1 76" xfId="5441"/>
    <cellStyle name="Accent1 77" xfId="5442"/>
    <cellStyle name="Accent1 78" xfId="5443"/>
    <cellStyle name="Accent1 79" xfId="5444"/>
    <cellStyle name="Accent1 8" xfId="5445"/>
    <cellStyle name="Accent1 8 2" xfId="5446"/>
    <cellStyle name="Accent1 8 3" xfId="5447"/>
    <cellStyle name="Accent1 8 4" xfId="5448"/>
    <cellStyle name="Accent1 80" xfId="5449"/>
    <cellStyle name="Accent1 81" xfId="5450"/>
    <cellStyle name="Accent1 82" xfId="5451"/>
    <cellStyle name="Accent1 83" xfId="5452"/>
    <cellStyle name="Accent1 84" xfId="5453"/>
    <cellStyle name="Accent1 85" xfId="5454"/>
    <cellStyle name="Accent1 86" xfId="5455"/>
    <cellStyle name="Accent1 87" xfId="5456"/>
    <cellStyle name="Accent1 88" xfId="5457"/>
    <cellStyle name="Accent1 89" xfId="5458"/>
    <cellStyle name="Accent1 9" xfId="5459"/>
    <cellStyle name="Accent1 9 2" xfId="5460"/>
    <cellStyle name="Accent1 9 3" xfId="5461"/>
    <cellStyle name="Accent1 9 4" xfId="5462"/>
    <cellStyle name="Accent1 90" xfId="5463"/>
    <cellStyle name="Accent1 91" xfId="5464"/>
    <cellStyle name="Accent1 92" xfId="5465"/>
    <cellStyle name="Accent1 93" xfId="5466"/>
    <cellStyle name="Accent1 94" xfId="5467"/>
    <cellStyle name="Accent1 95" xfId="5468"/>
    <cellStyle name="Accent1 96" xfId="5469"/>
    <cellStyle name="Accent1 97" xfId="5470"/>
    <cellStyle name="Accent1 98" xfId="5471"/>
    <cellStyle name="Accent1 99" xfId="5472"/>
    <cellStyle name="Accent2" xfId="5473" builtinId="33" customBuiltin="1"/>
    <cellStyle name="Accent2 10" xfId="5474"/>
    <cellStyle name="Accent2 10 2" xfId="5475"/>
    <cellStyle name="Accent2 10 3" xfId="5476"/>
    <cellStyle name="Accent2 10 4" xfId="5477"/>
    <cellStyle name="Accent2 100" xfId="5478"/>
    <cellStyle name="Accent2 101" xfId="5479"/>
    <cellStyle name="Accent2 102" xfId="5480"/>
    <cellStyle name="Accent2 103" xfId="5481"/>
    <cellStyle name="Accent2 104" xfId="5482"/>
    <cellStyle name="Accent2 105" xfId="5483"/>
    <cellStyle name="Accent2 106" xfId="5484"/>
    <cellStyle name="Accent2 107" xfId="5485"/>
    <cellStyle name="Accent2 108" xfId="5486"/>
    <cellStyle name="Accent2 109" xfId="5487"/>
    <cellStyle name="Accent2 11" xfId="5488"/>
    <cellStyle name="Accent2 11 2" xfId="5489"/>
    <cellStyle name="Accent2 110" xfId="5490"/>
    <cellStyle name="Accent2 111" xfId="5491"/>
    <cellStyle name="Accent2 112" xfId="5492"/>
    <cellStyle name="Accent2 113" xfId="5493"/>
    <cellStyle name="Accent2 114" xfId="5494"/>
    <cellStyle name="Accent2 115" xfId="5495"/>
    <cellStyle name="Accent2 116" xfId="5496"/>
    <cellStyle name="Accent2 117" xfId="5497"/>
    <cellStyle name="Accent2 118" xfId="5498"/>
    <cellStyle name="Accent2 119" xfId="5499"/>
    <cellStyle name="Accent2 12" xfId="5500"/>
    <cellStyle name="Accent2 12 2" xfId="5501"/>
    <cellStyle name="Accent2 120" xfId="5502"/>
    <cellStyle name="Accent2 121" xfId="5503"/>
    <cellStyle name="Accent2 122" xfId="5504"/>
    <cellStyle name="Accent2 123" xfId="5505"/>
    <cellStyle name="Accent2 124" xfId="5506"/>
    <cellStyle name="Accent2 125" xfId="5507"/>
    <cellStyle name="Accent2 126" xfId="5508"/>
    <cellStyle name="Accent2 127" xfId="5509"/>
    <cellStyle name="Accent2 128" xfId="5510"/>
    <cellStyle name="Accent2 129" xfId="5511"/>
    <cellStyle name="Accent2 13" xfId="5512"/>
    <cellStyle name="Accent2 130" xfId="5513"/>
    <cellStyle name="Accent2 131" xfId="5514"/>
    <cellStyle name="Accent2 132" xfId="5515"/>
    <cellStyle name="Accent2 133" xfId="5516"/>
    <cellStyle name="Accent2 134" xfId="5517"/>
    <cellStyle name="Accent2 135" xfId="5518"/>
    <cellStyle name="Accent2 136" xfId="5519"/>
    <cellStyle name="Accent2 137" xfId="5520"/>
    <cellStyle name="Accent2 138" xfId="5521"/>
    <cellStyle name="Accent2 139" xfId="5522"/>
    <cellStyle name="Accent2 14" xfId="5523"/>
    <cellStyle name="Accent2 140" xfId="5524"/>
    <cellStyle name="Accent2 141" xfId="5525"/>
    <cellStyle name="Accent2 142" xfId="5526"/>
    <cellStyle name="Accent2 143" xfId="5527"/>
    <cellStyle name="Accent2 144" xfId="5528"/>
    <cellStyle name="Accent2 145" xfId="5529"/>
    <cellStyle name="Accent2 146" xfId="5530"/>
    <cellStyle name="Accent2 147" xfId="5531"/>
    <cellStyle name="Accent2 148" xfId="5532"/>
    <cellStyle name="Accent2 149" xfId="5533"/>
    <cellStyle name="Accent2 15" xfId="5534"/>
    <cellStyle name="Accent2 150" xfId="5535"/>
    <cellStyle name="Accent2 151" xfId="5536"/>
    <cellStyle name="Accent2 152" xfId="5537"/>
    <cellStyle name="Accent2 153" xfId="5538"/>
    <cellStyle name="Accent2 154" xfId="5539"/>
    <cellStyle name="Accent2 155" xfId="5540"/>
    <cellStyle name="Accent2 156" xfId="5541"/>
    <cellStyle name="Accent2 157" xfId="5542"/>
    <cellStyle name="Accent2 158" xfId="5543"/>
    <cellStyle name="Accent2 159" xfId="5544"/>
    <cellStyle name="Accent2 16" xfId="5545"/>
    <cellStyle name="Accent2 160" xfId="5546"/>
    <cellStyle name="Accent2 161" xfId="5547"/>
    <cellStyle name="Accent2 162" xfId="5548"/>
    <cellStyle name="Accent2 163" xfId="5549"/>
    <cellStyle name="Accent2 164" xfId="5550"/>
    <cellStyle name="Accent2 165" xfId="5551"/>
    <cellStyle name="Accent2 166" xfId="5552"/>
    <cellStyle name="Accent2 167" xfId="5553"/>
    <cellStyle name="Accent2 168" xfId="5554"/>
    <cellStyle name="Accent2 169" xfId="5555"/>
    <cellStyle name="Accent2 17" xfId="5556"/>
    <cellStyle name="Accent2 170" xfId="5557"/>
    <cellStyle name="Accent2 171" xfId="5558"/>
    <cellStyle name="Accent2 172" xfId="5559"/>
    <cellStyle name="Accent2 173" xfId="5560"/>
    <cellStyle name="Accent2 174" xfId="5561"/>
    <cellStyle name="Accent2 175" xfId="5562"/>
    <cellStyle name="Accent2 176" xfId="5563"/>
    <cellStyle name="Accent2 177" xfId="5564"/>
    <cellStyle name="Accent2 178" xfId="5565"/>
    <cellStyle name="Accent2 179" xfId="5566"/>
    <cellStyle name="Accent2 18" xfId="5567"/>
    <cellStyle name="Accent2 180" xfId="5568"/>
    <cellStyle name="Accent2 181" xfId="5569"/>
    <cellStyle name="Accent2 182" xfId="5570"/>
    <cellStyle name="Accent2 183" xfId="5571"/>
    <cellStyle name="Accent2 184" xfId="5572"/>
    <cellStyle name="Accent2 185" xfId="5573"/>
    <cellStyle name="Accent2 186" xfId="5574"/>
    <cellStyle name="Accent2 187" xfId="5575"/>
    <cellStyle name="Accent2 188" xfId="5576"/>
    <cellStyle name="Accent2 189" xfId="5577"/>
    <cellStyle name="Accent2 19" xfId="5578"/>
    <cellStyle name="Accent2 190" xfId="5579"/>
    <cellStyle name="Accent2 191" xfId="5580"/>
    <cellStyle name="Accent2 192" xfId="5581"/>
    <cellStyle name="Accent2 193" xfId="5582"/>
    <cellStyle name="Accent2 194" xfId="5583"/>
    <cellStyle name="Accent2 195" xfId="5584"/>
    <cellStyle name="Accent2 196" xfId="5585"/>
    <cellStyle name="Accent2 197" xfId="5586"/>
    <cellStyle name="Accent2 198" xfId="5587"/>
    <cellStyle name="Accent2 199" xfId="5588"/>
    <cellStyle name="Accent2 2" xfId="5589"/>
    <cellStyle name="Accent2 2 2" xfId="5590"/>
    <cellStyle name="Accent2 2 2 2" xfId="5591"/>
    <cellStyle name="Accent2 2 2 3" xfId="5592"/>
    <cellStyle name="Accent2 2 2 4" xfId="5593"/>
    <cellStyle name="Accent2 2 2 5" xfId="5594"/>
    <cellStyle name="Accent2 2 2 6" xfId="5595"/>
    <cellStyle name="Accent2 2 2 7" xfId="5596"/>
    <cellStyle name="Accent2 2 3" xfId="5597"/>
    <cellStyle name="Accent2 2 4" xfId="5598"/>
    <cellStyle name="Accent2 2 5" xfId="5599"/>
    <cellStyle name="Accent2 2 6" xfId="5600"/>
    <cellStyle name="Accent2 2 7" xfId="5601"/>
    <cellStyle name="Accent2 2 8" xfId="5602"/>
    <cellStyle name="Accent2 20" xfId="5603"/>
    <cellStyle name="Accent2 200" xfId="5604"/>
    <cellStyle name="Accent2 201" xfId="5605"/>
    <cellStyle name="Accent2 202" xfId="5606"/>
    <cellStyle name="Accent2 203" xfId="5607"/>
    <cellStyle name="Accent2 204" xfId="5608"/>
    <cellStyle name="Accent2 205" xfId="5609"/>
    <cellStyle name="Accent2 206" xfId="5610"/>
    <cellStyle name="Accent2 207" xfId="5611"/>
    <cellStyle name="Accent2 208" xfId="5612"/>
    <cellStyle name="Accent2 209" xfId="5613"/>
    <cellStyle name="Accent2 21" xfId="5614"/>
    <cellStyle name="Accent2 210" xfId="5615"/>
    <cellStyle name="Accent2 211" xfId="5616"/>
    <cellStyle name="Accent2 212" xfId="5617"/>
    <cellStyle name="Accent2 213" xfId="5618"/>
    <cellStyle name="Accent2 214" xfId="5619"/>
    <cellStyle name="Accent2 215" xfId="5620"/>
    <cellStyle name="Accent2 216" xfId="5621"/>
    <cellStyle name="Accent2 217" xfId="5622"/>
    <cellStyle name="Accent2 218" xfId="5623"/>
    <cellStyle name="Accent2 219" xfId="5624"/>
    <cellStyle name="Accent2 22" xfId="5625"/>
    <cellStyle name="Accent2 220" xfId="5626"/>
    <cellStyle name="Accent2 221" xfId="5627"/>
    <cellStyle name="Accent2 222" xfId="5628"/>
    <cellStyle name="Accent2 223" xfId="5629"/>
    <cellStyle name="Accent2 224" xfId="5630"/>
    <cellStyle name="Accent2 225" xfId="5631"/>
    <cellStyle name="Accent2 226" xfId="5632"/>
    <cellStyle name="Accent2 227" xfId="5633"/>
    <cellStyle name="Accent2 228" xfId="5634"/>
    <cellStyle name="Accent2 229" xfId="5635"/>
    <cellStyle name="Accent2 23" xfId="5636"/>
    <cellStyle name="Accent2 230" xfId="5637"/>
    <cellStyle name="Accent2 231" xfId="5638"/>
    <cellStyle name="Accent2 232" xfId="5639"/>
    <cellStyle name="Accent2 233" xfId="5640"/>
    <cellStyle name="Accent2 234" xfId="5641"/>
    <cellStyle name="Accent2 235" xfId="5642"/>
    <cellStyle name="Accent2 236" xfId="5643"/>
    <cellStyle name="Accent2 237" xfId="5644"/>
    <cellStyle name="Accent2 238" xfId="5645"/>
    <cellStyle name="Accent2 239" xfId="5646"/>
    <cellStyle name="Accent2 24" xfId="5647"/>
    <cellStyle name="Accent2 240" xfId="5648"/>
    <cellStyle name="Accent2 241" xfId="5649"/>
    <cellStyle name="Accent2 242" xfId="5650"/>
    <cellStyle name="Accent2 243" xfId="5651"/>
    <cellStyle name="Accent2 244" xfId="5652"/>
    <cellStyle name="Accent2 245" xfId="5653"/>
    <cellStyle name="Accent2 246" xfId="5654"/>
    <cellStyle name="Accent2 247" xfId="5655"/>
    <cellStyle name="Accent2 248" xfId="5656"/>
    <cellStyle name="Accent2 249" xfId="5657"/>
    <cellStyle name="Accent2 25" xfId="5658"/>
    <cellStyle name="Accent2 26" xfId="5659"/>
    <cellStyle name="Accent2 27" xfId="5660"/>
    <cellStyle name="Accent2 28" xfId="5661"/>
    <cellStyle name="Accent2 29" xfId="5662"/>
    <cellStyle name="Accent2 3" xfId="5663"/>
    <cellStyle name="Accent2 3 2" xfId="5664"/>
    <cellStyle name="Accent2 30" xfId="5665"/>
    <cellStyle name="Accent2 31" xfId="5666"/>
    <cellStyle name="Accent2 32" xfId="5667"/>
    <cellStyle name="Accent2 33" xfId="5668"/>
    <cellStyle name="Accent2 34" xfId="5669"/>
    <cellStyle name="Accent2 35" xfId="5670"/>
    <cellStyle name="Accent2 36" xfId="5671"/>
    <cellStyle name="Accent2 37" xfId="5672"/>
    <cellStyle name="Accent2 38" xfId="5673"/>
    <cellStyle name="Accent2 39" xfId="5674"/>
    <cellStyle name="Accent2 4" xfId="5675"/>
    <cellStyle name="Accent2 4 2" xfId="5676"/>
    <cellStyle name="Accent2 4 3" xfId="5677"/>
    <cellStyle name="Accent2 4 4" xfId="5678"/>
    <cellStyle name="Accent2 4 5" xfId="5679"/>
    <cellStyle name="Accent2 40" xfId="5680"/>
    <cellStyle name="Accent2 41" xfId="5681"/>
    <cellStyle name="Accent2 42" xfId="5682"/>
    <cellStyle name="Accent2 43" xfId="5683"/>
    <cellStyle name="Accent2 44" xfId="5684"/>
    <cellStyle name="Accent2 45" xfId="5685"/>
    <cellStyle name="Accent2 46" xfId="5686"/>
    <cellStyle name="Accent2 47" xfId="5687"/>
    <cellStyle name="Accent2 48" xfId="5688"/>
    <cellStyle name="Accent2 49" xfId="5689"/>
    <cellStyle name="Accent2 5" xfId="5690"/>
    <cellStyle name="Accent2 5 2" xfId="5691"/>
    <cellStyle name="Accent2 5 3" xfId="5692"/>
    <cellStyle name="Accent2 5 4" xfId="5693"/>
    <cellStyle name="Accent2 5 5" xfId="5694"/>
    <cellStyle name="Accent2 50" xfId="5695"/>
    <cellStyle name="Accent2 51" xfId="5696"/>
    <cellStyle name="Accent2 52" xfId="5697"/>
    <cellStyle name="Accent2 53" xfId="5698"/>
    <cellStyle name="Accent2 54" xfId="5699"/>
    <cellStyle name="Accent2 55" xfId="5700"/>
    <cellStyle name="Accent2 56" xfId="5701"/>
    <cellStyle name="Accent2 57" xfId="5702"/>
    <cellStyle name="Accent2 58" xfId="5703"/>
    <cellStyle name="Accent2 59" xfId="5704"/>
    <cellStyle name="Accent2 6" xfId="5705"/>
    <cellStyle name="Accent2 6 2" xfId="5706"/>
    <cellStyle name="Accent2 6 3" xfId="5707"/>
    <cellStyle name="Accent2 6 4" xfId="5708"/>
    <cellStyle name="Accent2 60" xfId="5709"/>
    <cellStyle name="Accent2 61" xfId="5710"/>
    <cellStyle name="Accent2 62" xfId="5711"/>
    <cellStyle name="Accent2 63" xfId="5712"/>
    <cellStyle name="Accent2 64" xfId="5713"/>
    <cellStyle name="Accent2 65" xfId="5714"/>
    <cellStyle name="Accent2 66" xfId="5715"/>
    <cellStyle name="Accent2 67" xfId="5716"/>
    <cellStyle name="Accent2 68" xfId="5717"/>
    <cellStyle name="Accent2 69" xfId="5718"/>
    <cellStyle name="Accent2 7" xfId="5719"/>
    <cellStyle name="Accent2 7 2" xfId="5720"/>
    <cellStyle name="Accent2 7 3" xfId="5721"/>
    <cellStyle name="Accent2 7 4" xfId="5722"/>
    <cellStyle name="Accent2 70" xfId="5723"/>
    <cellStyle name="Accent2 71" xfId="5724"/>
    <cellStyle name="Accent2 72" xfId="5725"/>
    <cellStyle name="Accent2 73" xfId="5726"/>
    <cellStyle name="Accent2 74" xfId="5727"/>
    <cellStyle name="Accent2 75" xfId="5728"/>
    <cellStyle name="Accent2 76" xfId="5729"/>
    <cellStyle name="Accent2 77" xfId="5730"/>
    <cellStyle name="Accent2 78" xfId="5731"/>
    <cellStyle name="Accent2 79" xfId="5732"/>
    <cellStyle name="Accent2 8" xfId="5733"/>
    <cellStyle name="Accent2 8 2" xfId="5734"/>
    <cellStyle name="Accent2 8 3" xfId="5735"/>
    <cellStyle name="Accent2 8 4" xfId="5736"/>
    <cellStyle name="Accent2 80" xfId="5737"/>
    <cellStyle name="Accent2 81" xfId="5738"/>
    <cellStyle name="Accent2 82" xfId="5739"/>
    <cellStyle name="Accent2 83" xfId="5740"/>
    <cellStyle name="Accent2 84" xfId="5741"/>
    <cellStyle name="Accent2 85" xfId="5742"/>
    <cellStyle name="Accent2 86" xfId="5743"/>
    <cellStyle name="Accent2 87" xfId="5744"/>
    <cellStyle name="Accent2 88" xfId="5745"/>
    <cellStyle name="Accent2 89" xfId="5746"/>
    <cellStyle name="Accent2 9" xfId="5747"/>
    <cellStyle name="Accent2 9 2" xfId="5748"/>
    <cellStyle name="Accent2 9 3" xfId="5749"/>
    <cellStyle name="Accent2 9 4" xfId="5750"/>
    <cellStyle name="Accent2 90" xfId="5751"/>
    <cellStyle name="Accent2 91" xfId="5752"/>
    <cellStyle name="Accent2 92" xfId="5753"/>
    <cellStyle name="Accent2 93" xfId="5754"/>
    <cellStyle name="Accent2 94" xfId="5755"/>
    <cellStyle name="Accent2 95" xfId="5756"/>
    <cellStyle name="Accent2 96" xfId="5757"/>
    <cellStyle name="Accent2 97" xfId="5758"/>
    <cellStyle name="Accent2 98" xfId="5759"/>
    <cellStyle name="Accent2 99" xfId="5760"/>
    <cellStyle name="Accent3" xfId="5761" builtinId="37" customBuiltin="1"/>
    <cellStyle name="Accent3 10" xfId="5762"/>
    <cellStyle name="Accent3 10 2" xfId="5763"/>
    <cellStyle name="Accent3 10 3" xfId="5764"/>
    <cellStyle name="Accent3 10 4" xfId="5765"/>
    <cellStyle name="Accent3 100" xfId="5766"/>
    <cellStyle name="Accent3 101" xfId="5767"/>
    <cellStyle name="Accent3 102" xfId="5768"/>
    <cellStyle name="Accent3 103" xfId="5769"/>
    <cellStyle name="Accent3 104" xfId="5770"/>
    <cellStyle name="Accent3 105" xfId="5771"/>
    <cellStyle name="Accent3 106" xfId="5772"/>
    <cellStyle name="Accent3 107" xfId="5773"/>
    <cellStyle name="Accent3 108" xfId="5774"/>
    <cellStyle name="Accent3 109" xfId="5775"/>
    <cellStyle name="Accent3 11" xfId="5776"/>
    <cellStyle name="Accent3 11 2" xfId="5777"/>
    <cellStyle name="Accent3 110" xfId="5778"/>
    <cellStyle name="Accent3 111" xfId="5779"/>
    <cellStyle name="Accent3 112" xfId="5780"/>
    <cellStyle name="Accent3 113" xfId="5781"/>
    <cellStyle name="Accent3 114" xfId="5782"/>
    <cellStyle name="Accent3 115" xfId="5783"/>
    <cellStyle name="Accent3 116" xfId="5784"/>
    <cellStyle name="Accent3 117" xfId="5785"/>
    <cellStyle name="Accent3 118" xfId="5786"/>
    <cellStyle name="Accent3 119" xfId="5787"/>
    <cellStyle name="Accent3 12" xfId="5788"/>
    <cellStyle name="Accent3 12 2" xfId="5789"/>
    <cellStyle name="Accent3 120" xfId="5790"/>
    <cellStyle name="Accent3 121" xfId="5791"/>
    <cellStyle name="Accent3 122" xfId="5792"/>
    <cellStyle name="Accent3 123" xfId="5793"/>
    <cellStyle name="Accent3 124" xfId="5794"/>
    <cellStyle name="Accent3 125" xfId="5795"/>
    <cellStyle name="Accent3 126" xfId="5796"/>
    <cellStyle name="Accent3 127" xfId="5797"/>
    <cellStyle name="Accent3 128" xfId="5798"/>
    <cellStyle name="Accent3 129" xfId="5799"/>
    <cellStyle name="Accent3 13" xfId="5800"/>
    <cellStyle name="Accent3 130" xfId="5801"/>
    <cellStyle name="Accent3 131" xfId="5802"/>
    <cellStyle name="Accent3 132" xfId="5803"/>
    <cellStyle name="Accent3 133" xfId="5804"/>
    <cellStyle name="Accent3 134" xfId="5805"/>
    <cellStyle name="Accent3 135" xfId="5806"/>
    <cellStyle name="Accent3 136" xfId="5807"/>
    <cellStyle name="Accent3 137" xfId="5808"/>
    <cellStyle name="Accent3 138" xfId="5809"/>
    <cellStyle name="Accent3 139" xfId="5810"/>
    <cellStyle name="Accent3 14" xfId="5811"/>
    <cellStyle name="Accent3 140" xfId="5812"/>
    <cellStyle name="Accent3 141" xfId="5813"/>
    <cellStyle name="Accent3 142" xfId="5814"/>
    <cellStyle name="Accent3 143" xfId="5815"/>
    <cellStyle name="Accent3 144" xfId="5816"/>
    <cellStyle name="Accent3 145" xfId="5817"/>
    <cellStyle name="Accent3 146" xfId="5818"/>
    <cellStyle name="Accent3 147" xfId="5819"/>
    <cellStyle name="Accent3 148" xfId="5820"/>
    <cellStyle name="Accent3 149" xfId="5821"/>
    <cellStyle name="Accent3 15" xfId="5822"/>
    <cellStyle name="Accent3 150" xfId="5823"/>
    <cellStyle name="Accent3 151" xfId="5824"/>
    <cellStyle name="Accent3 152" xfId="5825"/>
    <cellStyle name="Accent3 153" xfId="5826"/>
    <cellStyle name="Accent3 154" xfId="5827"/>
    <cellStyle name="Accent3 155" xfId="5828"/>
    <cellStyle name="Accent3 156" xfId="5829"/>
    <cellStyle name="Accent3 157" xfId="5830"/>
    <cellStyle name="Accent3 158" xfId="5831"/>
    <cellStyle name="Accent3 159" xfId="5832"/>
    <cellStyle name="Accent3 16" xfId="5833"/>
    <cellStyle name="Accent3 160" xfId="5834"/>
    <cellStyle name="Accent3 161" xfId="5835"/>
    <cellStyle name="Accent3 162" xfId="5836"/>
    <cellStyle name="Accent3 163" xfId="5837"/>
    <cellStyle name="Accent3 164" xfId="5838"/>
    <cellStyle name="Accent3 165" xfId="5839"/>
    <cellStyle name="Accent3 166" xfId="5840"/>
    <cellStyle name="Accent3 167" xfId="5841"/>
    <cellStyle name="Accent3 168" xfId="5842"/>
    <cellStyle name="Accent3 169" xfId="5843"/>
    <cellStyle name="Accent3 17" xfId="5844"/>
    <cellStyle name="Accent3 170" xfId="5845"/>
    <cellStyle name="Accent3 171" xfId="5846"/>
    <cellStyle name="Accent3 172" xfId="5847"/>
    <cellStyle name="Accent3 173" xfId="5848"/>
    <cellStyle name="Accent3 174" xfId="5849"/>
    <cellStyle name="Accent3 175" xfId="5850"/>
    <cellStyle name="Accent3 176" xfId="5851"/>
    <cellStyle name="Accent3 177" xfId="5852"/>
    <cellStyle name="Accent3 178" xfId="5853"/>
    <cellStyle name="Accent3 179" xfId="5854"/>
    <cellStyle name="Accent3 18" xfId="5855"/>
    <cellStyle name="Accent3 180" xfId="5856"/>
    <cellStyle name="Accent3 181" xfId="5857"/>
    <cellStyle name="Accent3 182" xfId="5858"/>
    <cellStyle name="Accent3 183" xfId="5859"/>
    <cellStyle name="Accent3 184" xfId="5860"/>
    <cellStyle name="Accent3 185" xfId="5861"/>
    <cellStyle name="Accent3 186" xfId="5862"/>
    <cellStyle name="Accent3 187" xfId="5863"/>
    <cellStyle name="Accent3 188" xfId="5864"/>
    <cellStyle name="Accent3 189" xfId="5865"/>
    <cellStyle name="Accent3 19" xfId="5866"/>
    <cellStyle name="Accent3 190" xfId="5867"/>
    <cellStyle name="Accent3 191" xfId="5868"/>
    <cellStyle name="Accent3 192" xfId="5869"/>
    <cellStyle name="Accent3 193" xfId="5870"/>
    <cellStyle name="Accent3 194" xfId="5871"/>
    <cellStyle name="Accent3 195" xfId="5872"/>
    <cellStyle name="Accent3 196" xfId="5873"/>
    <cellStyle name="Accent3 197" xfId="5874"/>
    <cellStyle name="Accent3 198" xfId="5875"/>
    <cellStyle name="Accent3 199" xfId="5876"/>
    <cellStyle name="Accent3 2" xfId="5877"/>
    <cellStyle name="Accent3 2 2" xfId="5878"/>
    <cellStyle name="Accent3 2 2 2" xfId="5879"/>
    <cellStyle name="Accent3 2 2 3" xfId="5880"/>
    <cellStyle name="Accent3 2 2 4" xfId="5881"/>
    <cellStyle name="Accent3 2 2 5" xfId="5882"/>
    <cellStyle name="Accent3 2 2 6" xfId="5883"/>
    <cellStyle name="Accent3 2 2 7" xfId="5884"/>
    <cellStyle name="Accent3 2 3" xfId="5885"/>
    <cellStyle name="Accent3 2 4" xfId="5886"/>
    <cellStyle name="Accent3 2 5" xfId="5887"/>
    <cellStyle name="Accent3 2 6" xfId="5888"/>
    <cellStyle name="Accent3 2 7" xfId="5889"/>
    <cellStyle name="Accent3 2 8" xfId="5890"/>
    <cellStyle name="Accent3 20" xfId="5891"/>
    <cellStyle name="Accent3 200" xfId="5892"/>
    <cellStyle name="Accent3 201" xfId="5893"/>
    <cellStyle name="Accent3 202" xfId="5894"/>
    <cellStyle name="Accent3 203" xfId="5895"/>
    <cellStyle name="Accent3 204" xfId="5896"/>
    <cellStyle name="Accent3 205" xfId="5897"/>
    <cellStyle name="Accent3 206" xfId="5898"/>
    <cellStyle name="Accent3 207" xfId="5899"/>
    <cellStyle name="Accent3 208" xfId="5900"/>
    <cellStyle name="Accent3 209" xfId="5901"/>
    <cellStyle name="Accent3 21" xfId="5902"/>
    <cellStyle name="Accent3 210" xfId="5903"/>
    <cellStyle name="Accent3 211" xfId="5904"/>
    <cellStyle name="Accent3 212" xfId="5905"/>
    <cellStyle name="Accent3 213" xfId="5906"/>
    <cellStyle name="Accent3 214" xfId="5907"/>
    <cellStyle name="Accent3 215" xfId="5908"/>
    <cellStyle name="Accent3 216" xfId="5909"/>
    <cellStyle name="Accent3 217" xfId="5910"/>
    <cellStyle name="Accent3 218" xfId="5911"/>
    <cellStyle name="Accent3 219" xfId="5912"/>
    <cellStyle name="Accent3 22" xfId="5913"/>
    <cellStyle name="Accent3 220" xfId="5914"/>
    <cellStyle name="Accent3 221" xfId="5915"/>
    <cellStyle name="Accent3 222" xfId="5916"/>
    <cellStyle name="Accent3 223" xfId="5917"/>
    <cellStyle name="Accent3 224" xfId="5918"/>
    <cellStyle name="Accent3 225" xfId="5919"/>
    <cellStyle name="Accent3 226" xfId="5920"/>
    <cellStyle name="Accent3 227" xfId="5921"/>
    <cellStyle name="Accent3 228" xfId="5922"/>
    <cellStyle name="Accent3 229" xfId="5923"/>
    <cellStyle name="Accent3 23" xfId="5924"/>
    <cellStyle name="Accent3 230" xfId="5925"/>
    <cellStyle name="Accent3 231" xfId="5926"/>
    <cellStyle name="Accent3 232" xfId="5927"/>
    <cellStyle name="Accent3 233" xfId="5928"/>
    <cellStyle name="Accent3 234" xfId="5929"/>
    <cellStyle name="Accent3 235" xfId="5930"/>
    <cellStyle name="Accent3 236" xfId="5931"/>
    <cellStyle name="Accent3 237" xfId="5932"/>
    <cellStyle name="Accent3 238" xfId="5933"/>
    <cellStyle name="Accent3 239" xfId="5934"/>
    <cellStyle name="Accent3 24" xfId="5935"/>
    <cellStyle name="Accent3 240" xfId="5936"/>
    <cellStyle name="Accent3 241" xfId="5937"/>
    <cellStyle name="Accent3 242" xfId="5938"/>
    <cellStyle name="Accent3 243" xfId="5939"/>
    <cellStyle name="Accent3 244" xfId="5940"/>
    <cellStyle name="Accent3 245" xfId="5941"/>
    <cellStyle name="Accent3 246" xfId="5942"/>
    <cellStyle name="Accent3 247" xfId="5943"/>
    <cellStyle name="Accent3 248" xfId="5944"/>
    <cellStyle name="Accent3 249" xfId="5945"/>
    <cellStyle name="Accent3 25" xfId="5946"/>
    <cellStyle name="Accent3 26" xfId="5947"/>
    <cellStyle name="Accent3 27" xfId="5948"/>
    <cellStyle name="Accent3 28" xfId="5949"/>
    <cellStyle name="Accent3 29" xfId="5950"/>
    <cellStyle name="Accent3 3" xfId="5951"/>
    <cellStyle name="Accent3 3 2" xfId="5952"/>
    <cellStyle name="Accent3 30" xfId="5953"/>
    <cellStyle name="Accent3 31" xfId="5954"/>
    <cellStyle name="Accent3 32" xfId="5955"/>
    <cellStyle name="Accent3 33" xfId="5956"/>
    <cellStyle name="Accent3 34" xfId="5957"/>
    <cellStyle name="Accent3 35" xfId="5958"/>
    <cellStyle name="Accent3 36" xfId="5959"/>
    <cellStyle name="Accent3 37" xfId="5960"/>
    <cellStyle name="Accent3 38" xfId="5961"/>
    <cellStyle name="Accent3 39" xfId="5962"/>
    <cellStyle name="Accent3 4" xfId="5963"/>
    <cellStyle name="Accent3 4 2" xfId="5964"/>
    <cellStyle name="Accent3 4 3" xfId="5965"/>
    <cellStyle name="Accent3 4 4" xfId="5966"/>
    <cellStyle name="Accent3 4 5" xfId="5967"/>
    <cellStyle name="Accent3 40" xfId="5968"/>
    <cellStyle name="Accent3 41" xfId="5969"/>
    <cellStyle name="Accent3 42" xfId="5970"/>
    <cellStyle name="Accent3 43" xfId="5971"/>
    <cellStyle name="Accent3 44" xfId="5972"/>
    <cellStyle name="Accent3 45" xfId="5973"/>
    <cellStyle name="Accent3 46" xfId="5974"/>
    <cellStyle name="Accent3 47" xfId="5975"/>
    <cellStyle name="Accent3 48" xfId="5976"/>
    <cellStyle name="Accent3 49" xfId="5977"/>
    <cellStyle name="Accent3 5" xfId="5978"/>
    <cellStyle name="Accent3 5 2" xfId="5979"/>
    <cellStyle name="Accent3 5 3" xfId="5980"/>
    <cellStyle name="Accent3 5 4" xfId="5981"/>
    <cellStyle name="Accent3 5 5" xfId="5982"/>
    <cellStyle name="Accent3 50" xfId="5983"/>
    <cellStyle name="Accent3 51" xfId="5984"/>
    <cellStyle name="Accent3 52" xfId="5985"/>
    <cellStyle name="Accent3 53" xfId="5986"/>
    <cellStyle name="Accent3 54" xfId="5987"/>
    <cellStyle name="Accent3 55" xfId="5988"/>
    <cellStyle name="Accent3 56" xfId="5989"/>
    <cellStyle name="Accent3 57" xfId="5990"/>
    <cellStyle name="Accent3 58" xfId="5991"/>
    <cellStyle name="Accent3 59" xfId="5992"/>
    <cellStyle name="Accent3 6" xfId="5993"/>
    <cellStyle name="Accent3 6 2" xfId="5994"/>
    <cellStyle name="Accent3 6 3" xfId="5995"/>
    <cellStyle name="Accent3 6 4" xfId="5996"/>
    <cellStyle name="Accent3 60" xfId="5997"/>
    <cellStyle name="Accent3 61" xfId="5998"/>
    <cellStyle name="Accent3 62" xfId="5999"/>
    <cellStyle name="Accent3 63" xfId="6000"/>
    <cellStyle name="Accent3 64" xfId="6001"/>
    <cellStyle name="Accent3 65" xfId="6002"/>
    <cellStyle name="Accent3 66" xfId="6003"/>
    <cellStyle name="Accent3 67" xfId="6004"/>
    <cellStyle name="Accent3 68" xfId="6005"/>
    <cellStyle name="Accent3 69" xfId="6006"/>
    <cellStyle name="Accent3 7" xfId="6007"/>
    <cellStyle name="Accent3 7 2" xfId="6008"/>
    <cellStyle name="Accent3 7 3" xfId="6009"/>
    <cellStyle name="Accent3 7 4" xfId="6010"/>
    <cellStyle name="Accent3 70" xfId="6011"/>
    <cellStyle name="Accent3 71" xfId="6012"/>
    <cellStyle name="Accent3 72" xfId="6013"/>
    <cellStyle name="Accent3 73" xfId="6014"/>
    <cellStyle name="Accent3 74" xfId="6015"/>
    <cellStyle name="Accent3 75" xfId="6016"/>
    <cellStyle name="Accent3 76" xfId="6017"/>
    <cellStyle name="Accent3 77" xfId="6018"/>
    <cellStyle name="Accent3 78" xfId="6019"/>
    <cellStyle name="Accent3 79" xfId="6020"/>
    <cellStyle name="Accent3 8" xfId="6021"/>
    <cellStyle name="Accent3 8 2" xfId="6022"/>
    <cellStyle name="Accent3 8 3" xfId="6023"/>
    <cellStyle name="Accent3 8 4" xfId="6024"/>
    <cellStyle name="Accent3 80" xfId="6025"/>
    <cellStyle name="Accent3 81" xfId="6026"/>
    <cellStyle name="Accent3 82" xfId="6027"/>
    <cellStyle name="Accent3 83" xfId="6028"/>
    <cellStyle name="Accent3 84" xfId="6029"/>
    <cellStyle name="Accent3 85" xfId="6030"/>
    <cellStyle name="Accent3 86" xfId="6031"/>
    <cellStyle name="Accent3 87" xfId="6032"/>
    <cellStyle name="Accent3 88" xfId="6033"/>
    <cellStyle name="Accent3 89" xfId="6034"/>
    <cellStyle name="Accent3 9" xfId="6035"/>
    <cellStyle name="Accent3 9 2" xfId="6036"/>
    <cellStyle name="Accent3 9 3" xfId="6037"/>
    <cellStyle name="Accent3 9 4" xfId="6038"/>
    <cellStyle name="Accent3 90" xfId="6039"/>
    <cellStyle name="Accent3 91" xfId="6040"/>
    <cellStyle name="Accent3 92" xfId="6041"/>
    <cellStyle name="Accent3 93" xfId="6042"/>
    <cellStyle name="Accent3 94" xfId="6043"/>
    <cellStyle name="Accent3 95" xfId="6044"/>
    <cellStyle name="Accent3 96" xfId="6045"/>
    <cellStyle name="Accent3 97" xfId="6046"/>
    <cellStyle name="Accent3 98" xfId="6047"/>
    <cellStyle name="Accent3 99" xfId="6048"/>
    <cellStyle name="Accent4" xfId="6049" builtinId="41" customBuiltin="1"/>
    <cellStyle name="Accent4 10" xfId="6050"/>
    <cellStyle name="Accent4 10 2" xfId="6051"/>
    <cellStyle name="Accent4 10 3" xfId="6052"/>
    <cellStyle name="Accent4 10 4" xfId="6053"/>
    <cellStyle name="Accent4 100" xfId="6054"/>
    <cellStyle name="Accent4 101" xfId="6055"/>
    <cellStyle name="Accent4 102" xfId="6056"/>
    <cellStyle name="Accent4 103" xfId="6057"/>
    <cellStyle name="Accent4 104" xfId="6058"/>
    <cellStyle name="Accent4 105" xfId="6059"/>
    <cellStyle name="Accent4 106" xfId="6060"/>
    <cellStyle name="Accent4 107" xfId="6061"/>
    <cellStyle name="Accent4 108" xfId="6062"/>
    <cellStyle name="Accent4 109" xfId="6063"/>
    <cellStyle name="Accent4 11" xfId="6064"/>
    <cellStyle name="Accent4 11 2" xfId="6065"/>
    <cellStyle name="Accent4 110" xfId="6066"/>
    <cellStyle name="Accent4 111" xfId="6067"/>
    <cellStyle name="Accent4 112" xfId="6068"/>
    <cellStyle name="Accent4 113" xfId="6069"/>
    <cellStyle name="Accent4 114" xfId="6070"/>
    <cellStyle name="Accent4 115" xfId="6071"/>
    <cellStyle name="Accent4 116" xfId="6072"/>
    <cellStyle name="Accent4 117" xfId="6073"/>
    <cellStyle name="Accent4 118" xfId="6074"/>
    <cellStyle name="Accent4 119" xfId="6075"/>
    <cellStyle name="Accent4 12" xfId="6076"/>
    <cellStyle name="Accent4 12 2" xfId="6077"/>
    <cellStyle name="Accent4 120" xfId="6078"/>
    <cellStyle name="Accent4 121" xfId="6079"/>
    <cellStyle name="Accent4 122" xfId="6080"/>
    <cellStyle name="Accent4 123" xfId="6081"/>
    <cellStyle name="Accent4 124" xfId="6082"/>
    <cellStyle name="Accent4 125" xfId="6083"/>
    <cellStyle name="Accent4 126" xfId="6084"/>
    <cellStyle name="Accent4 127" xfId="6085"/>
    <cellStyle name="Accent4 128" xfId="6086"/>
    <cellStyle name="Accent4 129" xfId="6087"/>
    <cellStyle name="Accent4 13" xfId="6088"/>
    <cellStyle name="Accent4 130" xfId="6089"/>
    <cellStyle name="Accent4 131" xfId="6090"/>
    <cellStyle name="Accent4 132" xfId="6091"/>
    <cellStyle name="Accent4 133" xfId="6092"/>
    <cellStyle name="Accent4 134" xfId="6093"/>
    <cellStyle name="Accent4 135" xfId="6094"/>
    <cellStyle name="Accent4 136" xfId="6095"/>
    <cellStyle name="Accent4 137" xfId="6096"/>
    <cellStyle name="Accent4 138" xfId="6097"/>
    <cellStyle name="Accent4 139" xfId="6098"/>
    <cellStyle name="Accent4 14" xfId="6099"/>
    <cellStyle name="Accent4 140" xfId="6100"/>
    <cellStyle name="Accent4 141" xfId="6101"/>
    <cellStyle name="Accent4 142" xfId="6102"/>
    <cellStyle name="Accent4 143" xfId="6103"/>
    <cellStyle name="Accent4 144" xfId="6104"/>
    <cellStyle name="Accent4 145" xfId="6105"/>
    <cellStyle name="Accent4 146" xfId="6106"/>
    <cellStyle name="Accent4 147" xfId="6107"/>
    <cellStyle name="Accent4 148" xfId="6108"/>
    <cellStyle name="Accent4 149" xfId="6109"/>
    <cellStyle name="Accent4 15" xfId="6110"/>
    <cellStyle name="Accent4 150" xfId="6111"/>
    <cellStyle name="Accent4 151" xfId="6112"/>
    <cellStyle name="Accent4 152" xfId="6113"/>
    <cellStyle name="Accent4 153" xfId="6114"/>
    <cellStyle name="Accent4 154" xfId="6115"/>
    <cellStyle name="Accent4 155" xfId="6116"/>
    <cellStyle name="Accent4 156" xfId="6117"/>
    <cellStyle name="Accent4 157" xfId="6118"/>
    <cellStyle name="Accent4 158" xfId="6119"/>
    <cellStyle name="Accent4 159" xfId="6120"/>
    <cellStyle name="Accent4 16" xfId="6121"/>
    <cellStyle name="Accent4 160" xfId="6122"/>
    <cellStyle name="Accent4 161" xfId="6123"/>
    <cellStyle name="Accent4 162" xfId="6124"/>
    <cellStyle name="Accent4 163" xfId="6125"/>
    <cellStyle name="Accent4 164" xfId="6126"/>
    <cellStyle name="Accent4 165" xfId="6127"/>
    <cellStyle name="Accent4 166" xfId="6128"/>
    <cellStyle name="Accent4 167" xfId="6129"/>
    <cellStyle name="Accent4 168" xfId="6130"/>
    <cellStyle name="Accent4 169" xfId="6131"/>
    <cellStyle name="Accent4 17" xfId="6132"/>
    <cellStyle name="Accent4 170" xfId="6133"/>
    <cellStyle name="Accent4 171" xfId="6134"/>
    <cellStyle name="Accent4 172" xfId="6135"/>
    <cellStyle name="Accent4 173" xfId="6136"/>
    <cellStyle name="Accent4 174" xfId="6137"/>
    <cellStyle name="Accent4 175" xfId="6138"/>
    <cellStyle name="Accent4 176" xfId="6139"/>
    <cellStyle name="Accent4 177" xfId="6140"/>
    <cellStyle name="Accent4 178" xfId="6141"/>
    <cellStyle name="Accent4 179" xfId="6142"/>
    <cellStyle name="Accent4 18" xfId="6143"/>
    <cellStyle name="Accent4 180" xfId="6144"/>
    <cellStyle name="Accent4 181" xfId="6145"/>
    <cellStyle name="Accent4 182" xfId="6146"/>
    <cellStyle name="Accent4 183" xfId="6147"/>
    <cellStyle name="Accent4 184" xfId="6148"/>
    <cellStyle name="Accent4 185" xfId="6149"/>
    <cellStyle name="Accent4 186" xfId="6150"/>
    <cellStyle name="Accent4 187" xfId="6151"/>
    <cellStyle name="Accent4 188" xfId="6152"/>
    <cellStyle name="Accent4 189" xfId="6153"/>
    <cellStyle name="Accent4 19" xfId="6154"/>
    <cellStyle name="Accent4 190" xfId="6155"/>
    <cellStyle name="Accent4 191" xfId="6156"/>
    <cellStyle name="Accent4 192" xfId="6157"/>
    <cellStyle name="Accent4 193" xfId="6158"/>
    <cellStyle name="Accent4 194" xfId="6159"/>
    <cellStyle name="Accent4 195" xfId="6160"/>
    <cellStyle name="Accent4 196" xfId="6161"/>
    <cellStyle name="Accent4 197" xfId="6162"/>
    <cellStyle name="Accent4 198" xfId="6163"/>
    <cellStyle name="Accent4 199" xfId="6164"/>
    <cellStyle name="Accent4 2" xfId="6165"/>
    <cellStyle name="Accent4 2 2" xfId="6166"/>
    <cellStyle name="Accent4 2 2 2" xfId="6167"/>
    <cellStyle name="Accent4 2 2 3" xfId="6168"/>
    <cellStyle name="Accent4 2 2 4" xfId="6169"/>
    <cellStyle name="Accent4 2 2 5" xfId="6170"/>
    <cellStyle name="Accent4 2 2 6" xfId="6171"/>
    <cellStyle name="Accent4 2 2 7" xfId="6172"/>
    <cellStyle name="Accent4 2 3" xfId="6173"/>
    <cellStyle name="Accent4 2 4" xfId="6174"/>
    <cellStyle name="Accent4 2 5" xfId="6175"/>
    <cellStyle name="Accent4 2 6" xfId="6176"/>
    <cellStyle name="Accent4 2 7" xfId="6177"/>
    <cellStyle name="Accent4 2 8" xfId="6178"/>
    <cellStyle name="Accent4 20" xfId="6179"/>
    <cellStyle name="Accent4 200" xfId="6180"/>
    <cellStyle name="Accent4 201" xfId="6181"/>
    <cellStyle name="Accent4 202" xfId="6182"/>
    <cellStyle name="Accent4 203" xfId="6183"/>
    <cellStyle name="Accent4 204" xfId="6184"/>
    <cellStyle name="Accent4 205" xfId="6185"/>
    <cellStyle name="Accent4 206" xfId="6186"/>
    <cellStyle name="Accent4 207" xfId="6187"/>
    <cellStyle name="Accent4 208" xfId="6188"/>
    <cellStyle name="Accent4 209" xfId="6189"/>
    <cellStyle name="Accent4 21" xfId="6190"/>
    <cellStyle name="Accent4 210" xfId="6191"/>
    <cellStyle name="Accent4 211" xfId="6192"/>
    <cellStyle name="Accent4 212" xfId="6193"/>
    <cellStyle name="Accent4 213" xfId="6194"/>
    <cellStyle name="Accent4 214" xfId="6195"/>
    <cellStyle name="Accent4 215" xfId="6196"/>
    <cellStyle name="Accent4 216" xfId="6197"/>
    <cellStyle name="Accent4 217" xfId="6198"/>
    <cellStyle name="Accent4 218" xfId="6199"/>
    <cellStyle name="Accent4 219" xfId="6200"/>
    <cellStyle name="Accent4 22" xfId="6201"/>
    <cellStyle name="Accent4 220" xfId="6202"/>
    <cellStyle name="Accent4 221" xfId="6203"/>
    <cellStyle name="Accent4 222" xfId="6204"/>
    <cellStyle name="Accent4 223" xfId="6205"/>
    <cellStyle name="Accent4 224" xfId="6206"/>
    <cellStyle name="Accent4 225" xfId="6207"/>
    <cellStyle name="Accent4 226" xfId="6208"/>
    <cellStyle name="Accent4 227" xfId="6209"/>
    <cellStyle name="Accent4 228" xfId="6210"/>
    <cellStyle name="Accent4 229" xfId="6211"/>
    <cellStyle name="Accent4 23" xfId="6212"/>
    <cellStyle name="Accent4 230" xfId="6213"/>
    <cellStyle name="Accent4 231" xfId="6214"/>
    <cellStyle name="Accent4 232" xfId="6215"/>
    <cellStyle name="Accent4 233" xfId="6216"/>
    <cellStyle name="Accent4 234" xfId="6217"/>
    <cellStyle name="Accent4 235" xfId="6218"/>
    <cellStyle name="Accent4 236" xfId="6219"/>
    <cellStyle name="Accent4 237" xfId="6220"/>
    <cellStyle name="Accent4 238" xfId="6221"/>
    <cellStyle name="Accent4 239" xfId="6222"/>
    <cellStyle name="Accent4 24" xfId="6223"/>
    <cellStyle name="Accent4 240" xfId="6224"/>
    <cellStyle name="Accent4 241" xfId="6225"/>
    <cellStyle name="Accent4 242" xfId="6226"/>
    <cellStyle name="Accent4 243" xfId="6227"/>
    <cellStyle name="Accent4 244" xfId="6228"/>
    <cellStyle name="Accent4 245" xfId="6229"/>
    <cellStyle name="Accent4 246" xfId="6230"/>
    <cellStyle name="Accent4 247" xfId="6231"/>
    <cellStyle name="Accent4 248" xfId="6232"/>
    <cellStyle name="Accent4 249" xfId="6233"/>
    <cellStyle name="Accent4 25" xfId="6234"/>
    <cellStyle name="Accent4 26" xfId="6235"/>
    <cellStyle name="Accent4 27" xfId="6236"/>
    <cellStyle name="Accent4 28" xfId="6237"/>
    <cellStyle name="Accent4 29" xfId="6238"/>
    <cellStyle name="Accent4 3" xfId="6239"/>
    <cellStyle name="Accent4 3 2" xfId="6240"/>
    <cellStyle name="Accent4 30" xfId="6241"/>
    <cellStyle name="Accent4 31" xfId="6242"/>
    <cellStyle name="Accent4 32" xfId="6243"/>
    <cellStyle name="Accent4 33" xfId="6244"/>
    <cellStyle name="Accent4 34" xfId="6245"/>
    <cellStyle name="Accent4 35" xfId="6246"/>
    <cellStyle name="Accent4 36" xfId="6247"/>
    <cellStyle name="Accent4 37" xfId="6248"/>
    <cellStyle name="Accent4 38" xfId="6249"/>
    <cellStyle name="Accent4 39" xfId="6250"/>
    <cellStyle name="Accent4 4" xfId="6251"/>
    <cellStyle name="Accent4 4 2" xfId="6252"/>
    <cellStyle name="Accent4 4 3" xfId="6253"/>
    <cellStyle name="Accent4 4 4" xfId="6254"/>
    <cellStyle name="Accent4 4 5" xfId="6255"/>
    <cellStyle name="Accent4 40" xfId="6256"/>
    <cellStyle name="Accent4 41" xfId="6257"/>
    <cellStyle name="Accent4 42" xfId="6258"/>
    <cellStyle name="Accent4 43" xfId="6259"/>
    <cellStyle name="Accent4 44" xfId="6260"/>
    <cellStyle name="Accent4 45" xfId="6261"/>
    <cellStyle name="Accent4 46" xfId="6262"/>
    <cellStyle name="Accent4 47" xfId="6263"/>
    <cellStyle name="Accent4 48" xfId="6264"/>
    <cellStyle name="Accent4 49" xfId="6265"/>
    <cellStyle name="Accent4 5" xfId="6266"/>
    <cellStyle name="Accent4 5 2" xfId="6267"/>
    <cellStyle name="Accent4 5 3" xfId="6268"/>
    <cellStyle name="Accent4 5 4" xfId="6269"/>
    <cellStyle name="Accent4 5 5" xfId="6270"/>
    <cellStyle name="Accent4 50" xfId="6271"/>
    <cellStyle name="Accent4 51" xfId="6272"/>
    <cellStyle name="Accent4 52" xfId="6273"/>
    <cellStyle name="Accent4 53" xfId="6274"/>
    <cellStyle name="Accent4 54" xfId="6275"/>
    <cellStyle name="Accent4 55" xfId="6276"/>
    <cellStyle name="Accent4 56" xfId="6277"/>
    <cellStyle name="Accent4 57" xfId="6278"/>
    <cellStyle name="Accent4 58" xfId="6279"/>
    <cellStyle name="Accent4 59" xfId="6280"/>
    <cellStyle name="Accent4 6" xfId="6281"/>
    <cellStyle name="Accent4 6 2" xfId="6282"/>
    <cellStyle name="Accent4 6 3" xfId="6283"/>
    <cellStyle name="Accent4 6 4" xfId="6284"/>
    <cellStyle name="Accent4 60" xfId="6285"/>
    <cellStyle name="Accent4 61" xfId="6286"/>
    <cellStyle name="Accent4 62" xfId="6287"/>
    <cellStyle name="Accent4 63" xfId="6288"/>
    <cellStyle name="Accent4 64" xfId="6289"/>
    <cellStyle name="Accent4 65" xfId="6290"/>
    <cellStyle name="Accent4 66" xfId="6291"/>
    <cellStyle name="Accent4 67" xfId="6292"/>
    <cellStyle name="Accent4 68" xfId="6293"/>
    <cellStyle name="Accent4 69" xfId="6294"/>
    <cellStyle name="Accent4 7" xfId="6295"/>
    <cellStyle name="Accent4 7 2" xfId="6296"/>
    <cellStyle name="Accent4 7 3" xfId="6297"/>
    <cellStyle name="Accent4 7 4" xfId="6298"/>
    <cellStyle name="Accent4 70" xfId="6299"/>
    <cellStyle name="Accent4 71" xfId="6300"/>
    <cellStyle name="Accent4 72" xfId="6301"/>
    <cellStyle name="Accent4 73" xfId="6302"/>
    <cellStyle name="Accent4 74" xfId="6303"/>
    <cellStyle name="Accent4 75" xfId="6304"/>
    <cellStyle name="Accent4 76" xfId="6305"/>
    <cellStyle name="Accent4 77" xfId="6306"/>
    <cellStyle name="Accent4 78" xfId="6307"/>
    <cellStyle name="Accent4 79" xfId="6308"/>
    <cellStyle name="Accent4 8" xfId="6309"/>
    <cellStyle name="Accent4 8 2" xfId="6310"/>
    <cellStyle name="Accent4 8 3" xfId="6311"/>
    <cellStyle name="Accent4 8 4" xfId="6312"/>
    <cellStyle name="Accent4 80" xfId="6313"/>
    <cellStyle name="Accent4 81" xfId="6314"/>
    <cellStyle name="Accent4 82" xfId="6315"/>
    <cellStyle name="Accent4 83" xfId="6316"/>
    <cellStyle name="Accent4 84" xfId="6317"/>
    <cellStyle name="Accent4 85" xfId="6318"/>
    <cellStyle name="Accent4 86" xfId="6319"/>
    <cellStyle name="Accent4 87" xfId="6320"/>
    <cellStyle name="Accent4 88" xfId="6321"/>
    <cellStyle name="Accent4 89" xfId="6322"/>
    <cellStyle name="Accent4 9" xfId="6323"/>
    <cellStyle name="Accent4 9 2" xfId="6324"/>
    <cellStyle name="Accent4 9 3" xfId="6325"/>
    <cellStyle name="Accent4 9 4" xfId="6326"/>
    <cellStyle name="Accent4 90" xfId="6327"/>
    <cellStyle name="Accent4 91" xfId="6328"/>
    <cellStyle name="Accent4 92" xfId="6329"/>
    <cellStyle name="Accent4 93" xfId="6330"/>
    <cellStyle name="Accent4 94" xfId="6331"/>
    <cellStyle name="Accent4 95" xfId="6332"/>
    <cellStyle name="Accent4 96" xfId="6333"/>
    <cellStyle name="Accent4 97" xfId="6334"/>
    <cellStyle name="Accent4 98" xfId="6335"/>
    <cellStyle name="Accent4 99" xfId="6336"/>
    <cellStyle name="Accent5" xfId="6337" builtinId="45" customBuiltin="1"/>
    <cellStyle name="Accent5 10" xfId="6338"/>
    <cellStyle name="Accent5 10 2" xfId="6339"/>
    <cellStyle name="Accent5 10 3" xfId="6340"/>
    <cellStyle name="Accent5 10 4" xfId="6341"/>
    <cellStyle name="Accent5 100" xfId="6342"/>
    <cellStyle name="Accent5 101" xfId="6343"/>
    <cellStyle name="Accent5 102" xfId="6344"/>
    <cellStyle name="Accent5 103" xfId="6345"/>
    <cellStyle name="Accent5 104" xfId="6346"/>
    <cellStyle name="Accent5 105" xfId="6347"/>
    <cellStyle name="Accent5 106" xfId="6348"/>
    <cellStyle name="Accent5 107" xfId="6349"/>
    <cellStyle name="Accent5 108" xfId="6350"/>
    <cellStyle name="Accent5 109" xfId="6351"/>
    <cellStyle name="Accent5 11" xfId="6352"/>
    <cellStyle name="Accent5 11 2" xfId="6353"/>
    <cellStyle name="Accent5 110" xfId="6354"/>
    <cellStyle name="Accent5 111" xfId="6355"/>
    <cellStyle name="Accent5 112" xfId="6356"/>
    <cellStyle name="Accent5 113" xfId="6357"/>
    <cellStyle name="Accent5 114" xfId="6358"/>
    <cellStyle name="Accent5 115" xfId="6359"/>
    <cellStyle name="Accent5 116" xfId="6360"/>
    <cellStyle name="Accent5 117" xfId="6361"/>
    <cellStyle name="Accent5 118" xfId="6362"/>
    <cellStyle name="Accent5 119" xfId="6363"/>
    <cellStyle name="Accent5 12" xfId="6364"/>
    <cellStyle name="Accent5 12 2" xfId="6365"/>
    <cellStyle name="Accent5 120" xfId="6366"/>
    <cellStyle name="Accent5 121" xfId="6367"/>
    <cellStyle name="Accent5 122" xfId="6368"/>
    <cellStyle name="Accent5 123" xfId="6369"/>
    <cellStyle name="Accent5 124" xfId="6370"/>
    <cellStyle name="Accent5 125" xfId="6371"/>
    <cellStyle name="Accent5 126" xfId="6372"/>
    <cellStyle name="Accent5 127" xfId="6373"/>
    <cellStyle name="Accent5 128" xfId="6374"/>
    <cellStyle name="Accent5 129" xfId="6375"/>
    <cellStyle name="Accent5 13" xfId="6376"/>
    <cellStyle name="Accent5 130" xfId="6377"/>
    <cellStyle name="Accent5 131" xfId="6378"/>
    <cellStyle name="Accent5 132" xfId="6379"/>
    <cellStyle name="Accent5 133" xfId="6380"/>
    <cellStyle name="Accent5 134" xfId="6381"/>
    <cellStyle name="Accent5 135" xfId="6382"/>
    <cellStyle name="Accent5 136" xfId="6383"/>
    <cellStyle name="Accent5 137" xfId="6384"/>
    <cellStyle name="Accent5 138" xfId="6385"/>
    <cellStyle name="Accent5 139" xfId="6386"/>
    <cellStyle name="Accent5 14" xfId="6387"/>
    <cellStyle name="Accent5 140" xfId="6388"/>
    <cellStyle name="Accent5 141" xfId="6389"/>
    <cellStyle name="Accent5 142" xfId="6390"/>
    <cellStyle name="Accent5 143" xfId="6391"/>
    <cellStyle name="Accent5 144" xfId="6392"/>
    <cellStyle name="Accent5 145" xfId="6393"/>
    <cellStyle name="Accent5 146" xfId="6394"/>
    <cellStyle name="Accent5 147" xfId="6395"/>
    <cellStyle name="Accent5 148" xfId="6396"/>
    <cellStyle name="Accent5 149" xfId="6397"/>
    <cellStyle name="Accent5 15" xfId="6398"/>
    <cellStyle name="Accent5 150" xfId="6399"/>
    <cellStyle name="Accent5 151" xfId="6400"/>
    <cellStyle name="Accent5 152" xfId="6401"/>
    <cellStyle name="Accent5 153" xfId="6402"/>
    <cellStyle name="Accent5 154" xfId="6403"/>
    <cellStyle name="Accent5 155" xfId="6404"/>
    <cellStyle name="Accent5 156" xfId="6405"/>
    <cellStyle name="Accent5 157" xfId="6406"/>
    <cellStyle name="Accent5 158" xfId="6407"/>
    <cellStyle name="Accent5 159" xfId="6408"/>
    <cellStyle name="Accent5 16" xfId="6409"/>
    <cellStyle name="Accent5 160" xfId="6410"/>
    <cellStyle name="Accent5 161" xfId="6411"/>
    <cellStyle name="Accent5 162" xfId="6412"/>
    <cellStyle name="Accent5 163" xfId="6413"/>
    <cellStyle name="Accent5 164" xfId="6414"/>
    <cellStyle name="Accent5 165" xfId="6415"/>
    <cellStyle name="Accent5 166" xfId="6416"/>
    <cellStyle name="Accent5 167" xfId="6417"/>
    <cellStyle name="Accent5 168" xfId="6418"/>
    <cellStyle name="Accent5 169" xfId="6419"/>
    <cellStyle name="Accent5 17" xfId="6420"/>
    <cellStyle name="Accent5 170" xfId="6421"/>
    <cellStyle name="Accent5 171" xfId="6422"/>
    <cellStyle name="Accent5 172" xfId="6423"/>
    <cellStyle name="Accent5 173" xfId="6424"/>
    <cellStyle name="Accent5 174" xfId="6425"/>
    <cellStyle name="Accent5 175" xfId="6426"/>
    <cellStyle name="Accent5 176" xfId="6427"/>
    <cellStyle name="Accent5 177" xfId="6428"/>
    <cellStyle name="Accent5 178" xfId="6429"/>
    <cellStyle name="Accent5 179" xfId="6430"/>
    <cellStyle name="Accent5 18" xfId="6431"/>
    <cellStyle name="Accent5 180" xfId="6432"/>
    <cellStyle name="Accent5 181" xfId="6433"/>
    <cellStyle name="Accent5 182" xfId="6434"/>
    <cellStyle name="Accent5 183" xfId="6435"/>
    <cellStyle name="Accent5 184" xfId="6436"/>
    <cellStyle name="Accent5 185" xfId="6437"/>
    <cellStyle name="Accent5 186" xfId="6438"/>
    <cellStyle name="Accent5 187" xfId="6439"/>
    <cellStyle name="Accent5 188" xfId="6440"/>
    <cellStyle name="Accent5 189" xfId="6441"/>
    <cellStyle name="Accent5 19" xfId="6442"/>
    <cellStyle name="Accent5 190" xfId="6443"/>
    <cellStyle name="Accent5 191" xfId="6444"/>
    <cellStyle name="Accent5 192" xfId="6445"/>
    <cellStyle name="Accent5 193" xfId="6446"/>
    <cellStyle name="Accent5 194" xfId="6447"/>
    <cellStyle name="Accent5 195" xfId="6448"/>
    <cellStyle name="Accent5 196" xfId="6449"/>
    <cellStyle name="Accent5 197" xfId="6450"/>
    <cellStyle name="Accent5 198" xfId="6451"/>
    <cellStyle name="Accent5 199" xfId="6452"/>
    <cellStyle name="Accent5 2" xfId="6453"/>
    <cellStyle name="Accent5 2 2" xfId="6454"/>
    <cellStyle name="Accent5 2 2 2" xfId="6455"/>
    <cellStyle name="Accent5 2 2 3" xfId="6456"/>
    <cellStyle name="Accent5 2 2 4" xfId="6457"/>
    <cellStyle name="Accent5 2 2 5" xfId="6458"/>
    <cellStyle name="Accent5 2 2 6" xfId="6459"/>
    <cellStyle name="Accent5 2 2 7" xfId="6460"/>
    <cellStyle name="Accent5 2 3" xfId="6461"/>
    <cellStyle name="Accent5 2 4" xfId="6462"/>
    <cellStyle name="Accent5 2 5" xfId="6463"/>
    <cellStyle name="Accent5 2 6" xfId="6464"/>
    <cellStyle name="Accent5 2 7" xfId="6465"/>
    <cellStyle name="Accent5 2 8" xfId="6466"/>
    <cellStyle name="Accent5 20" xfId="6467"/>
    <cellStyle name="Accent5 200" xfId="6468"/>
    <cellStyle name="Accent5 201" xfId="6469"/>
    <cellStyle name="Accent5 202" xfId="6470"/>
    <cellStyle name="Accent5 203" xfId="6471"/>
    <cellStyle name="Accent5 204" xfId="6472"/>
    <cellStyle name="Accent5 205" xfId="6473"/>
    <cellStyle name="Accent5 206" xfId="6474"/>
    <cellStyle name="Accent5 207" xfId="6475"/>
    <cellStyle name="Accent5 208" xfId="6476"/>
    <cellStyle name="Accent5 209" xfId="6477"/>
    <cellStyle name="Accent5 21" xfId="6478"/>
    <cellStyle name="Accent5 210" xfId="6479"/>
    <cellStyle name="Accent5 211" xfId="6480"/>
    <cellStyle name="Accent5 212" xfId="6481"/>
    <cellStyle name="Accent5 213" xfId="6482"/>
    <cellStyle name="Accent5 214" xfId="6483"/>
    <cellStyle name="Accent5 215" xfId="6484"/>
    <cellStyle name="Accent5 216" xfId="6485"/>
    <cellStyle name="Accent5 217" xfId="6486"/>
    <cellStyle name="Accent5 218" xfId="6487"/>
    <cellStyle name="Accent5 219" xfId="6488"/>
    <cellStyle name="Accent5 22" xfId="6489"/>
    <cellStyle name="Accent5 220" xfId="6490"/>
    <cellStyle name="Accent5 221" xfId="6491"/>
    <cellStyle name="Accent5 222" xfId="6492"/>
    <cellStyle name="Accent5 223" xfId="6493"/>
    <cellStyle name="Accent5 224" xfId="6494"/>
    <cellStyle name="Accent5 225" xfId="6495"/>
    <cellStyle name="Accent5 226" xfId="6496"/>
    <cellStyle name="Accent5 227" xfId="6497"/>
    <cellStyle name="Accent5 228" xfId="6498"/>
    <cellStyle name="Accent5 229" xfId="6499"/>
    <cellStyle name="Accent5 23" xfId="6500"/>
    <cellStyle name="Accent5 230" xfId="6501"/>
    <cellStyle name="Accent5 231" xfId="6502"/>
    <cellStyle name="Accent5 232" xfId="6503"/>
    <cellStyle name="Accent5 233" xfId="6504"/>
    <cellStyle name="Accent5 234" xfId="6505"/>
    <cellStyle name="Accent5 235" xfId="6506"/>
    <cellStyle name="Accent5 236" xfId="6507"/>
    <cellStyle name="Accent5 237" xfId="6508"/>
    <cellStyle name="Accent5 238" xfId="6509"/>
    <cellStyle name="Accent5 239" xfId="6510"/>
    <cellStyle name="Accent5 24" xfId="6511"/>
    <cellStyle name="Accent5 240" xfId="6512"/>
    <cellStyle name="Accent5 241" xfId="6513"/>
    <cellStyle name="Accent5 242" xfId="6514"/>
    <cellStyle name="Accent5 243" xfId="6515"/>
    <cellStyle name="Accent5 244" xfId="6516"/>
    <cellStyle name="Accent5 245" xfId="6517"/>
    <cellStyle name="Accent5 246" xfId="6518"/>
    <cellStyle name="Accent5 247" xfId="6519"/>
    <cellStyle name="Accent5 248" xfId="6520"/>
    <cellStyle name="Accent5 249" xfId="6521"/>
    <cellStyle name="Accent5 25" xfId="6522"/>
    <cellStyle name="Accent5 26" xfId="6523"/>
    <cellStyle name="Accent5 27" xfId="6524"/>
    <cellStyle name="Accent5 28" xfId="6525"/>
    <cellStyle name="Accent5 29" xfId="6526"/>
    <cellStyle name="Accent5 3" xfId="6527"/>
    <cellStyle name="Accent5 3 2" xfId="6528"/>
    <cellStyle name="Accent5 30" xfId="6529"/>
    <cellStyle name="Accent5 31" xfId="6530"/>
    <cellStyle name="Accent5 32" xfId="6531"/>
    <cellStyle name="Accent5 33" xfId="6532"/>
    <cellStyle name="Accent5 34" xfId="6533"/>
    <cellStyle name="Accent5 35" xfId="6534"/>
    <cellStyle name="Accent5 36" xfId="6535"/>
    <cellStyle name="Accent5 37" xfId="6536"/>
    <cellStyle name="Accent5 38" xfId="6537"/>
    <cellStyle name="Accent5 39" xfId="6538"/>
    <cellStyle name="Accent5 4" xfId="6539"/>
    <cellStyle name="Accent5 4 2" xfId="6540"/>
    <cellStyle name="Accent5 4 3" xfId="6541"/>
    <cellStyle name="Accent5 4 4" xfId="6542"/>
    <cellStyle name="Accent5 4 5" xfId="6543"/>
    <cellStyle name="Accent5 40" xfId="6544"/>
    <cellStyle name="Accent5 41" xfId="6545"/>
    <cellStyle name="Accent5 42" xfId="6546"/>
    <cellStyle name="Accent5 43" xfId="6547"/>
    <cellStyle name="Accent5 44" xfId="6548"/>
    <cellStyle name="Accent5 45" xfId="6549"/>
    <cellStyle name="Accent5 46" xfId="6550"/>
    <cellStyle name="Accent5 47" xfId="6551"/>
    <cellStyle name="Accent5 48" xfId="6552"/>
    <cellStyle name="Accent5 49" xfId="6553"/>
    <cellStyle name="Accent5 5" xfId="6554"/>
    <cellStyle name="Accent5 5 2" xfId="6555"/>
    <cellStyle name="Accent5 5 3" xfId="6556"/>
    <cellStyle name="Accent5 5 4" xfId="6557"/>
    <cellStyle name="Accent5 5 5" xfId="6558"/>
    <cellStyle name="Accent5 50" xfId="6559"/>
    <cellStyle name="Accent5 51" xfId="6560"/>
    <cellStyle name="Accent5 52" xfId="6561"/>
    <cellStyle name="Accent5 53" xfId="6562"/>
    <cellStyle name="Accent5 54" xfId="6563"/>
    <cellStyle name="Accent5 55" xfId="6564"/>
    <cellStyle name="Accent5 56" xfId="6565"/>
    <cellStyle name="Accent5 57" xfId="6566"/>
    <cellStyle name="Accent5 58" xfId="6567"/>
    <cellStyle name="Accent5 59" xfId="6568"/>
    <cellStyle name="Accent5 6" xfId="6569"/>
    <cellStyle name="Accent5 6 2" xfId="6570"/>
    <cellStyle name="Accent5 6 3" xfId="6571"/>
    <cellStyle name="Accent5 6 4" xfId="6572"/>
    <cellStyle name="Accent5 60" xfId="6573"/>
    <cellStyle name="Accent5 61" xfId="6574"/>
    <cellStyle name="Accent5 62" xfId="6575"/>
    <cellStyle name="Accent5 63" xfId="6576"/>
    <cellStyle name="Accent5 64" xfId="6577"/>
    <cellStyle name="Accent5 65" xfId="6578"/>
    <cellStyle name="Accent5 66" xfId="6579"/>
    <cellStyle name="Accent5 67" xfId="6580"/>
    <cellStyle name="Accent5 68" xfId="6581"/>
    <cellStyle name="Accent5 69" xfId="6582"/>
    <cellStyle name="Accent5 7" xfId="6583"/>
    <cellStyle name="Accent5 7 2" xfId="6584"/>
    <cellStyle name="Accent5 7 3" xfId="6585"/>
    <cellStyle name="Accent5 7 4" xfId="6586"/>
    <cellStyle name="Accent5 70" xfId="6587"/>
    <cellStyle name="Accent5 71" xfId="6588"/>
    <cellStyle name="Accent5 72" xfId="6589"/>
    <cellStyle name="Accent5 73" xfId="6590"/>
    <cellStyle name="Accent5 74" xfId="6591"/>
    <cellStyle name="Accent5 75" xfId="6592"/>
    <cellStyle name="Accent5 76" xfId="6593"/>
    <cellStyle name="Accent5 77" xfId="6594"/>
    <cellStyle name="Accent5 78" xfId="6595"/>
    <cellStyle name="Accent5 79" xfId="6596"/>
    <cellStyle name="Accent5 8" xfId="6597"/>
    <cellStyle name="Accent5 8 2" xfId="6598"/>
    <cellStyle name="Accent5 8 3" xfId="6599"/>
    <cellStyle name="Accent5 8 4" xfId="6600"/>
    <cellStyle name="Accent5 80" xfId="6601"/>
    <cellStyle name="Accent5 81" xfId="6602"/>
    <cellStyle name="Accent5 82" xfId="6603"/>
    <cellStyle name="Accent5 83" xfId="6604"/>
    <cellStyle name="Accent5 84" xfId="6605"/>
    <cellStyle name="Accent5 85" xfId="6606"/>
    <cellStyle name="Accent5 86" xfId="6607"/>
    <cellStyle name="Accent5 87" xfId="6608"/>
    <cellStyle name="Accent5 88" xfId="6609"/>
    <cellStyle name="Accent5 89" xfId="6610"/>
    <cellStyle name="Accent5 9" xfId="6611"/>
    <cellStyle name="Accent5 9 2" xfId="6612"/>
    <cellStyle name="Accent5 9 3" xfId="6613"/>
    <cellStyle name="Accent5 9 4" xfId="6614"/>
    <cellStyle name="Accent5 90" xfId="6615"/>
    <cellStyle name="Accent5 91" xfId="6616"/>
    <cellStyle name="Accent5 92" xfId="6617"/>
    <cellStyle name="Accent5 93" xfId="6618"/>
    <cellStyle name="Accent5 94" xfId="6619"/>
    <cellStyle name="Accent5 95" xfId="6620"/>
    <cellStyle name="Accent5 96" xfId="6621"/>
    <cellStyle name="Accent5 97" xfId="6622"/>
    <cellStyle name="Accent5 98" xfId="6623"/>
    <cellStyle name="Accent5 99" xfId="6624"/>
    <cellStyle name="Accent6" xfId="6625" builtinId="49" customBuiltin="1"/>
    <cellStyle name="Accent6 10" xfId="6626"/>
    <cellStyle name="Accent6 10 2" xfId="6627"/>
    <cellStyle name="Accent6 10 3" xfId="6628"/>
    <cellStyle name="Accent6 10 4" xfId="6629"/>
    <cellStyle name="Accent6 100" xfId="6630"/>
    <cellStyle name="Accent6 101" xfId="6631"/>
    <cellStyle name="Accent6 102" xfId="6632"/>
    <cellStyle name="Accent6 103" xfId="6633"/>
    <cellStyle name="Accent6 104" xfId="6634"/>
    <cellStyle name="Accent6 105" xfId="6635"/>
    <cellStyle name="Accent6 106" xfId="6636"/>
    <cellStyle name="Accent6 107" xfId="6637"/>
    <cellStyle name="Accent6 108" xfId="6638"/>
    <cellStyle name="Accent6 109" xfId="6639"/>
    <cellStyle name="Accent6 11" xfId="6640"/>
    <cellStyle name="Accent6 11 2" xfId="6641"/>
    <cellStyle name="Accent6 110" xfId="6642"/>
    <cellStyle name="Accent6 111" xfId="6643"/>
    <cellStyle name="Accent6 112" xfId="6644"/>
    <cellStyle name="Accent6 113" xfId="6645"/>
    <cellStyle name="Accent6 114" xfId="6646"/>
    <cellStyle name="Accent6 115" xfId="6647"/>
    <cellStyle name="Accent6 116" xfId="6648"/>
    <cellStyle name="Accent6 117" xfId="6649"/>
    <cellStyle name="Accent6 118" xfId="6650"/>
    <cellStyle name="Accent6 119" xfId="6651"/>
    <cellStyle name="Accent6 12" xfId="6652"/>
    <cellStyle name="Accent6 12 2" xfId="6653"/>
    <cellStyle name="Accent6 120" xfId="6654"/>
    <cellStyle name="Accent6 121" xfId="6655"/>
    <cellStyle name="Accent6 122" xfId="6656"/>
    <cellStyle name="Accent6 123" xfId="6657"/>
    <cellStyle name="Accent6 124" xfId="6658"/>
    <cellStyle name="Accent6 125" xfId="6659"/>
    <cellStyle name="Accent6 126" xfId="6660"/>
    <cellStyle name="Accent6 127" xfId="6661"/>
    <cellStyle name="Accent6 128" xfId="6662"/>
    <cellStyle name="Accent6 129" xfId="6663"/>
    <cellStyle name="Accent6 13" xfId="6664"/>
    <cellStyle name="Accent6 130" xfId="6665"/>
    <cellStyle name="Accent6 131" xfId="6666"/>
    <cellStyle name="Accent6 132" xfId="6667"/>
    <cellStyle name="Accent6 133" xfId="6668"/>
    <cellStyle name="Accent6 134" xfId="6669"/>
    <cellStyle name="Accent6 135" xfId="6670"/>
    <cellStyle name="Accent6 136" xfId="6671"/>
    <cellStyle name="Accent6 137" xfId="6672"/>
    <cellStyle name="Accent6 138" xfId="6673"/>
    <cellStyle name="Accent6 139" xfId="6674"/>
    <cellStyle name="Accent6 14" xfId="6675"/>
    <cellStyle name="Accent6 140" xfId="6676"/>
    <cellStyle name="Accent6 141" xfId="6677"/>
    <cellStyle name="Accent6 142" xfId="6678"/>
    <cellStyle name="Accent6 143" xfId="6679"/>
    <cellStyle name="Accent6 144" xfId="6680"/>
    <cellStyle name="Accent6 145" xfId="6681"/>
    <cellStyle name="Accent6 146" xfId="6682"/>
    <cellStyle name="Accent6 147" xfId="6683"/>
    <cellStyle name="Accent6 148" xfId="6684"/>
    <cellStyle name="Accent6 149" xfId="6685"/>
    <cellStyle name="Accent6 15" xfId="6686"/>
    <cellStyle name="Accent6 150" xfId="6687"/>
    <cellStyle name="Accent6 151" xfId="6688"/>
    <cellStyle name="Accent6 152" xfId="6689"/>
    <cellStyle name="Accent6 153" xfId="6690"/>
    <cellStyle name="Accent6 154" xfId="6691"/>
    <cellStyle name="Accent6 155" xfId="6692"/>
    <cellStyle name="Accent6 156" xfId="6693"/>
    <cellStyle name="Accent6 157" xfId="6694"/>
    <cellStyle name="Accent6 158" xfId="6695"/>
    <cellStyle name="Accent6 159" xfId="6696"/>
    <cellStyle name="Accent6 16" xfId="6697"/>
    <cellStyle name="Accent6 160" xfId="6698"/>
    <cellStyle name="Accent6 161" xfId="6699"/>
    <cellStyle name="Accent6 162" xfId="6700"/>
    <cellStyle name="Accent6 163" xfId="6701"/>
    <cellStyle name="Accent6 164" xfId="6702"/>
    <cellStyle name="Accent6 165" xfId="6703"/>
    <cellStyle name="Accent6 166" xfId="6704"/>
    <cellStyle name="Accent6 167" xfId="6705"/>
    <cellStyle name="Accent6 168" xfId="6706"/>
    <cellStyle name="Accent6 169" xfId="6707"/>
    <cellStyle name="Accent6 17" xfId="6708"/>
    <cellStyle name="Accent6 170" xfId="6709"/>
    <cellStyle name="Accent6 171" xfId="6710"/>
    <cellStyle name="Accent6 172" xfId="6711"/>
    <cellStyle name="Accent6 173" xfId="6712"/>
    <cellStyle name="Accent6 174" xfId="6713"/>
    <cellStyle name="Accent6 175" xfId="6714"/>
    <cellStyle name="Accent6 176" xfId="6715"/>
    <cellStyle name="Accent6 177" xfId="6716"/>
    <cellStyle name="Accent6 178" xfId="6717"/>
    <cellStyle name="Accent6 179" xfId="6718"/>
    <cellStyle name="Accent6 18" xfId="6719"/>
    <cellStyle name="Accent6 180" xfId="6720"/>
    <cellStyle name="Accent6 181" xfId="6721"/>
    <cellStyle name="Accent6 182" xfId="6722"/>
    <cellStyle name="Accent6 183" xfId="6723"/>
    <cellStyle name="Accent6 184" xfId="6724"/>
    <cellStyle name="Accent6 185" xfId="6725"/>
    <cellStyle name="Accent6 186" xfId="6726"/>
    <cellStyle name="Accent6 187" xfId="6727"/>
    <cellStyle name="Accent6 188" xfId="6728"/>
    <cellStyle name="Accent6 189" xfId="6729"/>
    <cellStyle name="Accent6 19" xfId="6730"/>
    <cellStyle name="Accent6 190" xfId="6731"/>
    <cellStyle name="Accent6 191" xfId="6732"/>
    <cellStyle name="Accent6 192" xfId="6733"/>
    <cellStyle name="Accent6 193" xfId="6734"/>
    <cellStyle name="Accent6 194" xfId="6735"/>
    <cellStyle name="Accent6 195" xfId="6736"/>
    <cellStyle name="Accent6 196" xfId="6737"/>
    <cellStyle name="Accent6 197" xfId="6738"/>
    <cellStyle name="Accent6 198" xfId="6739"/>
    <cellStyle name="Accent6 199" xfId="6740"/>
    <cellStyle name="Accent6 2" xfId="6741"/>
    <cellStyle name="Accent6 2 2" xfId="6742"/>
    <cellStyle name="Accent6 2 2 2" xfId="6743"/>
    <cellStyle name="Accent6 2 2 3" xfId="6744"/>
    <cellStyle name="Accent6 2 2 4" xfId="6745"/>
    <cellStyle name="Accent6 2 2 5" xfId="6746"/>
    <cellStyle name="Accent6 2 2 6" xfId="6747"/>
    <cellStyle name="Accent6 2 2 7" xfId="6748"/>
    <cellStyle name="Accent6 2 3" xfId="6749"/>
    <cellStyle name="Accent6 2 4" xfId="6750"/>
    <cellStyle name="Accent6 2 5" xfId="6751"/>
    <cellStyle name="Accent6 2 6" xfId="6752"/>
    <cellStyle name="Accent6 2 7" xfId="6753"/>
    <cellStyle name="Accent6 2 8" xfId="6754"/>
    <cellStyle name="Accent6 20" xfId="6755"/>
    <cellStyle name="Accent6 200" xfId="6756"/>
    <cellStyle name="Accent6 201" xfId="6757"/>
    <cellStyle name="Accent6 202" xfId="6758"/>
    <cellStyle name="Accent6 203" xfId="6759"/>
    <cellStyle name="Accent6 204" xfId="6760"/>
    <cellStyle name="Accent6 205" xfId="6761"/>
    <cellStyle name="Accent6 206" xfId="6762"/>
    <cellStyle name="Accent6 207" xfId="6763"/>
    <cellStyle name="Accent6 208" xfId="6764"/>
    <cellStyle name="Accent6 209" xfId="6765"/>
    <cellStyle name="Accent6 21" xfId="6766"/>
    <cellStyle name="Accent6 210" xfId="6767"/>
    <cellStyle name="Accent6 211" xfId="6768"/>
    <cellStyle name="Accent6 212" xfId="6769"/>
    <cellStyle name="Accent6 213" xfId="6770"/>
    <cellStyle name="Accent6 214" xfId="6771"/>
    <cellStyle name="Accent6 215" xfId="6772"/>
    <cellStyle name="Accent6 216" xfId="6773"/>
    <cellStyle name="Accent6 217" xfId="6774"/>
    <cellStyle name="Accent6 218" xfId="6775"/>
    <cellStyle name="Accent6 219" xfId="6776"/>
    <cellStyle name="Accent6 22" xfId="6777"/>
    <cellStyle name="Accent6 220" xfId="6778"/>
    <cellStyle name="Accent6 221" xfId="6779"/>
    <cellStyle name="Accent6 222" xfId="6780"/>
    <cellStyle name="Accent6 223" xfId="6781"/>
    <cellStyle name="Accent6 224" xfId="6782"/>
    <cellStyle name="Accent6 225" xfId="6783"/>
    <cellStyle name="Accent6 226" xfId="6784"/>
    <cellStyle name="Accent6 227" xfId="6785"/>
    <cellStyle name="Accent6 228" xfId="6786"/>
    <cellStyle name="Accent6 229" xfId="6787"/>
    <cellStyle name="Accent6 23" xfId="6788"/>
    <cellStyle name="Accent6 230" xfId="6789"/>
    <cellStyle name="Accent6 231" xfId="6790"/>
    <cellStyle name="Accent6 232" xfId="6791"/>
    <cellStyle name="Accent6 233" xfId="6792"/>
    <cellStyle name="Accent6 234" xfId="6793"/>
    <cellStyle name="Accent6 235" xfId="6794"/>
    <cellStyle name="Accent6 236" xfId="6795"/>
    <cellStyle name="Accent6 237" xfId="6796"/>
    <cellStyle name="Accent6 238" xfId="6797"/>
    <cellStyle name="Accent6 239" xfId="6798"/>
    <cellStyle name="Accent6 24" xfId="6799"/>
    <cellStyle name="Accent6 240" xfId="6800"/>
    <cellStyle name="Accent6 241" xfId="6801"/>
    <cellStyle name="Accent6 242" xfId="6802"/>
    <cellStyle name="Accent6 243" xfId="6803"/>
    <cellStyle name="Accent6 244" xfId="6804"/>
    <cellStyle name="Accent6 245" xfId="6805"/>
    <cellStyle name="Accent6 246" xfId="6806"/>
    <cellStyle name="Accent6 247" xfId="6807"/>
    <cellStyle name="Accent6 248" xfId="6808"/>
    <cellStyle name="Accent6 249" xfId="6809"/>
    <cellStyle name="Accent6 25" xfId="6810"/>
    <cellStyle name="Accent6 26" xfId="6811"/>
    <cellStyle name="Accent6 27" xfId="6812"/>
    <cellStyle name="Accent6 28" xfId="6813"/>
    <cellStyle name="Accent6 29" xfId="6814"/>
    <cellStyle name="Accent6 3" xfId="6815"/>
    <cellStyle name="Accent6 3 2" xfId="6816"/>
    <cellStyle name="Accent6 30" xfId="6817"/>
    <cellStyle name="Accent6 31" xfId="6818"/>
    <cellStyle name="Accent6 32" xfId="6819"/>
    <cellStyle name="Accent6 33" xfId="6820"/>
    <cellStyle name="Accent6 34" xfId="6821"/>
    <cellStyle name="Accent6 35" xfId="6822"/>
    <cellStyle name="Accent6 36" xfId="6823"/>
    <cellStyle name="Accent6 37" xfId="6824"/>
    <cellStyle name="Accent6 38" xfId="6825"/>
    <cellStyle name="Accent6 39" xfId="6826"/>
    <cellStyle name="Accent6 4" xfId="6827"/>
    <cellStyle name="Accent6 4 2" xfId="6828"/>
    <cellStyle name="Accent6 4 3" xfId="6829"/>
    <cellStyle name="Accent6 4 4" xfId="6830"/>
    <cellStyle name="Accent6 4 5" xfId="6831"/>
    <cellStyle name="Accent6 40" xfId="6832"/>
    <cellStyle name="Accent6 41" xfId="6833"/>
    <cellStyle name="Accent6 42" xfId="6834"/>
    <cellStyle name="Accent6 43" xfId="6835"/>
    <cellStyle name="Accent6 44" xfId="6836"/>
    <cellStyle name="Accent6 45" xfId="6837"/>
    <cellStyle name="Accent6 46" xfId="6838"/>
    <cellStyle name="Accent6 47" xfId="6839"/>
    <cellStyle name="Accent6 48" xfId="6840"/>
    <cellStyle name="Accent6 49" xfId="6841"/>
    <cellStyle name="Accent6 5" xfId="6842"/>
    <cellStyle name="Accent6 5 2" xfId="6843"/>
    <cellStyle name="Accent6 5 3" xfId="6844"/>
    <cellStyle name="Accent6 5 4" xfId="6845"/>
    <cellStyle name="Accent6 5 5" xfId="6846"/>
    <cellStyle name="Accent6 50" xfId="6847"/>
    <cellStyle name="Accent6 51" xfId="6848"/>
    <cellStyle name="Accent6 52" xfId="6849"/>
    <cellStyle name="Accent6 53" xfId="6850"/>
    <cellStyle name="Accent6 54" xfId="6851"/>
    <cellStyle name="Accent6 55" xfId="6852"/>
    <cellStyle name="Accent6 56" xfId="6853"/>
    <cellStyle name="Accent6 57" xfId="6854"/>
    <cellStyle name="Accent6 58" xfId="6855"/>
    <cellStyle name="Accent6 59" xfId="6856"/>
    <cellStyle name="Accent6 6" xfId="6857"/>
    <cellStyle name="Accent6 6 2" xfId="6858"/>
    <cellStyle name="Accent6 6 3" xfId="6859"/>
    <cellStyle name="Accent6 6 4" xfId="6860"/>
    <cellStyle name="Accent6 60" xfId="6861"/>
    <cellStyle name="Accent6 61" xfId="6862"/>
    <cellStyle name="Accent6 62" xfId="6863"/>
    <cellStyle name="Accent6 63" xfId="6864"/>
    <cellStyle name="Accent6 64" xfId="6865"/>
    <cellStyle name="Accent6 65" xfId="6866"/>
    <cellStyle name="Accent6 66" xfId="6867"/>
    <cellStyle name="Accent6 67" xfId="6868"/>
    <cellStyle name="Accent6 68" xfId="6869"/>
    <cellStyle name="Accent6 69" xfId="6870"/>
    <cellStyle name="Accent6 7" xfId="6871"/>
    <cellStyle name="Accent6 7 2" xfId="6872"/>
    <cellStyle name="Accent6 7 3" xfId="6873"/>
    <cellStyle name="Accent6 7 4" xfId="6874"/>
    <cellStyle name="Accent6 70" xfId="6875"/>
    <cellStyle name="Accent6 71" xfId="6876"/>
    <cellStyle name="Accent6 72" xfId="6877"/>
    <cellStyle name="Accent6 73" xfId="6878"/>
    <cellStyle name="Accent6 74" xfId="6879"/>
    <cellStyle name="Accent6 75" xfId="6880"/>
    <cellStyle name="Accent6 76" xfId="6881"/>
    <cellStyle name="Accent6 77" xfId="6882"/>
    <cellStyle name="Accent6 78" xfId="6883"/>
    <cellStyle name="Accent6 79" xfId="6884"/>
    <cellStyle name="Accent6 8" xfId="6885"/>
    <cellStyle name="Accent6 8 2" xfId="6886"/>
    <cellStyle name="Accent6 8 3" xfId="6887"/>
    <cellStyle name="Accent6 8 4" xfId="6888"/>
    <cellStyle name="Accent6 80" xfId="6889"/>
    <cellStyle name="Accent6 81" xfId="6890"/>
    <cellStyle name="Accent6 82" xfId="6891"/>
    <cellStyle name="Accent6 83" xfId="6892"/>
    <cellStyle name="Accent6 84" xfId="6893"/>
    <cellStyle name="Accent6 85" xfId="6894"/>
    <cellStyle name="Accent6 86" xfId="6895"/>
    <cellStyle name="Accent6 87" xfId="6896"/>
    <cellStyle name="Accent6 88" xfId="6897"/>
    <cellStyle name="Accent6 89" xfId="6898"/>
    <cellStyle name="Accent6 9" xfId="6899"/>
    <cellStyle name="Accent6 9 2" xfId="6900"/>
    <cellStyle name="Accent6 9 3" xfId="6901"/>
    <cellStyle name="Accent6 9 4" xfId="6902"/>
    <cellStyle name="Accent6 90" xfId="6903"/>
    <cellStyle name="Accent6 91" xfId="6904"/>
    <cellStyle name="Accent6 92" xfId="6905"/>
    <cellStyle name="Accent6 93" xfId="6906"/>
    <cellStyle name="Accent6 94" xfId="6907"/>
    <cellStyle name="Accent6 95" xfId="6908"/>
    <cellStyle name="Accent6 96" xfId="6909"/>
    <cellStyle name="Accent6 97" xfId="6910"/>
    <cellStyle name="Accent6 98" xfId="6911"/>
    <cellStyle name="Accent6 99" xfId="6912"/>
    <cellStyle name="Bad" xfId="6913" builtinId="27" customBuiltin="1"/>
    <cellStyle name="Bad 10" xfId="6914"/>
    <cellStyle name="Bad 10 2" xfId="6915"/>
    <cellStyle name="Bad 10 3" xfId="6916"/>
    <cellStyle name="Bad 10 4" xfId="6917"/>
    <cellStyle name="Bad 100" xfId="6918"/>
    <cellStyle name="Bad 101" xfId="6919"/>
    <cellStyle name="Bad 102" xfId="6920"/>
    <cellStyle name="Bad 103" xfId="6921"/>
    <cellStyle name="Bad 104" xfId="6922"/>
    <cellStyle name="Bad 105" xfId="6923"/>
    <cellStyle name="Bad 106" xfId="6924"/>
    <cellStyle name="Bad 107" xfId="6925"/>
    <cellStyle name="Bad 108" xfId="6926"/>
    <cellStyle name="Bad 109" xfId="6927"/>
    <cellStyle name="Bad 11" xfId="6928"/>
    <cellStyle name="Bad 11 2" xfId="6929"/>
    <cellStyle name="Bad 110" xfId="6930"/>
    <cellStyle name="Bad 111" xfId="6931"/>
    <cellStyle name="Bad 112" xfId="6932"/>
    <cellStyle name="Bad 113" xfId="6933"/>
    <cellStyle name="Bad 114" xfId="6934"/>
    <cellStyle name="Bad 115" xfId="6935"/>
    <cellStyle name="Bad 116" xfId="6936"/>
    <cellStyle name="Bad 117" xfId="6937"/>
    <cellStyle name="Bad 118" xfId="6938"/>
    <cellStyle name="Bad 119" xfId="6939"/>
    <cellStyle name="Bad 12" xfId="6940"/>
    <cellStyle name="Bad 12 2" xfId="6941"/>
    <cellStyle name="Bad 120" xfId="6942"/>
    <cellStyle name="Bad 121" xfId="6943"/>
    <cellStyle name="Bad 122" xfId="6944"/>
    <cellStyle name="Bad 123" xfId="6945"/>
    <cellStyle name="Bad 124" xfId="6946"/>
    <cellStyle name="Bad 125" xfId="6947"/>
    <cellStyle name="Bad 126" xfId="6948"/>
    <cellStyle name="Bad 127" xfId="6949"/>
    <cellStyle name="Bad 128" xfId="6950"/>
    <cellStyle name="Bad 129" xfId="6951"/>
    <cellStyle name="Bad 13" xfId="6952"/>
    <cellStyle name="Bad 130" xfId="6953"/>
    <cellStyle name="Bad 131" xfId="6954"/>
    <cellStyle name="Bad 132" xfId="6955"/>
    <cellStyle name="Bad 133" xfId="6956"/>
    <cellStyle name="Bad 134" xfId="6957"/>
    <cellStyle name="Bad 135" xfId="6958"/>
    <cellStyle name="Bad 136" xfId="6959"/>
    <cellStyle name="Bad 137" xfId="6960"/>
    <cellStyle name="Bad 138" xfId="6961"/>
    <cellStyle name="Bad 139" xfId="6962"/>
    <cellStyle name="Bad 14" xfId="6963"/>
    <cellStyle name="Bad 140" xfId="6964"/>
    <cellStyle name="Bad 141" xfId="6965"/>
    <cellStyle name="Bad 142" xfId="6966"/>
    <cellStyle name="Bad 143" xfId="6967"/>
    <cellStyle name="Bad 144" xfId="6968"/>
    <cellStyle name="Bad 145" xfId="6969"/>
    <cellStyle name="Bad 146" xfId="6970"/>
    <cellStyle name="Bad 147" xfId="6971"/>
    <cellStyle name="Bad 148" xfId="6972"/>
    <cellStyle name="Bad 149" xfId="6973"/>
    <cellStyle name="Bad 15" xfId="6974"/>
    <cellStyle name="Bad 150" xfId="6975"/>
    <cellStyle name="Bad 151" xfId="6976"/>
    <cellStyle name="Bad 152" xfId="6977"/>
    <cellStyle name="Bad 153" xfId="6978"/>
    <cellStyle name="Bad 154" xfId="6979"/>
    <cellStyle name="Bad 155" xfId="6980"/>
    <cellStyle name="Bad 156" xfId="6981"/>
    <cellStyle name="Bad 157" xfId="6982"/>
    <cellStyle name="Bad 158" xfId="6983"/>
    <cellStyle name="Bad 159" xfId="6984"/>
    <cellStyle name="Bad 16" xfId="6985"/>
    <cellStyle name="Bad 160" xfId="6986"/>
    <cellStyle name="Bad 161" xfId="6987"/>
    <cellStyle name="Bad 162" xfId="6988"/>
    <cellStyle name="Bad 163" xfId="6989"/>
    <cellStyle name="Bad 164" xfId="6990"/>
    <cellStyle name="Bad 165" xfId="6991"/>
    <cellStyle name="Bad 166" xfId="6992"/>
    <cellStyle name="Bad 167" xfId="6993"/>
    <cellStyle name="Bad 168" xfId="6994"/>
    <cellStyle name="Bad 169" xfId="6995"/>
    <cellStyle name="Bad 17" xfId="6996"/>
    <cellStyle name="Bad 170" xfId="6997"/>
    <cellStyle name="Bad 171" xfId="6998"/>
    <cellStyle name="Bad 172" xfId="6999"/>
    <cellStyle name="Bad 173" xfId="7000"/>
    <cellStyle name="Bad 174" xfId="7001"/>
    <cellStyle name="Bad 175" xfId="7002"/>
    <cellStyle name="Bad 176" xfId="7003"/>
    <cellStyle name="Bad 177" xfId="7004"/>
    <cellStyle name="Bad 178" xfId="7005"/>
    <cellStyle name="Bad 179" xfId="7006"/>
    <cellStyle name="Bad 18" xfId="7007"/>
    <cellStyle name="Bad 180" xfId="7008"/>
    <cellStyle name="Bad 181" xfId="7009"/>
    <cellStyle name="Bad 182" xfId="7010"/>
    <cellStyle name="Bad 183" xfId="7011"/>
    <cellStyle name="Bad 184" xfId="7012"/>
    <cellStyle name="Bad 185" xfId="7013"/>
    <cellStyle name="Bad 186" xfId="7014"/>
    <cellStyle name="Bad 187" xfId="7015"/>
    <cellStyle name="Bad 188" xfId="7016"/>
    <cellStyle name="Bad 189" xfId="7017"/>
    <cellStyle name="Bad 19" xfId="7018"/>
    <cellStyle name="Bad 190" xfId="7019"/>
    <cellStyle name="Bad 191" xfId="7020"/>
    <cellStyle name="Bad 192" xfId="7021"/>
    <cellStyle name="Bad 193" xfId="7022"/>
    <cellStyle name="Bad 194" xfId="7023"/>
    <cellStyle name="Bad 195" xfId="7024"/>
    <cellStyle name="Bad 196" xfId="7025"/>
    <cellStyle name="Bad 197" xfId="7026"/>
    <cellStyle name="Bad 198" xfId="7027"/>
    <cellStyle name="Bad 199" xfId="7028"/>
    <cellStyle name="Bad 2" xfId="7029"/>
    <cellStyle name="Bad 2 2" xfId="7030"/>
    <cellStyle name="Bad 2 2 2" xfId="7031"/>
    <cellStyle name="Bad 2 2 3" xfId="7032"/>
    <cellStyle name="Bad 2 2 4" xfId="7033"/>
    <cellStyle name="Bad 2 2 5" xfId="7034"/>
    <cellStyle name="Bad 2 2 6" xfId="7035"/>
    <cellStyle name="Bad 2 2 7" xfId="7036"/>
    <cellStyle name="Bad 2 3" xfId="7037"/>
    <cellStyle name="Bad 2 4" xfId="7038"/>
    <cellStyle name="Bad 2 5" xfId="7039"/>
    <cellStyle name="Bad 2 6" xfId="7040"/>
    <cellStyle name="Bad 2 7" xfId="7041"/>
    <cellStyle name="Bad 2 8" xfId="7042"/>
    <cellStyle name="Bad 20" xfId="7043"/>
    <cellStyle name="Bad 200" xfId="7044"/>
    <cellStyle name="Bad 201" xfId="7045"/>
    <cellStyle name="Bad 202" xfId="7046"/>
    <cellStyle name="Bad 203" xfId="7047"/>
    <cellStyle name="Bad 204" xfId="7048"/>
    <cellStyle name="Bad 205" xfId="7049"/>
    <cellStyle name="Bad 206" xfId="7050"/>
    <cellStyle name="Bad 207" xfId="7051"/>
    <cellStyle name="Bad 208" xfId="7052"/>
    <cellStyle name="Bad 209" xfId="7053"/>
    <cellStyle name="Bad 21" xfId="7054"/>
    <cellStyle name="Bad 210" xfId="7055"/>
    <cellStyle name="Bad 211" xfId="7056"/>
    <cellStyle name="Bad 212" xfId="7057"/>
    <cellStyle name="Bad 213" xfId="7058"/>
    <cellStyle name="Bad 214" xfId="7059"/>
    <cellStyle name="Bad 215" xfId="7060"/>
    <cellStyle name="Bad 216" xfId="7061"/>
    <cellStyle name="Bad 217" xfId="7062"/>
    <cellStyle name="Bad 218" xfId="7063"/>
    <cellStyle name="Bad 219" xfId="7064"/>
    <cellStyle name="Bad 22" xfId="7065"/>
    <cellStyle name="Bad 220" xfId="7066"/>
    <cellStyle name="Bad 221" xfId="7067"/>
    <cellStyle name="Bad 222" xfId="7068"/>
    <cellStyle name="Bad 223" xfId="7069"/>
    <cellStyle name="Bad 224" xfId="7070"/>
    <cellStyle name="Bad 225" xfId="7071"/>
    <cellStyle name="Bad 226" xfId="7072"/>
    <cellStyle name="Bad 227" xfId="7073"/>
    <cellStyle name="Bad 228" xfId="7074"/>
    <cellStyle name="Bad 229" xfId="7075"/>
    <cellStyle name="Bad 23" xfId="7076"/>
    <cellStyle name="Bad 230" xfId="7077"/>
    <cellStyle name="Bad 231" xfId="7078"/>
    <cellStyle name="Bad 232" xfId="7079"/>
    <cellStyle name="Bad 233" xfId="7080"/>
    <cellStyle name="Bad 234" xfId="7081"/>
    <cellStyle name="Bad 235" xfId="7082"/>
    <cellStyle name="Bad 236" xfId="7083"/>
    <cellStyle name="Bad 237" xfId="7084"/>
    <cellStyle name="Bad 238" xfId="7085"/>
    <cellStyle name="Bad 239" xfId="7086"/>
    <cellStyle name="Bad 24" xfId="7087"/>
    <cellStyle name="Bad 240" xfId="7088"/>
    <cellStyle name="Bad 241" xfId="7089"/>
    <cellStyle name="Bad 242" xfId="7090"/>
    <cellStyle name="Bad 243" xfId="7091"/>
    <cellStyle name="Bad 244" xfId="7092"/>
    <cellStyle name="Bad 245" xfId="7093"/>
    <cellStyle name="Bad 246" xfId="7094"/>
    <cellStyle name="Bad 247" xfId="7095"/>
    <cellStyle name="Bad 248" xfId="7096"/>
    <cellStyle name="Bad 249" xfId="7097"/>
    <cellStyle name="Bad 25" xfId="7098"/>
    <cellStyle name="Bad 26" xfId="7099"/>
    <cellStyle name="Bad 27" xfId="7100"/>
    <cellStyle name="Bad 28" xfId="7101"/>
    <cellStyle name="Bad 29" xfId="7102"/>
    <cellStyle name="Bad 3" xfId="7103"/>
    <cellStyle name="Bad 3 2" xfId="7104"/>
    <cellStyle name="Bad 30" xfId="7105"/>
    <cellStyle name="Bad 31" xfId="7106"/>
    <cellStyle name="Bad 32" xfId="7107"/>
    <cellStyle name="Bad 33" xfId="7108"/>
    <cellStyle name="Bad 34" xfId="7109"/>
    <cellStyle name="Bad 35" xfId="7110"/>
    <cellStyle name="Bad 36" xfId="7111"/>
    <cellStyle name="Bad 37" xfId="7112"/>
    <cellStyle name="Bad 38" xfId="7113"/>
    <cellStyle name="Bad 39" xfId="7114"/>
    <cellStyle name="Bad 4" xfId="7115"/>
    <cellStyle name="Bad 4 2" xfId="7116"/>
    <cellStyle name="Bad 4 3" xfId="7117"/>
    <cellStyle name="Bad 4 4" xfId="7118"/>
    <cellStyle name="Bad 4 5" xfId="7119"/>
    <cellStyle name="Bad 40" xfId="7120"/>
    <cellStyle name="Bad 41" xfId="7121"/>
    <cellStyle name="Bad 42" xfId="7122"/>
    <cellStyle name="Bad 43" xfId="7123"/>
    <cellStyle name="Bad 44" xfId="7124"/>
    <cellStyle name="Bad 45" xfId="7125"/>
    <cellStyle name="Bad 46" xfId="7126"/>
    <cellStyle name="Bad 47" xfId="7127"/>
    <cellStyle name="Bad 48" xfId="7128"/>
    <cellStyle name="Bad 49" xfId="7129"/>
    <cellStyle name="Bad 5" xfId="7130"/>
    <cellStyle name="Bad 5 2" xfId="7131"/>
    <cellStyle name="Bad 5 3" xfId="7132"/>
    <cellStyle name="Bad 5 4" xfId="7133"/>
    <cellStyle name="Bad 5 5" xfId="7134"/>
    <cellStyle name="Bad 50" xfId="7135"/>
    <cellStyle name="Bad 51" xfId="7136"/>
    <cellStyle name="Bad 52" xfId="7137"/>
    <cellStyle name="Bad 53" xfId="7138"/>
    <cellStyle name="Bad 54" xfId="7139"/>
    <cellStyle name="Bad 55" xfId="7140"/>
    <cellStyle name="Bad 56" xfId="7141"/>
    <cellStyle name="Bad 57" xfId="7142"/>
    <cellStyle name="Bad 58" xfId="7143"/>
    <cellStyle name="Bad 59" xfId="7144"/>
    <cellStyle name="Bad 6" xfId="7145"/>
    <cellStyle name="Bad 6 2" xfId="7146"/>
    <cellStyle name="Bad 6 3" xfId="7147"/>
    <cellStyle name="Bad 6 4" xfId="7148"/>
    <cellStyle name="Bad 60" xfId="7149"/>
    <cellStyle name="Bad 61" xfId="7150"/>
    <cellStyle name="Bad 62" xfId="7151"/>
    <cellStyle name="Bad 63" xfId="7152"/>
    <cellStyle name="Bad 64" xfId="7153"/>
    <cellStyle name="Bad 65" xfId="7154"/>
    <cellStyle name="Bad 66" xfId="7155"/>
    <cellStyle name="Bad 67" xfId="7156"/>
    <cellStyle name="Bad 68" xfId="7157"/>
    <cellStyle name="Bad 69" xfId="7158"/>
    <cellStyle name="Bad 7" xfId="7159"/>
    <cellStyle name="Bad 7 2" xfId="7160"/>
    <cellStyle name="Bad 7 3" xfId="7161"/>
    <cellStyle name="Bad 7 4" xfId="7162"/>
    <cellStyle name="Bad 70" xfId="7163"/>
    <cellStyle name="Bad 71" xfId="7164"/>
    <cellStyle name="Bad 72" xfId="7165"/>
    <cellStyle name="Bad 73" xfId="7166"/>
    <cellStyle name="Bad 74" xfId="7167"/>
    <cellStyle name="Bad 75" xfId="7168"/>
    <cellStyle name="Bad 76" xfId="7169"/>
    <cellStyle name="Bad 77" xfId="7170"/>
    <cellStyle name="Bad 78" xfId="7171"/>
    <cellStyle name="Bad 79" xfId="7172"/>
    <cellStyle name="Bad 8" xfId="7173"/>
    <cellStyle name="Bad 8 2" xfId="7174"/>
    <cellStyle name="Bad 8 3" xfId="7175"/>
    <cellStyle name="Bad 8 4" xfId="7176"/>
    <cellStyle name="Bad 80" xfId="7177"/>
    <cellStyle name="Bad 81" xfId="7178"/>
    <cellStyle name="Bad 82" xfId="7179"/>
    <cellStyle name="Bad 83" xfId="7180"/>
    <cellStyle name="Bad 84" xfId="7181"/>
    <cellStyle name="Bad 85" xfId="7182"/>
    <cellStyle name="Bad 86" xfId="7183"/>
    <cellStyle name="Bad 87" xfId="7184"/>
    <cellStyle name="Bad 88" xfId="7185"/>
    <cellStyle name="Bad 89" xfId="7186"/>
    <cellStyle name="Bad 9" xfId="7187"/>
    <cellStyle name="Bad 9 2" xfId="7188"/>
    <cellStyle name="Bad 9 3" xfId="7189"/>
    <cellStyle name="Bad 9 4" xfId="7190"/>
    <cellStyle name="Bad 90" xfId="7191"/>
    <cellStyle name="Bad 91" xfId="7192"/>
    <cellStyle name="Bad 92" xfId="7193"/>
    <cellStyle name="Bad 93" xfId="7194"/>
    <cellStyle name="Bad 94" xfId="7195"/>
    <cellStyle name="Bad 95" xfId="7196"/>
    <cellStyle name="Bad 96" xfId="7197"/>
    <cellStyle name="Bad 97" xfId="7198"/>
    <cellStyle name="Bad 98" xfId="7199"/>
    <cellStyle name="Bad 99" xfId="7200"/>
    <cellStyle name="Calculation" xfId="7201" builtinId="22" customBuiltin="1"/>
    <cellStyle name="Calculation 10" xfId="7202"/>
    <cellStyle name="Calculation 10 2" xfId="7203"/>
    <cellStyle name="Calculation 10 3" xfId="7204"/>
    <cellStyle name="Calculation 10 4" xfId="7205"/>
    <cellStyle name="Calculation 100" xfId="7206"/>
    <cellStyle name="Calculation 101" xfId="7207"/>
    <cellStyle name="Calculation 102" xfId="7208"/>
    <cellStyle name="Calculation 103" xfId="7209"/>
    <cellStyle name="Calculation 104" xfId="7210"/>
    <cellStyle name="Calculation 105" xfId="7211"/>
    <cellStyle name="Calculation 106" xfId="7212"/>
    <cellStyle name="Calculation 107" xfId="7213"/>
    <cellStyle name="Calculation 108" xfId="7214"/>
    <cellStyle name="Calculation 109" xfId="7215"/>
    <cellStyle name="Calculation 11" xfId="7216"/>
    <cellStyle name="Calculation 11 2" xfId="7217"/>
    <cellStyle name="Calculation 110" xfId="7218"/>
    <cellStyle name="Calculation 111" xfId="7219"/>
    <cellStyle name="Calculation 112" xfId="7220"/>
    <cellStyle name="Calculation 113" xfId="7221"/>
    <cellStyle name="Calculation 114" xfId="7222"/>
    <cellStyle name="Calculation 115" xfId="7223"/>
    <cellStyle name="Calculation 116" xfId="7224"/>
    <cellStyle name="Calculation 117" xfId="7225"/>
    <cellStyle name="Calculation 118" xfId="7226"/>
    <cellStyle name="Calculation 119" xfId="7227"/>
    <cellStyle name="Calculation 12" xfId="7228"/>
    <cellStyle name="Calculation 12 2" xfId="7229"/>
    <cellStyle name="Calculation 120" xfId="7230"/>
    <cellStyle name="Calculation 121" xfId="7231"/>
    <cellStyle name="Calculation 122" xfId="7232"/>
    <cellStyle name="Calculation 123" xfId="7233"/>
    <cellStyle name="Calculation 124" xfId="7234"/>
    <cellStyle name="Calculation 125" xfId="7235"/>
    <cellStyle name="Calculation 126" xfId="7236"/>
    <cellStyle name="Calculation 127" xfId="7237"/>
    <cellStyle name="Calculation 128" xfId="7238"/>
    <cellStyle name="Calculation 129" xfId="7239"/>
    <cellStyle name="Calculation 13" xfId="7240"/>
    <cellStyle name="Calculation 130" xfId="7241"/>
    <cellStyle name="Calculation 131" xfId="7242"/>
    <cellStyle name="Calculation 132" xfId="7243"/>
    <cellStyle name="Calculation 133" xfId="7244"/>
    <cellStyle name="Calculation 134" xfId="7245"/>
    <cellStyle name="Calculation 135" xfId="7246"/>
    <cellStyle name="Calculation 136" xfId="7247"/>
    <cellStyle name="Calculation 137" xfId="7248"/>
    <cellStyle name="Calculation 138" xfId="7249"/>
    <cellStyle name="Calculation 139" xfId="7250"/>
    <cellStyle name="Calculation 14" xfId="7251"/>
    <cellStyle name="Calculation 140" xfId="7252"/>
    <cellStyle name="Calculation 141" xfId="7253"/>
    <cellStyle name="Calculation 142" xfId="7254"/>
    <cellStyle name="Calculation 143" xfId="7255"/>
    <cellStyle name="Calculation 144" xfId="7256"/>
    <cellStyle name="Calculation 145" xfId="7257"/>
    <cellStyle name="Calculation 146" xfId="7258"/>
    <cellStyle name="Calculation 147" xfId="7259"/>
    <cellStyle name="Calculation 148" xfId="7260"/>
    <cellStyle name="Calculation 149" xfId="7261"/>
    <cellStyle name="Calculation 15" xfId="7262"/>
    <cellStyle name="Calculation 150" xfId="7263"/>
    <cellStyle name="Calculation 151" xfId="7264"/>
    <cellStyle name="Calculation 152" xfId="7265"/>
    <cellStyle name="Calculation 153" xfId="7266"/>
    <cellStyle name="Calculation 154" xfId="7267"/>
    <cellStyle name="Calculation 155" xfId="7268"/>
    <cellStyle name="Calculation 156" xfId="7269"/>
    <cellStyle name="Calculation 157" xfId="7270"/>
    <cellStyle name="Calculation 158" xfId="7271"/>
    <cellStyle name="Calculation 159" xfId="7272"/>
    <cellStyle name="Calculation 16" xfId="7273"/>
    <cellStyle name="Calculation 160" xfId="7274"/>
    <cellStyle name="Calculation 161" xfId="7275"/>
    <cellStyle name="Calculation 162" xfId="7276"/>
    <cellStyle name="Calculation 163" xfId="7277"/>
    <cellStyle name="Calculation 164" xfId="7278"/>
    <cellStyle name="Calculation 165" xfId="7279"/>
    <cellStyle name="Calculation 166" xfId="7280"/>
    <cellStyle name="Calculation 167" xfId="7281"/>
    <cellStyle name="Calculation 168" xfId="7282"/>
    <cellStyle name="Calculation 169" xfId="7283"/>
    <cellStyle name="Calculation 17" xfId="7284"/>
    <cellStyle name="Calculation 170" xfId="7285"/>
    <cellStyle name="Calculation 171" xfId="7286"/>
    <cellStyle name="Calculation 172" xfId="7287"/>
    <cellStyle name="Calculation 173" xfId="7288"/>
    <cellStyle name="Calculation 174" xfId="7289"/>
    <cellStyle name="Calculation 175" xfId="7290"/>
    <cellStyle name="Calculation 176" xfId="7291"/>
    <cellStyle name="Calculation 177" xfId="7292"/>
    <cellStyle name="Calculation 178" xfId="7293"/>
    <cellStyle name="Calculation 179" xfId="7294"/>
    <cellStyle name="Calculation 18" xfId="7295"/>
    <cellStyle name="Calculation 180" xfId="7296"/>
    <cellStyle name="Calculation 181" xfId="7297"/>
    <cellStyle name="Calculation 182" xfId="7298"/>
    <cellStyle name="Calculation 183" xfId="7299"/>
    <cellStyle name="Calculation 184" xfId="7300"/>
    <cellStyle name="Calculation 185" xfId="7301"/>
    <cellStyle name="Calculation 186" xfId="7302"/>
    <cellStyle name="Calculation 187" xfId="7303"/>
    <cellStyle name="Calculation 188" xfId="7304"/>
    <cellStyle name="Calculation 189" xfId="7305"/>
    <cellStyle name="Calculation 19" xfId="7306"/>
    <cellStyle name="Calculation 190" xfId="7307"/>
    <cellStyle name="Calculation 191" xfId="7308"/>
    <cellStyle name="Calculation 192" xfId="7309"/>
    <cellStyle name="Calculation 193" xfId="7310"/>
    <cellStyle name="Calculation 194" xfId="7311"/>
    <cellStyle name="Calculation 195" xfId="7312"/>
    <cellStyle name="Calculation 196" xfId="7313"/>
    <cellStyle name="Calculation 197" xfId="7314"/>
    <cellStyle name="Calculation 198" xfId="7315"/>
    <cellStyle name="Calculation 199" xfId="7316"/>
    <cellStyle name="Calculation 2" xfId="7317"/>
    <cellStyle name="Calculation 2 2" xfId="7318"/>
    <cellStyle name="Calculation 2 2 2" xfId="7319"/>
    <cellStyle name="Calculation 2 2 3" xfId="7320"/>
    <cellStyle name="Calculation 2 2 4" xfId="7321"/>
    <cellStyle name="Calculation 2 2 5" xfId="7322"/>
    <cellStyle name="Calculation 2 2 6" xfId="7323"/>
    <cellStyle name="Calculation 2 2 7" xfId="7324"/>
    <cellStyle name="Calculation 2 3" xfId="7325"/>
    <cellStyle name="Calculation 2 4" xfId="7326"/>
    <cellStyle name="Calculation 2 5" xfId="7327"/>
    <cellStyle name="Calculation 2 6" xfId="7328"/>
    <cellStyle name="Calculation 2 7" xfId="7329"/>
    <cellStyle name="Calculation 2 8" xfId="7330"/>
    <cellStyle name="Calculation 20" xfId="7331"/>
    <cellStyle name="Calculation 200" xfId="7332"/>
    <cellStyle name="Calculation 201" xfId="7333"/>
    <cellStyle name="Calculation 202" xfId="7334"/>
    <cellStyle name="Calculation 203" xfId="7335"/>
    <cellStyle name="Calculation 204" xfId="7336"/>
    <cellStyle name="Calculation 205" xfId="7337"/>
    <cellStyle name="Calculation 206" xfId="7338"/>
    <cellStyle name="Calculation 207" xfId="7339"/>
    <cellStyle name="Calculation 208" xfId="7340"/>
    <cellStyle name="Calculation 209" xfId="7341"/>
    <cellStyle name="Calculation 21" xfId="7342"/>
    <cellStyle name="Calculation 210" xfId="7343"/>
    <cellStyle name="Calculation 211" xfId="7344"/>
    <cellStyle name="Calculation 212" xfId="7345"/>
    <cellStyle name="Calculation 213" xfId="7346"/>
    <cellStyle name="Calculation 214" xfId="7347"/>
    <cellStyle name="Calculation 215" xfId="7348"/>
    <cellStyle name="Calculation 216" xfId="7349"/>
    <cellStyle name="Calculation 217" xfId="7350"/>
    <cellStyle name="Calculation 218" xfId="7351"/>
    <cellStyle name="Calculation 219" xfId="7352"/>
    <cellStyle name="Calculation 22" xfId="7353"/>
    <cellStyle name="Calculation 220" xfId="7354"/>
    <cellStyle name="Calculation 221" xfId="7355"/>
    <cellStyle name="Calculation 222" xfId="7356"/>
    <cellStyle name="Calculation 223" xfId="7357"/>
    <cellStyle name="Calculation 224" xfId="7358"/>
    <cellStyle name="Calculation 225" xfId="7359"/>
    <cellStyle name="Calculation 226" xfId="7360"/>
    <cellStyle name="Calculation 227" xfId="7361"/>
    <cellStyle name="Calculation 228" xfId="7362"/>
    <cellStyle name="Calculation 229" xfId="7363"/>
    <cellStyle name="Calculation 23" xfId="7364"/>
    <cellStyle name="Calculation 230" xfId="7365"/>
    <cellStyle name="Calculation 231" xfId="7366"/>
    <cellStyle name="Calculation 232" xfId="7367"/>
    <cellStyle name="Calculation 233" xfId="7368"/>
    <cellStyle name="Calculation 234" xfId="7369"/>
    <cellStyle name="Calculation 235" xfId="7370"/>
    <cellStyle name="Calculation 236" xfId="7371"/>
    <cellStyle name="Calculation 237" xfId="7372"/>
    <cellStyle name="Calculation 238" xfId="7373"/>
    <cellStyle name="Calculation 239" xfId="7374"/>
    <cellStyle name="Calculation 24" xfId="7375"/>
    <cellStyle name="Calculation 240" xfId="7376"/>
    <cellStyle name="Calculation 241" xfId="7377"/>
    <cellStyle name="Calculation 242" xfId="7378"/>
    <cellStyle name="Calculation 243" xfId="7379"/>
    <cellStyle name="Calculation 244" xfId="7380"/>
    <cellStyle name="Calculation 245" xfId="7381"/>
    <cellStyle name="Calculation 246" xfId="7382"/>
    <cellStyle name="Calculation 247" xfId="7383"/>
    <cellStyle name="Calculation 248" xfId="7384"/>
    <cellStyle name="Calculation 249" xfId="7385"/>
    <cellStyle name="Calculation 25" xfId="7386"/>
    <cellStyle name="Calculation 26" xfId="7387"/>
    <cellStyle name="Calculation 27" xfId="7388"/>
    <cellStyle name="Calculation 28" xfId="7389"/>
    <cellStyle name="Calculation 29" xfId="7390"/>
    <cellStyle name="Calculation 3" xfId="7391"/>
    <cellStyle name="Calculation 3 2" xfId="7392"/>
    <cellStyle name="Calculation 30" xfId="7393"/>
    <cellStyle name="Calculation 31" xfId="7394"/>
    <cellStyle name="Calculation 32" xfId="7395"/>
    <cellStyle name="Calculation 33" xfId="7396"/>
    <cellStyle name="Calculation 34" xfId="7397"/>
    <cellStyle name="Calculation 35" xfId="7398"/>
    <cellStyle name="Calculation 36" xfId="7399"/>
    <cellStyle name="Calculation 37" xfId="7400"/>
    <cellStyle name="Calculation 38" xfId="7401"/>
    <cellStyle name="Calculation 39" xfId="7402"/>
    <cellStyle name="Calculation 4" xfId="7403"/>
    <cellStyle name="Calculation 4 2" xfId="7404"/>
    <cellStyle name="Calculation 4 3" xfId="7405"/>
    <cellStyle name="Calculation 4 4" xfId="7406"/>
    <cellStyle name="Calculation 4 5" xfId="7407"/>
    <cellStyle name="Calculation 40" xfId="7408"/>
    <cellStyle name="Calculation 41" xfId="7409"/>
    <cellStyle name="Calculation 42" xfId="7410"/>
    <cellStyle name="Calculation 43" xfId="7411"/>
    <cellStyle name="Calculation 44" xfId="7412"/>
    <cellStyle name="Calculation 45" xfId="7413"/>
    <cellStyle name="Calculation 46" xfId="7414"/>
    <cellStyle name="Calculation 47" xfId="7415"/>
    <cellStyle name="Calculation 48" xfId="7416"/>
    <cellStyle name="Calculation 49" xfId="7417"/>
    <cellStyle name="Calculation 5" xfId="7418"/>
    <cellStyle name="Calculation 5 2" xfId="7419"/>
    <cellStyle name="Calculation 5 3" xfId="7420"/>
    <cellStyle name="Calculation 5 4" xfId="7421"/>
    <cellStyle name="Calculation 5 5" xfId="7422"/>
    <cellStyle name="Calculation 50" xfId="7423"/>
    <cellStyle name="Calculation 51" xfId="7424"/>
    <cellStyle name="Calculation 52" xfId="7425"/>
    <cellStyle name="Calculation 53" xfId="7426"/>
    <cellStyle name="Calculation 54" xfId="7427"/>
    <cellStyle name="Calculation 55" xfId="7428"/>
    <cellStyle name="Calculation 56" xfId="7429"/>
    <cellStyle name="Calculation 57" xfId="7430"/>
    <cellStyle name="Calculation 58" xfId="7431"/>
    <cellStyle name="Calculation 59" xfId="7432"/>
    <cellStyle name="Calculation 6" xfId="7433"/>
    <cellStyle name="Calculation 6 2" xfId="7434"/>
    <cellStyle name="Calculation 6 3" xfId="7435"/>
    <cellStyle name="Calculation 6 4" xfId="7436"/>
    <cellStyle name="Calculation 60" xfId="7437"/>
    <cellStyle name="Calculation 61" xfId="7438"/>
    <cellStyle name="Calculation 62" xfId="7439"/>
    <cellStyle name="Calculation 63" xfId="7440"/>
    <cellStyle name="Calculation 64" xfId="7441"/>
    <cellStyle name="Calculation 65" xfId="7442"/>
    <cellStyle name="Calculation 66" xfId="7443"/>
    <cellStyle name="Calculation 67" xfId="7444"/>
    <cellStyle name="Calculation 68" xfId="7445"/>
    <cellStyle name="Calculation 69" xfId="7446"/>
    <cellStyle name="Calculation 7" xfId="7447"/>
    <cellStyle name="Calculation 7 2" xfId="7448"/>
    <cellStyle name="Calculation 7 3" xfId="7449"/>
    <cellStyle name="Calculation 7 4" xfId="7450"/>
    <cellStyle name="Calculation 70" xfId="7451"/>
    <cellStyle name="Calculation 71" xfId="7452"/>
    <cellStyle name="Calculation 72" xfId="7453"/>
    <cellStyle name="Calculation 73" xfId="7454"/>
    <cellStyle name="Calculation 74" xfId="7455"/>
    <cellStyle name="Calculation 75" xfId="7456"/>
    <cellStyle name="Calculation 76" xfId="7457"/>
    <cellStyle name="Calculation 77" xfId="7458"/>
    <cellStyle name="Calculation 78" xfId="7459"/>
    <cellStyle name="Calculation 79" xfId="7460"/>
    <cellStyle name="Calculation 8" xfId="7461"/>
    <cellStyle name="Calculation 8 2" xfId="7462"/>
    <cellStyle name="Calculation 8 3" xfId="7463"/>
    <cellStyle name="Calculation 8 4" xfId="7464"/>
    <cellStyle name="Calculation 80" xfId="7465"/>
    <cellStyle name="Calculation 81" xfId="7466"/>
    <cellStyle name="Calculation 82" xfId="7467"/>
    <cellStyle name="Calculation 83" xfId="7468"/>
    <cellStyle name="Calculation 84" xfId="7469"/>
    <cellStyle name="Calculation 85" xfId="7470"/>
    <cellStyle name="Calculation 86" xfId="7471"/>
    <cellStyle name="Calculation 87" xfId="7472"/>
    <cellStyle name="Calculation 88" xfId="7473"/>
    <cellStyle name="Calculation 89" xfId="7474"/>
    <cellStyle name="Calculation 9" xfId="7475"/>
    <cellStyle name="Calculation 9 2" xfId="7476"/>
    <cellStyle name="Calculation 9 3" xfId="7477"/>
    <cellStyle name="Calculation 9 4" xfId="7478"/>
    <cellStyle name="Calculation 90" xfId="7479"/>
    <cellStyle name="Calculation 91" xfId="7480"/>
    <cellStyle name="Calculation 92" xfId="7481"/>
    <cellStyle name="Calculation 93" xfId="7482"/>
    <cellStyle name="Calculation 94" xfId="7483"/>
    <cellStyle name="Calculation 95" xfId="7484"/>
    <cellStyle name="Calculation 96" xfId="7485"/>
    <cellStyle name="Calculation 97" xfId="7486"/>
    <cellStyle name="Calculation 98" xfId="7487"/>
    <cellStyle name="Calculation 99" xfId="7488"/>
    <cellStyle name="Check Cell" xfId="7489" builtinId="23" customBuiltin="1"/>
    <cellStyle name="Check Cell 10" xfId="7490"/>
    <cellStyle name="Check Cell 10 2" xfId="7491"/>
    <cellStyle name="Check Cell 10 3" xfId="7492"/>
    <cellStyle name="Check Cell 10 4" xfId="7493"/>
    <cellStyle name="Check Cell 100" xfId="7494"/>
    <cellStyle name="Check Cell 101" xfId="7495"/>
    <cellStyle name="Check Cell 102" xfId="7496"/>
    <cellStyle name="Check Cell 103" xfId="7497"/>
    <cellStyle name="Check Cell 104" xfId="7498"/>
    <cellStyle name="Check Cell 105" xfId="7499"/>
    <cellStyle name="Check Cell 106" xfId="7500"/>
    <cellStyle name="Check Cell 107" xfId="7501"/>
    <cellStyle name="Check Cell 108" xfId="7502"/>
    <cellStyle name="Check Cell 109" xfId="7503"/>
    <cellStyle name="Check Cell 11" xfId="7504"/>
    <cellStyle name="Check Cell 11 2" xfId="7505"/>
    <cellStyle name="Check Cell 110" xfId="7506"/>
    <cellStyle name="Check Cell 111" xfId="7507"/>
    <cellStyle name="Check Cell 112" xfId="7508"/>
    <cellStyle name="Check Cell 113" xfId="7509"/>
    <cellStyle name="Check Cell 114" xfId="7510"/>
    <cellStyle name="Check Cell 115" xfId="7511"/>
    <cellStyle name="Check Cell 116" xfId="7512"/>
    <cellStyle name="Check Cell 117" xfId="7513"/>
    <cellStyle name="Check Cell 118" xfId="7514"/>
    <cellStyle name="Check Cell 119" xfId="7515"/>
    <cellStyle name="Check Cell 12" xfId="7516"/>
    <cellStyle name="Check Cell 12 2" xfId="7517"/>
    <cellStyle name="Check Cell 120" xfId="7518"/>
    <cellStyle name="Check Cell 121" xfId="7519"/>
    <cellStyle name="Check Cell 122" xfId="7520"/>
    <cellStyle name="Check Cell 123" xfId="7521"/>
    <cellStyle name="Check Cell 124" xfId="7522"/>
    <cellStyle name="Check Cell 125" xfId="7523"/>
    <cellStyle name="Check Cell 126" xfId="7524"/>
    <cellStyle name="Check Cell 127" xfId="7525"/>
    <cellStyle name="Check Cell 128" xfId="7526"/>
    <cellStyle name="Check Cell 129" xfId="7527"/>
    <cellStyle name="Check Cell 13" xfId="7528"/>
    <cellStyle name="Check Cell 130" xfId="7529"/>
    <cellStyle name="Check Cell 131" xfId="7530"/>
    <cellStyle name="Check Cell 132" xfId="7531"/>
    <cellStyle name="Check Cell 133" xfId="7532"/>
    <cellStyle name="Check Cell 134" xfId="7533"/>
    <cellStyle name="Check Cell 135" xfId="7534"/>
    <cellStyle name="Check Cell 136" xfId="7535"/>
    <cellStyle name="Check Cell 137" xfId="7536"/>
    <cellStyle name="Check Cell 138" xfId="7537"/>
    <cellStyle name="Check Cell 139" xfId="7538"/>
    <cellStyle name="Check Cell 14" xfId="7539"/>
    <cellStyle name="Check Cell 140" xfId="7540"/>
    <cellStyle name="Check Cell 141" xfId="7541"/>
    <cellStyle name="Check Cell 142" xfId="7542"/>
    <cellStyle name="Check Cell 143" xfId="7543"/>
    <cellStyle name="Check Cell 144" xfId="7544"/>
    <cellStyle name="Check Cell 145" xfId="7545"/>
    <cellStyle name="Check Cell 146" xfId="7546"/>
    <cellStyle name="Check Cell 147" xfId="7547"/>
    <cellStyle name="Check Cell 148" xfId="7548"/>
    <cellStyle name="Check Cell 149" xfId="7549"/>
    <cellStyle name="Check Cell 15" xfId="7550"/>
    <cellStyle name="Check Cell 150" xfId="7551"/>
    <cellStyle name="Check Cell 151" xfId="7552"/>
    <cellStyle name="Check Cell 152" xfId="7553"/>
    <cellStyle name="Check Cell 153" xfId="7554"/>
    <cellStyle name="Check Cell 154" xfId="7555"/>
    <cellStyle name="Check Cell 155" xfId="7556"/>
    <cellStyle name="Check Cell 156" xfId="7557"/>
    <cellStyle name="Check Cell 157" xfId="7558"/>
    <cellStyle name="Check Cell 158" xfId="7559"/>
    <cellStyle name="Check Cell 159" xfId="7560"/>
    <cellStyle name="Check Cell 16" xfId="7561"/>
    <cellStyle name="Check Cell 160" xfId="7562"/>
    <cellStyle name="Check Cell 161" xfId="7563"/>
    <cellStyle name="Check Cell 162" xfId="7564"/>
    <cellStyle name="Check Cell 163" xfId="7565"/>
    <cellStyle name="Check Cell 164" xfId="7566"/>
    <cellStyle name="Check Cell 165" xfId="7567"/>
    <cellStyle name="Check Cell 166" xfId="7568"/>
    <cellStyle name="Check Cell 167" xfId="7569"/>
    <cellStyle name="Check Cell 168" xfId="7570"/>
    <cellStyle name="Check Cell 169" xfId="7571"/>
    <cellStyle name="Check Cell 17" xfId="7572"/>
    <cellStyle name="Check Cell 170" xfId="7573"/>
    <cellStyle name="Check Cell 171" xfId="7574"/>
    <cellStyle name="Check Cell 172" xfId="7575"/>
    <cellStyle name="Check Cell 173" xfId="7576"/>
    <cellStyle name="Check Cell 174" xfId="7577"/>
    <cellStyle name="Check Cell 175" xfId="7578"/>
    <cellStyle name="Check Cell 176" xfId="7579"/>
    <cellStyle name="Check Cell 177" xfId="7580"/>
    <cellStyle name="Check Cell 178" xfId="7581"/>
    <cellStyle name="Check Cell 179" xfId="7582"/>
    <cellStyle name="Check Cell 18" xfId="7583"/>
    <cellStyle name="Check Cell 180" xfId="7584"/>
    <cellStyle name="Check Cell 181" xfId="7585"/>
    <cellStyle name="Check Cell 182" xfId="7586"/>
    <cellStyle name="Check Cell 183" xfId="7587"/>
    <cellStyle name="Check Cell 184" xfId="7588"/>
    <cellStyle name="Check Cell 185" xfId="7589"/>
    <cellStyle name="Check Cell 186" xfId="7590"/>
    <cellStyle name="Check Cell 187" xfId="7591"/>
    <cellStyle name="Check Cell 188" xfId="7592"/>
    <cellStyle name="Check Cell 189" xfId="7593"/>
    <cellStyle name="Check Cell 19" xfId="7594"/>
    <cellStyle name="Check Cell 190" xfId="7595"/>
    <cellStyle name="Check Cell 191" xfId="7596"/>
    <cellStyle name="Check Cell 192" xfId="7597"/>
    <cellStyle name="Check Cell 193" xfId="7598"/>
    <cellStyle name="Check Cell 194" xfId="7599"/>
    <cellStyle name="Check Cell 195" xfId="7600"/>
    <cellStyle name="Check Cell 196" xfId="7601"/>
    <cellStyle name="Check Cell 197" xfId="7602"/>
    <cellStyle name="Check Cell 198" xfId="7603"/>
    <cellStyle name="Check Cell 199" xfId="7604"/>
    <cellStyle name="Check Cell 2" xfId="7605"/>
    <cellStyle name="Check Cell 2 2" xfId="7606"/>
    <cellStyle name="Check Cell 2 2 2" xfId="7607"/>
    <cellStyle name="Check Cell 2 2 3" xfId="7608"/>
    <cellStyle name="Check Cell 2 2 4" xfId="7609"/>
    <cellStyle name="Check Cell 2 2 5" xfId="7610"/>
    <cellStyle name="Check Cell 2 2 6" xfId="7611"/>
    <cellStyle name="Check Cell 2 2 7" xfId="7612"/>
    <cellStyle name="Check Cell 2 3" xfId="7613"/>
    <cellStyle name="Check Cell 2 4" xfId="7614"/>
    <cellStyle name="Check Cell 2 5" xfId="7615"/>
    <cellStyle name="Check Cell 2 6" xfId="7616"/>
    <cellStyle name="Check Cell 2 7" xfId="7617"/>
    <cellStyle name="Check Cell 2 8" xfId="7618"/>
    <cellStyle name="Check Cell 20" xfId="7619"/>
    <cellStyle name="Check Cell 200" xfId="7620"/>
    <cellStyle name="Check Cell 201" xfId="7621"/>
    <cellStyle name="Check Cell 202" xfId="7622"/>
    <cellStyle name="Check Cell 203" xfId="7623"/>
    <cellStyle name="Check Cell 204" xfId="7624"/>
    <cellStyle name="Check Cell 205" xfId="7625"/>
    <cellStyle name="Check Cell 206" xfId="7626"/>
    <cellStyle name="Check Cell 207" xfId="7627"/>
    <cellStyle name="Check Cell 208" xfId="7628"/>
    <cellStyle name="Check Cell 209" xfId="7629"/>
    <cellStyle name="Check Cell 21" xfId="7630"/>
    <cellStyle name="Check Cell 210" xfId="7631"/>
    <cellStyle name="Check Cell 211" xfId="7632"/>
    <cellStyle name="Check Cell 212" xfId="7633"/>
    <cellStyle name="Check Cell 213" xfId="7634"/>
    <cellStyle name="Check Cell 214" xfId="7635"/>
    <cellStyle name="Check Cell 215" xfId="7636"/>
    <cellStyle name="Check Cell 216" xfId="7637"/>
    <cellStyle name="Check Cell 217" xfId="7638"/>
    <cellStyle name="Check Cell 218" xfId="7639"/>
    <cellStyle name="Check Cell 219" xfId="7640"/>
    <cellStyle name="Check Cell 22" xfId="7641"/>
    <cellStyle name="Check Cell 220" xfId="7642"/>
    <cellStyle name="Check Cell 221" xfId="7643"/>
    <cellStyle name="Check Cell 222" xfId="7644"/>
    <cellStyle name="Check Cell 223" xfId="7645"/>
    <cellStyle name="Check Cell 224" xfId="7646"/>
    <cellStyle name="Check Cell 225" xfId="7647"/>
    <cellStyle name="Check Cell 226" xfId="7648"/>
    <cellStyle name="Check Cell 227" xfId="7649"/>
    <cellStyle name="Check Cell 228" xfId="7650"/>
    <cellStyle name="Check Cell 229" xfId="7651"/>
    <cellStyle name="Check Cell 23" xfId="7652"/>
    <cellStyle name="Check Cell 230" xfId="7653"/>
    <cellStyle name="Check Cell 231" xfId="7654"/>
    <cellStyle name="Check Cell 232" xfId="7655"/>
    <cellStyle name="Check Cell 233" xfId="7656"/>
    <cellStyle name="Check Cell 234" xfId="7657"/>
    <cellStyle name="Check Cell 235" xfId="7658"/>
    <cellStyle name="Check Cell 236" xfId="7659"/>
    <cellStyle name="Check Cell 237" xfId="7660"/>
    <cellStyle name="Check Cell 238" xfId="7661"/>
    <cellStyle name="Check Cell 239" xfId="7662"/>
    <cellStyle name="Check Cell 24" xfId="7663"/>
    <cellStyle name="Check Cell 240" xfId="7664"/>
    <cellStyle name="Check Cell 241" xfId="7665"/>
    <cellStyle name="Check Cell 242" xfId="7666"/>
    <cellStyle name="Check Cell 243" xfId="7667"/>
    <cellStyle name="Check Cell 244" xfId="7668"/>
    <cellStyle name="Check Cell 245" xfId="7669"/>
    <cellStyle name="Check Cell 246" xfId="7670"/>
    <cellStyle name="Check Cell 247" xfId="7671"/>
    <cellStyle name="Check Cell 248" xfId="7672"/>
    <cellStyle name="Check Cell 249" xfId="7673"/>
    <cellStyle name="Check Cell 25" xfId="7674"/>
    <cellStyle name="Check Cell 26" xfId="7675"/>
    <cellStyle name="Check Cell 27" xfId="7676"/>
    <cellStyle name="Check Cell 28" xfId="7677"/>
    <cellStyle name="Check Cell 29" xfId="7678"/>
    <cellStyle name="Check Cell 3" xfId="7679"/>
    <cellStyle name="Check Cell 3 2" xfId="7680"/>
    <cellStyle name="Check Cell 30" xfId="7681"/>
    <cellStyle name="Check Cell 31" xfId="7682"/>
    <cellStyle name="Check Cell 32" xfId="7683"/>
    <cellStyle name="Check Cell 33" xfId="7684"/>
    <cellStyle name="Check Cell 34" xfId="7685"/>
    <cellStyle name="Check Cell 35" xfId="7686"/>
    <cellStyle name="Check Cell 36" xfId="7687"/>
    <cellStyle name="Check Cell 37" xfId="7688"/>
    <cellStyle name="Check Cell 38" xfId="7689"/>
    <cellStyle name="Check Cell 39" xfId="7690"/>
    <cellStyle name="Check Cell 4" xfId="7691"/>
    <cellStyle name="Check Cell 4 2" xfId="7692"/>
    <cellStyle name="Check Cell 4 3" xfId="7693"/>
    <cellStyle name="Check Cell 4 4" xfId="7694"/>
    <cellStyle name="Check Cell 4 5" xfId="7695"/>
    <cellStyle name="Check Cell 40" xfId="7696"/>
    <cellStyle name="Check Cell 41" xfId="7697"/>
    <cellStyle name="Check Cell 42" xfId="7698"/>
    <cellStyle name="Check Cell 43" xfId="7699"/>
    <cellStyle name="Check Cell 44" xfId="7700"/>
    <cellStyle name="Check Cell 45" xfId="7701"/>
    <cellStyle name="Check Cell 46" xfId="7702"/>
    <cellStyle name="Check Cell 47" xfId="7703"/>
    <cellStyle name="Check Cell 48" xfId="7704"/>
    <cellStyle name="Check Cell 49" xfId="7705"/>
    <cellStyle name="Check Cell 5" xfId="7706"/>
    <cellStyle name="Check Cell 5 2" xfId="7707"/>
    <cellStyle name="Check Cell 5 3" xfId="7708"/>
    <cellStyle name="Check Cell 5 4" xfId="7709"/>
    <cellStyle name="Check Cell 5 5" xfId="7710"/>
    <cellStyle name="Check Cell 50" xfId="7711"/>
    <cellStyle name="Check Cell 51" xfId="7712"/>
    <cellStyle name="Check Cell 52" xfId="7713"/>
    <cellStyle name="Check Cell 53" xfId="7714"/>
    <cellStyle name="Check Cell 54" xfId="7715"/>
    <cellStyle name="Check Cell 55" xfId="7716"/>
    <cellStyle name="Check Cell 56" xfId="7717"/>
    <cellStyle name="Check Cell 57" xfId="7718"/>
    <cellStyle name="Check Cell 58" xfId="7719"/>
    <cellStyle name="Check Cell 59" xfId="7720"/>
    <cellStyle name="Check Cell 6" xfId="7721"/>
    <cellStyle name="Check Cell 6 2" xfId="7722"/>
    <cellStyle name="Check Cell 6 3" xfId="7723"/>
    <cellStyle name="Check Cell 6 4" xfId="7724"/>
    <cellStyle name="Check Cell 60" xfId="7725"/>
    <cellStyle name="Check Cell 61" xfId="7726"/>
    <cellStyle name="Check Cell 62" xfId="7727"/>
    <cellStyle name="Check Cell 63" xfId="7728"/>
    <cellStyle name="Check Cell 64" xfId="7729"/>
    <cellStyle name="Check Cell 65" xfId="7730"/>
    <cellStyle name="Check Cell 66" xfId="7731"/>
    <cellStyle name="Check Cell 67" xfId="7732"/>
    <cellStyle name="Check Cell 68" xfId="7733"/>
    <cellStyle name="Check Cell 69" xfId="7734"/>
    <cellStyle name="Check Cell 7" xfId="7735"/>
    <cellStyle name="Check Cell 7 2" xfId="7736"/>
    <cellStyle name="Check Cell 7 3" xfId="7737"/>
    <cellStyle name="Check Cell 7 4" xfId="7738"/>
    <cellStyle name="Check Cell 70" xfId="7739"/>
    <cellStyle name="Check Cell 71" xfId="7740"/>
    <cellStyle name="Check Cell 72" xfId="7741"/>
    <cellStyle name="Check Cell 73" xfId="7742"/>
    <cellStyle name="Check Cell 74" xfId="7743"/>
    <cellStyle name="Check Cell 75" xfId="7744"/>
    <cellStyle name="Check Cell 76" xfId="7745"/>
    <cellStyle name="Check Cell 77" xfId="7746"/>
    <cellStyle name="Check Cell 78" xfId="7747"/>
    <cellStyle name="Check Cell 79" xfId="7748"/>
    <cellStyle name="Check Cell 8" xfId="7749"/>
    <cellStyle name="Check Cell 8 2" xfId="7750"/>
    <cellStyle name="Check Cell 8 3" xfId="7751"/>
    <cellStyle name="Check Cell 8 4" xfId="7752"/>
    <cellStyle name="Check Cell 80" xfId="7753"/>
    <cellStyle name="Check Cell 81" xfId="7754"/>
    <cellStyle name="Check Cell 82" xfId="7755"/>
    <cellStyle name="Check Cell 83" xfId="7756"/>
    <cellStyle name="Check Cell 84" xfId="7757"/>
    <cellStyle name="Check Cell 85" xfId="7758"/>
    <cellStyle name="Check Cell 86" xfId="7759"/>
    <cellStyle name="Check Cell 87" xfId="7760"/>
    <cellStyle name="Check Cell 88" xfId="7761"/>
    <cellStyle name="Check Cell 89" xfId="7762"/>
    <cellStyle name="Check Cell 9" xfId="7763"/>
    <cellStyle name="Check Cell 9 2" xfId="7764"/>
    <cellStyle name="Check Cell 9 3" xfId="7765"/>
    <cellStyle name="Check Cell 9 4" xfId="7766"/>
    <cellStyle name="Check Cell 90" xfId="7767"/>
    <cellStyle name="Check Cell 91" xfId="7768"/>
    <cellStyle name="Check Cell 92" xfId="7769"/>
    <cellStyle name="Check Cell 93" xfId="7770"/>
    <cellStyle name="Check Cell 94" xfId="7771"/>
    <cellStyle name="Check Cell 95" xfId="7772"/>
    <cellStyle name="Check Cell 96" xfId="7773"/>
    <cellStyle name="Check Cell 97" xfId="7774"/>
    <cellStyle name="Check Cell 98" xfId="7775"/>
    <cellStyle name="Check Cell 99" xfId="7776"/>
    <cellStyle name="Comma 10" xfId="15322"/>
    <cellStyle name="Comma 11" xfId="15325"/>
    <cellStyle name="Comma 12" xfId="15329"/>
    <cellStyle name="Comma 13" xfId="15331"/>
    <cellStyle name="Comma 14" xfId="15333"/>
    <cellStyle name="Comma 15" xfId="15336"/>
    <cellStyle name="Comma 2" xfId="7777"/>
    <cellStyle name="Comma 2 2" xfId="7778"/>
    <cellStyle name="Comma 3" xfId="7779"/>
    <cellStyle name="Comma 4" xfId="7780"/>
    <cellStyle name="Comma 4 2" xfId="7781"/>
    <cellStyle name="Comma 4 3" xfId="7782"/>
    <cellStyle name="Comma 4 4" xfId="7783"/>
    <cellStyle name="Comma 4 5" xfId="15334"/>
    <cellStyle name="Comma 5" xfId="7784"/>
    <cellStyle name="Comma 6" xfId="7785"/>
    <cellStyle name="Comma 7" xfId="7786"/>
    <cellStyle name="Comma 8" xfId="7787"/>
    <cellStyle name="Comma 9" xfId="15319"/>
    <cellStyle name="Currency 2 2" xfId="7788"/>
    <cellStyle name="Currency 2 2 10" xfId="7789"/>
    <cellStyle name="Currency 2 2 100" xfId="7790"/>
    <cellStyle name="Currency 2 2 101" xfId="7791"/>
    <cellStyle name="Currency 2 2 102" xfId="7792"/>
    <cellStyle name="Currency 2 2 103" xfId="7793"/>
    <cellStyle name="Currency 2 2 104" xfId="7794"/>
    <cellStyle name="Currency 2 2 105" xfId="7795"/>
    <cellStyle name="Currency 2 2 106" xfId="7796"/>
    <cellStyle name="Currency 2 2 107" xfId="7797"/>
    <cellStyle name="Currency 2 2 108" xfId="7798"/>
    <cellStyle name="Currency 2 2 109" xfId="7799"/>
    <cellStyle name="Currency 2 2 11" xfId="7800"/>
    <cellStyle name="Currency 2 2 110" xfId="7801"/>
    <cellStyle name="Currency 2 2 111" xfId="7802"/>
    <cellStyle name="Currency 2 2 112" xfId="7803"/>
    <cellStyle name="Currency 2 2 113" xfId="7804"/>
    <cellStyle name="Currency 2 2 114" xfId="7805"/>
    <cellStyle name="Currency 2 2 115" xfId="7806"/>
    <cellStyle name="Currency 2 2 116" xfId="7807"/>
    <cellStyle name="Currency 2 2 117" xfId="7808"/>
    <cellStyle name="Currency 2 2 118" xfId="7809"/>
    <cellStyle name="Currency 2 2 119" xfId="7810"/>
    <cellStyle name="Currency 2 2 12" xfId="7811"/>
    <cellStyle name="Currency 2 2 120" xfId="7812"/>
    <cellStyle name="Currency 2 2 121" xfId="7813"/>
    <cellStyle name="Currency 2 2 122" xfId="7814"/>
    <cellStyle name="Currency 2 2 123" xfId="7815"/>
    <cellStyle name="Currency 2 2 124" xfId="7816"/>
    <cellStyle name="Currency 2 2 125" xfId="7817"/>
    <cellStyle name="Currency 2 2 126" xfId="7818"/>
    <cellStyle name="Currency 2 2 127" xfId="7819"/>
    <cellStyle name="Currency 2 2 128" xfId="7820"/>
    <cellStyle name="Currency 2 2 129" xfId="7821"/>
    <cellStyle name="Currency 2 2 13" xfId="7822"/>
    <cellStyle name="Currency 2 2 130" xfId="7823"/>
    <cellStyle name="Currency 2 2 131" xfId="7824"/>
    <cellStyle name="Currency 2 2 132" xfId="7825"/>
    <cellStyle name="Currency 2 2 133" xfId="7826"/>
    <cellStyle name="Currency 2 2 134" xfId="7827"/>
    <cellStyle name="Currency 2 2 135" xfId="7828"/>
    <cellStyle name="Currency 2 2 136" xfId="7829"/>
    <cellStyle name="Currency 2 2 137" xfId="7830"/>
    <cellStyle name="Currency 2 2 138" xfId="7831"/>
    <cellStyle name="Currency 2 2 139" xfId="7832"/>
    <cellStyle name="Currency 2 2 14" xfId="7833"/>
    <cellStyle name="Currency 2 2 140" xfId="7834"/>
    <cellStyle name="Currency 2 2 141" xfId="7835"/>
    <cellStyle name="Currency 2 2 142" xfId="7836"/>
    <cellStyle name="Currency 2 2 143" xfId="7837"/>
    <cellStyle name="Currency 2 2 144" xfId="7838"/>
    <cellStyle name="Currency 2 2 145" xfId="7839"/>
    <cellStyle name="Currency 2 2 146" xfId="7840"/>
    <cellStyle name="Currency 2 2 147" xfId="7841"/>
    <cellStyle name="Currency 2 2 148" xfId="7842"/>
    <cellStyle name="Currency 2 2 149" xfId="7843"/>
    <cellStyle name="Currency 2 2 15" xfId="7844"/>
    <cellStyle name="Currency 2 2 150" xfId="7845"/>
    <cellStyle name="Currency 2 2 151" xfId="7846"/>
    <cellStyle name="Currency 2 2 152" xfId="7847"/>
    <cellStyle name="Currency 2 2 153" xfId="7848"/>
    <cellStyle name="Currency 2 2 154" xfId="7849"/>
    <cellStyle name="Currency 2 2 155" xfId="7850"/>
    <cellStyle name="Currency 2 2 156" xfId="7851"/>
    <cellStyle name="Currency 2 2 157" xfId="7852"/>
    <cellStyle name="Currency 2 2 158" xfId="7853"/>
    <cellStyle name="Currency 2 2 159" xfId="7854"/>
    <cellStyle name="Currency 2 2 16" xfId="7855"/>
    <cellStyle name="Currency 2 2 160" xfId="7856"/>
    <cellStyle name="Currency 2 2 161" xfId="7857"/>
    <cellStyle name="Currency 2 2 162" xfId="7858"/>
    <cellStyle name="Currency 2 2 163" xfId="7859"/>
    <cellStyle name="Currency 2 2 164" xfId="7860"/>
    <cellStyle name="Currency 2 2 165" xfId="7861"/>
    <cellStyle name="Currency 2 2 166" xfId="7862"/>
    <cellStyle name="Currency 2 2 167" xfId="7863"/>
    <cellStyle name="Currency 2 2 168" xfId="7864"/>
    <cellStyle name="Currency 2 2 169" xfId="7865"/>
    <cellStyle name="Currency 2 2 17" xfId="7866"/>
    <cellStyle name="Currency 2 2 170" xfId="7867"/>
    <cellStyle name="Currency 2 2 171" xfId="7868"/>
    <cellStyle name="Currency 2 2 172" xfId="7869"/>
    <cellStyle name="Currency 2 2 173" xfId="7870"/>
    <cellStyle name="Currency 2 2 174" xfId="7871"/>
    <cellStyle name="Currency 2 2 175" xfId="7872"/>
    <cellStyle name="Currency 2 2 176" xfId="7873"/>
    <cellStyle name="Currency 2 2 177" xfId="7874"/>
    <cellStyle name="Currency 2 2 178" xfId="7875"/>
    <cellStyle name="Currency 2 2 179" xfId="7876"/>
    <cellStyle name="Currency 2 2 18" xfId="7877"/>
    <cellStyle name="Currency 2 2 180" xfId="7878"/>
    <cellStyle name="Currency 2 2 181" xfId="7879"/>
    <cellStyle name="Currency 2 2 182" xfId="7880"/>
    <cellStyle name="Currency 2 2 183" xfId="7881"/>
    <cellStyle name="Currency 2 2 184" xfId="7882"/>
    <cellStyle name="Currency 2 2 185" xfId="7883"/>
    <cellStyle name="Currency 2 2 186" xfId="7884"/>
    <cellStyle name="Currency 2 2 187" xfId="7885"/>
    <cellStyle name="Currency 2 2 188" xfId="7886"/>
    <cellStyle name="Currency 2 2 189" xfId="7887"/>
    <cellStyle name="Currency 2 2 19" xfId="7888"/>
    <cellStyle name="Currency 2 2 190" xfId="7889"/>
    <cellStyle name="Currency 2 2 191" xfId="7890"/>
    <cellStyle name="Currency 2 2 192" xfId="7891"/>
    <cellStyle name="Currency 2 2 193" xfId="7892"/>
    <cellStyle name="Currency 2 2 194" xfId="7893"/>
    <cellStyle name="Currency 2 2 195" xfId="7894"/>
    <cellStyle name="Currency 2 2 196" xfId="7895"/>
    <cellStyle name="Currency 2 2 197" xfId="7896"/>
    <cellStyle name="Currency 2 2 198" xfId="7897"/>
    <cellStyle name="Currency 2 2 199" xfId="7898"/>
    <cellStyle name="Currency 2 2 2" xfId="7899"/>
    <cellStyle name="Currency 2 2 20" xfId="7900"/>
    <cellStyle name="Currency 2 2 200" xfId="7901"/>
    <cellStyle name="Currency 2 2 201" xfId="7902"/>
    <cellStyle name="Currency 2 2 202" xfId="7903"/>
    <cellStyle name="Currency 2 2 203" xfId="7904"/>
    <cellStyle name="Currency 2 2 204" xfId="7905"/>
    <cellStyle name="Currency 2 2 205" xfId="7906"/>
    <cellStyle name="Currency 2 2 206" xfId="7907"/>
    <cellStyle name="Currency 2 2 207" xfId="7908"/>
    <cellStyle name="Currency 2 2 208" xfId="7909"/>
    <cellStyle name="Currency 2 2 209" xfId="7910"/>
    <cellStyle name="Currency 2 2 21" xfId="7911"/>
    <cellStyle name="Currency 2 2 210" xfId="7912"/>
    <cellStyle name="Currency 2 2 211" xfId="7913"/>
    <cellStyle name="Currency 2 2 212" xfId="7914"/>
    <cellStyle name="Currency 2 2 213" xfId="7915"/>
    <cellStyle name="Currency 2 2 214" xfId="7916"/>
    <cellStyle name="Currency 2 2 215" xfId="7917"/>
    <cellStyle name="Currency 2 2 216" xfId="7918"/>
    <cellStyle name="Currency 2 2 217" xfId="7919"/>
    <cellStyle name="Currency 2 2 218" xfId="7920"/>
    <cellStyle name="Currency 2 2 219" xfId="7921"/>
    <cellStyle name="Currency 2 2 22" xfId="7922"/>
    <cellStyle name="Currency 2 2 220" xfId="7923"/>
    <cellStyle name="Currency 2 2 221" xfId="7924"/>
    <cellStyle name="Currency 2 2 222" xfId="7925"/>
    <cellStyle name="Currency 2 2 223" xfId="7926"/>
    <cellStyle name="Currency 2 2 224" xfId="7927"/>
    <cellStyle name="Currency 2 2 225" xfId="7928"/>
    <cellStyle name="Currency 2 2 226" xfId="7929"/>
    <cellStyle name="Currency 2 2 227" xfId="7930"/>
    <cellStyle name="Currency 2 2 228" xfId="7931"/>
    <cellStyle name="Currency 2 2 229" xfId="7932"/>
    <cellStyle name="Currency 2 2 23" xfId="7933"/>
    <cellStyle name="Currency 2 2 230" xfId="7934"/>
    <cellStyle name="Currency 2 2 231" xfId="7935"/>
    <cellStyle name="Currency 2 2 232" xfId="7936"/>
    <cellStyle name="Currency 2 2 233" xfId="7937"/>
    <cellStyle name="Currency 2 2 234" xfId="7938"/>
    <cellStyle name="Currency 2 2 235" xfId="7939"/>
    <cellStyle name="Currency 2 2 24" xfId="7940"/>
    <cellStyle name="Currency 2 2 25" xfId="7941"/>
    <cellStyle name="Currency 2 2 26" xfId="7942"/>
    <cellStyle name="Currency 2 2 27" xfId="7943"/>
    <cellStyle name="Currency 2 2 28" xfId="7944"/>
    <cellStyle name="Currency 2 2 29" xfId="7945"/>
    <cellStyle name="Currency 2 2 3" xfId="7946"/>
    <cellStyle name="Currency 2 2 30" xfId="7947"/>
    <cellStyle name="Currency 2 2 31" xfId="7948"/>
    <cellStyle name="Currency 2 2 32" xfId="7949"/>
    <cellStyle name="Currency 2 2 33" xfId="7950"/>
    <cellStyle name="Currency 2 2 34" xfId="7951"/>
    <cellStyle name="Currency 2 2 35" xfId="7952"/>
    <cellStyle name="Currency 2 2 36" xfId="7953"/>
    <cellStyle name="Currency 2 2 37" xfId="7954"/>
    <cellStyle name="Currency 2 2 38" xfId="7955"/>
    <cellStyle name="Currency 2 2 39" xfId="7956"/>
    <cellStyle name="Currency 2 2 4" xfId="7957"/>
    <cellStyle name="Currency 2 2 40" xfId="7958"/>
    <cellStyle name="Currency 2 2 41" xfId="7959"/>
    <cellStyle name="Currency 2 2 42" xfId="7960"/>
    <cellStyle name="Currency 2 2 43" xfId="7961"/>
    <cellStyle name="Currency 2 2 44" xfId="7962"/>
    <cellStyle name="Currency 2 2 45" xfId="7963"/>
    <cellStyle name="Currency 2 2 46" xfId="7964"/>
    <cellStyle name="Currency 2 2 47" xfId="7965"/>
    <cellStyle name="Currency 2 2 48" xfId="7966"/>
    <cellStyle name="Currency 2 2 49" xfId="7967"/>
    <cellStyle name="Currency 2 2 5" xfId="7968"/>
    <cellStyle name="Currency 2 2 50" xfId="7969"/>
    <cellStyle name="Currency 2 2 51" xfId="7970"/>
    <cellStyle name="Currency 2 2 52" xfId="7971"/>
    <cellStyle name="Currency 2 2 53" xfId="7972"/>
    <cellStyle name="Currency 2 2 54" xfId="7973"/>
    <cellStyle name="Currency 2 2 55" xfId="7974"/>
    <cellStyle name="Currency 2 2 56" xfId="7975"/>
    <cellStyle name="Currency 2 2 57" xfId="7976"/>
    <cellStyle name="Currency 2 2 58" xfId="7977"/>
    <cellStyle name="Currency 2 2 59" xfId="7978"/>
    <cellStyle name="Currency 2 2 6" xfId="7979"/>
    <cellStyle name="Currency 2 2 60" xfId="7980"/>
    <cellStyle name="Currency 2 2 61" xfId="7981"/>
    <cellStyle name="Currency 2 2 62" xfId="7982"/>
    <cellStyle name="Currency 2 2 63" xfId="7983"/>
    <cellStyle name="Currency 2 2 64" xfId="7984"/>
    <cellStyle name="Currency 2 2 65" xfId="7985"/>
    <cellStyle name="Currency 2 2 66" xfId="7986"/>
    <cellStyle name="Currency 2 2 67" xfId="7987"/>
    <cellStyle name="Currency 2 2 68" xfId="7988"/>
    <cellStyle name="Currency 2 2 69" xfId="7989"/>
    <cellStyle name="Currency 2 2 7" xfId="7990"/>
    <cellStyle name="Currency 2 2 70" xfId="7991"/>
    <cellStyle name="Currency 2 2 71" xfId="7992"/>
    <cellStyle name="Currency 2 2 72" xfId="7993"/>
    <cellStyle name="Currency 2 2 73" xfId="7994"/>
    <cellStyle name="Currency 2 2 74" xfId="7995"/>
    <cellStyle name="Currency 2 2 75" xfId="7996"/>
    <cellStyle name="Currency 2 2 76" xfId="7997"/>
    <cellStyle name="Currency 2 2 77" xfId="7998"/>
    <cellStyle name="Currency 2 2 78" xfId="7999"/>
    <cellStyle name="Currency 2 2 79" xfId="8000"/>
    <cellStyle name="Currency 2 2 8" xfId="8001"/>
    <cellStyle name="Currency 2 2 80" xfId="8002"/>
    <cellStyle name="Currency 2 2 81" xfId="8003"/>
    <cellStyle name="Currency 2 2 82" xfId="8004"/>
    <cellStyle name="Currency 2 2 83" xfId="8005"/>
    <cellStyle name="Currency 2 2 84" xfId="8006"/>
    <cellStyle name="Currency 2 2 85" xfId="8007"/>
    <cellStyle name="Currency 2 2 86" xfId="8008"/>
    <cellStyle name="Currency 2 2 87" xfId="8009"/>
    <cellStyle name="Currency 2 2 88" xfId="8010"/>
    <cellStyle name="Currency 2 2 89" xfId="8011"/>
    <cellStyle name="Currency 2 2 9" xfId="8012"/>
    <cellStyle name="Currency 2 2 90" xfId="8013"/>
    <cellStyle name="Currency 2 2 91" xfId="8014"/>
    <cellStyle name="Currency 2 2 92" xfId="8015"/>
    <cellStyle name="Currency 2 2 93" xfId="8016"/>
    <cellStyle name="Currency 2 2 94" xfId="8017"/>
    <cellStyle name="Currency 2 2 95" xfId="8018"/>
    <cellStyle name="Currency 2 2 96" xfId="8019"/>
    <cellStyle name="Currency 2 2 97" xfId="8020"/>
    <cellStyle name="Currency 2 2 98" xfId="8021"/>
    <cellStyle name="Currency 2 2 99" xfId="8022"/>
    <cellStyle name="Currency 2 3" xfId="8023"/>
    <cellStyle name="Currency 2 3 10" xfId="8024"/>
    <cellStyle name="Currency 2 3 100" xfId="8025"/>
    <cellStyle name="Currency 2 3 101" xfId="8026"/>
    <cellStyle name="Currency 2 3 102" xfId="8027"/>
    <cellStyle name="Currency 2 3 103" xfId="8028"/>
    <cellStyle name="Currency 2 3 104" xfId="8029"/>
    <cellStyle name="Currency 2 3 105" xfId="8030"/>
    <cellStyle name="Currency 2 3 106" xfId="8031"/>
    <cellStyle name="Currency 2 3 107" xfId="8032"/>
    <cellStyle name="Currency 2 3 108" xfId="8033"/>
    <cellStyle name="Currency 2 3 109" xfId="8034"/>
    <cellStyle name="Currency 2 3 11" xfId="8035"/>
    <cellStyle name="Currency 2 3 110" xfId="8036"/>
    <cellStyle name="Currency 2 3 111" xfId="8037"/>
    <cellStyle name="Currency 2 3 112" xfId="8038"/>
    <cellStyle name="Currency 2 3 113" xfId="8039"/>
    <cellStyle name="Currency 2 3 114" xfId="8040"/>
    <cellStyle name="Currency 2 3 115" xfId="8041"/>
    <cellStyle name="Currency 2 3 116" xfId="8042"/>
    <cellStyle name="Currency 2 3 117" xfId="8043"/>
    <cellStyle name="Currency 2 3 118" xfId="8044"/>
    <cellStyle name="Currency 2 3 119" xfId="8045"/>
    <cellStyle name="Currency 2 3 12" xfId="8046"/>
    <cellStyle name="Currency 2 3 120" xfId="8047"/>
    <cellStyle name="Currency 2 3 121" xfId="8048"/>
    <cellStyle name="Currency 2 3 122" xfId="8049"/>
    <cellStyle name="Currency 2 3 123" xfId="8050"/>
    <cellStyle name="Currency 2 3 124" xfId="8051"/>
    <cellStyle name="Currency 2 3 125" xfId="8052"/>
    <cellStyle name="Currency 2 3 126" xfId="8053"/>
    <cellStyle name="Currency 2 3 127" xfId="8054"/>
    <cellStyle name="Currency 2 3 128" xfId="8055"/>
    <cellStyle name="Currency 2 3 129" xfId="8056"/>
    <cellStyle name="Currency 2 3 13" xfId="8057"/>
    <cellStyle name="Currency 2 3 130" xfId="8058"/>
    <cellStyle name="Currency 2 3 131" xfId="8059"/>
    <cellStyle name="Currency 2 3 132" xfId="8060"/>
    <cellStyle name="Currency 2 3 133" xfId="8061"/>
    <cellStyle name="Currency 2 3 134" xfId="8062"/>
    <cellStyle name="Currency 2 3 135" xfId="8063"/>
    <cellStyle name="Currency 2 3 136" xfId="8064"/>
    <cellStyle name="Currency 2 3 137" xfId="8065"/>
    <cellStyle name="Currency 2 3 138" xfId="8066"/>
    <cellStyle name="Currency 2 3 139" xfId="8067"/>
    <cellStyle name="Currency 2 3 14" xfId="8068"/>
    <cellStyle name="Currency 2 3 140" xfId="8069"/>
    <cellStyle name="Currency 2 3 141" xfId="8070"/>
    <cellStyle name="Currency 2 3 142" xfId="8071"/>
    <cellStyle name="Currency 2 3 143" xfId="8072"/>
    <cellStyle name="Currency 2 3 144" xfId="8073"/>
    <cellStyle name="Currency 2 3 145" xfId="8074"/>
    <cellStyle name="Currency 2 3 146" xfId="8075"/>
    <cellStyle name="Currency 2 3 147" xfId="8076"/>
    <cellStyle name="Currency 2 3 148" xfId="8077"/>
    <cellStyle name="Currency 2 3 149" xfId="8078"/>
    <cellStyle name="Currency 2 3 15" xfId="8079"/>
    <cellStyle name="Currency 2 3 150" xfId="8080"/>
    <cellStyle name="Currency 2 3 151" xfId="8081"/>
    <cellStyle name="Currency 2 3 152" xfId="8082"/>
    <cellStyle name="Currency 2 3 153" xfId="8083"/>
    <cellStyle name="Currency 2 3 154" xfId="8084"/>
    <cellStyle name="Currency 2 3 155" xfId="8085"/>
    <cellStyle name="Currency 2 3 156" xfId="8086"/>
    <cellStyle name="Currency 2 3 157" xfId="8087"/>
    <cellStyle name="Currency 2 3 158" xfId="8088"/>
    <cellStyle name="Currency 2 3 159" xfId="8089"/>
    <cellStyle name="Currency 2 3 16" xfId="8090"/>
    <cellStyle name="Currency 2 3 160" xfId="8091"/>
    <cellStyle name="Currency 2 3 161" xfId="8092"/>
    <cellStyle name="Currency 2 3 162" xfId="8093"/>
    <cellStyle name="Currency 2 3 163" xfId="8094"/>
    <cellStyle name="Currency 2 3 164" xfId="8095"/>
    <cellStyle name="Currency 2 3 165" xfId="8096"/>
    <cellStyle name="Currency 2 3 166" xfId="8097"/>
    <cellStyle name="Currency 2 3 167" xfId="8098"/>
    <cellStyle name="Currency 2 3 168" xfId="8099"/>
    <cellStyle name="Currency 2 3 169" xfId="8100"/>
    <cellStyle name="Currency 2 3 17" xfId="8101"/>
    <cellStyle name="Currency 2 3 170" xfId="8102"/>
    <cellStyle name="Currency 2 3 171" xfId="8103"/>
    <cellStyle name="Currency 2 3 172" xfId="8104"/>
    <cellStyle name="Currency 2 3 173" xfId="8105"/>
    <cellStyle name="Currency 2 3 174" xfId="8106"/>
    <cellStyle name="Currency 2 3 175" xfId="8107"/>
    <cellStyle name="Currency 2 3 176" xfId="8108"/>
    <cellStyle name="Currency 2 3 177" xfId="8109"/>
    <cellStyle name="Currency 2 3 178" xfId="8110"/>
    <cellStyle name="Currency 2 3 179" xfId="8111"/>
    <cellStyle name="Currency 2 3 18" xfId="8112"/>
    <cellStyle name="Currency 2 3 180" xfId="8113"/>
    <cellStyle name="Currency 2 3 181" xfId="8114"/>
    <cellStyle name="Currency 2 3 182" xfId="8115"/>
    <cellStyle name="Currency 2 3 183" xfId="8116"/>
    <cellStyle name="Currency 2 3 184" xfId="8117"/>
    <cellStyle name="Currency 2 3 185" xfId="8118"/>
    <cellStyle name="Currency 2 3 186" xfId="8119"/>
    <cellStyle name="Currency 2 3 187" xfId="8120"/>
    <cellStyle name="Currency 2 3 188" xfId="8121"/>
    <cellStyle name="Currency 2 3 189" xfId="8122"/>
    <cellStyle name="Currency 2 3 19" xfId="8123"/>
    <cellStyle name="Currency 2 3 190" xfId="8124"/>
    <cellStyle name="Currency 2 3 191" xfId="8125"/>
    <cellStyle name="Currency 2 3 192" xfId="8126"/>
    <cellStyle name="Currency 2 3 193" xfId="8127"/>
    <cellStyle name="Currency 2 3 194" xfId="8128"/>
    <cellStyle name="Currency 2 3 195" xfId="8129"/>
    <cellStyle name="Currency 2 3 196" xfId="8130"/>
    <cellStyle name="Currency 2 3 197" xfId="8131"/>
    <cellStyle name="Currency 2 3 198" xfId="8132"/>
    <cellStyle name="Currency 2 3 199" xfId="8133"/>
    <cellStyle name="Currency 2 3 2" xfId="8134"/>
    <cellStyle name="Currency 2 3 20" xfId="8135"/>
    <cellStyle name="Currency 2 3 200" xfId="8136"/>
    <cellStyle name="Currency 2 3 201" xfId="8137"/>
    <cellStyle name="Currency 2 3 202" xfId="8138"/>
    <cellStyle name="Currency 2 3 203" xfId="8139"/>
    <cellStyle name="Currency 2 3 204" xfId="8140"/>
    <cellStyle name="Currency 2 3 205" xfId="8141"/>
    <cellStyle name="Currency 2 3 206" xfId="8142"/>
    <cellStyle name="Currency 2 3 207" xfId="8143"/>
    <cellStyle name="Currency 2 3 208" xfId="8144"/>
    <cellStyle name="Currency 2 3 209" xfId="8145"/>
    <cellStyle name="Currency 2 3 21" xfId="8146"/>
    <cellStyle name="Currency 2 3 210" xfId="8147"/>
    <cellStyle name="Currency 2 3 211" xfId="8148"/>
    <cellStyle name="Currency 2 3 212" xfId="8149"/>
    <cellStyle name="Currency 2 3 213" xfId="8150"/>
    <cellStyle name="Currency 2 3 214" xfId="8151"/>
    <cellStyle name="Currency 2 3 215" xfId="8152"/>
    <cellStyle name="Currency 2 3 216" xfId="8153"/>
    <cellStyle name="Currency 2 3 217" xfId="8154"/>
    <cellStyle name="Currency 2 3 218" xfId="8155"/>
    <cellStyle name="Currency 2 3 219" xfId="8156"/>
    <cellStyle name="Currency 2 3 22" xfId="8157"/>
    <cellStyle name="Currency 2 3 220" xfId="8158"/>
    <cellStyle name="Currency 2 3 221" xfId="8159"/>
    <cellStyle name="Currency 2 3 222" xfId="8160"/>
    <cellStyle name="Currency 2 3 223" xfId="8161"/>
    <cellStyle name="Currency 2 3 224" xfId="8162"/>
    <cellStyle name="Currency 2 3 225" xfId="8163"/>
    <cellStyle name="Currency 2 3 226" xfId="8164"/>
    <cellStyle name="Currency 2 3 227" xfId="8165"/>
    <cellStyle name="Currency 2 3 228" xfId="8166"/>
    <cellStyle name="Currency 2 3 229" xfId="8167"/>
    <cellStyle name="Currency 2 3 23" xfId="8168"/>
    <cellStyle name="Currency 2 3 230" xfId="8169"/>
    <cellStyle name="Currency 2 3 231" xfId="8170"/>
    <cellStyle name="Currency 2 3 232" xfId="8171"/>
    <cellStyle name="Currency 2 3 233" xfId="8172"/>
    <cellStyle name="Currency 2 3 234" xfId="8173"/>
    <cellStyle name="Currency 2 3 235" xfId="8174"/>
    <cellStyle name="Currency 2 3 24" xfId="8175"/>
    <cellStyle name="Currency 2 3 25" xfId="8176"/>
    <cellStyle name="Currency 2 3 26" xfId="8177"/>
    <cellStyle name="Currency 2 3 27" xfId="8178"/>
    <cellStyle name="Currency 2 3 28" xfId="8179"/>
    <cellStyle name="Currency 2 3 29" xfId="8180"/>
    <cellStyle name="Currency 2 3 3" xfId="8181"/>
    <cellStyle name="Currency 2 3 30" xfId="8182"/>
    <cellStyle name="Currency 2 3 31" xfId="8183"/>
    <cellStyle name="Currency 2 3 32" xfId="8184"/>
    <cellStyle name="Currency 2 3 33" xfId="8185"/>
    <cellStyle name="Currency 2 3 34" xfId="8186"/>
    <cellStyle name="Currency 2 3 35" xfId="8187"/>
    <cellStyle name="Currency 2 3 36" xfId="8188"/>
    <cellStyle name="Currency 2 3 37" xfId="8189"/>
    <cellStyle name="Currency 2 3 38" xfId="8190"/>
    <cellStyle name="Currency 2 3 39" xfId="8191"/>
    <cellStyle name="Currency 2 3 4" xfId="8192"/>
    <cellStyle name="Currency 2 3 40" xfId="8193"/>
    <cellStyle name="Currency 2 3 41" xfId="8194"/>
    <cellStyle name="Currency 2 3 42" xfId="8195"/>
    <cellStyle name="Currency 2 3 43" xfId="8196"/>
    <cellStyle name="Currency 2 3 44" xfId="8197"/>
    <cellStyle name="Currency 2 3 45" xfId="8198"/>
    <cellStyle name="Currency 2 3 46" xfId="8199"/>
    <cellStyle name="Currency 2 3 47" xfId="8200"/>
    <cellStyle name="Currency 2 3 48" xfId="8201"/>
    <cellStyle name="Currency 2 3 49" xfId="8202"/>
    <cellStyle name="Currency 2 3 5" xfId="8203"/>
    <cellStyle name="Currency 2 3 50" xfId="8204"/>
    <cellStyle name="Currency 2 3 51" xfId="8205"/>
    <cellStyle name="Currency 2 3 52" xfId="8206"/>
    <cellStyle name="Currency 2 3 53" xfId="8207"/>
    <cellStyle name="Currency 2 3 54" xfId="8208"/>
    <cellStyle name="Currency 2 3 55" xfId="8209"/>
    <cellStyle name="Currency 2 3 56" xfId="8210"/>
    <cellStyle name="Currency 2 3 57" xfId="8211"/>
    <cellStyle name="Currency 2 3 58" xfId="8212"/>
    <cellStyle name="Currency 2 3 59" xfId="8213"/>
    <cellStyle name="Currency 2 3 6" xfId="8214"/>
    <cellStyle name="Currency 2 3 60" xfId="8215"/>
    <cellStyle name="Currency 2 3 61" xfId="8216"/>
    <cellStyle name="Currency 2 3 62" xfId="8217"/>
    <cellStyle name="Currency 2 3 63" xfId="8218"/>
    <cellStyle name="Currency 2 3 64" xfId="8219"/>
    <cellStyle name="Currency 2 3 65" xfId="8220"/>
    <cellStyle name="Currency 2 3 66" xfId="8221"/>
    <cellStyle name="Currency 2 3 67" xfId="8222"/>
    <cellStyle name="Currency 2 3 68" xfId="8223"/>
    <cellStyle name="Currency 2 3 69" xfId="8224"/>
    <cellStyle name="Currency 2 3 7" xfId="8225"/>
    <cellStyle name="Currency 2 3 70" xfId="8226"/>
    <cellStyle name="Currency 2 3 71" xfId="8227"/>
    <cellStyle name="Currency 2 3 72" xfId="8228"/>
    <cellStyle name="Currency 2 3 73" xfId="8229"/>
    <cellStyle name="Currency 2 3 74" xfId="8230"/>
    <cellStyle name="Currency 2 3 75" xfId="8231"/>
    <cellStyle name="Currency 2 3 76" xfId="8232"/>
    <cellStyle name="Currency 2 3 77" xfId="8233"/>
    <cellStyle name="Currency 2 3 78" xfId="8234"/>
    <cellStyle name="Currency 2 3 79" xfId="8235"/>
    <cellStyle name="Currency 2 3 8" xfId="8236"/>
    <cellStyle name="Currency 2 3 80" xfId="8237"/>
    <cellStyle name="Currency 2 3 81" xfId="8238"/>
    <cellStyle name="Currency 2 3 82" xfId="8239"/>
    <cellStyle name="Currency 2 3 83" xfId="8240"/>
    <cellStyle name="Currency 2 3 84" xfId="8241"/>
    <cellStyle name="Currency 2 3 85" xfId="8242"/>
    <cellStyle name="Currency 2 3 86" xfId="8243"/>
    <cellStyle name="Currency 2 3 87" xfId="8244"/>
    <cellStyle name="Currency 2 3 88" xfId="8245"/>
    <cellStyle name="Currency 2 3 89" xfId="8246"/>
    <cellStyle name="Currency 2 3 9" xfId="8247"/>
    <cellStyle name="Currency 2 3 90" xfId="8248"/>
    <cellStyle name="Currency 2 3 91" xfId="8249"/>
    <cellStyle name="Currency 2 3 92" xfId="8250"/>
    <cellStyle name="Currency 2 3 93" xfId="8251"/>
    <cellStyle name="Currency 2 3 94" xfId="8252"/>
    <cellStyle name="Currency 2 3 95" xfId="8253"/>
    <cellStyle name="Currency 2 3 96" xfId="8254"/>
    <cellStyle name="Currency 2 3 97" xfId="8255"/>
    <cellStyle name="Currency 2 3 98" xfId="8256"/>
    <cellStyle name="Currency 2 3 99" xfId="8257"/>
    <cellStyle name="Currency 2 4" xfId="8258"/>
    <cellStyle name="Currency 2 4 10" xfId="8259"/>
    <cellStyle name="Currency 2 4 100" xfId="8260"/>
    <cellStyle name="Currency 2 4 101" xfId="8261"/>
    <cellStyle name="Currency 2 4 102" xfId="8262"/>
    <cellStyle name="Currency 2 4 103" xfId="8263"/>
    <cellStyle name="Currency 2 4 104" xfId="8264"/>
    <cellStyle name="Currency 2 4 105" xfId="8265"/>
    <cellStyle name="Currency 2 4 106" xfId="8266"/>
    <cellStyle name="Currency 2 4 107" xfId="8267"/>
    <cellStyle name="Currency 2 4 108" xfId="8268"/>
    <cellStyle name="Currency 2 4 109" xfId="8269"/>
    <cellStyle name="Currency 2 4 11" xfId="8270"/>
    <cellStyle name="Currency 2 4 110" xfId="8271"/>
    <cellStyle name="Currency 2 4 111" xfId="8272"/>
    <cellStyle name="Currency 2 4 112" xfId="8273"/>
    <cellStyle name="Currency 2 4 113" xfId="8274"/>
    <cellStyle name="Currency 2 4 114" xfId="8275"/>
    <cellStyle name="Currency 2 4 115" xfId="8276"/>
    <cellStyle name="Currency 2 4 116" xfId="8277"/>
    <cellStyle name="Currency 2 4 117" xfId="8278"/>
    <cellStyle name="Currency 2 4 118" xfId="8279"/>
    <cellStyle name="Currency 2 4 119" xfId="8280"/>
    <cellStyle name="Currency 2 4 12" xfId="8281"/>
    <cellStyle name="Currency 2 4 120" xfId="8282"/>
    <cellStyle name="Currency 2 4 121" xfId="8283"/>
    <cellStyle name="Currency 2 4 122" xfId="8284"/>
    <cellStyle name="Currency 2 4 123" xfId="8285"/>
    <cellStyle name="Currency 2 4 124" xfId="8286"/>
    <cellStyle name="Currency 2 4 125" xfId="8287"/>
    <cellStyle name="Currency 2 4 126" xfId="8288"/>
    <cellStyle name="Currency 2 4 127" xfId="8289"/>
    <cellStyle name="Currency 2 4 128" xfId="8290"/>
    <cellStyle name="Currency 2 4 129" xfId="8291"/>
    <cellStyle name="Currency 2 4 13" xfId="8292"/>
    <cellStyle name="Currency 2 4 130" xfId="8293"/>
    <cellStyle name="Currency 2 4 131" xfId="8294"/>
    <cellStyle name="Currency 2 4 132" xfId="8295"/>
    <cellStyle name="Currency 2 4 133" xfId="8296"/>
    <cellStyle name="Currency 2 4 134" xfId="8297"/>
    <cellStyle name="Currency 2 4 135" xfId="8298"/>
    <cellStyle name="Currency 2 4 136" xfId="8299"/>
    <cellStyle name="Currency 2 4 137" xfId="8300"/>
    <cellStyle name="Currency 2 4 138" xfId="8301"/>
    <cellStyle name="Currency 2 4 139" xfId="8302"/>
    <cellStyle name="Currency 2 4 14" xfId="8303"/>
    <cellStyle name="Currency 2 4 140" xfId="8304"/>
    <cellStyle name="Currency 2 4 141" xfId="8305"/>
    <cellStyle name="Currency 2 4 142" xfId="8306"/>
    <cellStyle name="Currency 2 4 143" xfId="8307"/>
    <cellStyle name="Currency 2 4 144" xfId="8308"/>
    <cellStyle name="Currency 2 4 145" xfId="8309"/>
    <cellStyle name="Currency 2 4 146" xfId="8310"/>
    <cellStyle name="Currency 2 4 147" xfId="8311"/>
    <cellStyle name="Currency 2 4 148" xfId="8312"/>
    <cellStyle name="Currency 2 4 149" xfId="8313"/>
    <cellStyle name="Currency 2 4 15" xfId="8314"/>
    <cellStyle name="Currency 2 4 150" xfId="8315"/>
    <cellStyle name="Currency 2 4 151" xfId="8316"/>
    <cellStyle name="Currency 2 4 152" xfId="8317"/>
    <cellStyle name="Currency 2 4 153" xfId="8318"/>
    <cellStyle name="Currency 2 4 154" xfId="8319"/>
    <cellStyle name="Currency 2 4 155" xfId="8320"/>
    <cellStyle name="Currency 2 4 156" xfId="8321"/>
    <cellStyle name="Currency 2 4 157" xfId="8322"/>
    <cellStyle name="Currency 2 4 158" xfId="8323"/>
    <cellStyle name="Currency 2 4 159" xfId="8324"/>
    <cellStyle name="Currency 2 4 16" xfId="8325"/>
    <cellStyle name="Currency 2 4 160" xfId="8326"/>
    <cellStyle name="Currency 2 4 161" xfId="8327"/>
    <cellStyle name="Currency 2 4 162" xfId="8328"/>
    <cellStyle name="Currency 2 4 163" xfId="8329"/>
    <cellStyle name="Currency 2 4 164" xfId="8330"/>
    <cellStyle name="Currency 2 4 165" xfId="8331"/>
    <cellStyle name="Currency 2 4 166" xfId="8332"/>
    <cellStyle name="Currency 2 4 167" xfId="8333"/>
    <cellStyle name="Currency 2 4 168" xfId="8334"/>
    <cellStyle name="Currency 2 4 169" xfId="8335"/>
    <cellStyle name="Currency 2 4 17" xfId="8336"/>
    <cellStyle name="Currency 2 4 170" xfId="8337"/>
    <cellStyle name="Currency 2 4 171" xfId="8338"/>
    <cellStyle name="Currency 2 4 172" xfId="8339"/>
    <cellStyle name="Currency 2 4 173" xfId="8340"/>
    <cellStyle name="Currency 2 4 174" xfId="8341"/>
    <cellStyle name="Currency 2 4 175" xfId="8342"/>
    <cellStyle name="Currency 2 4 176" xfId="8343"/>
    <cellStyle name="Currency 2 4 177" xfId="8344"/>
    <cellStyle name="Currency 2 4 178" xfId="8345"/>
    <cellStyle name="Currency 2 4 179" xfId="8346"/>
    <cellStyle name="Currency 2 4 18" xfId="8347"/>
    <cellStyle name="Currency 2 4 180" xfId="8348"/>
    <cellStyle name="Currency 2 4 181" xfId="8349"/>
    <cellStyle name="Currency 2 4 182" xfId="8350"/>
    <cellStyle name="Currency 2 4 183" xfId="8351"/>
    <cellStyle name="Currency 2 4 184" xfId="8352"/>
    <cellStyle name="Currency 2 4 185" xfId="8353"/>
    <cellStyle name="Currency 2 4 186" xfId="8354"/>
    <cellStyle name="Currency 2 4 187" xfId="8355"/>
    <cellStyle name="Currency 2 4 188" xfId="8356"/>
    <cellStyle name="Currency 2 4 189" xfId="8357"/>
    <cellStyle name="Currency 2 4 19" xfId="8358"/>
    <cellStyle name="Currency 2 4 190" xfId="8359"/>
    <cellStyle name="Currency 2 4 191" xfId="8360"/>
    <cellStyle name="Currency 2 4 192" xfId="8361"/>
    <cellStyle name="Currency 2 4 193" xfId="8362"/>
    <cellStyle name="Currency 2 4 194" xfId="8363"/>
    <cellStyle name="Currency 2 4 195" xfId="8364"/>
    <cellStyle name="Currency 2 4 196" xfId="8365"/>
    <cellStyle name="Currency 2 4 197" xfId="8366"/>
    <cellStyle name="Currency 2 4 198" xfId="8367"/>
    <cellStyle name="Currency 2 4 199" xfId="8368"/>
    <cellStyle name="Currency 2 4 2" xfId="8369"/>
    <cellStyle name="Currency 2 4 20" xfId="8370"/>
    <cellStyle name="Currency 2 4 200" xfId="8371"/>
    <cellStyle name="Currency 2 4 201" xfId="8372"/>
    <cellStyle name="Currency 2 4 202" xfId="8373"/>
    <cellStyle name="Currency 2 4 203" xfId="8374"/>
    <cellStyle name="Currency 2 4 204" xfId="8375"/>
    <cellStyle name="Currency 2 4 205" xfId="8376"/>
    <cellStyle name="Currency 2 4 206" xfId="8377"/>
    <cellStyle name="Currency 2 4 207" xfId="8378"/>
    <cellStyle name="Currency 2 4 208" xfId="8379"/>
    <cellStyle name="Currency 2 4 209" xfId="8380"/>
    <cellStyle name="Currency 2 4 21" xfId="8381"/>
    <cellStyle name="Currency 2 4 210" xfId="8382"/>
    <cellStyle name="Currency 2 4 211" xfId="8383"/>
    <cellStyle name="Currency 2 4 212" xfId="8384"/>
    <cellStyle name="Currency 2 4 213" xfId="8385"/>
    <cellStyle name="Currency 2 4 214" xfId="8386"/>
    <cellStyle name="Currency 2 4 215" xfId="8387"/>
    <cellStyle name="Currency 2 4 216" xfId="8388"/>
    <cellStyle name="Currency 2 4 217" xfId="8389"/>
    <cellStyle name="Currency 2 4 218" xfId="8390"/>
    <cellStyle name="Currency 2 4 219" xfId="8391"/>
    <cellStyle name="Currency 2 4 22" xfId="8392"/>
    <cellStyle name="Currency 2 4 220" xfId="8393"/>
    <cellStyle name="Currency 2 4 221" xfId="8394"/>
    <cellStyle name="Currency 2 4 222" xfId="8395"/>
    <cellStyle name="Currency 2 4 223" xfId="8396"/>
    <cellStyle name="Currency 2 4 224" xfId="8397"/>
    <cellStyle name="Currency 2 4 225" xfId="8398"/>
    <cellStyle name="Currency 2 4 226" xfId="8399"/>
    <cellStyle name="Currency 2 4 227" xfId="8400"/>
    <cellStyle name="Currency 2 4 228" xfId="8401"/>
    <cellStyle name="Currency 2 4 229" xfId="8402"/>
    <cellStyle name="Currency 2 4 23" xfId="8403"/>
    <cellStyle name="Currency 2 4 230" xfId="8404"/>
    <cellStyle name="Currency 2 4 231" xfId="8405"/>
    <cellStyle name="Currency 2 4 232" xfId="8406"/>
    <cellStyle name="Currency 2 4 233" xfId="8407"/>
    <cellStyle name="Currency 2 4 234" xfId="8408"/>
    <cellStyle name="Currency 2 4 235" xfId="8409"/>
    <cellStyle name="Currency 2 4 24" xfId="8410"/>
    <cellStyle name="Currency 2 4 25" xfId="8411"/>
    <cellStyle name="Currency 2 4 26" xfId="8412"/>
    <cellStyle name="Currency 2 4 27" xfId="8413"/>
    <cellStyle name="Currency 2 4 28" xfId="8414"/>
    <cellStyle name="Currency 2 4 29" xfId="8415"/>
    <cellStyle name="Currency 2 4 3" xfId="8416"/>
    <cellStyle name="Currency 2 4 30" xfId="8417"/>
    <cellStyle name="Currency 2 4 31" xfId="8418"/>
    <cellStyle name="Currency 2 4 32" xfId="8419"/>
    <cellStyle name="Currency 2 4 33" xfId="8420"/>
    <cellStyle name="Currency 2 4 34" xfId="8421"/>
    <cellStyle name="Currency 2 4 35" xfId="8422"/>
    <cellStyle name="Currency 2 4 36" xfId="8423"/>
    <cellStyle name="Currency 2 4 37" xfId="8424"/>
    <cellStyle name="Currency 2 4 38" xfId="8425"/>
    <cellStyle name="Currency 2 4 39" xfId="8426"/>
    <cellStyle name="Currency 2 4 4" xfId="8427"/>
    <cellStyle name="Currency 2 4 40" xfId="8428"/>
    <cellStyle name="Currency 2 4 41" xfId="8429"/>
    <cellStyle name="Currency 2 4 42" xfId="8430"/>
    <cellStyle name="Currency 2 4 43" xfId="8431"/>
    <cellStyle name="Currency 2 4 44" xfId="8432"/>
    <cellStyle name="Currency 2 4 45" xfId="8433"/>
    <cellStyle name="Currency 2 4 46" xfId="8434"/>
    <cellStyle name="Currency 2 4 47" xfId="8435"/>
    <cellStyle name="Currency 2 4 48" xfId="8436"/>
    <cellStyle name="Currency 2 4 49" xfId="8437"/>
    <cellStyle name="Currency 2 4 5" xfId="8438"/>
    <cellStyle name="Currency 2 4 50" xfId="8439"/>
    <cellStyle name="Currency 2 4 51" xfId="8440"/>
    <cellStyle name="Currency 2 4 52" xfId="8441"/>
    <cellStyle name="Currency 2 4 53" xfId="8442"/>
    <cellStyle name="Currency 2 4 54" xfId="8443"/>
    <cellStyle name="Currency 2 4 55" xfId="8444"/>
    <cellStyle name="Currency 2 4 56" xfId="8445"/>
    <cellStyle name="Currency 2 4 57" xfId="8446"/>
    <cellStyle name="Currency 2 4 58" xfId="8447"/>
    <cellStyle name="Currency 2 4 59" xfId="8448"/>
    <cellStyle name="Currency 2 4 6" xfId="8449"/>
    <cellStyle name="Currency 2 4 60" xfId="8450"/>
    <cellStyle name="Currency 2 4 61" xfId="8451"/>
    <cellStyle name="Currency 2 4 62" xfId="8452"/>
    <cellStyle name="Currency 2 4 63" xfId="8453"/>
    <cellStyle name="Currency 2 4 64" xfId="8454"/>
    <cellStyle name="Currency 2 4 65" xfId="8455"/>
    <cellStyle name="Currency 2 4 66" xfId="8456"/>
    <cellStyle name="Currency 2 4 67" xfId="8457"/>
    <cellStyle name="Currency 2 4 68" xfId="8458"/>
    <cellStyle name="Currency 2 4 69" xfId="8459"/>
    <cellStyle name="Currency 2 4 7" xfId="8460"/>
    <cellStyle name="Currency 2 4 70" xfId="8461"/>
    <cellStyle name="Currency 2 4 71" xfId="8462"/>
    <cellStyle name="Currency 2 4 72" xfId="8463"/>
    <cellStyle name="Currency 2 4 73" xfId="8464"/>
    <cellStyle name="Currency 2 4 74" xfId="8465"/>
    <cellStyle name="Currency 2 4 75" xfId="8466"/>
    <cellStyle name="Currency 2 4 76" xfId="8467"/>
    <cellStyle name="Currency 2 4 77" xfId="8468"/>
    <cellStyle name="Currency 2 4 78" xfId="8469"/>
    <cellStyle name="Currency 2 4 79" xfId="8470"/>
    <cellStyle name="Currency 2 4 8" xfId="8471"/>
    <cellStyle name="Currency 2 4 80" xfId="8472"/>
    <cellStyle name="Currency 2 4 81" xfId="8473"/>
    <cellStyle name="Currency 2 4 82" xfId="8474"/>
    <cellStyle name="Currency 2 4 83" xfId="8475"/>
    <cellStyle name="Currency 2 4 84" xfId="8476"/>
    <cellStyle name="Currency 2 4 85" xfId="8477"/>
    <cellStyle name="Currency 2 4 86" xfId="8478"/>
    <cellStyle name="Currency 2 4 87" xfId="8479"/>
    <cellStyle name="Currency 2 4 88" xfId="8480"/>
    <cellStyle name="Currency 2 4 89" xfId="8481"/>
    <cellStyle name="Currency 2 4 9" xfId="8482"/>
    <cellStyle name="Currency 2 4 90" xfId="8483"/>
    <cellStyle name="Currency 2 4 91" xfId="8484"/>
    <cellStyle name="Currency 2 4 92" xfId="8485"/>
    <cellStyle name="Currency 2 4 93" xfId="8486"/>
    <cellStyle name="Currency 2 4 94" xfId="8487"/>
    <cellStyle name="Currency 2 4 95" xfId="8488"/>
    <cellStyle name="Currency 2 4 96" xfId="8489"/>
    <cellStyle name="Currency 2 4 97" xfId="8490"/>
    <cellStyle name="Currency 2 4 98" xfId="8491"/>
    <cellStyle name="Currency 2 4 99" xfId="8492"/>
    <cellStyle name="Currency 2 5" xfId="8493"/>
    <cellStyle name="Currency 2 5 10" xfId="8494"/>
    <cellStyle name="Currency 2 5 100" xfId="8495"/>
    <cellStyle name="Currency 2 5 101" xfId="8496"/>
    <cellStyle name="Currency 2 5 102" xfId="8497"/>
    <cellStyle name="Currency 2 5 103" xfId="8498"/>
    <cellStyle name="Currency 2 5 104" xfId="8499"/>
    <cellStyle name="Currency 2 5 105" xfId="8500"/>
    <cellStyle name="Currency 2 5 106" xfId="8501"/>
    <cellStyle name="Currency 2 5 107" xfId="8502"/>
    <cellStyle name="Currency 2 5 108" xfId="8503"/>
    <cellStyle name="Currency 2 5 109" xfId="8504"/>
    <cellStyle name="Currency 2 5 11" xfId="8505"/>
    <cellStyle name="Currency 2 5 110" xfId="8506"/>
    <cellStyle name="Currency 2 5 111" xfId="8507"/>
    <cellStyle name="Currency 2 5 112" xfId="8508"/>
    <cellStyle name="Currency 2 5 113" xfId="8509"/>
    <cellStyle name="Currency 2 5 114" xfId="8510"/>
    <cellStyle name="Currency 2 5 115" xfId="8511"/>
    <cellStyle name="Currency 2 5 116" xfId="8512"/>
    <cellStyle name="Currency 2 5 117" xfId="8513"/>
    <cellStyle name="Currency 2 5 118" xfId="8514"/>
    <cellStyle name="Currency 2 5 119" xfId="8515"/>
    <cellStyle name="Currency 2 5 12" xfId="8516"/>
    <cellStyle name="Currency 2 5 120" xfId="8517"/>
    <cellStyle name="Currency 2 5 121" xfId="8518"/>
    <cellStyle name="Currency 2 5 122" xfId="8519"/>
    <cellStyle name="Currency 2 5 123" xfId="8520"/>
    <cellStyle name="Currency 2 5 124" xfId="8521"/>
    <cellStyle name="Currency 2 5 125" xfId="8522"/>
    <cellStyle name="Currency 2 5 126" xfId="8523"/>
    <cellStyle name="Currency 2 5 127" xfId="8524"/>
    <cellStyle name="Currency 2 5 128" xfId="8525"/>
    <cellStyle name="Currency 2 5 129" xfId="8526"/>
    <cellStyle name="Currency 2 5 13" xfId="8527"/>
    <cellStyle name="Currency 2 5 130" xfId="8528"/>
    <cellStyle name="Currency 2 5 131" xfId="8529"/>
    <cellStyle name="Currency 2 5 132" xfId="8530"/>
    <cellStyle name="Currency 2 5 133" xfId="8531"/>
    <cellStyle name="Currency 2 5 134" xfId="8532"/>
    <cellStyle name="Currency 2 5 135" xfId="8533"/>
    <cellStyle name="Currency 2 5 136" xfId="8534"/>
    <cellStyle name="Currency 2 5 137" xfId="8535"/>
    <cellStyle name="Currency 2 5 138" xfId="8536"/>
    <cellStyle name="Currency 2 5 139" xfId="8537"/>
    <cellStyle name="Currency 2 5 14" xfId="8538"/>
    <cellStyle name="Currency 2 5 140" xfId="8539"/>
    <cellStyle name="Currency 2 5 141" xfId="8540"/>
    <cellStyle name="Currency 2 5 142" xfId="8541"/>
    <cellStyle name="Currency 2 5 143" xfId="8542"/>
    <cellStyle name="Currency 2 5 144" xfId="8543"/>
    <cellStyle name="Currency 2 5 145" xfId="8544"/>
    <cellStyle name="Currency 2 5 146" xfId="8545"/>
    <cellStyle name="Currency 2 5 147" xfId="8546"/>
    <cellStyle name="Currency 2 5 148" xfId="8547"/>
    <cellStyle name="Currency 2 5 149" xfId="8548"/>
    <cellStyle name="Currency 2 5 15" xfId="8549"/>
    <cellStyle name="Currency 2 5 150" xfId="8550"/>
    <cellStyle name="Currency 2 5 151" xfId="8551"/>
    <cellStyle name="Currency 2 5 152" xfId="8552"/>
    <cellStyle name="Currency 2 5 153" xfId="8553"/>
    <cellStyle name="Currency 2 5 154" xfId="8554"/>
    <cellStyle name="Currency 2 5 155" xfId="8555"/>
    <cellStyle name="Currency 2 5 156" xfId="8556"/>
    <cellStyle name="Currency 2 5 157" xfId="8557"/>
    <cellStyle name="Currency 2 5 158" xfId="8558"/>
    <cellStyle name="Currency 2 5 159" xfId="8559"/>
    <cellStyle name="Currency 2 5 16" xfId="8560"/>
    <cellStyle name="Currency 2 5 160" xfId="8561"/>
    <cellStyle name="Currency 2 5 161" xfId="8562"/>
    <cellStyle name="Currency 2 5 162" xfId="8563"/>
    <cellStyle name="Currency 2 5 163" xfId="8564"/>
    <cellStyle name="Currency 2 5 164" xfId="8565"/>
    <cellStyle name="Currency 2 5 165" xfId="8566"/>
    <cellStyle name="Currency 2 5 166" xfId="8567"/>
    <cellStyle name="Currency 2 5 167" xfId="8568"/>
    <cellStyle name="Currency 2 5 168" xfId="8569"/>
    <cellStyle name="Currency 2 5 169" xfId="8570"/>
    <cellStyle name="Currency 2 5 17" xfId="8571"/>
    <cellStyle name="Currency 2 5 170" xfId="8572"/>
    <cellStyle name="Currency 2 5 171" xfId="8573"/>
    <cellStyle name="Currency 2 5 172" xfId="8574"/>
    <cellStyle name="Currency 2 5 173" xfId="8575"/>
    <cellStyle name="Currency 2 5 174" xfId="8576"/>
    <cellStyle name="Currency 2 5 175" xfId="8577"/>
    <cellStyle name="Currency 2 5 176" xfId="8578"/>
    <cellStyle name="Currency 2 5 177" xfId="8579"/>
    <cellStyle name="Currency 2 5 178" xfId="8580"/>
    <cellStyle name="Currency 2 5 179" xfId="8581"/>
    <cellStyle name="Currency 2 5 18" xfId="8582"/>
    <cellStyle name="Currency 2 5 180" xfId="8583"/>
    <cellStyle name="Currency 2 5 181" xfId="8584"/>
    <cellStyle name="Currency 2 5 182" xfId="8585"/>
    <cellStyle name="Currency 2 5 183" xfId="8586"/>
    <cellStyle name="Currency 2 5 184" xfId="8587"/>
    <cellStyle name="Currency 2 5 185" xfId="8588"/>
    <cellStyle name="Currency 2 5 186" xfId="8589"/>
    <cellStyle name="Currency 2 5 187" xfId="8590"/>
    <cellStyle name="Currency 2 5 188" xfId="8591"/>
    <cellStyle name="Currency 2 5 189" xfId="8592"/>
    <cellStyle name="Currency 2 5 19" xfId="8593"/>
    <cellStyle name="Currency 2 5 190" xfId="8594"/>
    <cellStyle name="Currency 2 5 191" xfId="8595"/>
    <cellStyle name="Currency 2 5 192" xfId="8596"/>
    <cellStyle name="Currency 2 5 193" xfId="8597"/>
    <cellStyle name="Currency 2 5 194" xfId="8598"/>
    <cellStyle name="Currency 2 5 195" xfId="8599"/>
    <cellStyle name="Currency 2 5 196" xfId="8600"/>
    <cellStyle name="Currency 2 5 197" xfId="8601"/>
    <cellStyle name="Currency 2 5 198" xfId="8602"/>
    <cellStyle name="Currency 2 5 199" xfId="8603"/>
    <cellStyle name="Currency 2 5 2" xfId="8604"/>
    <cellStyle name="Currency 2 5 20" xfId="8605"/>
    <cellStyle name="Currency 2 5 200" xfId="8606"/>
    <cellStyle name="Currency 2 5 201" xfId="8607"/>
    <cellStyle name="Currency 2 5 202" xfId="8608"/>
    <cellStyle name="Currency 2 5 203" xfId="8609"/>
    <cellStyle name="Currency 2 5 204" xfId="8610"/>
    <cellStyle name="Currency 2 5 205" xfId="8611"/>
    <cellStyle name="Currency 2 5 206" xfId="8612"/>
    <cellStyle name="Currency 2 5 207" xfId="8613"/>
    <cellStyle name="Currency 2 5 208" xfId="8614"/>
    <cellStyle name="Currency 2 5 209" xfId="8615"/>
    <cellStyle name="Currency 2 5 21" xfId="8616"/>
    <cellStyle name="Currency 2 5 210" xfId="8617"/>
    <cellStyle name="Currency 2 5 211" xfId="8618"/>
    <cellStyle name="Currency 2 5 212" xfId="8619"/>
    <cellStyle name="Currency 2 5 213" xfId="8620"/>
    <cellStyle name="Currency 2 5 214" xfId="8621"/>
    <cellStyle name="Currency 2 5 215" xfId="8622"/>
    <cellStyle name="Currency 2 5 216" xfId="8623"/>
    <cellStyle name="Currency 2 5 217" xfId="8624"/>
    <cellStyle name="Currency 2 5 218" xfId="8625"/>
    <cellStyle name="Currency 2 5 219" xfId="8626"/>
    <cellStyle name="Currency 2 5 22" xfId="8627"/>
    <cellStyle name="Currency 2 5 220" xfId="8628"/>
    <cellStyle name="Currency 2 5 221" xfId="8629"/>
    <cellStyle name="Currency 2 5 222" xfId="8630"/>
    <cellStyle name="Currency 2 5 223" xfId="8631"/>
    <cellStyle name="Currency 2 5 224" xfId="8632"/>
    <cellStyle name="Currency 2 5 225" xfId="8633"/>
    <cellStyle name="Currency 2 5 226" xfId="8634"/>
    <cellStyle name="Currency 2 5 227" xfId="8635"/>
    <cellStyle name="Currency 2 5 228" xfId="8636"/>
    <cellStyle name="Currency 2 5 229" xfId="8637"/>
    <cellStyle name="Currency 2 5 23" xfId="8638"/>
    <cellStyle name="Currency 2 5 230" xfId="8639"/>
    <cellStyle name="Currency 2 5 231" xfId="8640"/>
    <cellStyle name="Currency 2 5 232" xfId="8641"/>
    <cellStyle name="Currency 2 5 233" xfId="8642"/>
    <cellStyle name="Currency 2 5 234" xfId="8643"/>
    <cellStyle name="Currency 2 5 235" xfId="8644"/>
    <cellStyle name="Currency 2 5 24" xfId="8645"/>
    <cellStyle name="Currency 2 5 25" xfId="8646"/>
    <cellStyle name="Currency 2 5 26" xfId="8647"/>
    <cellStyle name="Currency 2 5 27" xfId="8648"/>
    <cellStyle name="Currency 2 5 28" xfId="8649"/>
    <cellStyle name="Currency 2 5 29" xfId="8650"/>
    <cellStyle name="Currency 2 5 3" xfId="8651"/>
    <cellStyle name="Currency 2 5 30" xfId="8652"/>
    <cellStyle name="Currency 2 5 31" xfId="8653"/>
    <cellStyle name="Currency 2 5 32" xfId="8654"/>
    <cellStyle name="Currency 2 5 33" xfId="8655"/>
    <cellStyle name="Currency 2 5 34" xfId="8656"/>
    <cellStyle name="Currency 2 5 35" xfId="8657"/>
    <cellStyle name="Currency 2 5 36" xfId="8658"/>
    <cellStyle name="Currency 2 5 37" xfId="8659"/>
    <cellStyle name="Currency 2 5 38" xfId="8660"/>
    <cellStyle name="Currency 2 5 39" xfId="8661"/>
    <cellStyle name="Currency 2 5 4" xfId="8662"/>
    <cellStyle name="Currency 2 5 40" xfId="8663"/>
    <cellStyle name="Currency 2 5 41" xfId="8664"/>
    <cellStyle name="Currency 2 5 42" xfId="8665"/>
    <cellStyle name="Currency 2 5 43" xfId="8666"/>
    <cellStyle name="Currency 2 5 44" xfId="8667"/>
    <cellStyle name="Currency 2 5 45" xfId="8668"/>
    <cellStyle name="Currency 2 5 46" xfId="8669"/>
    <cellStyle name="Currency 2 5 47" xfId="8670"/>
    <cellStyle name="Currency 2 5 48" xfId="8671"/>
    <cellStyle name="Currency 2 5 49" xfId="8672"/>
    <cellStyle name="Currency 2 5 5" xfId="8673"/>
    <cellStyle name="Currency 2 5 50" xfId="8674"/>
    <cellStyle name="Currency 2 5 51" xfId="8675"/>
    <cellStyle name="Currency 2 5 52" xfId="8676"/>
    <cellStyle name="Currency 2 5 53" xfId="8677"/>
    <cellStyle name="Currency 2 5 54" xfId="8678"/>
    <cellStyle name="Currency 2 5 55" xfId="8679"/>
    <cellStyle name="Currency 2 5 56" xfId="8680"/>
    <cellStyle name="Currency 2 5 57" xfId="8681"/>
    <cellStyle name="Currency 2 5 58" xfId="8682"/>
    <cellStyle name="Currency 2 5 59" xfId="8683"/>
    <cellStyle name="Currency 2 5 6" xfId="8684"/>
    <cellStyle name="Currency 2 5 60" xfId="8685"/>
    <cellStyle name="Currency 2 5 61" xfId="8686"/>
    <cellStyle name="Currency 2 5 62" xfId="8687"/>
    <cellStyle name="Currency 2 5 63" xfId="8688"/>
    <cellStyle name="Currency 2 5 64" xfId="8689"/>
    <cellStyle name="Currency 2 5 65" xfId="8690"/>
    <cellStyle name="Currency 2 5 66" xfId="8691"/>
    <cellStyle name="Currency 2 5 67" xfId="8692"/>
    <cellStyle name="Currency 2 5 68" xfId="8693"/>
    <cellStyle name="Currency 2 5 69" xfId="8694"/>
    <cellStyle name="Currency 2 5 7" xfId="8695"/>
    <cellStyle name="Currency 2 5 70" xfId="8696"/>
    <cellStyle name="Currency 2 5 71" xfId="8697"/>
    <cellStyle name="Currency 2 5 72" xfId="8698"/>
    <cellStyle name="Currency 2 5 73" xfId="8699"/>
    <cellStyle name="Currency 2 5 74" xfId="8700"/>
    <cellStyle name="Currency 2 5 75" xfId="8701"/>
    <cellStyle name="Currency 2 5 76" xfId="8702"/>
    <cellStyle name="Currency 2 5 77" xfId="8703"/>
    <cellStyle name="Currency 2 5 78" xfId="8704"/>
    <cellStyle name="Currency 2 5 79" xfId="8705"/>
    <cellStyle name="Currency 2 5 8" xfId="8706"/>
    <cellStyle name="Currency 2 5 80" xfId="8707"/>
    <cellStyle name="Currency 2 5 81" xfId="8708"/>
    <cellStyle name="Currency 2 5 82" xfId="8709"/>
    <cellStyle name="Currency 2 5 83" xfId="8710"/>
    <cellStyle name="Currency 2 5 84" xfId="8711"/>
    <cellStyle name="Currency 2 5 85" xfId="8712"/>
    <cellStyle name="Currency 2 5 86" xfId="8713"/>
    <cellStyle name="Currency 2 5 87" xfId="8714"/>
    <cellStyle name="Currency 2 5 88" xfId="8715"/>
    <cellStyle name="Currency 2 5 89" xfId="8716"/>
    <cellStyle name="Currency 2 5 9" xfId="8717"/>
    <cellStyle name="Currency 2 5 90" xfId="8718"/>
    <cellStyle name="Currency 2 5 91" xfId="8719"/>
    <cellStyle name="Currency 2 5 92" xfId="8720"/>
    <cellStyle name="Currency 2 5 93" xfId="8721"/>
    <cellStyle name="Currency 2 5 94" xfId="8722"/>
    <cellStyle name="Currency 2 5 95" xfId="8723"/>
    <cellStyle name="Currency 2 5 96" xfId="8724"/>
    <cellStyle name="Currency 2 5 97" xfId="8725"/>
    <cellStyle name="Currency 2 5 98" xfId="8726"/>
    <cellStyle name="Currency 2 5 99" xfId="8727"/>
    <cellStyle name="Currency 2 6" xfId="8728"/>
    <cellStyle name="Currency 2 6 10" xfId="8729"/>
    <cellStyle name="Currency 2 6 100" xfId="8730"/>
    <cellStyle name="Currency 2 6 101" xfId="8731"/>
    <cellStyle name="Currency 2 6 102" xfId="8732"/>
    <cellStyle name="Currency 2 6 103" xfId="8733"/>
    <cellStyle name="Currency 2 6 104" xfId="8734"/>
    <cellStyle name="Currency 2 6 105" xfId="8735"/>
    <cellStyle name="Currency 2 6 106" xfId="8736"/>
    <cellStyle name="Currency 2 6 107" xfId="8737"/>
    <cellStyle name="Currency 2 6 108" xfId="8738"/>
    <cellStyle name="Currency 2 6 109" xfId="8739"/>
    <cellStyle name="Currency 2 6 11" xfId="8740"/>
    <cellStyle name="Currency 2 6 110" xfId="8741"/>
    <cellStyle name="Currency 2 6 111" xfId="8742"/>
    <cellStyle name="Currency 2 6 112" xfId="8743"/>
    <cellStyle name="Currency 2 6 113" xfId="8744"/>
    <cellStyle name="Currency 2 6 114" xfId="8745"/>
    <cellStyle name="Currency 2 6 115" xfId="8746"/>
    <cellStyle name="Currency 2 6 116" xfId="8747"/>
    <cellStyle name="Currency 2 6 117" xfId="8748"/>
    <cellStyle name="Currency 2 6 118" xfId="8749"/>
    <cellStyle name="Currency 2 6 119" xfId="8750"/>
    <cellStyle name="Currency 2 6 12" xfId="8751"/>
    <cellStyle name="Currency 2 6 120" xfId="8752"/>
    <cellStyle name="Currency 2 6 121" xfId="8753"/>
    <cellStyle name="Currency 2 6 122" xfId="8754"/>
    <cellStyle name="Currency 2 6 123" xfId="8755"/>
    <cellStyle name="Currency 2 6 124" xfId="8756"/>
    <cellStyle name="Currency 2 6 125" xfId="8757"/>
    <cellStyle name="Currency 2 6 126" xfId="8758"/>
    <cellStyle name="Currency 2 6 127" xfId="8759"/>
    <cellStyle name="Currency 2 6 128" xfId="8760"/>
    <cellStyle name="Currency 2 6 129" xfId="8761"/>
    <cellStyle name="Currency 2 6 13" xfId="8762"/>
    <cellStyle name="Currency 2 6 130" xfId="8763"/>
    <cellStyle name="Currency 2 6 131" xfId="8764"/>
    <cellStyle name="Currency 2 6 132" xfId="8765"/>
    <cellStyle name="Currency 2 6 133" xfId="8766"/>
    <cellStyle name="Currency 2 6 134" xfId="8767"/>
    <cellStyle name="Currency 2 6 135" xfId="8768"/>
    <cellStyle name="Currency 2 6 136" xfId="8769"/>
    <cellStyle name="Currency 2 6 137" xfId="8770"/>
    <cellStyle name="Currency 2 6 138" xfId="8771"/>
    <cellStyle name="Currency 2 6 139" xfId="8772"/>
    <cellStyle name="Currency 2 6 14" xfId="8773"/>
    <cellStyle name="Currency 2 6 140" xfId="8774"/>
    <cellStyle name="Currency 2 6 141" xfId="8775"/>
    <cellStyle name="Currency 2 6 142" xfId="8776"/>
    <cellStyle name="Currency 2 6 143" xfId="8777"/>
    <cellStyle name="Currency 2 6 144" xfId="8778"/>
    <cellStyle name="Currency 2 6 145" xfId="8779"/>
    <cellStyle name="Currency 2 6 146" xfId="8780"/>
    <cellStyle name="Currency 2 6 147" xfId="8781"/>
    <cellStyle name="Currency 2 6 148" xfId="8782"/>
    <cellStyle name="Currency 2 6 149" xfId="8783"/>
    <cellStyle name="Currency 2 6 15" xfId="8784"/>
    <cellStyle name="Currency 2 6 150" xfId="8785"/>
    <cellStyle name="Currency 2 6 151" xfId="8786"/>
    <cellStyle name="Currency 2 6 152" xfId="8787"/>
    <cellStyle name="Currency 2 6 153" xfId="8788"/>
    <cellStyle name="Currency 2 6 154" xfId="8789"/>
    <cellStyle name="Currency 2 6 155" xfId="8790"/>
    <cellStyle name="Currency 2 6 156" xfId="8791"/>
    <cellStyle name="Currency 2 6 157" xfId="8792"/>
    <cellStyle name="Currency 2 6 158" xfId="8793"/>
    <cellStyle name="Currency 2 6 159" xfId="8794"/>
    <cellStyle name="Currency 2 6 16" xfId="8795"/>
    <cellStyle name="Currency 2 6 160" xfId="8796"/>
    <cellStyle name="Currency 2 6 161" xfId="8797"/>
    <cellStyle name="Currency 2 6 162" xfId="8798"/>
    <cellStyle name="Currency 2 6 163" xfId="8799"/>
    <cellStyle name="Currency 2 6 164" xfId="8800"/>
    <cellStyle name="Currency 2 6 165" xfId="8801"/>
    <cellStyle name="Currency 2 6 166" xfId="8802"/>
    <cellStyle name="Currency 2 6 167" xfId="8803"/>
    <cellStyle name="Currency 2 6 168" xfId="8804"/>
    <cellStyle name="Currency 2 6 169" xfId="8805"/>
    <cellStyle name="Currency 2 6 17" xfId="8806"/>
    <cellStyle name="Currency 2 6 170" xfId="8807"/>
    <cellStyle name="Currency 2 6 171" xfId="8808"/>
    <cellStyle name="Currency 2 6 172" xfId="8809"/>
    <cellStyle name="Currency 2 6 173" xfId="8810"/>
    <cellStyle name="Currency 2 6 174" xfId="8811"/>
    <cellStyle name="Currency 2 6 175" xfId="8812"/>
    <cellStyle name="Currency 2 6 176" xfId="8813"/>
    <cellStyle name="Currency 2 6 177" xfId="8814"/>
    <cellStyle name="Currency 2 6 178" xfId="8815"/>
    <cellStyle name="Currency 2 6 179" xfId="8816"/>
    <cellStyle name="Currency 2 6 18" xfId="8817"/>
    <cellStyle name="Currency 2 6 180" xfId="8818"/>
    <cellStyle name="Currency 2 6 181" xfId="8819"/>
    <cellStyle name="Currency 2 6 182" xfId="8820"/>
    <cellStyle name="Currency 2 6 183" xfId="8821"/>
    <cellStyle name="Currency 2 6 184" xfId="8822"/>
    <cellStyle name="Currency 2 6 185" xfId="8823"/>
    <cellStyle name="Currency 2 6 186" xfId="8824"/>
    <cellStyle name="Currency 2 6 187" xfId="8825"/>
    <cellStyle name="Currency 2 6 188" xfId="8826"/>
    <cellStyle name="Currency 2 6 189" xfId="8827"/>
    <cellStyle name="Currency 2 6 19" xfId="8828"/>
    <cellStyle name="Currency 2 6 190" xfId="8829"/>
    <cellStyle name="Currency 2 6 191" xfId="8830"/>
    <cellStyle name="Currency 2 6 192" xfId="8831"/>
    <cellStyle name="Currency 2 6 193" xfId="8832"/>
    <cellStyle name="Currency 2 6 194" xfId="8833"/>
    <cellStyle name="Currency 2 6 195" xfId="8834"/>
    <cellStyle name="Currency 2 6 196" xfId="8835"/>
    <cellStyle name="Currency 2 6 197" xfId="8836"/>
    <cellStyle name="Currency 2 6 198" xfId="8837"/>
    <cellStyle name="Currency 2 6 199" xfId="8838"/>
    <cellStyle name="Currency 2 6 2" xfId="8839"/>
    <cellStyle name="Currency 2 6 20" xfId="8840"/>
    <cellStyle name="Currency 2 6 200" xfId="8841"/>
    <cellStyle name="Currency 2 6 201" xfId="8842"/>
    <cellStyle name="Currency 2 6 202" xfId="8843"/>
    <cellStyle name="Currency 2 6 203" xfId="8844"/>
    <cellStyle name="Currency 2 6 204" xfId="8845"/>
    <cellStyle name="Currency 2 6 205" xfId="8846"/>
    <cellStyle name="Currency 2 6 206" xfId="8847"/>
    <cellStyle name="Currency 2 6 207" xfId="8848"/>
    <cellStyle name="Currency 2 6 208" xfId="8849"/>
    <cellStyle name="Currency 2 6 209" xfId="8850"/>
    <cellStyle name="Currency 2 6 21" xfId="8851"/>
    <cellStyle name="Currency 2 6 210" xfId="8852"/>
    <cellStyle name="Currency 2 6 211" xfId="8853"/>
    <cellStyle name="Currency 2 6 212" xfId="8854"/>
    <cellStyle name="Currency 2 6 213" xfId="8855"/>
    <cellStyle name="Currency 2 6 214" xfId="8856"/>
    <cellStyle name="Currency 2 6 215" xfId="8857"/>
    <cellStyle name="Currency 2 6 216" xfId="8858"/>
    <cellStyle name="Currency 2 6 217" xfId="8859"/>
    <cellStyle name="Currency 2 6 218" xfId="8860"/>
    <cellStyle name="Currency 2 6 219" xfId="8861"/>
    <cellStyle name="Currency 2 6 22" xfId="8862"/>
    <cellStyle name="Currency 2 6 220" xfId="8863"/>
    <cellStyle name="Currency 2 6 221" xfId="8864"/>
    <cellStyle name="Currency 2 6 222" xfId="8865"/>
    <cellStyle name="Currency 2 6 223" xfId="8866"/>
    <cellStyle name="Currency 2 6 224" xfId="8867"/>
    <cellStyle name="Currency 2 6 225" xfId="8868"/>
    <cellStyle name="Currency 2 6 226" xfId="8869"/>
    <cellStyle name="Currency 2 6 227" xfId="8870"/>
    <cellStyle name="Currency 2 6 228" xfId="8871"/>
    <cellStyle name="Currency 2 6 229" xfId="8872"/>
    <cellStyle name="Currency 2 6 23" xfId="8873"/>
    <cellStyle name="Currency 2 6 230" xfId="8874"/>
    <cellStyle name="Currency 2 6 231" xfId="8875"/>
    <cellStyle name="Currency 2 6 232" xfId="8876"/>
    <cellStyle name="Currency 2 6 233" xfId="8877"/>
    <cellStyle name="Currency 2 6 234" xfId="8878"/>
    <cellStyle name="Currency 2 6 235" xfId="8879"/>
    <cellStyle name="Currency 2 6 24" xfId="8880"/>
    <cellStyle name="Currency 2 6 25" xfId="8881"/>
    <cellStyle name="Currency 2 6 26" xfId="8882"/>
    <cellStyle name="Currency 2 6 27" xfId="8883"/>
    <cellStyle name="Currency 2 6 28" xfId="8884"/>
    <cellStyle name="Currency 2 6 29" xfId="8885"/>
    <cellStyle name="Currency 2 6 3" xfId="8886"/>
    <cellStyle name="Currency 2 6 30" xfId="8887"/>
    <cellStyle name="Currency 2 6 31" xfId="8888"/>
    <cellStyle name="Currency 2 6 32" xfId="8889"/>
    <cellStyle name="Currency 2 6 33" xfId="8890"/>
    <cellStyle name="Currency 2 6 34" xfId="8891"/>
    <cellStyle name="Currency 2 6 35" xfId="8892"/>
    <cellStyle name="Currency 2 6 36" xfId="8893"/>
    <cellStyle name="Currency 2 6 37" xfId="8894"/>
    <cellStyle name="Currency 2 6 38" xfId="8895"/>
    <cellStyle name="Currency 2 6 39" xfId="8896"/>
    <cellStyle name="Currency 2 6 4" xfId="8897"/>
    <cellStyle name="Currency 2 6 40" xfId="8898"/>
    <cellStyle name="Currency 2 6 41" xfId="8899"/>
    <cellStyle name="Currency 2 6 42" xfId="8900"/>
    <cellStyle name="Currency 2 6 43" xfId="8901"/>
    <cellStyle name="Currency 2 6 44" xfId="8902"/>
    <cellStyle name="Currency 2 6 45" xfId="8903"/>
    <cellStyle name="Currency 2 6 46" xfId="8904"/>
    <cellStyle name="Currency 2 6 47" xfId="8905"/>
    <cellStyle name="Currency 2 6 48" xfId="8906"/>
    <cellStyle name="Currency 2 6 49" xfId="8907"/>
    <cellStyle name="Currency 2 6 5" xfId="8908"/>
    <cellStyle name="Currency 2 6 50" xfId="8909"/>
    <cellStyle name="Currency 2 6 51" xfId="8910"/>
    <cellStyle name="Currency 2 6 52" xfId="8911"/>
    <cellStyle name="Currency 2 6 53" xfId="8912"/>
    <cellStyle name="Currency 2 6 54" xfId="8913"/>
    <cellStyle name="Currency 2 6 55" xfId="8914"/>
    <cellStyle name="Currency 2 6 56" xfId="8915"/>
    <cellStyle name="Currency 2 6 57" xfId="8916"/>
    <cellStyle name="Currency 2 6 58" xfId="8917"/>
    <cellStyle name="Currency 2 6 59" xfId="8918"/>
    <cellStyle name="Currency 2 6 6" xfId="8919"/>
    <cellStyle name="Currency 2 6 60" xfId="8920"/>
    <cellStyle name="Currency 2 6 61" xfId="8921"/>
    <cellStyle name="Currency 2 6 62" xfId="8922"/>
    <cellStyle name="Currency 2 6 63" xfId="8923"/>
    <cellStyle name="Currency 2 6 64" xfId="8924"/>
    <cellStyle name="Currency 2 6 65" xfId="8925"/>
    <cellStyle name="Currency 2 6 66" xfId="8926"/>
    <cellStyle name="Currency 2 6 67" xfId="8927"/>
    <cellStyle name="Currency 2 6 68" xfId="8928"/>
    <cellStyle name="Currency 2 6 69" xfId="8929"/>
    <cellStyle name="Currency 2 6 7" xfId="8930"/>
    <cellStyle name="Currency 2 6 70" xfId="8931"/>
    <cellStyle name="Currency 2 6 71" xfId="8932"/>
    <cellStyle name="Currency 2 6 72" xfId="8933"/>
    <cellStyle name="Currency 2 6 73" xfId="8934"/>
    <cellStyle name="Currency 2 6 74" xfId="8935"/>
    <cellStyle name="Currency 2 6 75" xfId="8936"/>
    <cellStyle name="Currency 2 6 76" xfId="8937"/>
    <cellStyle name="Currency 2 6 77" xfId="8938"/>
    <cellStyle name="Currency 2 6 78" xfId="8939"/>
    <cellStyle name="Currency 2 6 79" xfId="8940"/>
    <cellStyle name="Currency 2 6 8" xfId="8941"/>
    <cellStyle name="Currency 2 6 80" xfId="8942"/>
    <cellStyle name="Currency 2 6 81" xfId="8943"/>
    <cellStyle name="Currency 2 6 82" xfId="8944"/>
    <cellStyle name="Currency 2 6 83" xfId="8945"/>
    <cellStyle name="Currency 2 6 84" xfId="8946"/>
    <cellStyle name="Currency 2 6 85" xfId="8947"/>
    <cellStyle name="Currency 2 6 86" xfId="8948"/>
    <cellStyle name="Currency 2 6 87" xfId="8949"/>
    <cellStyle name="Currency 2 6 88" xfId="8950"/>
    <cellStyle name="Currency 2 6 89" xfId="8951"/>
    <cellStyle name="Currency 2 6 9" xfId="8952"/>
    <cellStyle name="Currency 2 6 90" xfId="8953"/>
    <cellStyle name="Currency 2 6 91" xfId="8954"/>
    <cellStyle name="Currency 2 6 92" xfId="8955"/>
    <cellStyle name="Currency 2 6 93" xfId="8956"/>
    <cellStyle name="Currency 2 6 94" xfId="8957"/>
    <cellStyle name="Currency 2 6 95" xfId="8958"/>
    <cellStyle name="Currency 2 6 96" xfId="8959"/>
    <cellStyle name="Currency 2 6 97" xfId="8960"/>
    <cellStyle name="Currency 2 6 98" xfId="8961"/>
    <cellStyle name="Currency 2 6 99" xfId="8962"/>
    <cellStyle name="Explanatory Text" xfId="8963" builtinId="53" customBuiltin="1"/>
    <cellStyle name="Explanatory Text 10" xfId="8964"/>
    <cellStyle name="Explanatory Text 10 2" xfId="8965"/>
    <cellStyle name="Explanatory Text 10 3" xfId="8966"/>
    <cellStyle name="Explanatory Text 10 4" xfId="8967"/>
    <cellStyle name="Explanatory Text 100" xfId="8968"/>
    <cellStyle name="Explanatory Text 101" xfId="8969"/>
    <cellStyle name="Explanatory Text 102" xfId="8970"/>
    <cellStyle name="Explanatory Text 103" xfId="8971"/>
    <cellStyle name="Explanatory Text 104" xfId="8972"/>
    <cellStyle name="Explanatory Text 105" xfId="8973"/>
    <cellStyle name="Explanatory Text 106" xfId="8974"/>
    <cellStyle name="Explanatory Text 107" xfId="8975"/>
    <cellStyle name="Explanatory Text 108" xfId="8976"/>
    <cellStyle name="Explanatory Text 109" xfId="8977"/>
    <cellStyle name="Explanatory Text 11" xfId="8978"/>
    <cellStyle name="Explanatory Text 11 2" xfId="8979"/>
    <cellStyle name="Explanatory Text 110" xfId="8980"/>
    <cellStyle name="Explanatory Text 111" xfId="8981"/>
    <cellStyle name="Explanatory Text 112" xfId="8982"/>
    <cellStyle name="Explanatory Text 113" xfId="8983"/>
    <cellStyle name="Explanatory Text 114" xfId="8984"/>
    <cellStyle name="Explanatory Text 115" xfId="8985"/>
    <cellStyle name="Explanatory Text 116" xfId="8986"/>
    <cellStyle name="Explanatory Text 117" xfId="8987"/>
    <cellStyle name="Explanatory Text 118" xfId="8988"/>
    <cellStyle name="Explanatory Text 119" xfId="8989"/>
    <cellStyle name="Explanatory Text 12" xfId="8990"/>
    <cellStyle name="Explanatory Text 12 2" xfId="8991"/>
    <cellStyle name="Explanatory Text 120" xfId="8992"/>
    <cellStyle name="Explanatory Text 121" xfId="8993"/>
    <cellStyle name="Explanatory Text 122" xfId="8994"/>
    <cellStyle name="Explanatory Text 123" xfId="8995"/>
    <cellStyle name="Explanatory Text 124" xfId="8996"/>
    <cellStyle name="Explanatory Text 125" xfId="8997"/>
    <cellStyle name="Explanatory Text 126" xfId="8998"/>
    <cellStyle name="Explanatory Text 127" xfId="8999"/>
    <cellStyle name="Explanatory Text 128" xfId="9000"/>
    <cellStyle name="Explanatory Text 129" xfId="9001"/>
    <cellStyle name="Explanatory Text 13" xfId="9002"/>
    <cellStyle name="Explanatory Text 130" xfId="9003"/>
    <cellStyle name="Explanatory Text 131" xfId="9004"/>
    <cellStyle name="Explanatory Text 132" xfId="9005"/>
    <cellStyle name="Explanatory Text 133" xfId="9006"/>
    <cellStyle name="Explanatory Text 134" xfId="9007"/>
    <cellStyle name="Explanatory Text 135" xfId="9008"/>
    <cellStyle name="Explanatory Text 136" xfId="9009"/>
    <cellStyle name="Explanatory Text 137" xfId="9010"/>
    <cellStyle name="Explanatory Text 138" xfId="9011"/>
    <cellStyle name="Explanatory Text 139" xfId="9012"/>
    <cellStyle name="Explanatory Text 14" xfId="9013"/>
    <cellStyle name="Explanatory Text 140" xfId="9014"/>
    <cellStyle name="Explanatory Text 141" xfId="9015"/>
    <cellStyle name="Explanatory Text 142" xfId="9016"/>
    <cellStyle name="Explanatory Text 143" xfId="9017"/>
    <cellStyle name="Explanatory Text 144" xfId="9018"/>
    <cellStyle name="Explanatory Text 145" xfId="9019"/>
    <cellStyle name="Explanatory Text 146" xfId="9020"/>
    <cellStyle name="Explanatory Text 147" xfId="9021"/>
    <cellStyle name="Explanatory Text 148" xfId="9022"/>
    <cellStyle name="Explanatory Text 149" xfId="9023"/>
    <cellStyle name="Explanatory Text 15" xfId="9024"/>
    <cellStyle name="Explanatory Text 150" xfId="9025"/>
    <cellStyle name="Explanatory Text 151" xfId="9026"/>
    <cellStyle name="Explanatory Text 152" xfId="9027"/>
    <cellStyle name="Explanatory Text 153" xfId="9028"/>
    <cellStyle name="Explanatory Text 154" xfId="9029"/>
    <cellStyle name="Explanatory Text 155" xfId="9030"/>
    <cellStyle name="Explanatory Text 156" xfId="9031"/>
    <cellStyle name="Explanatory Text 157" xfId="9032"/>
    <cellStyle name="Explanatory Text 158" xfId="9033"/>
    <cellStyle name="Explanatory Text 159" xfId="9034"/>
    <cellStyle name="Explanatory Text 16" xfId="9035"/>
    <cellStyle name="Explanatory Text 160" xfId="9036"/>
    <cellStyle name="Explanatory Text 161" xfId="9037"/>
    <cellStyle name="Explanatory Text 162" xfId="9038"/>
    <cellStyle name="Explanatory Text 163" xfId="9039"/>
    <cellStyle name="Explanatory Text 164" xfId="9040"/>
    <cellStyle name="Explanatory Text 165" xfId="9041"/>
    <cellStyle name="Explanatory Text 166" xfId="9042"/>
    <cellStyle name="Explanatory Text 167" xfId="9043"/>
    <cellStyle name="Explanatory Text 168" xfId="9044"/>
    <cellStyle name="Explanatory Text 169" xfId="9045"/>
    <cellStyle name="Explanatory Text 17" xfId="9046"/>
    <cellStyle name="Explanatory Text 170" xfId="9047"/>
    <cellStyle name="Explanatory Text 171" xfId="9048"/>
    <cellStyle name="Explanatory Text 172" xfId="9049"/>
    <cellStyle name="Explanatory Text 173" xfId="9050"/>
    <cellStyle name="Explanatory Text 174" xfId="9051"/>
    <cellStyle name="Explanatory Text 175" xfId="9052"/>
    <cellStyle name="Explanatory Text 176" xfId="9053"/>
    <cellStyle name="Explanatory Text 177" xfId="9054"/>
    <cellStyle name="Explanatory Text 178" xfId="9055"/>
    <cellStyle name="Explanatory Text 179" xfId="9056"/>
    <cellStyle name="Explanatory Text 18" xfId="9057"/>
    <cellStyle name="Explanatory Text 180" xfId="9058"/>
    <cellStyle name="Explanatory Text 181" xfId="9059"/>
    <cellStyle name="Explanatory Text 182" xfId="9060"/>
    <cellStyle name="Explanatory Text 183" xfId="9061"/>
    <cellStyle name="Explanatory Text 184" xfId="9062"/>
    <cellStyle name="Explanatory Text 185" xfId="9063"/>
    <cellStyle name="Explanatory Text 186" xfId="9064"/>
    <cellStyle name="Explanatory Text 187" xfId="9065"/>
    <cellStyle name="Explanatory Text 188" xfId="9066"/>
    <cellStyle name="Explanatory Text 189" xfId="9067"/>
    <cellStyle name="Explanatory Text 19" xfId="9068"/>
    <cellStyle name="Explanatory Text 190" xfId="9069"/>
    <cellStyle name="Explanatory Text 191" xfId="9070"/>
    <cellStyle name="Explanatory Text 192" xfId="9071"/>
    <cellStyle name="Explanatory Text 193" xfId="9072"/>
    <cellStyle name="Explanatory Text 194" xfId="9073"/>
    <cellStyle name="Explanatory Text 195" xfId="9074"/>
    <cellStyle name="Explanatory Text 196" xfId="9075"/>
    <cellStyle name="Explanatory Text 197" xfId="9076"/>
    <cellStyle name="Explanatory Text 198" xfId="9077"/>
    <cellStyle name="Explanatory Text 199" xfId="9078"/>
    <cellStyle name="Explanatory Text 2" xfId="9079"/>
    <cellStyle name="Explanatory Text 2 2" xfId="9080"/>
    <cellStyle name="Explanatory Text 2 2 2" xfId="9081"/>
    <cellStyle name="Explanatory Text 2 2 3" xfId="9082"/>
    <cellStyle name="Explanatory Text 2 2 4" xfId="9083"/>
    <cellStyle name="Explanatory Text 2 2 5" xfId="9084"/>
    <cellStyle name="Explanatory Text 2 2 6" xfId="9085"/>
    <cellStyle name="Explanatory Text 2 2 7" xfId="9086"/>
    <cellStyle name="Explanatory Text 2 3" xfId="9087"/>
    <cellStyle name="Explanatory Text 2 4" xfId="9088"/>
    <cellStyle name="Explanatory Text 2 5" xfId="9089"/>
    <cellStyle name="Explanatory Text 2 6" xfId="9090"/>
    <cellStyle name="Explanatory Text 2 7" xfId="9091"/>
    <cellStyle name="Explanatory Text 2 8" xfId="9092"/>
    <cellStyle name="Explanatory Text 20" xfId="9093"/>
    <cellStyle name="Explanatory Text 200" xfId="9094"/>
    <cellStyle name="Explanatory Text 201" xfId="9095"/>
    <cellStyle name="Explanatory Text 202" xfId="9096"/>
    <cellStyle name="Explanatory Text 203" xfId="9097"/>
    <cellStyle name="Explanatory Text 204" xfId="9098"/>
    <cellStyle name="Explanatory Text 205" xfId="9099"/>
    <cellStyle name="Explanatory Text 206" xfId="9100"/>
    <cellStyle name="Explanatory Text 207" xfId="9101"/>
    <cellStyle name="Explanatory Text 208" xfId="9102"/>
    <cellStyle name="Explanatory Text 209" xfId="9103"/>
    <cellStyle name="Explanatory Text 21" xfId="9104"/>
    <cellStyle name="Explanatory Text 210" xfId="9105"/>
    <cellStyle name="Explanatory Text 211" xfId="9106"/>
    <cellStyle name="Explanatory Text 212" xfId="9107"/>
    <cellStyle name="Explanatory Text 213" xfId="9108"/>
    <cellStyle name="Explanatory Text 214" xfId="9109"/>
    <cellStyle name="Explanatory Text 215" xfId="9110"/>
    <cellStyle name="Explanatory Text 216" xfId="9111"/>
    <cellStyle name="Explanatory Text 217" xfId="9112"/>
    <cellStyle name="Explanatory Text 218" xfId="9113"/>
    <cellStyle name="Explanatory Text 219" xfId="9114"/>
    <cellStyle name="Explanatory Text 22" xfId="9115"/>
    <cellStyle name="Explanatory Text 220" xfId="9116"/>
    <cellStyle name="Explanatory Text 221" xfId="9117"/>
    <cellStyle name="Explanatory Text 222" xfId="9118"/>
    <cellStyle name="Explanatory Text 223" xfId="9119"/>
    <cellStyle name="Explanatory Text 224" xfId="9120"/>
    <cellStyle name="Explanatory Text 225" xfId="9121"/>
    <cellStyle name="Explanatory Text 226" xfId="9122"/>
    <cellStyle name="Explanatory Text 227" xfId="9123"/>
    <cellStyle name="Explanatory Text 228" xfId="9124"/>
    <cellStyle name="Explanatory Text 229" xfId="9125"/>
    <cellStyle name="Explanatory Text 23" xfId="9126"/>
    <cellStyle name="Explanatory Text 230" xfId="9127"/>
    <cellStyle name="Explanatory Text 231" xfId="9128"/>
    <cellStyle name="Explanatory Text 232" xfId="9129"/>
    <cellStyle name="Explanatory Text 233" xfId="9130"/>
    <cellStyle name="Explanatory Text 234" xfId="9131"/>
    <cellStyle name="Explanatory Text 235" xfId="9132"/>
    <cellStyle name="Explanatory Text 236" xfId="9133"/>
    <cellStyle name="Explanatory Text 237" xfId="9134"/>
    <cellStyle name="Explanatory Text 238" xfId="9135"/>
    <cellStyle name="Explanatory Text 239" xfId="9136"/>
    <cellStyle name="Explanatory Text 24" xfId="9137"/>
    <cellStyle name="Explanatory Text 240" xfId="9138"/>
    <cellStyle name="Explanatory Text 241" xfId="9139"/>
    <cellStyle name="Explanatory Text 242" xfId="9140"/>
    <cellStyle name="Explanatory Text 243" xfId="9141"/>
    <cellStyle name="Explanatory Text 244" xfId="9142"/>
    <cellStyle name="Explanatory Text 245" xfId="9143"/>
    <cellStyle name="Explanatory Text 246" xfId="9144"/>
    <cellStyle name="Explanatory Text 247" xfId="9145"/>
    <cellStyle name="Explanatory Text 248" xfId="9146"/>
    <cellStyle name="Explanatory Text 249" xfId="9147"/>
    <cellStyle name="Explanatory Text 25" xfId="9148"/>
    <cellStyle name="Explanatory Text 26" xfId="9149"/>
    <cellStyle name="Explanatory Text 27" xfId="9150"/>
    <cellStyle name="Explanatory Text 28" xfId="9151"/>
    <cellStyle name="Explanatory Text 29" xfId="9152"/>
    <cellStyle name="Explanatory Text 3" xfId="9153"/>
    <cellStyle name="Explanatory Text 3 2" xfId="9154"/>
    <cellStyle name="Explanatory Text 30" xfId="9155"/>
    <cellStyle name="Explanatory Text 31" xfId="9156"/>
    <cellStyle name="Explanatory Text 32" xfId="9157"/>
    <cellStyle name="Explanatory Text 33" xfId="9158"/>
    <cellStyle name="Explanatory Text 34" xfId="9159"/>
    <cellStyle name="Explanatory Text 35" xfId="9160"/>
    <cellStyle name="Explanatory Text 36" xfId="9161"/>
    <cellStyle name="Explanatory Text 37" xfId="9162"/>
    <cellStyle name="Explanatory Text 38" xfId="9163"/>
    <cellStyle name="Explanatory Text 39" xfId="9164"/>
    <cellStyle name="Explanatory Text 4" xfId="9165"/>
    <cellStyle name="Explanatory Text 4 2" xfId="9166"/>
    <cellStyle name="Explanatory Text 4 3" xfId="9167"/>
    <cellStyle name="Explanatory Text 4 4" xfId="9168"/>
    <cellStyle name="Explanatory Text 4 5" xfId="9169"/>
    <cellStyle name="Explanatory Text 40" xfId="9170"/>
    <cellStyle name="Explanatory Text 41" xfId="9171"/>
    <cellStyle name="Explanatory Text 42" xfId="9172"/>
    <cellStyle name="Explanatory Text 43" xfId="9173"/>
    <cellStyle name="Explanatory Text 44" xfId="9174"/>
    <cellStyle name="Explanatory Text 45" xfId="9175"/>
    <cellStyle name="Explanatory Text 46" xfId="9176"/>
    <cellStyle name="Explanatory Text 47" xfId="9177"/>
    <cellStyle name="Explanatory Text 48" xfId="9178"/>
    <cellStyle name="Explanatory Text 49" xfId="9179"/>
    <cellStyle name="Explanatory Text 5" xfId="9180"/>
    <cellStyle name="Explanatory Text 5 2" xfId="9181"/>
    <cellStyle name="Explanatory Text 5 3" xfId="9182"/>
    <cellStyle name="Explanatory Text 5 4" xfId="9183"/>
    <cellStyle name="Explanatory Text 5 5" xfId="9184"/>
    <cellStyle name="Explanatory Text 50" xfId="9185"/>
    <cellStyle name="Explanatory Text 51" xfId="9186"/>
    <cellStyle name="Explanatory Text 52" xfId="9187"/>
    <cellStyle name="Explanatory Text 53" xfId="9188"/>
    <cellStyle name="Explanatory Text 54" xfId="9189"/>
    <cellStyle name="Explanatory Text 55" xfId="9190"/>
    <cellStyle name="Explanatory Text 56" xfId="9191"/>
    <cellStyle name="Explanatory Text 57" xfId="9192"/>
    <cellStyle name="Explanatory Text 58" xfId="9193"/>
    <cellStyle name="Explanatory Text 59" xfId="9194"/>
    <cellStyle name="Explanatory Text 6" xfId="9195"/>
    <cellStyle name="Explanatory Text 6 2" xfId="9196"/>
    <cellStyle name="Explanatory Text 6 3" xfId="9197"/>
    <cellStyle name="Explanatory Text 6 4" xfId="9198"/>
    <cellStyle name="Explanatory Text 60" xfId="9199"/>
    <cellStyle name="Explanatory Text 61" xfId="9200"/>
    <cellStyle name="Explanatory Text 62" xfId="9201"/>
    <cellStyle name="Explanatory Text 63" xfId="9202"/>
    <cellStyle name="Explanatory Text 64" xfId="9203"/>
    <cellStyle name="Explanatory Text 65" xfId="9204"/>
    <cellStyle name="Explanatory Text 66" xfId="9205"/>
    <cellStyle name="Explanatory Text 67" xfId="9206"/>
    <cellStyle name="Explanatory Text 68" xfId="9207"/>
    <cellStyle name="Explanatory Text 69" xfId="9208"/>
    <cellStyle name="Explanatory Text 7" xfId="9209"/>
    <cellStyle name="Explanatory Text 7 2" xfId="9210"/>
    <cellStyle name="Explanatory Text 7 3" xfId="9211"/>
    <cellStyle name="Explanatory Text 7 4" xfId="9212"/>
    <cellStyle name="Explanatory Text 70" xfId="9213"/>
    <cellStyle name="Explanatory Text 71" xfId="9214"/>
    <cellStyle name="Explanatory Text 72" xfId="9215"/>
    <cellStyle name="Explanatory Text 73" xfId="9216"/>
    <cellStyle name="Explanatory Text 74" xfId="9217"/>
    <cellStyle name="Explanatory Text 75" xfId="9218"/>
    <cellStyle name="Explanatory Text 76" xfId="9219"/>
    <cellStyle name="Explanatory Text 77" xfId="9220"/>
    <cellStyle name="Explanatory Text 78" xfId="9221"/>
    <cellStyle name="Explanatory Text 79" xfId="9222"/>
    <cellStyle name="Explanatory Text 8" xfId="9223"/>
    <cellStyle name="Explanatory Text 8 2" xfId="9224"/>
    <cellStyle name="Explanatory Text 8 3" xfId="9225"/>
    <cellStyle name="Explanatory Text 8 4" xfId="9226"/>
    <cellStyle name="Explanatory Text 80" xfId="9227"/>
    <cellStyle name="Explanatory Text 81" xfId="9228"/>
    <cellStyle name="Explanatory Text 82" xfId="9229"/>
    <cellStyle name="Explanatory Text 83" xfId="9230"/>
    <cellStyle name="Explanatory Text 84" xfId="9231"/>
    <cellStyle name="Explanatory Text 85" xfId="9232"/>
    <cellStyle name="Explanatory Text 86" xfId="9233"/>
    <cellStyle name="Explanatory Text 87" xfId="9234"/>
    <cellStyle name="Explanatory Text 88" xfId="9235"/>
    <cellStyle name="Explanatory Text 89" xfId="9236"/>
    <cellStyle name="Explanatory Text 9" xfId="9237"/>
    <cellStyle name="Explanatory Text 9 2" xfId="9238"/>
    <cellStyle name="Explanatory Text 9 3" xfId="9239"/>
    <cellStyle name="Explanatory Text 9 4" xfId="9240"/>
    <cellStyle name="Explanatory Text 90" xfId="9241"/>
    <cellStyle name="Explanatory Text 91" xfId="9242"/>
    <cellStyle name="Explanatory Text 92" xfId="9243"/>
    <cellStyle name="Explanatory Text 93" xfId="9244"/>
    <cellStyle name="Explanatory Text 94" xfId="9245"/>
    <cellStyle name="Explanatory Text 95" xfId="9246"/>
    <cellStyle name="Explanatory Text 96" xfId="9247"/>
    <cellStyle name="Explanatory Text 97" xfId="9248"/>
    <cellStyle name="Explanatory Text 98" xfId="9249"/>
    <cellStyle name="Explanatory Text 99" xfId="9250"/>
    <cellStyle name="Good" xfId="9251" builtinId="26" customBuiltin="1"/>
    <cellStyle name="Good 10" xfId="9252"/>
    <cellStyle name="Good 10 2" xfId="9253"/>
    <cellStyle name="Good 10 3" xfId="9254"/>
    <cellStyle name="Good 10 4" xfId="9255"/>
    <cellStyle name="Good 100" xfId="9256"/>
    <cellStyle name="Good 101" xfId="9257"/>
    <cellStyle name="Good 102" xfId="9258"/>
    <cellStyle name="Good 103" xfId="9259"/>
    <cellStyle name="Good 104" xfId="9260"/>
    <cellStyle name="Good 105" xfId="9261"/>
    <cellStyle name="Good 106" xfId="9262"/>
    <cellStyle name="Good 107" xfId="9263"/>
    <cellStyle name="Good 108" xfId="9264"/>
    <cellStyle name="Good 109" xfId="9265"/>
    <cellStyle name="Good 11" xfId="9266"/>
    <cellStyle name="Good 11 2" xfId="9267"/>
    <cellStyle name="Good 110" xfId="9268"/>
    <cellStyle name="Good 111" xfId="9269"/>
    <cellStyle name="Good 112" xfId="9270"/>
    <cellStyle name="Good 113" xfId="9271"/>
    <cellStyle name="Good 114" xfId="9272"/>
    <cellStyle name="Good 115" xfId="9273"/>
    <cellStyle name="Good 116" xfId="9274"/>
    <cellStyle name="Good 117" xfId="9275"/>
    <cellStyle name="Good 118" xfId="9276"/>
    <cellStyle name="Good 119" xfId="9277"/>
    <cellStyle name="Good 12" xfId="9278"/>
    <cellStyle name="Good 12 2" xfId="9279"/>
    <cellStyle name="Good 120" xfId="9280"/>
    <cellStyle name="Good 121" xfId="9281"/>
    <cellStyle name="Good 122" xfId="9282"/>
    <cellStyle name="Good 123" xfId="9283"/>
    <cellStyle name="Good 124" xfId="9284"/>
    <cellStyle name="Good 125" xfId="9285"/>
    <cellStyle name="Good 126" xfId="9286"/>
    <cellStyle name="Good 127" xfId="9287"/>
    <cellStyle name="Good 128" xfId="9288"/>
    <cellStyle name="Good 129" xfId="9289"/>
    <cellStyle name="Good 13" xfId="9290"/>
    <cellStyle name="Good 130" xfId="9291"/>
    <cellStyle name="Good 131" xfId="9292"/>
    <cellStyle name="Good 132" xfId="9293"/>
    <cellStyle name="Good 133" xfId="9294"/>
    <cellStyle name="Good 134" xfId="9295"/>
    <cellStyle name="Good 135" xfId="9296"/>
    <cellStyle name="Good 136" xfId="9297"/>
    <cellStyle name="Good 137" xfId="9298"/>
    <cellStyle name="Good 138" xfId="9299"/>
    <cellStyle name="Good 139" xfId="9300"/>
    <cellStyle name="Good 14" xfId="9301"/>
    <cellStyle name="Good 140" xfId="9302"/>
    <cellStyle name="Good 141" xfId="9303"/>
    <cellStyle name="Good 142" xfId="9304"/>
    <cellStyle name="Good 143" xfId="9305"/>
    <cellStyle name="Good 144" xfId="9306"/>
    <cellStyle name="Good 145" xfId="9307"/>
    <cellStyle name="Good 146" xfId="9308"/>
    <cellStyle name="Good 147" xfId="9309"/>
    <cellStyle name="Good 148" xfId="9310"/>
    <cellStyle name="Good 149" xfId="9311"/>
    <cellStyle name="Good 15" xfId="9312"/>
    <cellStyle name="Good 150" xfId="9313"/>
    <cellStyle name="Good 151" xfId="9314"/>
    <cellStyle name="Good 152" xfId="9315"/>
    <cellStyle name="Good 153" xfId="9316"/>
    <cellStyle name="Good 154" xfId="9317"/>
    <cellStyle name="Good 155" xfId="9318"/>
    <cellStyle name="Good 156" xfId="9319"/>
    <cellStyle name="Good 157" xfId="9320"/>
    <cellStyle name="Good 158" xfId="9321"/>
    <cellStyle name="Good 159" xfId="9322"/>
    <cellStyle name="Good 16" xfId="9323"/>
    <cellStyle name="Good 160" xfId="9324"/>
    <cellStyle name="Good 161" xfId="9325"/>
    <cellStyle name="Good 162" xfId="9326"/>
    <cellStyle name="Good 163" xfId="9327"/>
    <cellStyle name="Good 164" xfId="9328"/>
    <cellStyle name="Good 165" xfId="9329"/>
    <cellStyle name="Good 166" xfId="9330"/>
    <cellStyle name="Good 167" xfId="9331"/>
    <cellStyle name="Good 168" xfId="9332"/>
    <cellStyle name="Good 169" xfId="9333"/>
    <cellStyle name="Good 17" xfId="9334"/>
    <cellStyle name="Good 170" xfId="9335"/>
    <cellStyle name="Good 171" xfId="9336"/>
    <cellStyle name="Good 172" xfId="9337"/>
    <cellStyle name="Good 173" xfId="9338"/>
    <cellStyle name="Good 174" xfId="9339"/>
    <cellStyle name="Good 175" xfId="9340"/>
    <cellStyle name="Good 176" xfId="9341"/>
    <cellStyle name="Good 177" xfId="9342"/>
    <cellStyle name="Good 178" xfId="9343"/>
    <cellStyle name="Good 179" xfId="9344"/>
    <cellStyle name="Good 18" xfId="9345"/>
    <cellStyle name="Good 180" xfId="9346"/>
    <cellStyle name="Good 181" xfId="9347"/>
    <cellStyle name="Good 182" xfId="9348"/>
    <cellStyle name="Good 183" xfId="9349"/>
    <cellStyle name="Good 184" xfId="9350"/>
    <cellStyle name="Good 185" xfId="9351"/>
    <cellStyle name="Good 186" xfId="9352"/>
    <cellStyle name="Good 187" xfId="9353"/>
    <cellStyle name="Good 188" xfId="9354"/>
    <cellStyle name="Good 189" xfId="9355"/>
    <cellStyle name="Good 19" xfId="9356"/>
    <cellStyle name="Good 190" xfId="9357"/>
    <cellStyle name="Good 191" xfId="9358"/>
    <cellStyle name="Good 192" xfId="9359"/>
    <cellStyle name="Good 193" xfId="9360"/>
    <cellStyle name="Good 194" xfId="9361"/>
    <cellStyle name="Good 195" xfId="9362"/>
    <cellStyle name="Good 196" xfId="9363"/>
    <cellStyle name="Good 197" xfId="9364"/>
    <cellStyle name="Good 198" xfId="9365"/>
    <cellStyle name="Good 199" xfId="9366"/>
    <cellStyle name="Good 2" xfId="9367"/>
    <cellStyle name="Good 2 2" xfId="9368"/>
    <cellStyle name="Good 2 2 2" xfId="9369"/>
    <cellStyle name="Good 2 2 3" xfId="9370"/>
    <cellStyle name="Good 2 2 4" xfId="9371"/>
    <cellStyle name="Good 2 2 5" xfId="9372"/>
    <cellStyle name="Good 2 2 6" xfId="9373"/>
    <cellStyle name="Good 2 2 7" xfId="9374"/>
    <cellStyle name="Good 2 3" xfId="9375"/>
    <cellStyle name="Good 2 4" xfId="9376"/>
    <cellStyle name="Good 2 5" xfId="9377"/>
    <cellStyle name="Good 2 6" xfId="9378"/>
    <cellStyle name="Good 2 7" xfId="9379"/>
    <cellStyle name="Good 2 8" xfId="9380"/>
    <cellStyle name="Good 20" xfId="9381"/>
    <cellStyle name="Good 200" xfId="9382"/>
    <cellStyle name="Good 201" xfId="9383"/>
    <cellStyle name="Good 202" xfId="9384"/>
    <cellStyle name="Good 203" xfId="9385"/>
    <cellStyle name="Good 204" xfId="9386"/>
    <cellStyle name="Good 205" xfId="9387"/>
    <cellStyle name="Good 206" xfId="9388"/>
    <cellStyle name="Good 207" xfId="9389"/>
    <cellStyle name="Good 208" xfId="9390"/>
    <cellStyle name="Good 209" xfId="9391"/>
    <cellStyle name="Good 21" xfId="9392"/>
    <cellStyle name="Good 210" xfId="9393"/>
    <cellStyle name="Good 211" xfId="9394"/>
    <cellStyle name="Good 212" xfId="9395"/>
    <cellStyle name="Good 213" xfId="9396"/>
    <cellStyle name="Good 214" xfId="9397"/>
    <cellStyle name="Good 215" xfId="9398"/>
    <cellStyle name="Good 216" xfId="9399"/>
    <cellStyle name="Good 217" xfId="9400"/>
    <cellStyle name="Good 218" xfId="9401"/>
    <cellStyle name="Good 219" xfId="9402"/>
    <cellStyle name="Good 22" xfId="9403"/>
    <cellStyle name="Good 220" xfId="9404"/>
    <cellStyle name="Good 221" xfId="9405"/>
    <cellStyle name="Good 222" xfId="9406"/>
    <cellStyle name="Good 223" xfId="9407"/>
    <cellStyle name="Good 224" xfId="9408"/>
    <cellStyle name="Good 225" xfId="9409"/>
    <cellStyle name="Good 226" xfId="9410"/>
    <cellStyle name="Good 227" xfId="9411"/>
    <cellStyle name="Good 228" xfId="9412"/>
    <cellStyle name="Good 229" xfId="9413"/>
    <cellStyle name="Good 23" xfId="9414"/>
    <cellStyle name="Good 230" xfId="9415"/>
    <cellStyle name="Good 231" xfId="9416"/>
    <cellStyle name="Good 232" xfId="9417"/>
    <cellStyle name="Good 233" xfId="9418"/>
    <cellStyle name="Good 234" xfId="9419"/>
    <cellStyle name="Good 235" xfId="9420"/>
    <cellStyle name="Good 236" xfId="9421"/>
    <cellStyle name="Good 237" xfId="9422"/>
    <cellStyle name="Good 238" xfId="9423"/>
    <cellStyle name="Good 239" xfId="9424"/>
    <cellStyle name="Good 24" xfId="9425"/>
    <cellStyle name="Good 240" xfId="9426"/>
    <cellStyle name="Good 241" xfId="9427"/>
    <cellStyle name="Good 242" xfId="9428"/>
    <cellStyle name="Good 243" xfId="9429"/>
    <cellStyle name="Good 244" xfId="9430"/>
    <cellStyle name="Good 245" xfId="9431"/>
    <cellStyle name="Good 246" xfId="9432"/>
    <cellStyle name="Good 247" xfId="9433"/>
    <cellStyle name="Good 248" xfId="9434"/>
    <cellStyle name="Good 249" xfId="9435"/>
    <cellStyle name="Good 25" xfId="9436"/>
    <cellStyle name="Good 26" xfId="9437"/>
    <cellStyle name="Good 27" xfId="9438"/>
    <cellStyle name="Good 28" xfId="9439"/>
    <cellStyle name="Good 29" xfId="9440"/>
    <cellStyle name="Good 3" xfId="9441"/>
    <cellStyle name="Good 3 2" xfId="9442"/>
    <cellStyle name="Good 30" xfId="9443"/>
    <cellStyle name="Good 31" xfId="9444"/>
    <cellStyle name="Good 32" xfId="9445"/>
    <cellStyle name="Good 33" xfId="9446"/>
    <cellStyle name="Good 34" xfId="9447"/>
    <cellStyle name="Good 35" xfId="9448"/>
    <cellStyle name="Good 36" xfId="9449"/>
    <cellStyle name="Good 37" xfId="9450"/>
    <cellStyle name="Good 38" xfId="9451"/>
    <cellStyle name="Good 39" xfId="9452"/>
    <cellStyle name="Good 4" xfId="9453"/>
    <cellStyle name="Good 4 2" xfId="9454"/>
    <cellStyle name="Good 4 3" xfId="9455"/>
    <cellStyle name="Good 4 4" xfId="9456"/>
    <cellStyle name="Good 4 5" xfId="9457"/>
    <cellStyle name="Good 40" xfId="9458"/>
    <cellStyle name="Good 41" xfId="9459"/>
    <cellStyle name="Good 42" xfId="9460"/>
    <cellStyle name="Good 43" xfId="9461"/>
    <cellStyle name="Good 44" xfId="9462"/>
    <cellStyle name="Good 45" xfId="9463"/>
    <cellStyle name="Good 46" xfId="9464"/>
    <cellStyle name="Good 47" xfId="9465"/>
    <cellStyle name="Good 48" xfId="9466"/>
    <cellStyle name="Good 49" xfId="9467"/>
    <cellStyle name="Good 5" xfId="9468"/>
    <cellStyle name="Good 5 2" xfId="9469"/>
    <cellStyle name="Good 5 3" xfId="9470"/>
    <cellStyle name="Good 5 4" xfId="9471"/>
    <cellStyle name="Good 5 5" xfId="9472"/>
    <cellStyle name="Good 50" xfId="9473"/>
    <cellStyle name="Good 51" xfId="9474"/>
    <cellStyle name="Good 52" xfId="9475"/>
    <cellStyle name="Good 53" xfId="9476"/>
    <cellStyle name="Good 54" xfId="9477"/>
    <cellStyle name="Good 55" xfId="9478"/>
    <cellStyle name="Good 56" xfId="9479"/>
    <cellStyle name="Good 57" xfId="9480"/>
    <cellStyle name="Good 58" xfId="9481"/>
    <cellStyle name="Good 59" xfId="9482"/>
    <cellStyle name="Good 6" xfId="9483"/>
    <cellStyle name="Good 6 2" xfId="9484"/>
    <cellStyle name="Good 6 3" xfId="9485"/>
    <cellStyle name="Good 6 4" xfId="9486"/>
    <cellStyle name="Good 60" xfId="9487"/>
    <cellStyle name="Good 61" xfId="9488"/>
    <cellStyle name="Good 62" xfId="9489"/>
    <cellStyle name="Good 63" xfId="9490"/>
    <cellStyle name="Good 64" xfId="9491"/>
    <cellStyle name="Good 65" xfId="9492"/>
    <cellStyle name="Good 66" xfId="9493"/>
    <cellStyle name="Good 67" xfId="9494"/>
    <cellStyle name="Good 68" xfId="9495"/>
    <cellStyle name="Good 69" xfId="9496"/>
    <cellStyle name="Good 7" xfId="9497"/>
    <cellStyle name="Good 7 2" xfId="9498"/>
    <cellStyle name="Good 7 3" xfId="9499"/>
    <cellStyle name="Good 7 4" xfId="9500"/>
    <cellStyle name="Good 70" xfId="9501"/>
    <cellStyle name="Good 71" xfId="9502"/>
    <cellStyle name="Good 72" xfId="9503"/>
    <cellStyle name="Good 73" xfId="9504"/>
    <cellStyle name="Good 74" xfId="9505"/>
    <cellStyle name="Good 75" xfId="9506"/>
    <cellStyle name="Good 76" xfId="9507"/>
    <cellStyle name="Good 77" xfId="9508"/>
    <cellStyle name="Good 78" xfId="9509"/>
    <cellStyle name="Good 79" xfId="9510"/>
    <cellStyle name="Good 8" xfId="9511"/>
    <cellStyle name="Good 8 2" xfId="9512"/>
    <cellStyle name="Good 8 3" xfId="9513"/>
    <cellStyle name="Good 8 4" xfId="9514"/>
    <cellStyle name="Good 80" xfId="9515"/>
    <cellStyle name="Good 81" xfId="9516"/>
    <cellStyle name="Good 82" xfId="9517"/>
    <cellStyle name="Good 83" xfId="9518"/>
    <cellStyle name="Good 84" xfId="9519"/>
    <cellStyle name="Good 85" xfId="9520"/>
    <cellStyle name="Good 86" xfId="9521"/>
    <cellStyle name="Good 87" xfId="9522"/>
    <cellStyle name="Good 88" xfId="9523"/>
    <cellStyle name="Good 89" xfId="9524"/>
    <cellStyle name="Good 9" xfId="9525"/>
    <cellStyle name="Good 9 2" xfId="9526"/>
    <cellStyle name="Good 9 3" xfId="9527"/>
    <cellStyle name="Good 9 4" xfId="9528"/>
    <cellStyle name="Good 90" xfId="9529"/>
    <cellStyle name="Good 91" xfId="9530"/>
    <cellStyle name="Good 92" xfId="9531"/>
    <cellStyle name="Good 93" xfId="9532"/>
    <cellStyle name="Good 94" xfId="9533"/>
    <cellStyle name="Good 95" xfId="9534"/>
    <cellStyle name="Good 96" xfId="9535"/>
    <cellStyle name="Good 97" xfId="9536"/>
    <cellStyle name="Good 98" xfId="9537"/>
    <cellStyle name="Good 99" xfId="9538"/>
    <cellStyle name="Heading 1" xfId="9539" builtinId="16" customBuiltin="1"/>
    <cellStyle name="Heading 1 10" xfId="9540"/>
    <cellStyle name="Heading 1 10 2" xfId="9541"/>
    <cellStyle name="Heading 1 10 3" xfId="9542"/>
    <cellStyle name="Heading 1 10 4" xfId="9543"/>
    <cellStyle name="Heading 1 100" xfId="9544"/>
    <cellStyle name="Heading 1 101" xfId="9545"/>
    <cellStyle name="Heading 1 102" xfId="9546"/>
    <cellStyle name="Heading 1 103" xfId="9547"/>
    <cellStyle name="Heading 1 104" xfId="9548"/>
    <cellStyle name="Heading 1 105" xfId="9549"/>
    <cellStyle name="Heading 1 106" xfId="9550"/>
    <cellStyle name="Heading 1 107" xfId="9551"/>
    <cellStyle name="Heading 1 108" xfId="9552"/>
    <cellStyle name="Heading 1 109" xfId="9553"/>
    <cellStyle name="Heading 1 11" xfId="9554"/>
    <cellStyle name="Heading 1 11 2" xfId="9555"/>
    <cellStyle name="Heading 1 110" xfId="9556"/>
    <cellStyle name="Heading 1 111" xfId="9557"/>
    <cellStyle name="Heading 1 112" xfId="9558"/>
    <cellStyle name="Heading 1 113" xfId="9559"/>
    <cellStyle name="Heading 1 114" xfId="9560"/>
    <cellStyle name="Heading 1 115" xfId="9561"/>
    <cellStyle name="Heading 1 116" xfId="9562"/>
    <cellStyle name="Heading 1 117" xfId="9563"/>
    <cellStyle name="Heading 1 118" xfId="9564"/>
    <cellStyle name="Heading 1 119" xfId="9565"/>
    <cellStyle name="Heading 1 12" xfId="9566"/>
    <cellStyle name="Heading 1 12 2" xfId="9567"/>
    <cellStyle name="Heading 1 120" xfId="9568"/>
    <cellStyle name="Heading 1 121" xfId="9569"/>
    <cellStyle name="Heading 1 122" xfId="9570"/>
    <cellStyle name="Heading 1 123" xfId="9571"/>
    <cellStyle name="Heading 1 124" xfId="9572"/>
    <cellStyle name="Heading 1 125" xfId="9573"/>
    <cellStyle name="Heading 1 126" xfId="9574"/>
    <cellStyle name="Heading 1 127" xfId="9575"/>
    <cellStyle name="Heading 1 128" xfId="9576"/>
    <cellStyle name="Heading 1 129" xfId="9577"/>
    <cellStyle name="Heading 1 13" xfId="9578"/>
    <cellStyle name="Heading 1 130" xfId="9579"/>
    <cellStyle name="Heading 1 131" xfId="9580"/>
    <cellStyle name="Heading 1 132" xfId="9581"/>
    <cellStyle name="Heading 1 133" xfId="9582"/>
    <cellStyle name="Heading 1 134" xfId="9583"/>
    <cellStyle name="Heading 1 135" xfId="9584"/>
    <cellStyle name="Heading 1 136" xfId="9585"/>
    <cellStyle name="Heading 1 137" xfId="9586"/>
    <cellStyle name="Heading 1 138" xfId="9587"/>
    <cellStyle name="Heading 1 139" xfId="9588"/>
    <cellStyle name="Heading 1 14" xfId="9589"/>
    <cellStyle name="Heading 1 140" xfId="9590"/>
    <cellStyle name="Heading 1 141" xfId="9591"/>
    <cellStyle name="Heading 1 142" xfId="9592"/>
    <cellStyle name="Heading 1 143" xfId="9593"/>
    <cellStyle name="Heading 1 144" xfId="9594"/>
    <cellStyle name="Heading 1 145" xfId="9595"/>
    <cellStyle name="Heading 1 146" xfId="9596"/>
    <cellStyle name="Heading 1 147" xfId="9597"/>
    <cellStyle name="Heading 1 148" xfId="9598"/>
    <cellStyle name="Heading 1 149" xfId="9599"/>
    <cellStyle name="Heading 1 15" xfId="9600"/>
    <cellStyle name="Heading 1 150" xfId="9601"/>
    <cellStyle name="Heading 1 151" xfId="9602"/>
    <cellStyle name="Heading 1 152" xfId="9603"/>
    <cellStyle name="Heading 1 153" xfId="9604"/>
    <cellStyle name="Heading 1 154" xfId="9605"/>
    <cellStyle name="Heading 1 155" xfId="9606"/>
    <cellStyle name="Heading 1 156" xfId="9607"/>
    <cellStyle name="Heading 1 157" xfId="9608"/>
    <cellStyle name="Heading 1 158" xfId="9609"/>
    <cellStyle name="Heading 1 159" xfId="9610"/>
    <cellStyle name="Heading 1 16" xfId="9611"/>
    <cellStyle name="Heading 1 160" xfId="9612"/>
    <cellStyle name="Heading 1 161" xfId="9613"/>
    <cellStyle name="Heading 1 162" xfId="9614"/>
    <cellStyle name="Heading 1 163" xfId="9615"/>
    <cellStyle name="Heading 1 164" xfId="9616"/>
    <cellStyle name="Heading 1 165" xfId="9617"/>
    <cellStyle name="Heading 1 166" xfId="9618"/>
    <cellStyle name="Heading 1 167" xfId="9619"/>
    <cellStyle name="Heading 1 168" xfId="9620"/>
    <cellStyle name="Heading 1 169" xfId="9621"/>
    <cellStyle name="Heading 1 17" xfId="9622"/>
    <cellStyle name="Heading 1 170" xfId="9623"/>
    <cellStyle name="Heading 1 171" xfId="9624"/>
    <cellStyle name="Heading 1 172" xfId="9625"/>
    <cellStyle name="Heading 1 173" xfId="9626"/>
    <cellStyle name="Heading 1 174" xfId="9627"/>
    <cellStyle name="Heading 1 175" xfId="9628"/>
    <cellStyle name="Heading 1 176" xfId="9629"/>
    <cellStyle name="Heading 1 177" xfId="9630"/>
    <cellStyle name="Heading 1 178" xfId="9631"/>
    <cellStyle name="Heading 1 179" xfId="9632"/>
    <cellStyle name="Heading 1 18" xfId="9633"/>
    <cellStyle name="Heading 1 180" xfId="9634"/>
    <cellStyle name="Heading 1 181" xfId="9635"/>
    <cellStyle name="Heading 1 182" xfId="9636"/>
    <cellStyle name="Heading 1 183" xfId="9637"/>
    <cellStyle name="Heading 1 184" xfId="9638"/>
    <cellStyle name="Heading 1 185" xfId="9639"/>
    <cellStyle name="Heading 1 186" xfId="9640"/>
    <cellStyle name="Heading 1 187" xfId="9641"/>
    <cellStyle name="Heading 1 188" xfId="9642"/>
    <cellStyle name="Heading 1 189" xfId="9643"/>
    <cellStyle name="Heading 1 19" xfId="9644"/>
    <cellStyle name="Heading 1 190" xfId="9645"/>
    <cellStyle name="Heading 1 191" xfId="9646"/>
    <cellStyle name="Heading 1 192" xfId="9647"/>
    <cellStyle name="Heading 1 193" xfId="9648"/>
    <cellStyle name="Heading 1 194" xfId="9649"/>
    <cellStyle name="Heading 1 195" xfId="9650"/>
    <cellStyle name="Heading 1 196" xfId="9651"/>
    <cellStyle name="Heading 1 197" xfId="9652"/>
    <cellStyle name="Heading 1 198" xfId="9653"/>
    <cellStyle name="Heading 1 199" xfId="9654"/>
    <cellStyle name="Heading 1 2" xfId="9655"/>
    <cellStyle name="Heading 1 2 2" xfId="9656"/>
    <cellStyle name="Heading 1 2 2 2" xfId="9657"/>
    <cellStyle name="Heading 1 2 2 3" xfId="9658"/>
    <cellStyle name="Heading 1 2 2 4" xfId="9659"/>
    <cellStyle name="Heading 1 2 2 5" xfId="9660"/>
    <cellStyle name="Heading 1 2 2 6" xfId="9661"/>
    <cellStyle name="Heading 1 2 2 7" xfId="9662"/>
    <cellStyle name="Heading 1 2 3" xfId="9663"/>
    <cellStyle name="Heading 1 2 4" xfId="9664"/>
    <cellStyle name="Heading 1 2 5" xfId="9665"/>
    <cellStyle name="Heading 1 2 6" xfId="9666"/>
    <cellStyle name="Heading 1 2 7" xfId="9667"/>
    <cellStyle name="Heading 1 2 8" xfId="9668"/>
    <cellStyle name="Heading 1 20" xfId="9669"/>
    <cellStyle name="Heading 1 200" xfId="9670"/>
    <cellStyle name="Heading 1 201" xfId="9671"/>
    <cellStyle name="Heading 1 202" xfId="9672"/>
    <cellStyle name="Heading 1 203" xfId="9673"/>
    <cellStyle name="Heading 1 204" xfId="9674"/>
    <cellStyle name="Heading 1 205" xfId="9675"/>
    <cellStyle name="Heading 1 206" xfId="9676"/>
    <cellStyle name="Heading 1 207" xfId="9677"/>
    <cellStyle name="Heading 1 208" xfId="9678"/>
    <cellStyle name="Heading 1 209" xfId="9679"/>
    <cellStyle name="Heading 1 21" xfId="9680"/>
    <cellStyle name="Heading 1 210" xfId="9681"/>
    <cellStyle name="Heading 1 211" xfId="9682"/>
    <cellStyle name="Heading 1 212" xfId="9683"/>
    <cellStyle name="Heading 1 213" xfId="9684"/>
    <cellStyle name="Heading 1 214" xfId="9685"/>
    <cellStyle name="Heading 1 215" xfId="9686"/>
    <cellStyle name="Heading 1 216" xfId="9687"/>
    <cellStyle name="Heading 1 217" xfId="9688"/>
    <cellStyle name="Heading 1 218" xfId="9689"/>
    <cellStyle name="Heading 1 219" xfId="9690"/>
    <cellStyle name="Heading 1 22" xfId="9691"/>
    <cellStyle name="Heading 1 220" xfId="9692"/>
    <cellStyle name="Heading 1 221" xfId="9693"/>
    <cellStyle name="Heading 1 222" xfId="9694"/>
    <cellStyle name="Heading 1 223" xfId="9695"/>
    <cellStyle name="Heading 1 224" xfId="9696"/>
    <cellStyle name="Heading 1 225" xfId="9697"/>
    <cellStyle name="Heading 1 226" xfId="9698"/>
    <cellStyle name="Heading 1 227" xfId="9699"/>
    <cellStyle name="Heading 1 228" xfId="9700"/>
    <cellStyle name="Heading 1 229" xfId="9701"/>
    <cellStyle name="Heading 1 23" xfId="9702"/>
    <cellStyle name="Heading 1 230" xfId="9703"/>
    <cellStyle name="Heading 1 231" xfId="9704"/>
    <cellStyle name="Heading 1 232" xfId="9705"/>
    <cellStyle name="Heading 1 233" xfId="9706"/>
    <cellStyle name="Heading 1 234" xfId="9707"/>
    <cellStyle name="Heading 1 235" xfId="9708"/>
    <cellStyle name="Heading 1 236" xfId="9709"/>
    <cellStyle name="Heading 1 237" xfId="9710"/>
    <cellStyle name="Heading 1 238" xfId="9711"/>
    <cellStyle name="Heading 1 239" xfId="9712"/>
    <cellStyle name="Heading 1 24" xfId="9713"/>
    <cellStyle name="Heading 1 240" xfId="9714"/>
    <cellStyle name="Heading 1 241" xfId="9715"/>
    <cellStyle name="Heading 1 242" xfId="9716"/>
    <cellStyle name="Heading 1 243" xfId="9717"/>
    <cellStyle name="Heading 1 244" xfId="9718"/>
    <cellStyle name="Heading 1 245" xfId="9719"/>
    <cellStyle name="Heading 1 246" xfId="9720"/>
    <cellStyle name="Heading 1 247" xfId="9721"/>
    <cellStyle name="Heading 1 248" xfId="9722"/>
    <cellStyle name="Heading 1 249" xfId="9723"/>
    <cellStyle name="Heading 1 25" xfId="9724"/>
    <cellStyle name="Heading 1 26" xfId="9725"/>
    <cellStyle name="Heading 1 27" xfId="9726"/>
    <cellStyle name="Heading 1 28" xfId="9727"/>
    <cellStyle name="Heading 1 29" xfId="9728"/>
    <cellStyle name="Heading 1 3" xfId="9729"/>
    <cellStyle name="Heading 1 3 2" xfId="9730"/>
    <cellStyle name="Heading 1 30" xfId="9731"/>
    <cellStyle name="Heading 1 31" xfId="9732"/>
    <cellStyle name="Heading 1 32" xfId="9733"/>
    <cellStyle name="Heading 1 33" xfId="9734"/>
    <cellStyle name="Heading 1 34" xfId="9735"/>
    <cellStyle name="Heading 1 35" xfId="9736"/>
    <cellStyle name="Heading 1 36" xfId="9737"/>
    <cellStyle name="Heading 1 37" xfId="9738"/>
    <cellStyle name="Heading 1 38" xfId="9739"/>
    <cellStyle name="Heading 1 39" xfId="9740"/>
    <cellStyle name="Heading 1 4" xfId="9741"/>
    <cellStyle name="Heading 1 4 2" xfId="9742"/>
    <cellStyle name="Heading 1 4 3" xfId="9743"/>
    <cellStyle name="Heading 1 4 4" xfId="9744"/>
    <cellStyle name="Heading 1 4 5" xfId="9745"/>
    <cellStyle name="Heading 1 40" xfId="9746"/>
    <cellStyle name="Heading 1 41" xfId="9747"/>
    <cellStyle name="Heading 1 42" xfId="9748"/>
    <cellStyle name="Heading 1 43" xfId="9749"/>
    <cellStyle name="Heading 1 44" xfId="9750"/>
    <cellStyle name="Heading 1 45" xfId="9751"/>
    <cellStyle name="Heading 1 46" xfId="9752"/>
    <cellStyle name="Heading 1 47" xfId="9753"/>
    <cellStyle name="Heading 1 48" xfId="9754"/>
    <cellStyle name="Heading 1 49" xfId="9755"/>
    <cellStyle name="Heading 1 5" xfId="9756"/>
    <cellStyle name="Heading 1 5 2" xfId="9757"/>
    <cellStyle name="Heading 1 5 3" xfId="9758"/>
    <cellStyle name="Heading 1 5 4" xfId="9759"/>
    <cellStyle name="Heading 1 5 5" xfId="9760"/>
    <cellStyle name="Heading 1 50" xfId="9761"/>
    <cellStyle name="Heading 1 51" xfId="9762"/>
    <cellStyle name="Heading 1 52" xfId="9763"/>
    <cellStyle name="Heading 1 53" xfId="9764"/>
    <cellStyle name="Heading 1 54" xfId="9765"/>
    <cellStyle name="Heading 1 55" xfId="9766"/>
    <cellStyle name="Heading 1 56" xfId="9767"/>
    <cellStyle name="Heading 1 57" xfId="9768"/>
    <cellStyle name="Heading 1 58" xfId="9769"/>
    <cellStyle name="Heading 1 59" xfId="9770"/>
    <cellStyle name="Heading 1 6" xfId="9771"/>
    <cellStyle name="Heading 1 6 2" xfId="9772"/>
    <cellStyle name="Heading 1 6 3" xfId="9773"/>
    <cellStyle name="Heading 1 6 4" xfId="9774"/>
    <cellStyle name="Heading 1 60" xfId="9775"/>
    <cellStyle name="Heading 1 61" xfId="9776"/>
    <cellStyle name="Heading 1 62" xfId="9777"/>
    <cellStyle name="Heading 1 63" xfId="9778"/>
    <cellStyle name="Heading 1 64" xfId="9779"/>
    <cellStyle name="Heading 1 65" xfId="9780"/>
    <cellStyle name="Heading 1 66" xfId="9781"/>
    <cellStyle name="Heading 1 67" xfId="9782"/>
    <cellStyle name="Heading 1 68" xfId="9783"/>
    <cellStyle name="Heading 1 69" xfId="9784"/>
    <cellStyle name="Heading 1 7" xfId="9785"/>
    <cellStyle name="Heading 1 7 2" xfId="9786"/>
    <cellStyle name="Heading 1 7 3" xfId="9787"/>
    <cellStyle name="Heading 1 7 4" xfId="9788"/>
    <cellStyle name="Heading 1 70" xfId="9789"/>
    <cellStyle name="Heading 1 71" xfId="9790"/>
    <cellStyle name="Heading 1 72" xfId="9791"/>
    <cellStyle name="Heading 1 73" xfId="9792"/>
    <cellStyle name="Heading 1 74" xfId="9793"/>
    <cellStyle name="Heading 1 75" xfId="9794"/>
    <cellStyle name="Heading 1 76" xfId="9795"/>
    <cellStyle name="Heading 1 77" xfId="9796"/>
    <cellStyle name="Heading 1 78" xfId="9797"/>
    <cellStyle name="Heading 1 79" xfId="9798"/>
    <cellStyle name="Heading 1 8" xfId="9799"/>
    <cellStyle name="Heading 1 8 2" xfId="9800"/>
    <cellStyle name="Heading 1 8 3" xfId="9801"/>
    <cellStyle name="Heading 1 8 4" xfId="9802"/>
    <cellStyle name="Heading 1 80" xfId="9803"/>
    <cellStyle name="Heading 1 81" xfId="9804"/>
    <cellStyle name="Heading 1 82" xfId="9805"/>
    <cellStyle name="Heading 1 83" xfId="9806"/>
    <cellStyle name="Heading 1 84" xfId="9807"/>
    <cellStyle name="Heading 1 85" xfId="9808"/>
    <cellStyle name="Heading 1 86" xfId="9809"/>
    <cellStyle name="Heading 1 87" xfId="9810"/>
    <cellStyle name="Heading 1 88" xfId="9811"/>
    <cellStyle name="Heading 1 89" xfId="9812"/>
    <cellStyle name="Heading 1 9" xfId="9813"/>
    <cellStyle name="Heading 1 9 2" xfId="9814"/>
    <cellStyle name="Heading 1 9 3" xfId="9815"/>
    <cellStyle name="Heading 1 9 4" xfId="9816"/>
    <cellStyle name="Heading 1 90" xfId="9817"/>
    <cellStyle name="Heading 1 91" xfId="9818"/>
    <cellStyle name="Heading 1 92" xfId="9819"/>
    <cellStyle name="Heading 1 93" xfId="9820"/>
    <cellStyle name="Heading 1 94" xfId="9821"/>
    <cellStyle name="Heading 1 95" xfId="9822"/>
    <cellStyle name="Heading 1 96" xfId="9823"/>
    <cellStyle name="Heading 1 97" xfId="9824"/>
    <cellStyle name="Heading 1 98" xfId="9825"/>
    <cellStyle name="Heading 1 99" xfId="9826"/>
    <cellStyle name="Heading 2" xfId="9827" builtinId="17" customBuiltin="1"/>
    <cellStyle name="Heading 2 10" xfId="9828"/>
    <cellStyle name="Heading 2 10 2" xfId="9829"/>
    <cellStyle name="Heading 2 10 3" xfId="9830"/>
    <cellStyle name="Heading 2 10 4" xfId="9831"/>
    <cellStyle name="Heading 2 100" xfId="9832"/>
    <cellStyle name="Heading 2 101" xfId="9833"/>
    <cellStyle name="Heading 2 102" xfId="9834"/>
    <cellStyle name="Heading 2 103" xfId="9835"/>
    <cellStyle name="Heading 2 104" xfId="9836"/>
    <cellStyle name="Heading 2 105" xfId="9837"/>
    <cellStyle name="Heading 2 106" xfId="9838"/>
    <cellStyle name="Heading 2 107" xfId="9839"/>
    <cellStyle name="Heading 2 108" xfId="9840"/>
    <cellStyle name="Heading 2 109" xfId="9841"/>
    <cellStyle name="Heading 2 11" xfId="9842"/>
    <cellStyle name="Heading 2 11 2" xfId="9843"/>
    <cellStyle name="Heading 2 110" xfId="9844"/>
    <cellStyle name="Heading 2 111" xfId="9845"/>
    <cellStyle name="Heading 2 112" xfId="9846"/>
    <cellStyle name="Heading 2 113" xfId="9847"/>
    <cellStyle name="Heading 2 114" xfId="9848"/>
    <cellStyle name="Heading 2 115" xfId="9849"/>
    <cellStyle name="Heading 2 116" xfId="9850"/>
    <cellStyle name="Heading 2 117" xfId="9851"/>
    <cellStyle name="Heading 2 118" xfId="9852"/>
    <cellStyle name="Heading 2 119" xfId="9853"/>
    <cellStyle name="Heading 2 12" xfId="9854"/>
    <cellStyle name="Heading 2 12 2" xfId="9855"/>
    <cellStyle name="Heading 2 120" xfId="9856"/>
    <cellStyle name="Heading 2 121" xfId="9857"/>
    <cellStyle name="Heading 2 122" xfId="9858"/>
    <cellStyle name="Heading 2 123" xfId="9859"/>
    <cellStyle name="Heading 2 124" xfId="9860"/>
    <cellStyle name="Heading 2 125" xfId="9861"/>
    <cellStyle name="Heading 2 126" xfId="9862"/>
    <cellStyle name="Heading 2 127" xfId="9863"/>
    <cellStyle name="Heading 2 128" xfId="9864"/>
    <cellStyle name="Heading 2 129" xfId="9865"/>
    <cellStyle name="Heading 2 13" xfId="9866"/>
    <cellStyle name="Heading 2 130" xfId="9867"/>
    <cellStyle name="Heading 2 131" xfId="9868"/>
    <cellStyle name="Heading 2 132" xfId="9869"/>
    <cellStyle name="Heading 2 133" xfId="9870"/>
    <cellStyle name="Heading 2 134" xfId="9871"/>
    <cellStyle name="Heading 2 135" xfId="9872"/>
    <cellStyle name="Heading 2 136" xfId="9873"/>
    <cellStyle name="Heading 2 137" xfId="9874"/>
    <cellStyle name="Heading 2 138" xfId="9875"/>
    <cellStyle name="Heading 2 139" xfId="9876"/>
    <cellStyle name="Heading 2 14" xfId="9877"/>
    <cellStyle name="Heading 2 140" xfId="9878"/>
    <cellStyle name="Heading 2 141" xfId="9879"/>
    <cellStyle name="Heading 2 142" xfId="9880"/>
    <cellStyle name="Heading 2 143" xfId="9881"/>
    <cellStyle name="Heading 2 144" xfId="9882"/>
    <cellStyle name="Heading 2 145" xfId="9883"/>
    <cellStyle name="Heading 2 146" xfId="9884"/>
    <cellStyle name="Heading 2 147" xfId="9885"/>
    <cellStyle name="Heading 2 148" xfId="9886"/>
    <cellStyle name="Heading 2 149" xfId="9887"/>
    <cellStyle name="Heading 2 15" xfId="9888"/>
    <cellStyle name="Heading 2 150" xfId="9889"/>
    <cellStyle name="Heading 2 151" xfId="9890"/>
    <cellStyle name="Heading 2 152" xfId="9891"/>
    <cellStyle name="Heading 2 153" xfId="9892"/>
    <cellStyle name="Heading 2 154" xfId="9893"/>
    <cellStyle name="Heading 2 155" xfId="9894"/>
    <cellStyle name="Heading 2 156" xfId="9895"/>
    <cellStyle name="Heading 2 157" xfId="9896"/>
    <cellStyle name="Heading 2 158" xfId="9897"/>
    <cellStyle name="Heading 2 159" xfId="9898"/>
    <cellStyle name="Heading 2 16" xfId="9899"/>
    <cellStyle name="Heading 2 160" xfId="9900"/>
    <cellStyle name="Heading 2 161" xfId="9901"/>
    <cellStyle name="Heading 2 162" xfId="9902"/>
    <cellStyle name="Heading 2 163" xfId="9903"/>
    <cellStyle name="Heading 2 164" xfId="9904"/>
    <cellStyle name="Heading 2 165" xfId="9905"/>
    <cellStyle name="Heading 2 166" xfId="9906"/>
    <cellStyle name="Heading 2 167" xfId="9907"/>
    <cellStyle name="Heading 2 168" xfId="9908"/>
    <cellStyle name="Heading 2 169" xfId="9909"/>
    <cellStyle name="Heading 2 17" xfId="9910"/>
    <cellStyle name="Heading 2 170" xfId="9911"/>
    <cellStyle name="Heading 2 171" xfId="9912"/>
    <cellStyle name="Heading 2 172" xfId="9913"/>
    <cellStyle name="Heading 2 173" xfId="9914"/>
    <cellStyle name="Heading 2 174" xfId="9915"/>
    <cellStyle name="Heading 2 175" xfId="9916"/>
    <cellStyle name="Heading 2 176" xfId="9917"/>
    <cellStyle name="Heading 2 177" xfId="9918"/>
    <cellStyle name="Heading 2 178" xfId="9919"/>
    <cellStyle name="Heading 2 179" xfId="9920"/>
    <cellStyle name="Heading 2 18" xfId="9921"/>
    <cellStyle name="Heading 2 180" xfId="9922"/>
    <cellStyle name="Heading 2 181" xfId="9923"/>
    <cellStyle name="Heading 2 182" xfId="9924"/>
    <cellStyle name="Heading 2 183" xfId="9925"/>
    <cellStyle name="Heading 2 184" xfId="9926"/>
    <cellStyle name="Heading 2 185" xfId="9927"/>
    <cellStyle name="Heading 2 186" xfId="9928"/>
    <cellStyle name="Heading 2 187" xfId="9929"/>
    <cellStyle name="Heading 2 188" xfId="9930"/>
    <cellStyle name="Heading 2 189" xfId="9931"/>
    <cellStyle name="Heading 2 19" xfId="9932"/>
    <cellStyle name="Heading 2 190" xfId="9933"/>
    <cellStyle name="Heading 2 191" xfId="9934"/>
    <cellStyle name="Heading 2 192" xfId="9935"/>
    <cellStyle name="Heading 2 193" xfId="9936"/>
    <cellStyle name="Heading 2 194" xfId="9937"/>
    <cellStyle name="Heading 2 195" xfId="9938"/>
    <cellStyle name="Heading 2 196" xfId="9939"/>
    <cellStyle name="Heading 2 197" xfId="9940"/>
    <cellStyle name="Heading 2 198" xfId="9941"/>
    <cellStyle name="Heading 2 199" xfId="9942"/>
    <cellStyle name="Heading 2 2" xfId="9943"/>
    <cellStyle name="Heading 2 2 2" xfId="9944"/>
    <cellStyle name="Heading 2 2 2 2" xfId="9945"/>
    <cellStyle name="Heading 2 2 2 3" xfId="9946"/>
    <cellStyle name="Heading 2 2 2 4" xfId="9947"/>
    <cellStyle name="Heading 2 2 2 5" xfId="9948"/>
    <cellStyle name="Heading 2 2 2 6" xfId="9949"/>
    <cellStyle name="Heading 2 2 2 7" xfId="9950"/>
    <cellStyle name="Heading 2 2 3" xfId="9951"/>
    <cellStyle name="Heading 2 2 4" xfId="9952"/>
    <cellStyle name="Heading 2 2 5" xfId="9953"/>
    <cellStyle name="Heading 2 2 6" xfId="9954"/>
    <cellStyle name="Heading 2 2 7" xfId="9955"/>
    <cellStyle name="Heading 2 2 8" xfId="9956"/>
    <cellStyle name="Heading 2 20" xfId="9957"/>
    <cellStyle name="Heading 2 200" xfId="9958"/>
    <cellStyle name="Heading 2 201" xfId="9959"/>
    <cellStyle name="Heading 2 202" xfId="9960"/>
    <cellStyle name="Heading 2 203" xfId="9961"/>
    <cellStyle name="Heading 2 204" xfId="9962"/>
    <cellStyle name="Heading 2 205" xfId="9963"/>
    <cellStyle name="Heading 2 206" xfId="9964"/>
    <cellStyle name="Heading 2 207" xfId="9965"/>
    <cellStyle name="Heading 2 208" xfId="9966"/>
    <cellStyle name="Heading 2 209" xfId="9967"/>
    <cellStyle name="Heading 2 21" xfId="9968"/>
    <cellStyle name="Heading 2 210" xfId="9969"/>
    <cellStyle name="Heading 2 211" xfId="9970"/>
    <cellStyle name="Heading 2 212" xfId="9971"/>
    <cellStyle name="Heading 2 213" xfId="9972"/>
    <cellStyle name="Heading 2 214" xfId="9973"/>
    <cellStyle name="Heading 2 215" xfId="9974"/>
    <cellStyle name="Heading 2 216" xfId="9975"/>
    <cellStyle name="Heading 2 217" xfId="9976"/>
    <cellStyle name="Heading 2 218" xfId="9977"/>
    <cellStyle name="Heading 2 219" xfId="9978"/>
    <cellStyle name="Heading 2 22" xfId="9979"/>
    <cellStyle name="Heading 2 220" xfId="9980"/>
    <cellStyle name="Heading 2 221" xfId="9981"/>
    <cellStyle name="Heading 2 222" xfId="9982"/>
    <cellStyle name="Heading 2 223" xfId="9983"/>
    <cellStyle name="Heading 2 224" xfId="9984"/>
    <cellStyle name="Heading 2 225" xfId="9985"/>
    <cellStyle name="Heading 2 226" xfId="9986"/>
    <cellStyle name="Heading 2 227" xfId="9987"/>
    <cellStyle name="Heading 2 228" xfId="9988"/>
    <cellStyle name="Heading 2 229" xfId="9989"/>
    <cellStyle name="Heading 2 23" xfId="9990"/>
    <cellStyle name="Heading 2 230" xfId="9991"/>
    <cellStyle name="Heading 2 231" xfId="9992"/>
    <cellStyle name="Heading 2 232" xfId="9993"/>
    <cellStyle name="Heading 2 233" xfId="9994"/>
    <cellStyle name="Heading 2 234" xfId="9995"/>
    <cellStyle name="Heading 2 235" xfId="9996"/>
    <cellStyle name="Heading 2 236" xfId="9997"/>
    <cellStyle name="Heading 2 237" xfId="9998"/>
    <cellStyle name="Heading 2 238" xfId="9999"/>
    <cellStyle name="Heading 2 239" xfId="10000"/>
    <cellStyle name="Heading 2 24" xfId="10001"/>
    <cellStyle name="Heading 2 240" xfId="10002"/>
    <cellStyle name="Heading 2 241" xfId="10003"/>
    <cellStyle name="Heading 2 242" xfId="10004"/>
    <cellStyle name="Heading 2 243" xfId="10005"/>
    <cellStyle name="Heading 2 244" xfId="10006"/>
    <cellStyle name="Heading 2 245" xfId="10007"/>
    <cellStyle name="Heading 2 246" xfId="10008"/>
    <cellStyle name="Heading 2 247" xfId="10009"/>
    <cellStyle name="Heading 2 248" xfId="10010"/>
    <cellStyle name="Heading 2 249" xfId="10011"/>
    <cellStyle name="Heading 2 25" xfId="10012"/>
    <cellStyle name="Heading 2 26" xfId="10013"/>
    <cellStyle name="Heading 2 27" xfId="10014"/>
    <cellStyle name="Heading 2 28" xfId="10015"/>
    <cellStyle name="Heading 2 29" xfId="10016"/>
    <cellStyle name="Heading 2 3" xfId="10017"/>
    <cellStyle name="Heading 2 3 2" xfId="10018"/>
    <cellStyle name="Heading 2 30" xfId="10019"/>
    <cellStyle name="Heading 2 31" xfId="10020"/>
    <cellStyle name="Heading 2 32" xfId="10021"/>
    <cellStyle name="Heading 2 33" xfId="10022"/>
    <cellStyle name="Heading 2 34" xfId="10023"/>
    <cellStyle name="Heading 2 35" xfId="10024"/>
    <cellStyle name="Heading 2 36" xfId="10025"/>
    <cellStyle name="Heading 2 37" xfId="10026"/>
    <cellStyle name="Heading 2 38" xfId="10027"/>
    <cellStyle name="Heading 2 39" xfId="10028"/>
    <cellStyle name="Heading 2 4" xfId="10029"/>
    <cellStyle name="Heading 2 4 2" xfId="10030"/>
    <cellStyle name="Heading 2 4 3" xfId="10031"/>
    <cellStyle name="Heading 2 4 4" xfId="10032"/>
    <cellStyle name="Heading 2 4 5" xfId="10033"/>
    <cellStyle name="Heading 2 40" xfId="10034"/>
    <cellStyle name="Heading 2 41" xfId="10035"/>
    <cellStyle name="Heading 2 42" xfId="10036"/>
    <cellStyle name="Heading 2 43" xfId="10037"/>
    <cellStyle name="Heading 2 44" xfId="10038"/>
    <cellStyle name="Heading 2 45" xfId="10039"/>
    <cellStyle name="Heading 2 46" xfId="10040"/>
    <cellStyle name="Heading 2 47" xfId="10041"/>
    <cellStyle name="Heading 2 48" xfId="10042"/>
    <cellStyle name="Heading 2 49" xfId="10043"/>
    <cellStyle name="Heading 2 5" xfId="10044"/>
    <cellStyle name="Heading 2 5 2" xfId="10045"/>
    <cellStyle name="Heading 2 5 3" xfId="10046"/>
    <cellStyle name="Heading 2 5 4" xfId="10047"/>
    <cellStyle name="Heading 2 5 5" xfId="10048"/>
    <cellStyle name="Heading 2 50" xfId="10049"/>
    <cellStyle name="Heading 2 51" xfId="10050"/>
    <cellStyle name="Heading 2 52" xfId="10051"/>
    <cellStyle name="Heading 2 53" xfId="10052"/>
    <cellStyle name="Heading 2 54" xfId="10053"/>
    <cellStyle name="Heading 2 55" xfId="10054"/>
    <cellStyle name="Heading 2 56" xfId="10055"/>
    <cellStyle name="Heading 2 57" xfId="10056"/>
    <cellStyle name="Heading 2 58" xfId="10057"/>
    <cellStyle name="Heading 2 59" xfId="10058"/>
    <cellStyle name="Heading 2 6" xfId="10059"/>
    <cellStyle name="Heading 2 6 2" xfId="10060"/>
    <cellStyle name="Heading 2 6 3" xfId="10061"/>
    <cellStyle name="Heading 2 6 4" xfId="10062"/>
    <cellStyle name="Heading 2 60" xfId="10063"/>
    <cellStyle name="Heading 2 61" xfId="10064"/>
    <cellStyle name="Heading 2 62" xfId="10065"/>
    <cellStyle name="Heading 2 63" xfId="10066"/>
    <cellStyle name="Heading 2 64" xfId="10067"/>
    <cellStyle name="Heading 2 65" xfId="10068"/>
    <cellStyle name="Heading 2 66" xfId="10069"/>
    <cellStyle name="Heading 2 67" xfId="10070"/>
    <cellStyle name="Heading 2 68" xfId="10071"/>
    <cellStyle name="Heading 2 69" xfId="10072"/>
    <cellStyle name="Heading 2 7" xfId="10073"/>
    <cellStyle name="Heading 2 7 2" xfId="10074"/>
    <cellStyle name="Heading 2 7 3" xfId="10075"/>
    <cellStyle name="Heading 2 7 4" xfId="10076"/>
    <cellStyle name="Heading 2 70" xfId="10077"/>
    <cellStyle name="Heading 2 71" xfId="10078"/>
    <cellStyle name="Heading 2 72" xfId="10079"/>
    <cellStyle name="Heading 2 73" xfId="10080"/>
    <cellStyle name="Heading 2 74" xfId="10081"/>
    <cellStyle name="Heading 2 75" xfId="10082"/>
    <cellStyle name="Heading 2 76" xfId="10083"/>
    <cellStyle name="Heading 2 77" xfId="10084"/>
    <cellStyle name="Heading 2 78" xfId="10085"/>
    <cellStyle name="Heading 2 79" xfId="10086"/>
    <cellStyle name="Heading 2 8" xfId="10087"/>
    <cellStyle name="Heading 2 8 2" xfId="10088"/>
    <cellStyle name="Heading 2 8 3" xfId="10089"/>
    <cellStyle name="Heading 2 8 4" xfId="10090"/>
    <cellStyle name="Heading 2 80" xfId="10091"/>
    <cellStyle name="Heading 2 81" xfId="10092"/>
    <cellStyle name="Heading 2 82" xfId="10093"/>
    <cellStyle name="Heading 2 83" xfId="10094"/>
    <cellStyle name="Heading 2 84" xfId="10095"/>
    <cellStyle name="Heading 2 85" xfId="10096"/>
    <cellStyle name="Heading 2 86" xfId="10097"/>
    <cellStyle name="Heading 2 87" xfId="10098"/>
    <cellStyle name="Heading 2 88" xfId="10099"/>
    <cellStyle name="Heading 2 89" xfId="10100"/>
    <cellStyle name="Heading 2 9" xfId="10101"/>
    <cellStyle name="Heading 2 9 2" xfId="10102"/>
    <cellStyle name="Heading 2 9 3" xfId="10103"/>
    <cellStyle name="Heading 2 9 4" xfId="10104"/>
    <cellStyle name="Heading 2 90" xfId="10105"/>
    <cellStyle name="Heading 2 91" xfId="10106"/>
    <cellStyle name="Heading 2 92" xfId="10107"/>
    <cellStyle name="Heading 2 93" xfId="10108"/>
    <cellStyle name="Heading 2 94" xfId="10109"/>
    <cellStyle name="Heading 2 95" xfId="10110"/>
    <cellStyle name="Heading 2 96" xfId="10111"/>
    <cellStyle name="Heading 2 97" xfId="10112"/>
    <cellStyle name="Heading 2 98" xfId="10113"/>
    <cellStyle name="Heading 2 99" xfId="10114"/>
    <cellStyle name="Heading 3" xfId="10115" builtinId="18" customBuiltin="1"/>
    <cellStyle name="Heading 3 10" xfId="10116"/>
    <cellStyle name="Heading 3 10 2" xfId="10117"/>
    <cellStyle name="Heading 3 10 3" xfId="10118"/>
    <cellStyle name="Heading 3 10 4" xfId="10119"/>
    <cellStyle name="Heading 3 100" xfId="10120"/>
    <cellStyle name="Heading 3 101" xfId="10121"/>
    <cellStyle name="Heading 3 102" xfId="10122"/>
    <cellStyle name="Heading 3 103" xfId="10123"/>
    <cellStyle name="Heading 3 104" xfId="10124"/>
    <cellStyle name="Heading 3 105" xfId="10125"/>
    <cellStyle name="Heading 3 106" xfId="10126"/>
    <cellStyle name="Heading 3 107" xfId="10127"/>
    <cellStyle name="Heading 3 108" xfId="10128"/>
    <cellStyle name="Heading 3 109" xfId="10129"/>
    <cellStyle name="Heading 3 11" xfId="10130"/>
    <cellStyle name="Heading 3 11 2" xfId="10131"/>
    <cellStyle name="Heading 3 110" xfId="10132"/>
    <cellStyle name="Heading 3 111" xfId="10133"/>
    <cellStyle name="Heading 3 112" xfId="10134"/>
    <cellStyle name="Heading 3 113" xfId="10135"/>
    <cellStyle name="Heading 3 114" xfId="10136"/>
    <cellStyle name="Heading 3 115" xfId="10137"/>
    <cellStyle name="Heading 3 116" xfId="10138"/>
    <cellStyle name="Heading 3 117" xfId="10139"/>
    <cellStyle name="Heading 3 118" xfId="10140"/>
    <cellStyle name="Heading 3 119" xfId="10141"/>
    <cellStyle name="Heading 3 12" xfId="10142"/>
    <cellStyle name="Heading 3 12 2" xfId="10143"/>
    <cellStyle name="Heading 3 120" xfId="10144"/>
    <cellStyle name="Heading 3 121" xfId="10145"/>
    <cellStyle name="Heading 3 122" xfId="10146"/>
    <cellStyle name="Heading 3 123" xfId="10147"/>
    <cellStyle name="Heading 3 124" xfId="10148"/>
    <cellStyle name="Heading 3 125" xfId="10149"/>
    <cellStyle name="Heading 3 126" xfId="10150"/>
    <cellStyle name="Heading 3 127" xfId="10151"/>
    <cellStyle name="Heading 3 128" xfId="10152"/>
    <cellStyle name="Heading 3 129" xfId="10153"/>
    <cellStyle name="Heading 3 13" xfId="10154"/>
    <cellStyle name="Heading 3 130" xfId="10155"/>
    <cellStyle name="Heading 3 131" xfId="10156"/>
    <cellStyle name="Heading 3 132" xfId="10157"/>
    <cellStyle name="Heading 3 133" xfId="10158"/>
    <cellStyle name="Heading 3 134" xfId="10159"/>
    <cellStyle name="Heading 3 135" xfId="10160"/>
    <cellStyle name="Heading 3 136" xfId="10161"/>
    <cellStyle name="Heading 3 137" xfId="10162"/>
    <cellStyle name="Heading 3 138" xfId="10163"/>
    <cellStyle name="Heading 3 139" xfId="10164"/>
    <cellStyle name="Heading 3 14" xfId="10165"/>
    <cellStyle name="Heading 3 140" xfId="10166"/>
    <cellStyle name="Heading 3 141" xfId="10167"/>
    <cellStyle name="Heading 3 142" xfId="10168"/>
    <cellStyle name="Heading 3 143" xfId="10169"/>
    <cellStyle name="Heading 3 144" xfId="10170"/>
    <cellStyle name="Heading 3 145" xfId="10171"/>
    <cellStyle name="Heading 3 146" xfId="10172"/>
    <cellStyle name="Heading 3 147" xfId="10173"/>
    <cellStyle name="Heading 3 148" xfId="10174"/>
    <cellStyle name="Heading 3 149" xfId="10175"/>
    <cellStyle name="Heading 3 15" xfId="10176"/>
    <cellStyle name="Heading 3 150" xfId="10177"/>
    <cellStyle name="Heading 3 151" xfId="10178"/>
    <cellStyle name="Heading 3 152" xfId="10179"/>
    <cellStyle name="Heading 3 153" xfId="10180"/>
    <cellStyle name="Heading 3 154" xfId="10181"/>
    <cellStyle name="Heading 3 155" xfId="10182"/>
    <cellStyle name="Heading 3 156" xfId="10183"/>
    <cellStyle name="Heading 3 157" xfId="10184"/>
    <cellStyle name="Heading 3 158" xfId="10185"/>
    <cellStyle name="Heading 3 159" xfId="10186"/>
    <cellStyle name="Heading 3 16" xfId="10187"/>
    <cellStyle name="Heading 3 160" xfId="10188"/>
    <cellStyle name="Heading 3 161" xfId="10189"/>
    <cellStyle name="Heading 3 162" xfId="10190"/>
    <cellStyle name="Heading 3 163" xfId="10191"/>
    <cellStyle name="Heading 3 164" xfId="10192"/>
    <cellStyle name="Heading 3 165" xfId="10193"/>
    <cellStyle name="Heading 3 166" xfId="10194"/>
    <cellStyle name="Heading 3 167" xfId="10195"/>
    <cellStyle name="Heading 3 168" xfId="10196"/>
    <cellStyle name="Heading 3 169" xfId="10197"/>
    <cellStyle name="Heading 3 17" xfId="10198"/>
    <cellStyle name="Heading 3 170" xfId="10199"/>
    <cellStyle name="Heading 3 171" xfId="10200"/>
    <cellStyle name="Heading 3 172" xfId="10201"/>
    <cellStyle name="Heading 3 173" xfId="10202"/>
    <cellStyle name="Heading 3 174" xfId="10203"/>
    <cellStyle name="Heading 3 175" xfId="10204"/>
    <cellStyle name="Heading 3 176" xfId="10205"/>
    <cellStyle name="Heading 3 177" xfId="10206"/>
    <cellStyle name="Heading 3 178" xfId="10207"/>
    <cellStyle name="Heading 3 179" xfId="10208"/>
    <cellStyle name="Heading 3 18" xfId="10209"/>
    <cellStyle name="Heading 3 180" xfId="10210"/>
    <cellStyle name="Heading 3 181" xfId="10211"/>
    <cellStyle name="Heading 3 182" xfId="10212"/>
    <cellStyle name="Heading 3 183" xfId="10213"/>
    <cellStyle name="Heading 3 184" xfId="10214"/>
    <cellStyle name="Heading 3 185" xfId="10215"/>
    <cellStyle name="Heading 3 186" xfId="10216"/>
    <cellStyle name="Heading 3 187" xfId="10217"/>
    <cellStyle name="Heading 3 188" xfId="10218"/>
    <cellStyle name="Heading 3 189" xfId="10219"/>
    <cellStyle name="Heading 3 19" xfId="10220"/>
    <cellStyle name="Heading 3 190" xfId="10221"/>
    <cellStyle name="Heading 3 191" xfId="10222"/>
    <cellStyle name="Heading 3 192" xfId="10223"/>
    <cellStyle name="Heading 3 193" xfId="10224"/>
    <cellStyle name="Heading 3 194" xfId="10225"/>
    <cellStyle name="Heading 3 195" xfId="10226"/>
    <cellStyle name="Heading 3 196" xfId="10227"/>
    <cellStyle name="Heading 3 197" xfId="10228"/>
    <cellStyle name="Heading 3 198" xfId="10229"/>
    <cellStyle name="Heading 3 199" xfId="10230"/>
    <cellStyle name="Heading 3 2" xfId="10231"/>
    <cellStyle name="Heading 3 2 2" xfId="10232"/>
    <cellStyle name="Heading 3 2 2 2" xfId="10233"/>
    <cellStyle name="Heading 3 2 2 3" xfId="10234"/>
    <cellStyle name="Heading 3 2 2 4" xfId="10235"/>
    <cellStyle name="Heading 3 2 2 5" xfId="10236"/>
    <cellStyle name="Heading 3 2 2 6" xfId="10237"/>
    <cellStyle name="Heading 3 2 2 7" xfId="10238"/>
    <cellStyle name="Heading 3 2 3" xfId="10239"/>
    <cellStyle name="Heading 3 2 4" xfId="10240"/>
    <cellStyle name="Heading 3 2 5" xfId="10241"/>
    <cellStyle name="Heading 3 2 6" xfId="10242"/>
    <cellStyle name="Heading 3 2 7" xfId="10243"/>
    <cellStyle name="Heading 3 2 8" xfId="10244"/>
    <cellStyle name="Heading 3 20" xfId="10245"/>
    <cellStyle name="Heading 3 200" xfId="10246"/>
    <cellStyle name="Heading 3 201" xfId="10247"/>
    <cellStyle name="Heading 3 202" xfId="10248"/>
    <cellStyle name="Heading 3 203" xfId="10249"/>
    <cellStyle name="Heading 3 204" xfId="10250"/>
    <cellStyle name="Heading 3 205" xfId="10251"/>
    <cellStyle name="Heading 3 206" xfId="10252"/>
    <cellStyle name="Heading 3 207" xfId="10253"/>
    <cellStyle name="Heading 3 208" xfId="10254"/>
    <cellStyle name="Heading 3 209" xfId="10255"/>
    <cellStyle name="Heading 3 21" xfId="10256"/>
    <cellStyle name="Heading 3 210" xfId="10257"/>
    <cellStyle name="Heading 3 211" xfId="10258"/>
    <cellStyle name="Heading 3 212" xfId="10259"/>
    <cellStyle name="Heading 3 213" xfId="10260"/>
    <cellStyle name="Heading 3 214" xfId="10261"/>
    <cellStyle name="Heading 3 215" xfId="10262"/>
    <cellStyle name="Heading 3 216" xfId="10263"/>
    <cellStyle name="Heading 3 217" xfId="10264"/>
    <cellStyle name="Heading 3 218" xfId="10265"/>
    <cellStyle name="Heading 3 219" xfId="10266"/>
    <cellStyle name="Heading 3 22" xfId="10267"/>
    <cellStyle name="Heading 3 220" xfId="10268"/>
    <cellStyle name="Heading 3 221" xfId="10269"/>
    <cellStyle name="Heading 3 222" xfId="10270"/>
    <cellStyle name="Heading 3 223" xfId="10271"/>
    <cellStyle name="Heading 3 224" xfId="10272"/>
    <cellStyle name="Heading 3 225" xfId="10273"/>
    <cellStyle name="Heading 3 226" xfId="10274"/>
    <cellStyle name="Heading 3 227" xfId="10275"/>
    <cellStyle name="Heading 3 228" xfId="10276"/>
    <cellStyle name="Heading 3 229" xfId="10277"/>
    <cellStyle name="Heading 3 23" xfId="10278"/>
    <cellStyle name="Heading 3 230" xfId="10279"/>
    <cellStyle name="Heading 3 231" xfId="10280"/>
    <cellStyle name="Heading 3 232" xfId="10281"/>
    <cellStyle name="Heading 3 233" xfId="10282"/>
    <cellStyle name="Heading 3 234" xfId="10283"/>
    <cellStyle name="Heading 3 235" xfId="10284"/>
    <cellStyle name="Heading 3 236" xfId="10285"/>
    <cellStyle name="Heading 3 237" xfId="10286"/>
    <cellStyle name="Heading 3 238" xfId="10287"/>
    <cellStyle name="Heading 3 239" xfId="10288"/>
    <cellStyle name="Heading 3 24" xfId="10289"/>
    <cellStyle name="Heading 3 240" xfId="10290"/>
    <cellStyle name="Heading 3 241" xfId="10291"/>
    <cellStyle name="Heading 3 242" xfId="10292"/>
    <cellStyle name="Heading 3 243" xfId="10293"/>
    <cellStyle name="Heading 3 244" xfId="10294"/>
    <cellStyle name="Heading 3 245" xfId="10295"/>
    <cellStyle name="Heading 3 246" xfId="10296"/>
    <cellStyle name="Heading 3 247" xfId="10297"/>
    <cellStyle name="Heading 3 248" xfId="10298"/>
    <cellStyle name="Heading 3 249" xfId="10299"/>
    <cellStyle name="Heading 3 25" xfId="10300"/>
    <cellStyle name="Heading 3 26" xfId="10301"/>
    <cellStyle name="Heading 3 27" xfId="10302"/>
    <cellStyle name="Heading 3 28" xfId="10303"/>
    <cellStyle name="Heading 3 29" xfId="10304"/>
    <cellStyle name="Heading 3 3" xfId="10305"/>
    <cellStyle name="Heading 3 3 2" xfId="10306"/>
    <cellStyle name="Heading 3 30" xfId="10307"/>
    <cellStyle name="Heading 3 31" xfId="10308"/>
    <cellStyle name="Heading 3 32" xfId="10309"/>
    <cellStyle name="Heading 3 33" xfId="10310"/>
    <cellStyle name="Heading 3 34" xfId="10311"/>
    <cellStyle name="Heading 3 35" xfId="10312"/>
    <cellStyle name="Heading 3 36" xfId="10313"/>
    <cellStyle name="Heading 3 37" xfId="10314"/>
    <cellStyle name="Heading 3 38" xfId="10315"/>
    <cellStyle name="Heading 3 39" xfId="10316"/>
    <cellStyle name="Heading 3 4" xfId="10317"/>
    <cellStyle name="Heading 3 4 2" xfId="10318"/>
    <cellStyle name="Heading 3 4 3" xfId="10319"/>
    <cellStyle name="Heading 3 4 4" xfId="10320"/>
    <cellStyle name="Heading 3 4 5" xfId="10321"/>
    <cellStyle name="Heading 3 40" xfId="10322"/>
    <cellStyle name="Heading 3 41" xfId="10323"/>
    <cellStyle name="Heading 3 42" xfId="10324"/>
    <cellStyle name="Heading 3 43" xfId="10325"/>
    <cellStyle name="Heading 3 44" xfId="10326"/>
    <cellStyle name="Heading 3 45" xfId="10327"/>
    <cellStyle name="Heading 3 46" xfId="10328"/>
    <cellStyle name="Heading 3 47" xfId="10329"/>
    <cellStyle name="Heading 3 48" xfId="10330"/>
    <cellStyle name="Heading 3 49" xfId="10331"/>
    <cellStyle name="Heading 3 5" xfId="10332"/>
    <cellStyle name="Heading 3 5 2" xfId="10333"/>
    <cellStyle name="Heading 3 5 3" xfId="10334"/>
    <cellStyle name="Heading 3 5 4" xfId="10335"/>
    <cellStyle name="Heading 3 5 5" xfId="10336"/>
    <cellStyle name="Heading 3 50" xfId="10337"/>
    <cellStyle name="Heading 3 51" xfId="10338"/>
    <cellStyle name="Heading 3 52" xfId="10339"/>
    <cellStyle name="Heading 3 53" xfId="10340"/>
    <cellStyle name="Heading 3 54" xfId="10341"/>
    <cellStyle name="Heading 3 55" xfId="10342"/>
    <cellStyle name="Heading 3 56" xfId="10343"/>
    <cellStyle name="Heading 3 57" xfId="10344"/>
    <cellStyle name="Heading 3 58" xfId="10345"/>
    <cellStyle name="Heading 3 59" xfId="10346"/>
    <cellStyle name="Heading 3 6" xfId="10347"/>
    <cellStyle name="Heading 3 6 2" xfId="10348"/>
    <cellStyle name="Heading 3 6 3" xfId="10349"/>
    <cellStyle name="Heading 3 6 4" xfId="10350"/>
    <cellStyle name="Heading 3 60" xfId="10351"/>
    <cellStyle name="Heading 3 61" xfId="10352"/>
    <cellStyle name="Heading 3 62" xfId="10353"/>
    <cellStyle name="Heading 3 63" xfId="10354"/>
    <cellStyle name="Heading 3 64" xfId="10355"/>
    <cellStyle name="Heading 3 65" xfId="10356"/>
    <cellStyle name="Heading 3 66" xfId="10357"/>
    <cellStyle name="Heading 3 67" xfId="10358"/>
    <cellStyle name="Heading 3 68" xfId="10359"/>
    <cellStyle name="Heading 3 69" xfId="10360"/>
    <cellStyle name="Heading 3 7" xfId="10361"/>
    <cellStyle name="Heading 3 7 2" xfId="10362"/>
    <cellStyle name="Heading 3 7 3" xfId="10363"/>
    <cellStyle name="Heading 3 7 4" xfId="10364"/>
    <cellStyle name="Heading 3 70" xfId="10365"/>
    <cellStyle name="Heading 3 71" xfId="10366"/>
    <cellStyle name="Heading 3 72" xfId="10367"/>
    <cellStyle name="Heading 3 73" xfId="10368"/>
    <cellStyle name="Heading 3 74" xfId="10369"/>
    <cellStyle name="Heading 3 75" xfId="10370"/>
    <cellStyle name="Heading 3 76" xfId="10371"/>
    <cellStyle name="Heading 3 77" xfId="10372"/>
    <cellStyle name="Heading 3 78" xfId="10373"/>
    <cellStyle name="Heading 3 79" xfId="10374"/>
    <cellStyle name="Heading 3 8" xfId="10375"/>
    <cellStyle name="Heading 3 8 2" xfId="10376"/>
    <cellStyle name="Heading 3 8 3" xfId="10377"/>
    <cellStyle name="Heading 3 8 4" xfId="10378"/>
    <cellStyle name="Heading 3 80" xfId="10379"/>
    <cellStyle name="Heading 3 81" xfId="10380"/>
    <cellStyle name="Heading 3 82" xfId="10381"/>
    <cellStyle name="Heading 3 83" xfId="10382"/>
    <cellStyle name="Heading 3 84" xfId="10383"/>
    <cellStyle name="Heading 3 85" xfId="10384"/>
    <cellStyle name="Heading 3 86" xfId="10385"/>
    <cellStyle name="Heading 3 87" xfId="10386"/>
    <cellStyle name="Heading 3 88" xfId="10387"/>
    <cellStyle name="Heading 3 89" xfId="10388"/>
    <cellStyle name="Heading 3 9" xfId="10389"/>
    <cellStyle name="Heading 3 9 2" xfId="10390"/>
    <cellStyle name="Heading 3 9 3" xfId="10391"/>
    <cellStyle name="Heading 3 9 4" xfId="10392"/>
    <cellStyle name="Heading 3 90" xfId="10393"/>
    <cellStyle name="Heading 3 91" xfId="10394"/>
    <cellStyle name="Heading 3 92" xfId="10395"/>
    <cellStyle name="Heading 3 93" xfId="10396"/>
    <cellStyle name="Heading 3 94" xfId="10397"/>
    <cellStyle name="Heading 3 95" xfId="10398"/>
    <cellStyle name="Heading 3 96" xfId="10399"/>
    <cellStyle name="Heading 3 97" xfId="10400"/>
    <cellStyle name="Heading 3 98" xfId="10401"/>
    <cellStyle name="Heading 3 99" xfId="10402"/>
    <cellStyle name="Heading 4" xfId="10403" builtinId="19" customBuiltin="1"/>
    <cellStyle name="Heading 4 10" xfId="10404"/>
    <cellStyle name="Heading 4 10 2" xfId="10405"/>
    <cellStyle name="Heading 4 10 3" xfId="10406"/>
    <cellStyle name="Heading 4 10 4" xfId="10407"/>
    <cellStyle name="Heading 4 100" xfId="10408"/>
    <cellStyle name="Heading 4 101" xfId="10409"/>
    <cellStyle name="Heading 4 102" xfId="10410"/>
    <cellStyle name="Heading 4 103" xfId="10411"/>
    <cellStyle name="Heading 4 104" xfId="10412"/>
    <cellStyle name="Heading 4 105" xfId="10413"/>
    <cellStyle name="Heading 4 106" xfId="10414"/>
    <cellStyle name="Heading 4 107" xfId="10415"/>
    <cellStyle name="Heading 4 108" xfId="10416"/>
    <cellStyle name="Heading 4 109" xfId="10417"/>
    <cellStyle name="Heading 4 11" xfId="10418"/>
    <cellStyle name="Heading 4 11 2" xfId="10419"/>
    <cellStyle name="Heading 4 110" xfId="10420"/>
    <cellStyle name="Heading 4 111" xfId="10421"/>
    <cellStyle name="Heading 4 112" xfId="10422"/>
    <cellStyle name="Heading 4 113" xfId="10423"/>
    <cellStyle name="Heading 4 114" xfId="10424"/>
    <cellStyle name="Heading 4 115" xfId="10425"/>
    <cellStyle name="Heading 4 116" xfId="10426"/>
    <cellStyle name="Heading 4 117" xfId="10427"/>
    <cellStyle name="Heading 4 118" xfId="10428"/>
    <cellStyle name="Heading 4 119" xfId="10429"/>
    <cellStyle name="Heading 4 12" xfId="10430"/>
    <cellStyle name="Heading 4 12 2" xfId="10431"/>
    <cellStyle name="Heading 4 120" xfId="10432"/>
    <cellStyle name="Heading 4 121" xfId="10433"/>
    <cellStyle name="Heading 4 122" xfId="10434"/>
    <cellStyle name="Heading 4 123" xfId="10435"/>
    <cellStyle name="Heading 4 124" xfId="10436"/>
    <cellStyle name="Heading 4 125" xfId="10437"/>
    <cellStyle name="Heading 4 126" xfId="10438"/>
    <cellStyle name="Heading 4 127" xfId="10439"/>
    <cellStyle name="Heading 4 128" xfId="10440"/>
    <cellStyle name="Heading 4 129" xfId="10441"/>
    <cellStyle name="Heading 4 13" xfId="10442"/>
    <cellStyle name="Heading 4 130" xfId="10443"/>
    <cellStyle name="Heading 4 131" xfId="10444"/>
    <cellStyle name="Heading 4 132" xfId="10445"/>
    <cellStyle name="Heading 4 133" xfId="10446"/>
    <cellStyle name="Heading 4 134" xfId="10447"/>
    <cellStyle name="Heading 4 135" xfId="10448"/>
    <cellStyle name="Heading 4 136" xfId="10449"/>
    <cellStyle name="Heading 4 137" xfId="10450"/>
    <cellStyle name="Heading 4 138" xfId="10451"/>
    <cellStyle name="Heading 4 139" xfId="10452"/>
    <cellStyle name="Heading 4 14" xfId="10453"/>
    <cellStyle name="Heading 4 140" xfId="10454"/>
    <cellStyle name="Heading 4 141" xfId="10455"/>
    <cellStyle name="Heading 4 142" xfId="10456"/>
    <cellStyle name="Heading 4 143" xfId="10457"/>
    <cellStyle name="Heading 4 144" xfId="10458"/>
    <cellStyle name="Heading 4 145" xfId="10459"/>
    <cellStyle name="Heading 4 146" xfId="10460"/>
    <cellStyle name="Heading 4 147" xfId="10461"/>
    <cellStyle name="Heading 4 148" xfId="10462"/>
    <cellStyle name="Heading 4 149" xfId="10463"/>
    <cellStyle name="Heading 4 15" xfId="10464"/>
    <cellStyle name="Heading 4 150" xfId="10465"/>
    <cellStyle name="Heading 4 151" xfId="10466"/>
    <cellStyle name="Heading 4 152" xfId="10467"/>
    <cellStyle name="Heading 4 153" xfId="10468"/>
    <cellStyle name="Heading 4 154" xfId="10469"/>
    <cellStyle name="Heading 4 155" xfId="10470"/>
    <cellStyle name="Heading 4 156" xfId="10471"/>
    <cellStyle name="Heading 4 157" xfId="10472"/>
    <cellStyle name="Heading 4 158" xfId="10473"/>
    <cellStyle name="Heading 4 159" xfId="10474"/>
    <cellStyle name="Heading 4 16" xfId="10475"/>
    <cellStyle name="Heading 4 160" xfId="10476"/>
    <cellStyle name="Heading 4 161" xfId="10477"/>
    <cellStyle name="Heading 4 162" xfId="10478"/>
    <cellStyle name="Heading 4 163" xfId="10479"/>
    <cellStyle name="Heading 4 164" xfId="10480"/>
    <cellStyle name="Heading 4 165" xfId="10481"/>
    <cellStyle name="Heading 4 166" xfId="10482"/>
    <cellStyle name="Heading 4 167" xfId="10483"/>
    <cellStyle name="Heading 4 168" xfId="10484"/>
    <cellStyle name="Heading 4 169" xfId="10485"/>
    <cellStyle name="Heading 4 17" xfId="10486"/>
    <cellStyle name="Heading 4 170" xfId="10487"/>
    <cellStyle name="Heading 4 171" xfId="10488"/>
    <cellStyle name="Heading 4 172" xfId="10489"/>
    <cellStyle name="Heading 4 173" xfId="10490"/>
    <cellStyle name="Heading 4 174" xfId="10491"/>
    <cellStyle name="Heading 4 175" xfId="10492"/>
    <cellStyle name="Heading 4 176" xfId="10493"/>
    <cellStyle name="Heading 4 177" xfId="10494"/>
    <cellStyle name="Heading 4 178" xfId="10495"/>
    <cellStyle name="Heading 4 179" xfId="10496"/>
    <cellStyle name="Heading 4 18" xfId="10497"/>
    <cellStyle name="Heading 4 180" xfId="10498"/>
    <cellStyle name="Heading 4 181" xfId="10499"/>
    <cellStyle name="Heading 4 182" xfId="10500"/>
    <cellStyle name="Heading 4 183" xfId="10501"/>
    <cellStyle name="Heading 4 184" xfId="10502"/>
    <cellStyle name="Heading 4 185" xfId="10503"/>
    <cellStyle name="Heading 4 186" xfId="10504"/>
    <cellStyle name="Heading 4 187" xfId="10505"/>
    <cellStyle name="Heading 4 188" xfId="10506"/>
    <cellStyle name="Heading 4 189" xfId="10507"/>
    <cellStyle name="Heading 4 19" xfId="10508"/>
    <cellStyle name="Heading 4 190" xfId="10509"/>
    <cellStyle name="Heading 4 191" xfId="10510"/>
    <cellStyle name="Heading 4 192" xfId="10511"/>
    <cellStyle name="Heading 4 193" xfId="10512"/>
    <cellStyle name="Heading 4 194" xfId="10513"/>
    <cellStyle name="Heading 4 195" xfId="10514"/>
    <cellStyle name="Heading 4 196" xfId="10515"/>
    <cellStyle name="Heading 4 197" xfId="10516"/>
    <cellStyle name="Heading 4 198" xfId="10517"/>
    <cellStyle name="Heading 4 199" xfId="10518"/>
    <cellStyle name="Heading 4 2" xfId="10519"/>
    <cellStyle name="Heading 4 2 2" xfId="10520"/>
    <cellStyle name="Heading 4 2 2 2" xfId="10521"/>
    <cellStyle name="Heading 4 2 2 3" xfId="10522"/>
    <cellStyle name="Heading 4 2 2 4" xfId="10523"/>
    <cellStyle name="Heading 4 2 2 5" xfId="10524"/>
    <cellStyle name="Heading 4 2 2 6" xfId="10525"/>
    <cellStyle name="Heading 4 2 2 7" xfId="10526"/>
    <cellStyle name="Heading 4 2 3" xfId="10527"/>
    <cellStyle name="Heading 4 2 4" xfId="10528"/>
    <cellStyle name="Heading 4 2 5" xfId="10529"/>
    <cellStyle name="Heading 4 2 6" xfId="10530"/>
    <cellStyle name="Heading 4 2 7" xfId="10531"/>
    <cellStyle name="Heading 4 2 8" xfId="10532"/>
    <cellStyle name="Heading 4 20" xfId="10533"/>
    <cellStyle name="Heading 4 200" xfId="10534"/>
    <cellStyle name="Heading 4 201" xfId="10535"/>
    <cellStyle name="Heading 4 202" xfId="10536"/>
    <cellStyle name="Heading 4 203" xfId="10537"/>
    <cellStyle name="Heading 4 204" xfId="10538"/>
    <cellStyle name="Heading 4 205" xfId="10539"/>
    <cellStyle name="Heading 4 206" xfId="10540"/>
    <cellStyle name="Heading 4 207" xfId="10541"/>
    <cellStyle name="Heading 4 208" xfId="10542"/>
    <cellStyle name="Heading 4 209" xfId="10543"/>
    <cellStyle name="Heading 4 21" xfId="10544"/>
    <cellStyle name="Heading 4 210" xfId="10545"/>
    <cellStyle name="Heading 4 211" xfId="10546"/>
    <cellStyle name="Heading 4 212" xfId="10547"/>
    <cellStyle name="Heading 4 213" xfId="10548"/>
    <cellStyle name="Heading 4 214" xfId="10549"/>
    <cellStyle name="Heading 4 215" xfId="10550"/>
    <cellStyle name="Heading 4 216" xfId="10551"/>
    <cellStyle name="Heading 4 217" xfId="10552"/>
    <cellStyle name="Heading 4 218" xfId="10553"/>
    <cellStyle name="Heading 4 219" xfId="10554"/>
    <cellStyle name="Heading 4 22" xfId="10555"/>
    <cellStyle name="Heading 4 220" xfId="10556"/>
    <cellStyle name="Heading 4 221" xfId="10557"/>
    <cellStyle name="Heading 4 222" xfId="10558"/>
    <cellStyle name="Heading 4 223" xfId="10559"/>
    <cellStyle name="Heading 4 224" xfId="10560"/>
    <cellStyle name="Heading 4 225" xfId="10561"/>
    <cellStyle name="Heading 4 226" xfId="10562"/>
    <cellStyle name="Heading 4 227" xfId="10563"/>
    <cellStyle name="Heading 4 228" xfId="10564"/>
    <cellStyle name="Heading 4 229" xfId="10565"/>
    <cellStyle name="Heading 4 23" xfId="10566"/>
    <cellStyle name="Heading 4 230" xfId="10567"/>
    <cellStyle name="Heading 4 231" xfId="10568"/>
    <cellStyle name="Heading 4 232" xfId="10569"/>
    <cellStyle name="Heading 4 233" xfId="10570"/>
    <cellStyle name="Heading 4 234" xfId="10571"/>
    <cellStyle name="Heading 4 235" xfId="10572"/>
    <cellStyle name="Heading 4 236" xfId="10573"/>
    <cellStyle name="Heading 4 237" xfId="10574"/>
    <cellStyle name="Heading 4 238" xfId="10575"/>
    <cellStyle name="Heading 4 239" xfId="10576"/>
    <cellStyle name="Heading 4 24" xfId="10577"/>
    <cellStyle name="Heading 4 240" xfId="10578"/>
    <cellStyle name="Heading 4 241" xfId="10579"/>
    <cellStyle name="Heading 4 242" xfId="10580"/>
    <cellStyle name="Heading 4 243" xfId="10581"/>
    <cellStyle name="Heading 4 244" xfId="10582"/>
    <cellStyle name="Heading 4 245" xfId="10583"/>
    <cellStyle name="Heading 4 246" xfId="10584"/>
    <cellStyle name="Heading 4 247" xfId="10585"/>
    <cellStyle name="Heading 4 248" xfId="10586"/>
    <cellStyle name="Heading 4 249" xfId="10587"/>
    <cellStyle name="Heading 4 25" xfId="10588"/>
    <cellStyle name="Heading 4 26" xfId="10589"/>
    <cellStyle name="Heading 4 27" xfId="10590"/>
    <cellStyle name="Heading 4 28" xfId="10591"/>
    <cellStyle name="Heading 4 29" xfId="10592"/>
    <cellStyle name="Heading 4 3" xfId="10593"/>
    <cellStyle name="Heading 4 3 2" xfId="10594"/>
    <cellStyle name="Heading 4 30" xfId="10595"/>
    <cellStyle name="Heading 4 31" xfId="10596"/>
    <cellStyle name="Heading 4 32" xfId="10597"/>
    <cellStyle name="Heading 4 33" xfId="10598"/>
    <cellStyle name="Heading 4 34" xfId="10599"/>
    <cellStyle name="Heading 4 35" xfId="10600"/>
    <cellStyle name="Heading 4 36" xfId="10601"/>
    <cellStyle name="Heading 4 37" xfId="10602"/>
    <cellStyle name="Heading 4 38" xfId="10603"/>
    <cellStyle name="Heading 4 39" xfId="10604"/>
    <cellStyle name="Heading 4 4" xfId="10605"/>
    <cellStyle name="Heading 4 4 2" xfId="10606"/>
    <cellStyle name="Heading 4 4 3" xfId="10607"/>
    <cellStyle name="Heading 4 4 4" xfId="10608"/>
    <cellStyle name="Heading 4 4 5" xfId="10609"/>
    <cellStyle name="Heading 4 40" xfId="10610"/>
    <cellStyle name="Heading 4 41" xfId="10611"/>
    <cellStyle name="Heading 4 42" xfId="10612"/>
    <cellStyle name="Heading 4 43" xfId="10613"/>
    <cellStyle name="Heading 4 44" xfId="10614"/>
    <cellStyle name="Heading 4 45" xfId="10615"/>
    <cellStyle name="Heading 4 46" xfId="10616"/>
    <cellStyle name="Heading 4 47" xfId="10617"/>
    <cellStyle name="Heading 4 48" xfId="10618"/>
    <cellStyle name="Heading 4 49" xfId="10619"/>
    <cellStyle name="Heading 4 5" xfId="10620"/>
    <cellStyle name="Heading 4 5 2" xfId="10621"/>
    <cellStyle name="Heading 4 5 3" xfId="10622"/>
    <cellStyle name="Heading 4 5 4" xfId="10623"/>
    <cellStyle name="Heading 4 5 5" xfId="10624"/>
    <cellStyle name="Heading 4 50" xfId="10625"/>
    <cellStyle name="Heading 4 51" xfId="10626"/>
    <cellStyle name="Heading 4 52" xfId="10627"/>
    <cellStyle name="Heading 4 53" xfId="10628"/>
    <cellStyle name="Heading 4 54" xfId="10629"/>
    <cellStyle name="Heading 4 55" xfId="10630"/>
    <cellStyle name="Heading 4 56" xfId="10631"/>
    <cellStyle name="Heading 4 57" xfId="10632"/>
    <cellStyle name="Heading 4 58" xfId="10633"/>
    <cellStyle name="Heading 4 59" xfId="10634"/>
    <cellStyle name="Heading 4 6" xfId="10635"/>
    <cellStyle name="Heading 4 6 2" xfId="10636"/>
    <cellStyle name="Heading 4 6 3" xfId="10637"/>
    <cellStyle name="Heading 4 6 4" xfId="10638"/>
    <cellStyle name="Heading 4 60" xfId="10639"/>
    <cellStyle name="Heading 4 61" xfId="10640"/>
    <cellStyle name="Heading 4 62" xfId="10641"/>
    <cellStyle name="Heading 4 63" xfId="10642"/>
    <cellStyle name="Heading 4 64" xfId="10643"/>
    <cellStyle name="Heading 4 65" xfId="10644"/>
    <cellStyle name="Heading 4 66" xfId="10645"/>
    <cellStyle name="Heading 4 67" xfId="10646"/>
    <cellStyle name="Heading 4 68" xfId="10647"/>
    <cellStyle name="Heading 4 69" xfId="10648"/>
    <cellStyle name="Heading 4 7" xfId="10649"/>
    <cellStyle name="Heading 4 7 2" xfId="10650"/>
    <cellStyle name="Heading 4 7 3" xfId="10651"/>
    <cellStyle name="Heading 4 7 4" xfId="10652"/>
    <cellStyle name="Heading 4 70" xfId="10653"/>
    <cellStyle name="Heading 4 71" xfId="10654"/>
    <cellStyle name="Heading 4 72" xfId="10655"/>
    <cellStyle name="Heading 4 73" xfId="10656"/>
    <cellStyle name="Heading 4 74" xfId="10657"/>
    <cellStyle name="Heading 4 75" xfId="10658"/>
    <cellStyle name="Heading 4 76" xfId="10659"/>
    <cellStyle name="Heading 4 77" xfId="10660"/>
    <cellStyle name="Heading 4 78" xfId="10661"/>
    <cellStyle name="Heading 4 79" xfId="10662"/>
    <cellStyle name="Heading 4 8" xfId="10663"/>
    <cellStyle name="Heading 4 8 2" xfId="10664"/>
    <cellStyle name="Heading 4 8 3" xfId="10665"/>
    <cellStyle name="Heading 4 8 4" xfId="10666"/>
    <cellStyle name="Heading 4 80" xfId="10667"/>
    <cellStyle name="Heading 4 81" xfId="10668"/>
    <cellStyle name="Heading 4 82" xfId="10669"/>
    <cellStyle name="Heading 4 83" xfId="10670"/>
    <cellStyle name="Heading 4 84" xfId="10671"/>
    <cellStyle name="Heading 4 85" xfId="10672"/>
    <cellStyle name="Heading 4 86" xfId="10673"/>
    <cellStyle name="Heading 4 87" xfId="10674"/>
    <cellStyle name="Heading 4 88" xfId="10675"/>
    <cellStyle name="Heading 4 89" xfId="10676"/>
    <cellStyle name="Heading 4 9" xfId="10677"/>
    <cellStyle name="Heading 4 9 2" xfId="10678"/>
    <cellStyle name="Heading 4 9 3" xfId="10679"/>
    <cellStyle name="Heading 4 9 4" xfId="10680"/>
    <cellStyle name="Heading 4 90" xfId="10681"/>
    <cellStyle name="Heading 4 91" xfId="10682"/>
    <cellStyle name="Heading 4 92" xfId="10683"/>
    <cellStyle name="Heading 4 93" xfId="10684"/>
    <cellStyle name="Heading 4 94" xfId="10685"/>
    <cellStyle name="Heading 4 95" xfId="10686"/>
    <cellStyle name="Heading 4 96" xfId="10687"/>
    <cellStyle name="Heading 4 97" xfId="10688"/>
    <cellStyle name="Heading 4 98" xfId="10689"/>
    <cellStyle name="Heading 4 99" xfId="10690"/>
    <cellStyle name="Input" xfId="10691" builtinId="20" customBuiltin="1"/>
    <cellStyle name="Input 10" xfId="10692"/>
    <cellStyle name="Input 10 2" xfId="10693"/>
    <cellStyle name="Input 10 3" xfId="10694"/>
    <cellStyle name="Input 10 4" xfId="10695"/>
    <cellStyle name="Input 100" xfId="10696"/>
    <cellStyle name="Input 101" xfId="10697"/>
    <cellStyle name="Input 102" xfId="10698"/>
    <cellStyle name="Input 103" xfId="10699"/>
    <cellStyle name="Input 104" xfId="10700"/>
    <cellStyle name="Input 105" xfId="10701"/>
    <cellStyle name="Input 106" xfId="10702"/>
    <cellStyle name="Input 107" xfId="10703"/>
    <cellStyle name="Input 108" xfId="10704"/>
    <cellStyle name="Input 109" xfId="10705"/>
    <cellStyle name="Input 11" xfId="10706"/>
    <cellStyle name="Input 11 2" xfId="10707"/>
    <cellStyle name="Input 110" xfId="10708"/>
    <cellStyle name="Input 111" xfId="10709"/>
    <cellStyle name="Input 112" xfId="10710"/>
    <cellStyle name="Input 113" xfId="10711"/>
    <cellStyle name="Input 114" xfId="10712"/>
    <cellStyle name="Input 115" xfId="10713"/>
    <cellStyle name="Input 116" xfId="10714"/>
    <cellStyle name="Input 117" xfId="10715"/>
    <cellStyle name="Input 118" xfId="10716"/>
    <cellStyle name="Input 119" xfId="10717"/>
    <cellStyle name="Input 12" xfId="10718"/>
    <cellStyle name="Input 12 2" xfId="10719"/>
    <cellStyle name="Input 120" xfId="10720"/>
    <cellStyle name="Input 121" xfId="10721"/>
    <cellStyle name="Input 122" xfId="10722"/>
    <cellStyle name="Input 123" xfId="10723"/>
    <cellStyle name="Input 124" xfId="10724"/>
    <cellStyle name="Input 125" xfId="10725"/>
    <cellStyle name="Input 126" xfId="10726"/>
    <cellStyle name="Input 127" xfId="10727"/>
    <cellStyle name="Input 128" xfId="10728"/>
    <cellStyle name="Input 129" xfId="10729"/>
    <cellStyle name="Input 13" xfId="10730"/>
    <cellStyle name="Input 130" xfId="10731"/>
    <cellStyle name="Input 131" xfId="10732"/>
    <cellStyle name="Input 132" xfId="10733"/>
    <cellStyle name="Input 133" xfId="10734"/>
    <cellStyle name="Input 134" xfId="10735"/>
    <cellStyle name="Input 135" xfId="10736"/>
    <cellStyle name="Input 136" xfId="10737"/>
    <cellStyle name="Input 137" xfId="10738"/>
    <cellStyle name="Input 138" xfId="10739"/>
    <cellStyle name="Input 139" xfId="10740"/>
    <cellStyle name="Input 14" xfId="10741"/>
    <cellStyle name="Input 140" xfId="10742"/>
    <cellStyle name="Input 141" xfId="10743"/>
    <cellStyle name="Input 142" xfId="10744"/>
    <cellStyle name="Input 143" xfId="10745"/>
    <cellStyle name="Input 144" xfId="10746"/>
    <cellStyle name="Input 145" xfId="10747"/>
    <cellStyle name="Input 146" xfId="10748"/>
    <cellStyle name="Input 147" xfId="10749"/>
    <cellStyle name="Input 148" xfId="10750"/>
    <cellStyle name="Input 149" xfId="10751"/>
    <cellStyle name="Input 15" xfId="10752"/>
    <cellStyle name="Input 150" xfId="10753"/>
    <cellStyle name="Input 151" xfId="10754"/>
    <cellStyle name="Input 152" xfId="10755"/>
    <cellStyle name="Input 153" xfId="10756"/>
    <cellStyle name="Input 154" xfId="10757"/>
    <cellStyle name="Input 155" xfId="10758"/>
    <cellStyle name="Input 156" xfId="10759"/>
    <cellStyle name="Input 157" xfId="10760"/>
    <cellStyle name="Input 158" xfId="10761"/>
    <cellStyle name="Input 159" xfId="10762"/>
    <cellStyle name="Input 16" xfId="10763"/>
    <cellStyle name="Input 160" xfId="10764"/>
    <cellStyle name="Input 161" xfId="10765"/>
    <cellStyle name="Input 162" xfId="10766"/>
    <cellStyle name="Input 163" xfId="10767"/>
    <cellStyle name="Input 164" xfId="10768"/>
    <cellStyle name="Input 165" xfId="10769"/>
    <cellStyle name="Input 166" xfId="10770"/>
    <cellStyle name="Input 167" xfId="10771"/>
    <cellStyle name="Input 168" xfId="10772"/>
    <cellStyle name="Input 169" xfId="10773"/>
    <cellStyle name="Input 17" xfId="10774"/>
    <cellStyle name="Input 170" xfId="10775"/>
    <cellStyle name="Input 171" xfId="10776"/>
    <cellStyle name="Input 172" xfId="10777"/>
    <cellStyle name="Input 173" xfId="10778"/>
    <cellStyle name="Input 174" xfId="10779"/>
    <cellStyle name="Input 175" xfId="10780"/>
    <cellStyle name="Input 176" xfId="10781"/>
    <cellStyle name="Input 177" xfId="10782"/>
    <cellStyle name="Input 178" xfId="10783"/>
    <cellStyle name="Input 179" xfId="10784"/>
    <cellStyle name="Input 18" xfId="10785"/>
    <cellStyle name="Input 180" xfId="10786"/>
    <cellStyle name="Input 181" xfId="10787"/>
    <cellStyle name="Input 182" xfId="10788"/>
    <cellStyle name="Input 183" xfId="10789"/>
    <cellStyle name="Input 184" xfId="10790"/>
    <cellStyle name="Input 185" xfId="10791"/>
    <cellStyle name="Input 186" xfId="10792"/>
    <cellStyle name="Input 187" xfId="10793"/>
    <cellStyle name="Input 188" xfId="10794"/>
    <cellStyle name="Input 189" xfId="10795"/>
    <cellStyle name="Input 19" xfId="10796"/>
    <cellStyle name="Input 190" xfId="10797"/>
    <cellStyle name="Input 191" xfId="10798"/>
    <cellStyle name="Input 192" xfId="10799"/>
    <cellStyle name="Input 193" xfId="10800"/>
    <cellStyle name="Input 194" xfId="10801"/>
    <cellStyle name="Input 195" xfId="10802"/>
    <cellStyle name="Input 196" xfId="10803"/>
    <cellStyle name="Input 197" xfId="10804"/>
    <cellStyle name="Input 198" xfId="10805"/>
    <cellStyle name="Input 199" xfId="10806"/>
    <cellStyle name="Input 2" xfId="10807"/>
    <cellStyle name="Input 2 2" xfId="10808"/>
    <cellStyle name="Input 2 2 2" xfId="10809"/>
    <cellStyle name="Input 2 2 3" xfId="10810"/>
    <cellStyle name="Input 2 2 4" xfId="10811"/>
    <cellStyle name="Input 2 2 5" xfId="10812"/>
    <cellStyle name="Input 2 2 6" xfId="10813"/>
    <cellStyle name="Input 2 2 7" xfId="10814"/>
    <cellStyle name="Input 2 3" xfId="10815"/>
    <cellStyle name="Input 2 4" xfId="10816"/>
    <cellStyle name="Input 2 5" xfId="10817"/>
    <cellStyle name="Input 2 6" xfId="10818"/>
    <cellStyle name="Input 2 7" xfId="10819"/>
    <cellStyle name="Input 2 8" xfId="10820"/>
    <cellStyle name="Input 20" xfId="10821"/>
    <cellStyle name="Input 200" xfId="10822"/>
    <cellStyle name="Input 201" xfId="10823"/>
    <cellStyle name="Input 202" xfId="10824"/>
    <cellStyle name="Input 203" xfId="10825"/>
    <cellStyle name="Input 204" xfId="10826"/>
    <cellStyle name="Input 205" xfId="10827"/>
    <cellStyle name="Input 206" xfId="10828"/>
    <cellStyle name="Input 207" xfId="10829"/>
    <cellStyle name="Input 208" xfId="10830"/>
    <cellStyle name="Input 209" xfId="10831"/>
    <cellStyle name="Input 21" xfId="10832"/>
    <cellStyle name="Input 210" xfId="10833"/>
    <cellStyle name="Input 211" xfId="10834"/>
    <cellStyle name="Input 212" xfId="10835"/>
    <cellStyle name="Input 213" xfId="10836"/>
    <cellStyle name="Input 214" xfId="10837"/>
    <cellStyle name="Input 215" xfId="10838"/>
    <cellStyle name="Input 216" xfId="10839"/>
    <cellStyle name="Input 217" xfId="10840"/>
    <cellStyle name="Input 218" xfId="10841"/>
    <cellStyle name="Input 219" xfId="10842"/>
    <cellStyle name="Input 22" xfId="10843"/>
    <cellStyle name="Input 220" xfId="10844"/>
    <cellStyle name="Input 221" xfId="10845"/>
    <cellStyle name="Input 222" xfId="10846"/>
    <cellStyle name="Input 223" xfId="10847"/>
    <cellStyle name="Input 224" xfId="10848"/>
    <cellStyle name="Input 225" xfId="10849"/>
    <cellStyle name="Input 226" xfId="10850"/>
    <cellStyle name="Input 227" xfId="10851"/>
    <cellStyle name="Input 228" xfId="10852"/>
    <cellStyle name="Input 229" xfId="10853"/>
    <cellStyle name="Input 23" xfId="10854"/>
    <cellStyle name="Input 230" xfId="10855"/>
    <cellStyle name="Input 231" xfId="10856"/>
    <cellStyle name="Input 232" xfId="10857"/>
    <cellStyle name="Input 233" xfId="10858"/>
    <cellStyle name="Input 234" xfId="10859"/>
    <cellStyle name="Input 235" xfId="10860"/>
    <cellStyle name="Input 236" xfId="10861"/>
    <cellStyle name="Input 237" xfId="10862"/>
    <cellStyle name="Input 238" xfId="10863"/>
    <cellStyle name="Input 239" xfId="10864"/>
    <cellStyle name="Input 24" xfId="10865"/>
    <cellStyle name="Input 240" xfId="10866"/>
    <cellStyle name="Input 241" xfId="10867"/>
    <cellStyle name="Input 242" xfId="10868"/>
    <cellStyle name="Input 243" xfId="10869"/>
    <cellStyle name="Input 244" xfId="10870"/>
    <cellStyle name="Input 245" xfId="10871"/>
    <cellStyle name="Input 246" xfId="10872"/>
    <cellStyle name="Input 247" xfId="10873"/>
    <cellStyle name="Input 248" xfId="10874"/>
    <cellStyle name="Input 249" xfId="10875"/>
    <cellStyle name="Input 25" xfId="10876"/>
    <cellStyle name="Input 26" xfId="10877"/>
    <cellStyle name="Input 27" xfId="10878"/>
    <cellStyle name="Input 28" xfId="10879"/>
    <cellStyle name="Input 29" xfId="10880"/>
    <cellStyle name="Input 3" xfId="10881"/>
    <cellStyle name="Input 3 2" xfId="10882"/>
    <cellStyle name="Input 30" xfId="10883"/>
    <cellStyle name="Input 31" xfId="10884"/>
    <cellStyle name="Input 32" xfId="10885"/>
    <cellStyle name="Input 33" xfId="10886"/>
    <cellStyle name="Input 34" xfId="10887"/>
    <cellStyle name="Input 35" xfId="10888"/>
    <cellStyle name="Input 36" xfId="10889"/>
    <cellStyle name="Input 37" xfId="10890"/>
    <cellStyle name="Input 38" xfId="10891"/>
    <cellStyle name="Input 39" xfId="10892"/>
    <cellStyle name="Input 4" xfId="10893"/>
    <cellStyle name="Input 4 2" xfId="10894"/>
    <cellStyle name="Input 4 3" xfId="10895"/>
    <cellStyle name="Input 4 4" xfId="10896"/>
    <cellStyle name="Input 4 5" xfId="10897"/>
    <cellStyle name="Input 40" xfId="10898"/>
    <cellStyle name="Input 41" xfId="10899"/>
    <cellStyle name="Input 42" xfId="10900"/>
    <cellStyle name="Input 43" xfId="10901"/>
    <cellStyle name="Input 44" xfId="10902"/>
    <cellStyle name="Input 45" xfId="10903"/>
    <cellStyle name="Input 46" xfId="10904"/>
    <cellStyle name="Input 47" xfId="10905"/>
    <cellStyle name="Input 48" xfId="10906"/>
    <cellStyle name="Input 49" xfId="10907"/>
    <cellStyle name="Input 5" xfId="10908"/>
    <cellStyle name="Input 5 2" xfId="10909"/>
    <cellStyle name="Input 5 3" xfId="10910"/>
    <cellStyle name="Input 5 4" xfId="10911"/>
    <cellStyle name="Input 5 5" xfId="10912"/>
    <cellStyle name="Input 50" xfId="10913"/>
    <cellStyle name="Input 51" xfId="10914"/>
    <cellStyle name="Input 52" xfId="10915"/>
    <cellStyle name="Input 53" xfId="10916"/>
    <cellStyle name="Input 54" xfId="10917"/>
    <cellStyle name="Input 55" xfId="10918"/>
    <cellStyle name="Input 56" xfId="10919"/>
    <cellStyle name="Input 57" xfId="10920"/>
    <cellStyle name="Input 58" xfId="10921"/>
    <cellStyle name="Input 59" xfId="10922"/>
    <cellStyle name="Input 6" xfId="10923"/>
    <cellStyle name="Input 6 2" xfId="10924"/>
    <cellStyle name="Input 6 3" xfId="10925"/>
    <cellStyle name="Input 6 4" xfId="10926"/>
    <cellStyle name="Input 60" xfId="10927"/>
    <cellStyle name="Input 61" xfId="10928"/>
    <cellStyle name="Input 62" xfId="10929"/>
    <cellStyle name="Input 63" xfId="10930"/>
    <cellStyle name="Input 64" xfId="10931"/>
    <cellStyle name="Input 65" xfId="10932"/>
    <cellStyle name="Input 66" xfId="10933"/>
    <cellStyle name="Input 67" xfId="10934"/>
    <cellStyle name="Input 68" xfId="10935"/>
    <cellStyle name="Input 69" xfId="10936"/>
    <cellStyle name="Input 7" xfId="10937"/>
    <cellStyle name="Input 7 2" xfId="10938"/>
    <cellStyle name="Input 7 3" xfId="10939"/>
    <cellStyle name="Input 7 4" xfId="10940"/>
    <cellStyle name="Input 70" xfId="10941"/>
    <cellStyle name="Input 71" xfId="10942"/>
    <cellStyle name="Input 72" xfId="10943"/>
    <cellStyle name="Input 73" xfId="10944"/>
    <cellStyle name="Input 74" xfId="10945"/>
    <cellStyle name="Input 75" xfId="10946"/>
    <cellStyle name="Input 76" xfId="10947"/>
    <cellStyle name="Input 77" xfId="10948"/>
    <cellStyle name="Input 78" xfId="10949"/>
    <cellStyle name="Input 79" xfId="10950"/>
    <cellStyle name="Input 8" xfId="10951"/>
    <cellStyle name="Input 8 2" xfId="10952"/>
    <cellStyle name="Input 8 3" xfId="10953"/>
    <cellStyle name="Input 8 4" xfId="10954"/>
    <cellStyle name="Input 80" xfId="10955"/>
    <cellStyle name="Input 81" xfId="10956"/>
    <cellStyle name="Input 82" xfId="10957"/>
    <cellStyle name="Input 83" xfId="10958"/>
    <cellStyle name="Input 84" xfId="10959"/>
    <cellStyle name="Input 85" xfId="10960"/>
    <cellStyle name="Input 86" xfId="10961"/>
    <cellStyle name="Input 87" xfId="10962"/>
    <cellStyle name="Input 88" xfId="10963"/>
    <cellStyle name="Input 89" xfId="10964"/>
    <cellStyle name="Input 9" xfId="10965"/>
    <cellStyle name="Input 9 2" xfId="10966"/>
    <cellStyle name="Input 9 3" xfId="10967"/>
    <cellStyle name="Input 9 4" xfId="10968"/>
    <cellStyle name="Input 90" xfId="10969"/>
    <cellStyle name="Input 91" xfId="10970"/>
    <cellStyle name="Input 92" xfId="10971"/>
    <cellStyle name="Input 93" xfId="10972"/>
    <cellStyle name="Input 94" xfId="10973"/>
    <cellStyle name="Input 95" xfId="10974"/>
    <cellStyle name="Input 96" xfId="10975"/>
    <cellStyle name="Input 97" xfId="10976"/>
    <cellStyle name="Input 98" xfId="10977"/>
    <cellStyle name="Input 99" xfId="10978"/>
    <cellStyle name="Linked Cell" xfId="10979" builtinId="24" customBuiltin="1"/>
    <cellStyle name="Linked Cell 10" xfId="10980"/>
    <cellStyle name="Linked Cell 10 2" xfId="10981"/>
    <cellStyle name="Linked Cell 10 3" xfId="10982"/>
    <cellStyle name="Linked Cell 10 4" xfId="10983"/>
    <cellStyle name="Linked Cell 100" xfId="10984"/>
    <cellStyle name="Linked Cell 101" xfId="10985"/>
    <cellStyle name="Linked Cell 102" xfId="10986"/>
    <cellStyle name="Linked Cell 103" xfId="10987"/>
    <cellStyle name="Linked Cell 104" xfId="10988"/>
    <cellStyle name="Linked Cell 105" xfId="10989"/>
    <cellStyle name="Linked Cell 106" xfId="10990"/>
    <cellStyle name="Linked Cell 107" xfId="10991"/>
    <cellStyle name="Linked Cell 108" xfId="10992"/>
    <cellStyle name="Linked Cell 109" xfId="10993"/>
    <cellStyle name="Linked Cell 11" xfId="10994"/>
    <cellStyle name="Linked Cell 11 2" xfId="10995"/>
    <cellStyle name="Linked Cell 110" xfId="10996"/>
    <cellStyle name="Linked Cell 111" xfId="10997"/>
    <cellStyle name="Linked Cell 112" xfId="10998"/>
    <cellStyle name="Linked Cell 113" xfId="10999"/>
    <cellStyle name="Linked Cell 114" xfId="11000"/>
    <cellStyle name="Linked Cell 115" xfId="11001"/>
    <cellStyle name="Linked Cell 116" xfId="11002"/>
    <cellStyle name="Linked Cell 117" xfId="11003"/>
    <cellStyle name="Linked Cell 118" xfId="11004"/>
    <cellStyle name="Linked Cell 119" xfId="11005"/>
    <cellStyle name="Linked Cell 12" xfId="11006"/>
    <cellStyle name="Linked Cell 12 2" xfId="11007"/>
    <cellStyle name="Linked Cell 120" xfId="11008"/>
    <cellStyle name="Linked Cell 121" xfId="11009"/>
    <cellStyle name="Linked Cell 122" xfId="11010"/>
    <cellStyle name="Linked Cell 123" xfId="11011"/>
    <cellStyle name="Linked Cell 124" xfId="11012"/>
    <cellStyle name="Linked Cell 125" xfId="11013"/>
    <cellStyle name="Linked Cell 126" xfId="11014"/>
    <cellStyle name="Linked Cell 127" xfId="11015"/>
    <cellStyle name="Linked Cell 128" xfId="11016"/>
    <cellStyle name="Linked Cell 129" xfId="11017"/>
    <cellStyle name="Linked Cell 13" xfId="11018"/>
    <cellStyle name="Linked Cell 130" xfId="11019"/>
    <cellStyle name="Linked Cell 131" xfId="11020"/>
    <cellStyle name="Linked Cell 132" xfId="11021"/>
    <cellStyle name="Linked Cell 133" xfId="11022"/>
    <cellStyle name="Linked Cell 134" xfId="11023"/>
    <cellStyle name="Linked Cell 135" xfId="11024"/>
    <cellStyle name="Linked Cell 136" xfId="11025"/>
    <cellStyle name="Linked Cell 137" xfId="11026"/>
    <cellStyle name="Linked Cell 138" xfId="11027"/>
    <cellStyle name="Linked Cell 139" xfId="11028"/>
    <cellStyle name="Linked Cell 14" xfId="11029"/>
    <cellStyle name="Linked Cell 140" xfId="11030"/>
    <cellStyle name="Linked Cell 141" xfId="11031"/>
    <cellStyle name="Linked Cell 142" xfId="11032"/>
    <cellStyle name="Linked Cell 143" xfId="11033"/>
    <cellStyle name="Linked Cell 144" xfId="11034"/>
    <cellStyle name="Linked Cell 145" xfId="11035"/>
    <cellStyle name="Linked Cell 146" xfId="11036"/>
    <cellStyle name="Linked Cell 147" xfId="11037"/>
    <cellStyle name="Linked Cell 148" xfId="11038"/>
    <cellStyle name="Linked Cell 149" xfId="11039"/>
    <cellStyle name="Linked Cell 15" xfId="11040"/>
    <cellStyle name="Linked Cell 150" xfId="11041"/>
    <cellStyle name="Linked Cell 151" xfId="11042"/>
    <cellStyle name="Linked Cell 152" xfId="11043"/>
    <cellStyle name="Linked Cell 153" xfId="11044"/>
    <cellStyle name="Linked Cell 154" xfId="11045"/>
    <cellStyle name="Linked Cell 155" xfId="11046"/>
    <cellStyle name="Linked Cell 156" xfId="11047"/>
    <cellStyle name="Linked Cell 157" xfId="11048"/>
    <cellStyle name="Linked Cell 158" xfId="11049"/>
    <cellStyle name="Linked Cell 159" xfId="11050"/>
    <cellStyle name="Linked Cell 16" xfId="11051"/>
    <cellStyle name="Linked Cell 160" xfId="11052"/>
    <cellStyle name="Linked Cell 161" xfId="11053"/>
    <cellStyle name="Linked Cell 162" xfId="11054"/>
    <cellStyle name="Linked Cell 163" xfId="11055"/>
    <cellStyle name="Linked Cell 164" xfId="11056"/>
    <cellStyle name="Linked Cell 165" xfId="11057"/>
    <cellStyle name="Linked Cell 166" xfId="11058"/>
    <cellStyle name="Linked Cell 167" xfId="11059"/>
    <cellStyle name="Linked Cell 168" xfId="11060"/>
    <cellStyle name="Linked Cell 169" xfId="11061"/>
    <cellStyle name="Linked Cell 17" xfId="11062"/>
    <cellStyle name="Linked Cell 170" xfId="11063"/>
    <cellStyle name="Linked Cell 171" xfId="11064"/>
    <cellStyle name="Linked Cell 172" xfId="11065"/>
    <cellStyle name="Linked Cell 173" xfId="11066"/>
    <cellStyle name="Linked Cell 174" xfId="11067"/>
    <cellStyle name="Linked Cell 175" xfId="11068"/>
    <cellStyle name="Linked Cell 176" xfId="11069"/>
    <cellStyle name="Linked Cell 177" xfId="11070"/>
    <cellStyle name="Linked Cell 178" xfId="11071"/>
    <cellStyle name="Linked Cell 179" xfId="11072"/>
    <cellStyle name="Linked Cell 18" xfId="11073"/>
    <cellStyle name="Linked Cell 180" xfId="11074"/>
    <cellStyle name="Linked Cell 181" xfId="11075"/>
    <cellStyle name="Linked Cell 182" xfId="11076"/>
    <cellStyle name="Linked Cell 183" xfId="11077"/>
    <cellStyle name="Linked Cell 184" xfId="11078"/>
    <cellStyle name="Linked Cell 185" xfId="11079"/>
    <cellStyle name="Linked Cell 186" xfId="11080"/>
    <cellStyle name="Linked Cell 187" xfId="11081"/>
    <cellStyle name="Linked Cell 188" xfId="11082"/>
    <cellStyle name="Linked Cell 189" xfId="11083"/>
    <cellStyle name="Linked Cell 19" xfId="11084"/>
    <cellStyle name="Linked Cell 190" xfId="11085"/>
    <cellStyle name="Linked Cell 191" xfId="11086"/>
    <cellStyle name="Linked Cell 192" xfId="11087"/>
    <cellStyle name="Linked Cell 193" xfId="11088"/>
    <cellStyle name="Linked Cell 194" xfId="11089"/>
    <cellStyle name="Linked Cell 195" xfId="11090"/>
    <cellStyle name="Linked Cell 196" xfId="11091"/>
    <cellStyle name="Linked Cell 197" xfId="11092"/>
    <cellStyle name="Linked Cell 198" xfId="11093"/>
    <cellStyle name="Linked Cell 199" xfId="11094"/>
    <cellStyle name="Linked Cell 2" xfId="11095"/>
    <cellStyle name="Linked Cell 2 2" xfId="11096"/>
    <cellStyle name="Linked Cell 2 2 2" xfId="11097"/>
    <cellStyle name="Linked Cell 2 2 3" xfId="11098"/>
    <cellStyle name="Linked Cell 2 2 4" xfId="11099"/>
    <cellStyle name="Linked Cell 2 2 5" xfId="11100"/>
    <cellStyle name="Linked Cell 2 2 6" xfId="11101"/>
    <cellStyle name="Linked Cell 2 2 7" xfId="11102"/>
    <cellStyle name="Linked Cell 2 3" xfId="11103"/>
    <cellStyle name="Linked Cell 2 4" xfId="11104"/>
    <cellStyle name="Linked Cell 2 5" xfId="11105"/>
    <cellStyle name="Linked Cell 2 6" xfId="11106"/>
    <cellStyle name="Linked Cell 2 7" xfId="11107"/>
    <cellStyle name="Linked Cell 2 8" xfId="11108"/>
    <cellStyle name="Linked Cell 20" xfId="11109"/>
    <cellStyle name="Linked Cell 200" xfId="11110"/>
    <cellStyle name="Linked Cell 201" xfId="11111"/>
    <cellStyle name="Linked Cell 202" xfId="11112"/>
    <cellStyle name="Linked Cell 203" xfId="11113"/>
    <cellStyle name="Linked Cell 204" xfId="11114"/>
    <cellStyle name="Linked Cell 205" xfId="11115"/>
    <cellStyle name="Linked Cell 206" xfId="11116"/>
    <cellStyle name="Linked Cell 207" xfId="11117"/>
    <cellStyle name="Linked Cell 208" xfId="11118"/>
    <cellStyle name="Linked Cell 209" xfId="11119"/>
    <cellStyle name="Linked Cell 21" xfId="11120"/>
    <cellStyle name="Linked Cell 210" xfId="11121"/>
    <cellStyle name="Linked Cell 211" xfId="11122"/>
    <cellStyle name="Linked Cell 212" xfId="11123"/>
    <cellStyle name="Linked Cell 213" xfId="11124"/>
    <cellStyle name="Linked Cell 214" xfId="11125"/>
    <cellStyle name="Linked Cell 215" xfId="11126"/>
    <cellStyle name="Linked Cell 216" xfId="11127"/>
    <cellStyle name="Linked Cell 217" xfId="11128"/>
    <cellStyle name="Linked Cell 218" xfId="11129"/>
    <cellStyle name="Linked Cell 219" xfId="11130"/>
    <cellStyle name="Linked Cell 22" xfId="11131"/>
    <cellStyle name="Linked Cell 220" xfId="11132"/>
    <cellStyle name="Linked Cell 221" xfId="11133"/>
    <cellStyle name="Linked Cell 222" xfId="11134"/>
    <cellStyle name="Linked Cell 223" xfId="11135"/>
    <cellStyle name="Linked Cell 224" xfId="11136"/>
    <cellStyle name="Linked Cell 225" xfId="11137"/>
    <cellStyle name="Linked Cell 226" xfId="11138"/>
    <cellStyle name="Linked Cell 227" xfId="11139"/>
    <cellStyle name="Linked Cell 228" xfId="11140"/>
    <cellStyle name="Linked Cell 229" xfId="11141"/>
    <cellStyle name="Linked Cell 23" xfId="11142"/>
    <cellStyle name="Linked Cell 230" xfId="11143"/>
    <cellStyle name="Linked Cell 231" xfId="11144"/>
    <cellStyle name="Linked Cell 232" xfId="11145"/>
    <cellStyle name="Linked Cell 233" xfId="11146"/>
    <cellStyle name="Linked Cell 234" xfId="11147"/>
    <cellStyle name="Linked Cell 235" xfId="11148"/>
    <cellStyle name="Linked Cell 236" xfId="11149"/>
    <cellStyle name="Linked Cell 237" xfId="11150"/>
    <cellStyle name="Linked Cell 238" xfId="11151"/>
    <cellStyle name="Linked Cell 239" xfId="11152"/>
    <cellStyle name="Linked Cell 24" xfId="11153"/>
    <cellStyle name="Linked Cell 240" xfId="11154"/>
    <cellStyle name="Linked Cell 241" xfId="11155"/>
    <cellStyle name="Linked Cell 242" xfId="11156"/>
    <cellStyle name="Linked Cell 243" xfId="11157"/>
    <cellStyle name="Linked Cell 244" xfId="11158"/>
    <cellStyle name="Linked Cell 245" xfId="11159"/>
    <cellStyle name="Linked Cell 246" xfId="11160"/>
    <cellStyle name="Linked Cell 247" xfId="11161"/>
    <cellStyle name="Linked Cell 248" xfId="11162"/>
    <cellStyle name="Linked Cell 249" xfId="11163"/>
    <cellStyle name="Linked Cell 25" xfId="11164"/>
    <cellStyle name="Linked Cell 26" xfId="11165"/>
    <cellStyle name="Linked Cell 27" xfId="11166"/>
    <cellStyle name="Linked Cell 28" xfId="11167"/>
    <cellStyle name="Linked Cell 29" xfId="11168"/>
    <cellStyle name="Linked Cell 3" xfId="11169"/>
    <cellStyle name="Linked Cell 3 2" xfId="11170"/>
    <cellStyle name="Linked Cell 30" xfId="11171"/>
    <cellStyle name="Linked Cell 31" xfId="11172"/>
    <cellStyle name="Linked Cell 32" xfId="11173"/>
    <cellStyle name="Linked Cell 33" xfId="11174"/>
    <cellStyle name="Linked Cell 34" xfId="11175"/>
    <cellStyle name="Linked Cell 35" xfId="11176"/>
    <cellStyle name="Linked Cell 36" xfId="11177"/>
    <cellStyle name="Linked Cell 37" xfId="11178"/>
    <cellStyle name="Linked Cell 38" xfId="11179"/>
    <cellStyle name="Linked Cell 39" xfId="11180"/>
    <cellStyle name="Linked Cell 4" xfId="11181"/>
    <cellStyle name="Linked Cell 4 2" xfId="11182"/>
    <cellStyle name="Linked Cell 4 3" xfId="11183"/>
    <cellStyle name="Linked Cell 4 4" xfId="11184"/>
    <cellStyle name="Linked Cell 4 5" xfId="11185"/>
    <cellStyle name="Linked Cell 40" xfId="11186"/>
    <cellStyle name="Linked Cell 41" xfId="11187"/>
    <cellStyle name="Linked Cell 42" xfId="11188"/>
    <cellStyle name="Linked Cell 43" xfId="11189"/>
    <cellStyle name="Linked Cell 44" xfId="11190"/>
    <cellStyle name="Linked Cell 45" xfId="11191"/>
    <cellStyle name="Linked Cell 46" xfId="11192"/>
    <cellStyle name="Linked Cell 47" xfId="11193"/>
    <cellStyle name="Linked Cell 48" xfId="11194"/>
    <cellStyle name="Linked Cell 49" xfId="11195"/>
    <cellStyle name="Linked Cell 5" xfId="11196"/>
    <cellStyle name="Linked Cell 5 2" xfId="11197"/>
    <cellStyle name="Linked Cell 5 3" xfId="11198"/>
    <cellStyle name="Linked Cell 5 4" xfId="11199"/>
    <cellStyle name="Linked Cell 5 5" xfId="11200"/>
    <cellStyle name="Linked Cell 50" xfId="11201"/>
    <cellStyle name="Linked Cell 51" xfId="11202"/>
    <cellStyle name="Linked Cell 52" xfId="11203"/>
    <cellStyle name="Linked Cell 53" xfId="11204"/>
    <cellStyle name="Linked Cell 54" xfId="11205"/>
    <cellStyle name="Linked Cell 55" xfId="11206"/>
    <cellStyle name="Linked Cell 56" xfId="11207"/>
    <cellStyle name="Linked Cell 57" xfId="11208"/>
    <cellStyle name="Linked Cell 58" xfId="11209"/>
    <cellStyle name="Linked Cell 59" xfId="11210"/>
    <cellStyle name="Linked Cell 6" xfId="11211"/>
    <cellStyle name="Linked Cell 6 2" xfId="11212"/>
    <cellStyle name="Linked Cell 6 3" xfId="11213"/>
    <cellStyle name="Linked Cell 6 4" xfId="11214"/>
    <cellStyle name="Linked Cell 60" xfId="11215"/>
    <cellStyle name="Linked Cell 61" xfId="11216"/>
    <cellStyle name="Linked Cell 62" xfId="11217"/>
    <cellStyle name="Linked Cell 63" xfId="11218"/>
    <cellStyle name="Linked Cell 64" xfId="11219"/>
    <cellStyle name="Linked Cell 65" xfId="11220"/>
    <cellStyle name="Linked Cell 66" xfId="11221"/>
    <cellStyle name="Linked Cell 67" xfId="11222"/>
    <cellStyle name="Linked Cell 68" xfId="11223"/>
    <cellStyle name="Linked Cell 69" xfId="11224"/>
    <cellStyle name="Linked Cell 7" xfId="11225"/>
    <cellStyle name="Linked Cell 7 2" xfId="11226"/>
    <cellStyle name="Linked Cell 7 3" xfId="11227"/>
    <cellStyle name="Linked Cell 7 4" xfId="11228"/>
    <cellStyle name="Linked Cell 70" xfId="11229"/>
    <cellStyle name="Linked Cell 71" xfId="11230"/>
    <cellStyle name="Linked Cell 72" xfId="11231"/>
    <cellStyle name="Linked Cell 73" xfId="11232"/>
    <cellStyle name="Linked Cell 74" xfId="11233"/>
    <cellStyle name="Linked Cell 75" xfId="11234"/>
    <cellStyle name="Linked Cell 76" xfId="11235"/>
    <cellStyle name="Linked Cell 77" xfId="11236"/>
    <cellStyle name="Linked Cell 78" xfId="11237"/>
    <cellStyle name="Linked Cell 79" xfId="11238"/>
    <cellStyle name="Linked Cell 8" xfId="11239"/>
    <cellStyle name="Linked Cell 8 2" xfId="11240"/>
    <cellStyle name="Linked Cell 8 3" xfId="11241"/>
    <cellStyle name="Linked Cell 8 4" xfId="11242"/>
    <cellStyle name="Linked Cell 80" xfId="11243"/>
    <cellStyle name="Linked Cell 81" xfId="11244"/>
    <cellStyle name="Linked Cell 82" xfId="11245"/>
    <cellStyle name="Linked Cell 83" xfId="11246"/>
    <cellStyle name="Linked Cell 84" xfId="11247"/>
    <cellStyle name="Linked Cell 85" xfId="11248"/>
    <cellStyle name="Linked Cell 86" xfId="11249"/>
    <cellStyle name="Linked Cell 87" xfId="11250"/>
    <cellStyle name="Linked Cell 88" xfId="11251"/>
    <cellStyle name="Linked Cell 89" xfId="11252"/>
    <cellStyle name="Linked Cell 9" xfId="11253"/>
    <cellStyle name="Linked Cell 9 2" xfId="11254"/>
    <cellStyle name="Linked Cell 9 3" xfId="11255"/>
    <cellStyle name="Linked Cell 9 4" xfId="11256"/>
    <cellStyle name="Linked Cell 90" xfId="11257"/>
    <cellStyle name="Linked Cell 91" xfId="11258"/>
    <cellStyle name="Linked Cell 92" xfId="11259"/>
    <cellStyle name="Linked Cell 93" xfId="11260"/>
    <cellStyle name="Linked Cell 94" xfId="11261"/>
    <cellStyle name="Linked Cell 95" xfId="11262"/>
    <cellStyle name="Linked Cell 96" xfId="11263"/>
    <cellStyle name="Linked Cell 97" xfId="11264"/>
    <cellStyle name="Linked Cell 98" xfId="11265"/>
    <cellStyle name="Linked Cell 99" xfId="11266"/>
    <cellStyle name="Neutral" xfId="11267" builtinId="28" customBuiltin="1"/>
    <cellStyle name="Neutral 10" xfId="11268"/>
    <cellStyle name="Neutral 10 2" xfId="11269"/>
    <cellStyle name="Neutral 10 3" xfId="11270"/>
    <cellStyle name="Neutral 10 4" xfId="11271"/>
    <cellStyle name="Neutral 100" xfId="11272"/>
    <cellStyle name="Neutral 101" xfId="11273"/>
    <cellStyle name="Neutral 102" xfId="11274"/>
    <cellStyle name="Neutral 103" xfId="11275"/>
    <cellStyle name="Neutral 104" xfId="11276"/>
    <cellStyle name="Neutral 105" xfId="11277"/>
    <cellStyle name="Neutral 106" xfId="11278"/>
    <cellStyle name="Neutral 107" xfId="11279"/>
    <cellStyle name="Neutral 108" xfId="11280"/>
    <cellStyle name="Neutral 109" xfId="11281"/>
    <cellStyle name="Neutral 11" xfId="11282"/>
    <cellStyle name="Neutral 11 2" xfId="11283"/>
    <cellStyle name="Neutral 110" xfId="11284"/>
    <cellStyle name="Neutral 111" xfId="11285"/>
    <cellStyle name="Neutral 112" xfId="11286"/>
    <cellStyle name="Neutral 113" xfId="11287"/>
    <cellStyle name="Neutral 114" xfId="11288"/>
    <cellStyle name="Neutral 115" xfId="11289"/>
    <cellStyle name="Neutral 116" xfId="11290"/>
    <cellStyle name="Neutral 117" xfId="11291"/>
    <cellStyle name="Neutral 118" xfId="11292"/>
    <cellStyle name="Neutral 119" xfId="11293"/>
    <cellStyle name="Neutral 12" xfId="11294"/>
    <cellStyle name="Neutral 12 2" xfId="11295"/>
    <cellStyle name="Neutral 120" xfId="11296"/>
    <cellStyle name="Neutral 121" xfId="11297"/>
    <cellStyle name="Neutral 122" xfId="11298"/>
    <cellStyle name="Neutral 123" xfId="11299"/>
    <cellStyle name="Neutral 124" xfId="11300"/>
    <cellStyle name="Neutral 125" xfId="11301"/>
    <cellStyle name="Neutral 126" xfId="11302"/>
    <cellStyle name="Neutral 127" xfId="11303"/>
    <cellStyle name="Neutral 128" xfId="11304"/>
    <cellStyle name="Neutral 129" xfId="11305"/>
    <cellStyle name="Neutral 13" xfId="11306"/>
    <cellStyle name="Neutral 130" xfId="11307"/>
    <cellStyle name="Neutral 131" xfId="11308"/>
    <cellStyle name="Neutral 132" xfId="11309"/>
    <cellStyle name="Neutral 133" xfId="11310"/>
    <cellStyle name="Neutral 134" xfId="11311"/>
    <cellStyle name="Neutral 135" xfId="11312"/>
    <cellStyle name="Neutral 136" xfId="11313"/>
    <cellStyle name="Neutral 137" xfId="11314"/>
    <cellStyle name="Neutral 138" xfId="11315"/>
    <cellStyle name="Neutral 139" xfId="11316"/>
    <cellStyle name="Neutral 14" xfId="11317"/>
    <cellStyle name="Neutral 140" xfId="11318"/>
    <cellStyle name="Neutral 141" xfId="11319"/>
    <cellStyle name="Neutral 142" xfId="11320"/>
    <cellStyle name="Neutral 143" xfId="11321"/>
    <cellStyle name="Neutral 144" xfId="11322"/>
    <cellStyle name="Neutral 145" xfId="11323"/>
    <cellStyle name="Neutral 146" xfId="11324"/>
    <cellStyle name="Neutral 147" xfId="11325"/>
    <cellStyle name="Neutral 148" xfId="11326"/>
    <cellStyle name="Neutral 149" xfId="11327"/>
    <cellStyle name="Neutral 15" xfId="11328"/>
    <cellStyle name="Neutral 150" xfId="11329"/>
    <cellStyle name="Neutral 151" xfId="11330"/>
    <cellStyle name="Neutral 152" xfId="11331"/>
    <cellStyle name="Neutral 153" xfId="11332"/>
    <cellStyle name="Neutral 154" xfId="11333"/>
    <cellStyle name="Neutral 155" xfId="11334"/>
    <cellStyle name="Neutral 156" xfId="11335"/>
    <cellStyle name="Neutral 157" xfId="11336"/>
    <cellStyle name="Neutral 158" xfId="11337"/>
    <cellStyle name="Neutral 159" xfId="11338"/>
    <cellStyle name="Neutral 16" xfId="11339"/>
    <cellStyle name="Neutral 160" xfId="11340"/>
    <cellStyle name="Neutral 161" xfId="11341"/>
    <cellStyle name="Neutral 162" xfId="11342"/>
    <cellStyle name="Neutral 163" xfId="11343"/>
    <cellStyle name="Neutral 164" xfId="11344"/>
    <cellStyle name="Neutral 165" xfId="11345"/>
    <cellStyle name="Neutral 166" xfId="11346"/>
    <cellStyle name="Neutral 167" xfId="11347"/>
    <cellStyle name="Neutral 168" xfId="11348"/>
    <cellStyle name="Neutral 169" xfId="11349"/>
    <cellStyle name="Neutral 17" xfId="11350"/>
    <cellStyle name="Neutral 170" xfId="11351"/>
    <cellStyle name="Neutral 171" xfId="11352"/>
    <cellStyle name="Neutral 172" xfId="11353"/>
    <cellStyle name="Neutral 173" xfId="11354"/>
    <cellStyle name="Neutral 174" xfId="11355"/>
    <cellStyle name="Neutral 175" xfId="11356"/>
    <cellStyle name="Neutral 176" xfId="11357"/>
    <cellStyle name="Neutral 177" xfId="11358"/>
    <cellStyle name="Neutral 178" xfId="11359"/>
    <cellStyle name="Neutral 179" xfId="11360"/>
    <cellStyle name="Neutral 18" xfId="11361"/>
    <cellStyle name="Neutral 180" xfId="11362"/>
    <cellStyle name="Neutral 181" xfId="11363"/>
    <cellStyle name="Neutral 182" xfId="11364"/>
    <cellStyle name="Neutral 183" xfId="11365"/>
    <cellStyle name="Neutral 184" xfId="11366"/>
    <cellStyle name="Neutral 185" xfId="11367"/>
    <cellStyle name="Neutral 186" xfId="11368"/>
    <cellStyle name="Neutral 187" xfId="11369"/>
    <cellStyle name="Neutral 188" xfId="11370"/>
    <cellStyle name="Neutral 189" xfId="11371"/>
    <cellStyle name="Neutral 19" xfId="11372"/>
    <cellStyle name="Neutral 190" xfId="11373"/>
    <cellStyle name="Neutral 191" xfId="11374"/>
    <cellStyle name="Neutral 192" xfId="11375"/>
    <cellStyle name="Neutral 193" xfId="11376"/>
    <cellStyle name="Neutral 194" xfId="11377"/>
    <cellStyle name="Neutral 195" xfId="11378"/>
    <cellStyle name="Neutral 196" xfId="11379"/>
    <cellStyle name="Neutral 197" xfId="11380"/>
    <cellStyle name="Neutral 198" xfId="11381"/>
    <cellStyle name="Neutral 199" xfId="11382"/>
    <cellStyle name="Neutral 2" xfId="11383"/>
    <cellStyle name="Neutral 2 2" xfId="11384"/>
    <cellStyle name="Neutral 2 2 2" xfId="11385"/>
    <cellStyle name="Neutral 2 2 3" xfId="11386"/>
    <cellStyle name="Neutral 2 2 4" xfId="11387"/>
    <cellStyle name="Neutral 2 2 5" xfId="11388"/>
    <cellStyle name="Neutral 2 2 6" xfId="11389"/>
    <cellStyle name="Neutral 2 2 7" xfId="11390"/>
    <cellStyle name="Neutral 2 3" xfId="11391"/>
    <cellStyle name="Neutral 2 4" xfId="11392"/>
    <cellStyle name="Neutral 2 5" xfId="11393"/>
    <cellStyle name="Neutral 2 6" xfId="11394"/>
    <cellStyle name="Neutral 2 7" xfId="11395"/>
    <cellStyle name="Neutral 2 8" xfId="11396"/>
    <cellStyle name="Neutral 20" xfId="11397"/>
    <cellStyle name="Neutral 200" xfId="11398"/>
    <cellStyle name="Neutral 201" xfId="11399"/>
    <cellStyle name="Neutral 202" xfId="11400"/>
    <cellStyle name="Neutral 203" xfId="11401"/>
    <cellStyle name="Neutral 204" xfId="11402"/>
    <cellStyle name="Neutral 205" xfId="11403"/>
    <cellStyle name="Neutral 206" xfId="11404"/>
    <cellStyle name="Neutral 207" xfId="11405"/>
    <cellStyle name="Neutral 208" xfId="11406"/>
    <cellStyle name="Neutral 209" xfId="11407"/>
    <cellStyle name="Neutral 21" xfId="11408"/>
    <cellStyle name="Neutral 210" xfId="11409"/>
    <cellStyle name="Neutral 211" xfId="11410"/>
    <cellStyle name="Neutral 212" xfId="11411"/>
    <cellStyle name="Neutral 213" xfId="11412"/>
    <cellStyle name="Neutral 214" xfId="11413"/>
    <cellStyle name="Neutral 215" xfId="11414"/>
    <cellStyle name="Neutral 216" xfId="11415"/>
    <cellStyle name="Neutral 217" xfId="11416"/>
    <cellStyle name="Neutral 218" xfId="11417"/>
    <cellStyle name="Neutral 219" xfId="11418"/>
    <cellStyle name="Neutral 22" xfId="11419"/>
    <cellStyle name="Neutral 220" xfId="11420"/>
    <cellStyle name="Neutral 221" xfId="11421"/>
    <cellStyle name="Neutral 222" xfId="11422"/>
    <cellStyle name="Neutral 223" xfId="11423"/>
    <cellStyle name="Neutral 224" xfId="11424"/>
    <cellStyle name="Neutral 225" xfId="11425"/>
    <cellStyle name="Neutral 226" xfId="11426"/>
    <cellStyle name="Neutral 227" xfId="11427"/>
    <cellStyle name="Neutral 228" xfId="11428"/>
    <cellStyle name="Neutral 229" xfId="11429"/>
    <cellStyle name="Neutral 23" xfId="11430"/>
    <cellStyle name="Neutral 230" xfId="11431"/>
    <cellStyle name="Neutral 231" xfId="11432"/>
    <cellStyle name="Neutral 232" xfId="11433"/>
    <cellStyle name="Neutral 233" xfId="11434"/>
    <cellStyle name="Neutral 234" xfId="11435"/>
    <cellStyle name="Neutral 235" xfId="11436"/>
    <cellStyle name="Neutral 236" xfId="11437"/>
    <cellStyle name="Neutral 237" xfId="11438"/>
    <cellStyle name="Neutral 238" xfId="11439"/>
    <cellStyle name="Neutral 239" xfId="11440"/>
    <cellStyle name="Neutral 24" xfId="11441"/>
    <cellStyle name="Neutral 240" xfId="11442"/>
    <cellStyle name="Neutral 241" xfId="11443"/>
    <cellStyle name="Neutral 242" xfId="11444"/>
    <cellStyle name="Neutral 243" xfId="11445"/>
    <cellStyle name="Neutral 244" xfId="11446"/>
    <cellStyle name="Neutral 245" xfId="11447"/>
    <cellStyle name="Neutral 246" xfId="11448"/>
    <cellStyle name="Neutral 247" xfId="11449"/>
    <cellStyle name="Neutral 248" xfId="11450"/>
    <cellStyle name="Neutral 249" xfId="11451"/>
    <cellStyle name="Neutral 25" xfId="11452"/>
    <cellStyle name="Neutral 26" xfId="11453"/>
    <cellStyle name="Neutral 27" xfId="11454"/>
    <cellStyle name="Neutral 28" xfId="11455"/>
    <cellStyle name="Neutral 29" xfId="11456"/>
    <cellStyle name="Neutral 3" xfId="11457"/>
    <cellStyle name="Neutral 3 2" xfId="11458"/>
    <cellStyle name="Neutral 30" xfId="11459"/>
    <cellStyle name="Neutral 31" xfId="11460"/>
    <cellStyle name="Neutral 32" xfId="11461"/>
    <cellStyle name="Neutral 33" xfId="11462"/>
    <cellStyle name="Neutral 34" xfId="11463"/>
    <cellStyle name="Neutral 35" xfId="11464"/>
    <cellStyle name="Neutral 36" xfId="11465"/>
    <cellStyle name="Neutral 37" xfId="11466"/>
    <cellStyle name="Neutral 38" xfId="11467"/>
    <cellStyle name="Neutral 39" xfId="11468"/>
    <cellStyle name="Neutral 4" xfId="11469"/>
    <cellStyle name="Neutral 4 2" xfId="11470"/>
    <cellStyle name="Neutral 4 3" xfId="11471"/>
    <cellStyle name="Neutral 4 4" xfId="11472"/>
    <cellStyle name="Neutral 4 5" xfId="11473"/>
    <cellStyle name="Neutral 40" xfId="11474"/>
    <cellStyle name="Neutral 41" xfId="11475"/>
    <cellStyle name="Neutral 42" xfId="11476"/>
    <cellStyle name="Neutral 43" xfId="11477"/>
    <cellStyle name="Neutral 44" xfId="11478"/>
    <cellStyle name="Neutral 45" xfId="11479"/>
    <cellStyle name="Neutral 46" xfId="11480"/>
    <cellStyle name="Neutral 47" xfId="11481"/>
    <cellStyle name="Neutral 48" xfId="11482"/>
    <cellStyle name="Neutral 49" xfId="11483"/>
    <cellStyle name="Neutral 5" xfId="11484"/>
    <cellStyle name="Neutral 5 2" xfId="11485"/>
    <cellStyle name="Neutral 5 3" xfId="11486"/>
    <cellStyle name="Neutral 5 4" xfId="11487"/>
    <cellStyle name="Neutral 5 5" xfId="11488"/>
    <cellStyle name="Neutral 50" xfId="11489"/>
    <cellStyle name="Neutral 51" xfId="11490"/>
    <cellStyle name="Neutral 52" xfId="11491"/>
    <cellStyle name="Neutral 53" xfId="11492"/>
    <cellStyle name="Neutral 54" xfId="11493"/>
    <cellStyle name="Neutral 55" xfId="11494"/>
    <cellStyle name="Neutral 56" xfId="11495"/>
    <cellStyle name="Neutral 57" xfId="11496"/>
    <cellStyle name="Neutral 58" xfId="11497"/>
    <cellStyle name="Neutral 59" xfId="11498"/>
    <cellStyle name="Neutral 6" xfId="11499"/>
    <cellStyle name="Neutral 6 2" xfId="11500"/>
    <cellStyle name="Neutral 6 3" xfId="11501"/>
    <cellStyle name="Neutral 6 4" xfId="11502"/>
    <cellStyle name="Neutral 60" xfId="11503"/>
    <cellStyle name="Neutral 61" xfId="11504"/>
    <cellStyle name="Neutral 62" xfId="11505"/>
    <cellStyle name="Neutral 63" xfId="11506"/>
    <cellStyle name="Neutral 64" xfId="11507"/>
    <cellStyle name="Neutral 65" xfId="11508"/>
    <cellStyle name="Neutral 66" xfId="11509"/>
    <cellStyle name="Neutral 67" xfId="11510"/>
    <cellStyle name="Neutral 68" xfId="11511"/>
    <cellStyle name="Neutral 69" xfId="11512"/>
    <cellStyle name="Neutral 7" xfId="11513"/>
    <cellStyle name="Neutral 7 2" xfId="11514"/>
    <cellStyle name="Neutral 7 3" xfId="11515"/>
    <cellStyle name="Neutral 7 4" xfId="11516"/>
    <cellStyle name="Neutral 70" xfId="11517"/>
    <cellStyle name="Neutral 71" xfId="11518"/>
    <cellStyle name="Neutral 72" xfId="11519"/>
    <cellStyle name="Neutral 73" xfId="11520"/>
    <cellStyle name="Neutral 74" xfId="11521"/>
    <cellStyle name="Neutral 75" xfId="11522"/>
    <cellStyle name="Neutral 76" xfId="11523"/>
    <cellStyle name="Neutral 77" xfId="11524"/>
    <cellStyle name="Neutral 78" xfId="11525"/>
    <cellStyle name="Neutral 79" xfId="11526"/>
    <cellStyle name="Neutral 8" xfId="11527"/>
    <cellStyle name="Neutral 8 2" xfId="11528"/>
    <cellStyle name="Neutral 8 3" xfId="11529"/>
    <cellStyle name="Neutral 8 4" xfId="11530"/>
    <cellStyle name="Neutral 80" xfId="11531"/>
    <cellStyle name="Neutral 81" xfId="11532"/>
    <cellStyle name="Neutral 82" xfId="11533"/>
    <cellStyle name="Neutral 83" xfId="11534"/>
    <cellStyle name="Neutral 84" xfId="11535"/>
    <cellStyle name="Neutral 85" xfId="11536"/>
    <cellStyle name="Neutral 86" xfId="11537"/>
    <cellStyle name="Neutral 87" xfId="11538"/>
    <cellStyle name="Neutral 88" xfId="11539"/>
    <cellStyle name="Neutral 89" xfId="11540"/>
    <cellStyle name="Neutral 9" xfId="11541"/>
    <cellStyle name="Neutral 9 2" xfId="11542"/>
    <cellStyle name="Neutral 9 3" xfId="11543"/>
    <cellStyle name="Neutral 9 4" xfId="11544"/>
    <cellStyle name="Neutral 90" xfId="11545"/>
    <cellStyle name="Neutral 91" xfId="11546"/>
    <cellStyle name="Neutral 92" xfId="11547"/>
    <cellStyle name="Neutral 93" xfId="11548"/>
    <cellStyle name="Neutral 94" xfId="11549"/>
    <cellStyle name="Neutral 95" xfId="11550"/>
    <cellStyle name="Neutral 96" xfId="11551"/>
    <cellStyle name="Neutral 97" xfId="11552"/>
    <cellStyle name="Neutral 98" xfId="11553"/>
    <cellStyle name="Neutral 99" xfId="11554"/>
    <cellStyle name="Normal" xfId="0" builtinId="0"/>
    <cellStyle name="Normal 10" xfId="11555"/>
    <cellStyle name="Normal 10 2" xfId="11556"/>
    <cellStyle name="Normal 10 2 2" xfId="11557"/>
    <cellStyle name="Normal 10 2 3" xfId="11558"/>
    <cellStyle name="Normal 10 3" xfId="11559"/>
    <cellStyle name="Normal 10 3 2" xfId="11560"/>
    <cellStyle name="Normal 10 4" xfId="11561"/>
    <cellStyle name="Normal 10 5" xfId="11562"/>
    <cellStyle name="Normal 10 6" xfId="11563"/>
    <cellStyle name="Normal 10 7" xfId="11564"/>
    <cellStyle name="Normal 10 8" xfId="11565"/>
    <cellStyle name="Normal 100" xfId="11566"/>
    <cellStyle name="Normal 101" xfId="11567"/>
    <cellStyle name="Normal 102" xfId="11568"/>
    <cellStyle name="Normal 103" xfId="11569"/>
    <cellStyle name="Normal 104" xfId="11570"/>
    <cellStyle name="Normal 105" xfId="15318"/>
    <cellStyle name="Normal 106" xfId="15320"/>
    <cellStyle name="Normal 107" xfId="15321"/>
    <cellStyle name="Normal 108" xfId="15323"/>
    <cellStyle name="Normal 109" xfId="15324"/>
    <cellStyle name="Normal 11" xfId="11571"/>
    <cellStyle name="Normal 11 2" xfId="11572"/>
    <cellStyle name="Normal 11 3" xfId="11573"/>
    <cellStyle name="Normal 11 4" xfId="11574"/>
    <cellStyle name="Normal 11 5" xfId="11575"/>
    <cellStyle name="Normal 11 6" xfId="11576"/>
    <cellStyle name="Normal 110" xfId="15326"/>
    <cellStyle name="Normal 111" xfId="15327"/>
    <cellStyle name="Normal 112" xfId="15328"/>
    <cellStyle name="Normal 113" xfId="15330"/>
    <cellStyle name="Normal 114" xfId="15332"/>
    <cellStyle name="Normal 115" xfId="15335"/>
    <cellStyle name="Normal 12" xfId="11577"/>
    <cellStyle name="Normal 12 2" xfId="11578"/>
    <cellStyle name="Normal 12 2 2" xfId="11579"/>
    <cellStyle name="Normal 12 3" xfId="11580"/>
    <cellStyle name="Normal 12 4" xfId="11581"/>
    <cellStyle name="Normal 12 5" xfId="11582"/>
    <cellStyle name="Normal 12 6" xfId="11583"/>
    <cellStyle name="Normal 13" xfId="11584"/>
    <cellStyle name="Normal 13 2" xfId="11585"/>
    <cellStyle name="Normal 13 2 2" xfId="11586"/>
    <cellStyle name="Normal 13 3" xfId="11587"/>
    <cellStyle name="Normal 13 4" xfId="11588"/>
    <cellStyle name="Normal 13 5" xfId="11589"/>
    <cellStyle name="Normal 13 6" xfId="11590"/>
    <cellStyle name="Normal 14" xfId="11591"/>
    <cellStyle name="Normal 14 2" xfId="11592"/>
    <cellStyle name="Normal 14 3" xfId="11593"/>
    <cellStyle name="Normal 14 4" xfId="11594"/>
    <cellStyle name="Normal 14 5" xfId="11595"/>
    <cellStyle name="Normal 15" xfId="11596"/>
    <cellStyle name="Normal 15 2" xfId="11597"/>
    <cellStyle name="Normal 15 3" xfId="11598"/>
    <cellStyle name="Normal 15 4" xfId="11599"/>
    <cellStyle name="Normal 15 5" xfId="11600"/>
    <cellStyle name="Normal 15 6" xfId="11601"/>
    <cellStyle name="Normal 16" xfId="11602"/>
    <cellStyle name="Normal 16 2" xfId="11603"/>
    <cellStyle name="Normal 16 3" xfId="11604"/>
    <cellStyle name="Normal 17" xfId="11605"/>
    <cellStyle name="Normal 17 2" xfId="11606"/>
    <cellStyle name="Normal 17 3" xfId="11607"/>
    <cellStyle name="Normal 18" xfId="11608"/>
    <cellStyle name="Normal 18 2" xfId="11609"/>
    <cellStyle name="Normal 18 3" xfId="11610"/>
    <cellStyle name="Normal 19" xfId="11611"/>
    <cellStyle name="Normal 19 2" xfId="11612"/>
    <cellStyle name="Normal 19 3" xfId="11613"/>
    <cellStyle name="Normal 2" xfId="11614"/>
    <cellStyle name="Normal 2 10" xfId="11615"/>
    <cellStyle name="Normal 2 10 2" xfId="11616"/>
    <cellStyle name="Normal 2 11" xfId="11617"/>
    <cellStyle name="Normal 2 11 2" xfId="11618"/>
    <cellStyle name="Normal 2 11 2 2" xfId="11619"/>
    <cellStyle name="Normal 2 11 3" xfId="11620"/>
    <cellStyle name="Normal 2 11 3 2" xfId="11621"/>
    <cellStyle name="Normal 2 11 4" xfId="11622"/>
    <cellStyle name="Normal 2 12" xfId="11623"/>
    <cellStyle name="Normal 2 12 2" xfId="11624"/>
    <cellStyle name="Normal 2 13" xfId="11625"/>
    <cellStyle name="Normal 2 13 2" xfId="11626"/>
    <cellStyle name="Normal 2 14" xfId="11627"/>
    <cellStyle name="Normal 2 14 2" xfId="11628"/>
    <cellStyle name="Normal 2 15" xfId="11629"/>
    <cellStyle name="Normal 2 15 2" xfId="11630"/>
    <cellStyle name="Normal 2 16" xfId="11631"/>
    <cellStyle name="Normal 2 16 2" xfId="11632"/>
    <cellStyle name="Normal 2 17" xfId="11633"/>
    <cellStyle name="Normal 2 17 2" xfId="11634"/>
    <cellStyle name="Normal 2 18" xfId="11635"/>
    <cellStyle name="Normal 2 18 2" xfId="11636"/>
    <cellStyle name="Normal 2 19" xfId="11637"/>
    <cellStyle name="Normal 2 19 2" xfId="11638"/>
    <cellStyle name="Normal 2 2" xfId="11639"/>
    <cellStyle name="Normal 2 2 10" xfId="11640"/>
    <cellStyle name="Normal 2 2 100" xfId="11641"/>
    <cellStyle name="Normal 2 2 101" xfId="11642"/>
    <cellStyle name="Normal 2 2 102" xfId="11643"/>
    <cellStyle name="Normal 2 2 103" xfId="11644"/>
    <cellStyle name="Normal 2 2 104" xfId="11645"/>
    <cellStyle name="Normal 2 2 105" xfId="11646"/>
    <cellStyle name="Normal 2 2 106" xfId="11647"/>
    <cellStyle name="Normal 2 2 107" xfId="11648"/>
    <cellStyle name="Normal 2 2 108" xfId="11649"/>
    <cellStyle name="Normal 2 2 109" xfId="11650"/>
    <cellStyle name="Normal 2 2 11" xfId="11651"/>
    <cellStyle name="Normal 2 2 110" xfId="11652"/>
    <cellStyle name="Normal 2 2 111" xfId="11653"/>
    <cellStyle name="Normal 2 2 112" xfId="11654"/>
    <cellStyle name="Normal 2 2 113" xfId="11655"/>
    <cellStyle name="Normal 2 2 114" xfId="11656"/>
    <cellStyle name="Normal 2 2 115" xfId="11657"/>
    <cellStyle name="Normal 2 2 116" xfId="11658"/>
    <cellStyle name="Normal 2 2 117" xfId="11659"/>
    <cellStyle name="Normal 2 2 118" xfId="11660"/>
    <cellStyle name="Normal 2 2 119" xfId="11661"/>
    <cellStyle name="Normal 2 2 12" xfId="11662"/>
    <cellStyle name="Normal 2 2 120" xfId="11663"/>
    <cellStyle name="Normal 2 2 121" xfId="11664"/>
    <cellStyle name="Normal 2 2 122" xfId="11665"/>
    <cellStyle name="Normal 2 2 123" xfId="11666"/>
    <cellStyle name="Normal 2 2 124" xfId="11667"/>
    <cellStyle name="Normal 2 2 125" xfId="11668"/>
    <cellStyle name="Normal 2 2 126" xfId="11669"/>
    <cellStyle name="Normal 2 2 127" xfId="11670"/>
    <cellStyle name="Normal 2 2 128" xfId="11671"/>
    <cellStyle name="Normal 2 2 129" xfId="11672"/>
    <cellStyle name="Normal 2 2 13" xfId="11673"/>
    <cellStyle name="Normal 2 2 130" xfId="11674"/>
    <cellStyle name="Normal 2 2 131" xfId="11675"/>
    <cellStyle name="Normal 2 2 132" xfId="11676"/>
    <cellStyle name="Normal 2 2 133" xfId="11677"/>
    <cellStyle name="Normal 2 2 134" xfId="11678"/>
    <cellStyle name="Normal 2 2 135" xfId="11679"/>
    <cellStyle name="Normal 2 2 136" xfId="11680"/>
    <cellStyle name="Normal 2 2 137" xfId="11681"/>
    <cellStyle name="Normal 2 2 138" xfId="11682"/>
    <cellStyle name="Normal 2 2 139" xfId="11683"/>
    <cellStyle name="Normal 2 2 14" xfId="11684"/>
    <cellStyle name="Normal 2 2 140" xfId="11685"/>
    <cellStyle name="Normal 2 2 141" xfId="11686"/>
    <cellStyle name="Normal 2 2 142" xfId="11687"/>
    <cellStyle name="Normal 2 2 143" xfId="11688"/>
    <cellStyle name="Normal 2 2 144" xfId="11689"/>
    <cellStyle name="Normal 2 2 145" xfId="11690"/>
    <cellStyle name="Normal 2 2 146" xfId="11691"/>
    <cellStyle name="Normal 2 2 147" xfId="11692"/>
    <cellStyle name="Normal 2 2 148" xfId="11693"/>
    <cellStyle name="Normal 2 2 149" xfId="11694"/>
    <cellStyle name="Normal 2 2 15" xfId="11695"/>
    <cellStyle name="Normal 2 2 150" xfId="11696"/>
    <cellStyle name="Normal 2 2 151" xfId="11697"/>
    <cellStyle name="Normal 2 2 152" xfId="11698"/>
    <cellStyle name="Normal 2 2 153" xfId="11699"/>
    <cellStyle name="Normal 2 2 154" xfId="11700"/>
    <cellStyle name="Normal 2 2 155" xfId="11701"/>
    <cellStyle name="Normal 2 2 156" xfId="11702"/>
    <cellStyle name="Normal 2 2 157" xfId="11703"/>
    <cellStyle name="Normal 2 2 157 2" xfId="11704"/>
    <cellStyle name="Normal 2 2 158" xfId="11705"/>
    <cellStyle name="Normal 2 2 158 2" xfId="11706"/>
    <cellStyle name="Normal 2 2 159" xfId="11707"/>
    <cellStyle name="Normal 2 2 16" xfId="11708"/>
    <cellStyle name="Normal 2 2 160" xfId="11709"/>
    <cellStyle name="Normal 2 2 161" xfId="11710"/>
    <cellStyle name="Normal 2 2 162" xfId="11711"/>
    <cellStyle name="Normal 2 2 163" xfId="11712"/>
    <cellStyle name="Normal 2 2 164" xfId="11713"/>
    <cellStyle name="Normal 2 2 165" xfId="11714"/>
    <cellStyle name="Normal 2 2 166" xfId="11715"/>
    <cellStyle name="Normal 2 2 167" xfId="11716"/>
    <cellStyle name="Normal 2 2 168" xfId="11717"/>
    <cellStyle name="Normal 2 2 169" xfId="11718"/>
    <cellStyle name="Normal 2 2 17" xfId="11719"/>
    <cellStyle name="Normal 2 2 170" xfId="11720"/>
    <cellStyle name="Normal 2 2 171" xfId="11721"/>
    <cellStyle name="Normal 2 2 172" xfId="11722"/>
    <cellStyle name="Normal 2 2 173" xfId="11723"/>
    <cellStyle name="Normal 2 2 174" xfId="11724"/>
    <cellStyle name="Normal 2 2 175" xfId="11725"/>
    <cellStyle name="Normal 2 2 176" xfId="11726"/>
    <cellStyle name="Normal 2 2 177" xfId="11727"/>
    <cellStyle name="Normal 2 2 178" xfId="11728"/>
    <cellStyle name="Normal 2 2 179" xfId="11729"/>
    <cellStyle name="Normal 2 2 18" xfId="11730"/>
    <cellStyle name="Normal 2 2 180" xfId="11731"/>
    <cellStyle name="Normal 2 2 181" xfId="11732"/>
    <cellStyle name="Normal 2 2 182" xfId="11733"/>
    <cellStyle name="Normal 2 2 183" xfId="11734"/>
    <cellStyle name="Normal 2 2 184" xfId="11735"/>
    <cellStyle name="Normal 2 2 185" xfId="11736"/>
    <cellStyle name="Normal 2 2 186" xfId="11737"/>
    <cellStyle name="Normal 2 2 187" xfId="11738"/>
    <cellStyle name="Normal 2 2 188" xfId="11739"/>
    <cellStyle name="Normal 2 2 189" xfId="11740"/>
    <cellStyle name="Normal 2 2 19" xfId="11741"/>
    <cellStyle name="Normal 2 2 190" xfId="11742"/>
    <cellStyle name="Normal 2 2 191" xfId="11743"/>
    <cellStyle name="Normal 2 2 192" xfId="11744"/>
    <cellStyle name="Normal 2 2 193" xfId="11745"/>
    <cellStyle name="Normal 2 2 194" xfId="11746"/>
    <cellStyle name="Normal 2 2 195" xfId="11747"/>
    <cellStyle name="Normal 2 2 196" xfId="11748"/>
    <cellStyle name="Normal 2 2 196 2" xfId="11749"/>
    <cellStyle name="Normal 2 2 197" xfId="11750"/>
    <cellStyle name="Normal 2 2 198" xfId="11751"/>
    <cellStyle name="Normal 2 2 199" xfId="11752"/>
    <cellStyle name="Normal 2 2 2" xfId="11753"/>
    <cellStyle name="Normal 2 2 2 2" xfId="11754"/>
    <cellStyle name="Normal 2 2 2 2 2" xfId="11755"/>
    <cellStyle name="Normal 2 2 2 3" xfId="11756"/>
    <cellStyle name="Normal 2 2 2 3 2" xfId="11757"/>
    <cellStyle name="Normal 2 2 2 4" xfId="11758"/>
    <cellStyle name="Normal 2 2 2 4 2" xfId="11759"/>
    <cellStyle name="Normal 2 2 2 5" xfId="11760"/>
    <cellStyle name="Normal 2 2 2 6" xfId="11761"/>
    <cellStyle name="Normal 2 2 2 7" xfId="11762"/>
    <cellStyle name="Normal 2 2 2 8" xfId="11763"/>
    <cellStyle name="Normal 2 2 2 9" xfId="11764"/>
    <cellStyle name="Normal 2 2 20" xfId="11765"/>
    <cellStyle name="Normal 2 2 200" xfId="11766"/>
    <cellStyle name="Normal 2 2 201" xfId="11767"/>
    <cellStyle name="Normal 2 2 202" xfId="11768"/>
    <cellStyle name="Normal 2 2 203" xfId="11769"/>
    <cellStyle name="Normal 2 2 204" xfId="11770"/>
    <cellStyle name="Normal 2 2 205" xfId="11771"/>
    <cellStyle name="Normal 2 2 206" xfId="11772"/>
    <cellStyle name="Normal 2 2 207" xfId="11773"/>
    <cellStyle name="Normal 2 2 208" xfId="11774"/>
    <cellStyle name="Normal 2 2 209" xfId="11775"/>
    <cellStyle name="Normal 2 2 21" xfId="11776"/>
    <cellStyle name="Normal 2 2 210" xfId="11777"/>
    <cellStyle name="Normal 2 2 211" xfId="11778"/>
    <cellStyle name="Normal 2 2 212" xfId="11779"/>
    <cellStyle name="Normal 2 2 213" xfId="11780"/>
    <cellStyle name="Normal 2 2 214" xfId="11781"/>
    <cellStyle name="Normal 2 2 215" xfId="11782"/>
    <cellStyle name="Normal 2 2 216" xfId="11783"/>
    <cellStyle name="Normal 2 2 217" xfId="11784"/>
    <cellStyle name="Normal 2 2 218" xfId="11785"/>
    <cellStyle name="Normal 2 2 219" xfId="11786"/>
    <cellStyle name="Normal 2 2 22" xfId="11787"/>
    <cellStyle name="Normal 2 2 220" xfId="11788"/>
    <cellStyle name="Normal 2 2 221" xfId="11789"/>
    <cellStyle name="Normal 2 2 222" xfId="11790"/>
    <cellStyle name="Normal 2 2 223" xfId="11791"/>
    <cellStyle name="Normal 2 2 224" xfId="11792"/>
    <cellStyle name="Normal 2 2 225" xfId="11793"/>
    <cellStyle name="Normal 2 2 226" xfId="11794"/>
    <cellStyle name="Normal 2 2 227" xfId="11795"/>
    <cellStyle name="Normal 2 2 228" xfId="11796"/>
    <cellStyle name="Normal 2 2 229" xfId="11797"/>
    <cellStyle name="Normal 2 2 23" xfId="11798"/>
    <cellStyle name="Normal 2 2 230" xfId="11799"/>
    <cellStyle name="Normal 2 2 231" xfId="11800"/>
    <cellStyle name="Normal 2 2 232" xfId="11801"/>
    <cellStyle name="Normal 2 2 233" xfId="11802"/>
    <cellStyle name="Normal 2 2 234" xfId="11803"/>
    <cellStyle name="Normal 2 2 235" xfId="11804"/>
    <cellStyle name="Normal 2 2 236" xfId="11805"/>
    <cellStyle name="Normal 2 2 237" xfId="11806"/>
    <cellStyle name="Normal 2 2 238" xfId="11807"/>
    <cellStyle name="Normal 2 2 239" xfId="11808"/>
    <cellStyle name="Normal 2 2 24" xfId="11809"/>
    <cellStyle name="Normal 2 2 25" xfId="11810"/>
    <cellStyle name="Normal 2 2 26" xfId="11811"/>
    <cellStyle name="Normal 2 2 27" xfId="11812"/>
    <cellStyle name="Normal 2 2 28" xfId="11813"/>
    <cellStyle name="Normal 2 2 29" xfId="11814"/>
    <cellStyle name="Normal 2 2 3" xfId="11815"/>
    <cellStyle name="Normal 2 2 30" xfId="11816"/>
    <cellStyle name="Normal 2 2 31" xfId="11817"/>
    <cellStyle name="Normal 2 2 32" xfId="11818"/>
    <cellStyle name="Normal 2 2 33" xfId="11819"/>
    <cellStyle name="Normal 2 2 34" xfId="11820"/>
    <cellStyle name="Normal 2 2 35" xfId="11821"/>
    <cellStyle name="Normal 2 2 36" xfId="11822"/>
    <cellStyle name="Normal 2 2 37" xfId="11823"/>
    <cellStyle name="Normal 2 2 38" xfId="11824"/>
    <cellStyle name="Normal 2 2 39" xfId="11825"/>
    <cellStyle name="Normal 2 2 4" xfId="11826"/>
    <cellStyle name="Normal 2 2 40" xfId="11827"/>
    <cellStyle name="Normal 2 2 41" xfId="11828"/>
    <cellStyle name="Normal 2 2 42" xfId="11829"/>
    <cellStyle name="Normal 2 2 43" xfId="11830"/>
    <cellStyle name="Normal 2 2 44" xfId="11831"/>
    <cellStyle name="Normal 2 2 45" xfId="11832"/>
    <cellStyle name="Normal 2 2 46" xfId="11833"/>
    <cellStyle name="Normal 2 2 47" xfId="11834"/>
    <cellStyle name="Normal 2 2 48" xfId="11835"/>
    <cellStyle name="Normal 2 2 49" xfId="11836"/>
    <cellStyle name="Normal 2 2 5" xfId="11837"/>
    <cellStyle name="Normal 2 2 50" xfId="11838"/>
    <cellStyle name="Normal 2 2 51" xfId="11839"/>
    <cellStyle name="Normal 2 2 52" xfId="11840"/>
    <cellStyle name="Normal 2 2 53" xfId="11841"/>
    <cellStyle name="Normal 2 2 54" xfId="11842"/>
    <cellStyle name="Normal 2 2 55" xfId="11843"/>
    <cellStyle name="Normal 2 2 56" xfId="11844"/>
    <cellStyle name="Normal 2 2 57" xfId="11845"/>
    <cellStyle name="Normal 2 2 58" xfId="11846"/>
    <cellStyle name="Normal 2 2 59" xfId="11847"/>
    <cellStyle name="Normal 2 2 6" xfId="11848"/>
    <cellStyle name="Normal 2 2 60" xfId="11849"/>
    <cellStyle name="Normal 2 2 61" xfId="11850"/>
    <cellStyle name="Normal 2 2 62" xfId="11851"/>
    <cellStyle name="Normal 2 2 63" xfId="11852"/>
    <cellStyle name="Normal 2 2 64" xfId="11853"/>
    <cellStyle name="Normal 2 2 65" xfId="11854"/>
    <cellStyle name="Normal 2 2 66" xfId="11855"/>
    <cellStyle name="Normal 2 2 67" xfId="11856"/>
    <cellStyle name="Normal 2 2 68" xfId="11857"/>
    <cellStyle name="Normal 2 2 69" xfId="11858"/>
    <cellStyle name="Normal 2 2 7" xfId="11859"/>
    <cellStyle name="Normal 2 2 70" xfId="11860"/>
    <cellStyle name="Normal 2 2 71" xfId="11861"/>
    <cellStyle name="Normal 2 2 72" xfId="11862"/>
    <cellStyle name="Normal 2 2 73" xfId="11863"/>
    <cellStyle name="Normal 2 2 74" xfId="11864"/>
    <cellStyle name="Normal 2 2 75" xfId="11865"/>
    <cellStyle name="Normal 2 2 76" xfId="11866"/>
    <cellStyle name="Normal 2 2 77" xfId="11867"/>
    <cellStyle name="Normal 2 2 78" xfId="11868"/>
    <cellStyle name="Normal 2 2 79" xfId="11869"/>
    <cellStyle name="Normal 2 2 79 2" xfId="11870"/>
    <cellStyle name="Normal 2 2 8" xfId="11871"/>
    <cellStyle name="Normal 2 2 80" xfId="11872"/>
    <cellStyle name="Normal 2 2 81" xfId="11873"/>
    <cellStyle name="Normal 2 2 82" xfId="11874"/>
    <cellStyle name="Normal 2 2 83" xfId="11875"/>
    <cellStyle name="Normal 2 2 84" xfId="11876"/>
    <cellStyle name="Normal 2 2 85" xfId="11877"/>
    <cellStyle name="Normal 2 2 86" xfId="11878"/>
    <cellStyle name="Normal 2 2 87" xfId="11879"/>
    <cellStyle name="Normal 2 2 88" xfId="11880"/>
    <cellStyle name="Normal 2 2 89" xfId="11881"/>
    <cellStyle name="Normal 2 2 9" xfId="11882"/>
    <cellStyle name="Normal 2 2 90" xfId="11883"/>
    <cellStyle name="Normal 2 2 91" xfId="11884"/>
    <cellStyle name="Normal 2 2 92" xfId="11885"/>
    <cellStyle name="Normal 2 2 93" xfId="11886"/>
    <cellStyle name="Normal 2 2 94" xfId="11887"/>
    <cellStyle name="Normal 2 2 95" xfId="11888"/>
    <cellStyle name="Normal 2 2 96" xfId="11889"/>
    <cellStyle name="Normal 2 2 97" xfId="11890"/>
    <cellStyle name="Normal 2 2 98" xfId="11891"/>
    <cellStyle name="Normal 2 2 99" xfId="11892"/>
    <cellStyle name="Normal 2 20" xfId="11893"/>
    <cellStyle name="Normal 2 20 2" xfId="11894"/>
    <cellStyle name="Normal 2 21" xfId="11895"/>
    <cellStyle name="Normal 2 21 2" xfId="11896"/>
    <cellStyle name="Normal 2 22" xfId="11897"/>
    <cellStyle name="Normal 2 22 2" xfId="11898"/>
    <cellStyle name="Normal 2 23" xfId="11899"/>
    <cellStyle name="Normal 2 23 2" xfId="11900"/>
    <cellStyle name="Normal 2 24" xfId="11901"/>
    <cellStyle name="Normal 2 24 2" xfId="11902"/>
    <cellStyle name="Normal 2 25" xfId="11903"/>
    <cellStyle name="Normal 2 25 2" xfId="11904"/>
    <cellStyle name="Normal 2 26" xfId="11905"/>
    <cellStyle name="Normal 2 26 2" xfId="11906"/>
    <cellStyle name="Normal 2 27" xfId="11907"/>
    <cellStyle name="Normal 2 27 2" xfId="11908"/>
    <cellStyle name="Normal 2 28" xfId="11909"/>
    <cellStyle name="Normal 2 28 2" xfId="11910"/>
    <cellStyle name="Normal 2 29" xfId="11911"/>
    <cellStyle name="Normal 2 3" xfId="11912"/>
    <cellStyle name="Normal 2 3 2" xfId="11913"/>
    <cellStyle name="Normal 2 3 3" xfId="11914"/>
    <cellStyle name="Normal 2 3 4" xfId="11915"/>
    <cellStyle name="Normal 2 3 5" xfId="11916"/>
    <cellStyle name="Normal 2 3 6" xfId="11917"/>
    <cellStyle name="Normal 2 3 7" xfId="11918"/>
    <cellStyle name="Normal 2 3 8" xfId="11919"/>
    <cellStyle name="Normal 2 3 9" xfId="11920"/>
    <cellStyle name="Normal 2 30" xfId="11921"/>
    <cellStyle name="Normal 2 31" xfId="11922"/>
    <cellStyle name="Normal 2 32" xfId="11923"/>
    <cellStyle name="Normal 2 33" xfId="11924"/>
    <cellStyle name="Normal 2 34" xfId="11925"/>
    <cellStyle name="Normal 2 35" xfId="11926"/>
    <cellStyle name="Normal 2 36" xfId="11927"/>
    <cellStyle name="Normal 2 37" xfId="11928"/>
    <cellStyle name="Normal 2 38" xfId="11929"/>
    <cellStyle name="Normal 2 39" xfId="11930"/>
    <cellStyle name="Normal 2 4" xfId="11931"/>
    <cellStyle name="Normal 2 4 2" xfId="11932"/>
    <cellStyle name="Normal 2 4 3" xfId="11933"/>
    <cellStyle name="Normal 2 4 4" xfId="11934"/>
    <cellStyle name="Normal 2 4 5" xfId="11935"/>
    <cellStyle name="Normal 2 4 6" xfId="11936"/>
    <cellStyle name="Normal 2 4 7" xfId="11937"/>
    <cellStyle name="Normal 2 4 8" xfId="11938"/>
    <cellStyle name="Normal 2 4 9" xfId="11939"/>
    <cellStyle name="Normal 2 40" xfId="11940"/>
    <cellStyle name="Normal 2 41" xfId="11941"/>
    <cellStyle name="Normal 2 42" xfId="11942"/>
    <cellStyle name="Normal 2 43" xfId="11943"/>
    <cellStyle name="Normal 2 44" xfId="11944"/>
    <cellStyle name="Normal 2 45" xfId="11945"/>
    <cellStyle name="Normal 2 46" xfId="11946"/>
    <cellStyle name="Normal 2 47" xfId="11947"/>
    <cellStyle name="Normal 2 48" xfId="11948"/>
    <cellStyle name="Normal 2 49" xfId="11949"/>
    <cellStyle name="Normal 2 5" xfId="11950"/>
    <cellStyle name="Normal 2 5 2" xfId="11951"/>
    <cellStyle name="Normal 2 5 3" xfId="11952"/>
    <cellStyle name="Normal 2 5 4" xfId="11953"/>
    <cellStyle name="Normal 2 5 5" xfId="11954"/>
    <cellStyle name="Normal 2 5 6" xfId="11955"/>
    <cellStyle name="Normal 2 50" xfId="11956"/>
    <cellStyle name="Normal 2 51" xfId="11957"/>
    <cellStyle name="Normal 2 52" xfId="11958"/>
    <cellStyle name="Normal 2 53" xfId="11959"/>
    <cellStyle name="Normal 2 54" xfId="11960"/>
    <cellStyle name="Normal 2 55" xfId="11961"/>
    <cellStyle name="Normal 2 56" xfId="11962"/>
    <cellStyle name="Normal 2 57" xfId="11963"/>
    <cellStyle name="Normal 2 58" xfId="11964"/>
    <cellStyle name="Normal 2 59" xfId="11965"/>
    <cellStyle name="Normal 2 6" xfId="11966"/>
    <cellStyle name="Normal 2 6 2" xfId="11967"/>
    <cellStyle name="Normal 2 6 2 2" xfId="11968"/>
    <cellStyle name="Normal 2 6 3" xfId="11969"/>
    <cellStyle name="Normal 2 6 3 2" xfId="11970"/>
    <cellStyle name="Normal 2 6 4" xfId="11971"/>
    <cellStyle name="Normal 2 6 4 2" xfId="11972"/>
    <cellStyle name="Normal 2 6 5" xfId="11973"/>
    <cellStyle name="Normal 2 6 6" xfId="11974"/>
    <cellStyle name="Normal 2 6 7" xfId="11975"/>
    <cellStyle name="Normal 2 6 8" xfId="11976"/>
    <cellStyle name="Normal 2 6 9" xfId="11977"/>
    <cellStyle name="Normal 2 60" xfId="11978"/>
    <cellStyle name="Normal 2 61" xfId="11979"/>
    <cellStyle name="Normal 2 62" xfId="11980"/>
    <cellStyle name="Normal 2 63" xfId="11981"/>
    <cellStyle name="Normal 2 64" xfId="11982"/>
    <cellStyle name="Normal 2 65" xfId="11983"/>
    <cellStyle name="Normal 2 66" xfId="11984"/>
    <cellStyle name="Normal 2 67" xfId="11985"/>
    <cellStyle name="Normal 2 68" xfId="11986"/>
    <cellStyle name="Normal 2 69" xfId="11987"/>
    <cellStyle name="Normal 2 7" xfId="11988"/>
    <cellStyle name="Normal 2 7 2" xfId="11989"/>
    <cellStyle name="Normal 2 70" xfId="11990"/>
    <cellStyle name="Normal 2 71" xfId="11991"/>
    <cellStyle name="Normal 2 72" xfId="11992"/>
    <cellStyle name="Normal 2 73" xfId="11993"/>
    <cellStyle name="Normal 2 74" xfId="11994"/>
    <cellStyle name="Normal 2 75" xfId="11995"/>
    <cellStyle name="Normal 2 76" xfId="11996"/>
    <cellStyle name="Normal 2 77" xfId="11997"/>
    <cellStyle name="Normal 2 78" xfId="11998"/>
    <cellStyle name="Normal 2 79" xfId="11999"/>
    <cellStyle name="Normal 2 8" xfId="12000"/>
    <cellStyle name="Normal 2 8 2" xfId="12001"/>
    <cellStyle name="Normal 2 80" xfId="12002"/>
    <cellStyle name="Normal 2 81" xfId="12003"/>
    <cellStyle name="Normal 2 82" xfId="12004"/>
    <cellStyle name="Normal 2 83" xfId="12005"/>
    <cellStyle name="Normal 2 84" xfId="12006"/>
    <cellStyle name="Normal 2 85" xfId="12007"/>
    <cellStyle name="Normal 2 86" xfId="12008"/>
    <cellStyle name="Normal 2 9" xfId="12009"/>
    <cellStyle name="Normal 2 9 2" xfId="12010"/>
    <cellStyle name="Normal 2_BF DESPATCH" xfId="12011"/>
    <cellStyle name="Normal 20" xfId="12012"/>
    <cellStyle name="Normal 20 2" xfId="12013"/>
    <cellStyle name="Normal 21" xfId="12014"/>
    <cellStyle name="Normal 21 2" xfId="12015"/>
    <cellStyle name="Normal 22" xfId="12016"/>
    <cellStyle name="Normal 22 2" xfId="12017"/>
    <cellStyle name="Normal 22 3" xfId="12018"/>
    <cellStyle name="Normal 23" xfId="12019"/>
    <cellStyle name="Normal 24" xfId="12020"/>
    <cellStyle name="Normal 25" xfId="12021"/>
    <cellStyle name="Normal 26" xfId="12022"/>
    <cellStyle name="Normal 27" xfId="12023"/>
    <cellStyle name="Normal 28" xfId="12024"/>
    <cellStyle name="Normal 29" xfId="12025"/>
    <cellStyle name="Normal 3" xfId="12026"/>
    <cellStyle name="Normal 3 10" xfId="12027"/>
    <cellStyle name="Normal 3 10 2" xfId="12028"/>
    <cellStyle name="Normal 3 10 3" xfId="12029"/>
    <cellStyle name="Normal 3 10 4" xfId="12030"/>
    <cellStyle name="Normal 3 10 5" xfId="12031"/>
    <cellStyle name="Normal 3 10 6" xfId="12032"/>
    <cellStyle name="Normal 3 100" xfId="12033"/>
    <cellStyle name="Normal 3 101" xfId="12034"/>
    <cellStyle name="Normal 3 102" xfId="12035"/>
    <cellStyle name="Normal 3 103" xfId="12036"/>
    <cellStyle name="Normal 3 104" xfId="12037"/>
    <cellStyle name="Normal 3 105" xfId="12038"/>
    <cellStyle name="Normal 3 106" xfId="12039"/>
    <cellStyle name="Normal 3 107" xfId="12040"/>
    <cellStyle name="Normal 3 108" xfId="12041"/>
    <cellStyle name="Normal 3 109" xfId="12042"/>
    <cellStyle name="Normal 3 11" xfId="12043"/>
    <cellStyle name="Normal 3 11 2" xfId="12044"/>
    <cellStyle name="Normal 3 11 3" xfId="12045"/>
    <cellStyle name="Normal 3 11 4" xfId="12046"/>
    <cellStyle name="Normal 3 11 5" xfId="12047"/>
    <cellStyle name="Normal 3 110" xfId="12048"/>
    <cellStyle name="Normal 3 111" xfId="12049"/>
    <cellStyle name="Normal 3 112" xfId="12050"/>
    <cellStyle name="Normal 3 113" xfId="12051"/>
    <cellStyle name="Normal 3 114" xfId="12052"/>
    <cellStyle name="Normal 3 115" xfId="12053"/>
    <cellStyle name="Normal 3 116" xfId="12054"/>
    <cellStyle name="Normal 3 117" xfId="12055"/>
    <cellStyle name="Normal 3 118" xfId="12056"/>
    <cellStyle name="Normal 3 119" xfId="12057"/>
    <cellStyle name="Normal 3 12" xfId="12058"/>
    <cellStyle name="Normal 3 12 2" xfId="12059"/>
    <cellStyle name="Normal 3 120" xfId="12060"/>
    <cellStyle name="Normal 3 121" xfId="12061"/>
    <cellStyle name="Normal 3 122" xfId="12062"/>
    <cellStyle name="Normal 3 123" xfId="12063"/>
    <cellStyle name="Normal 3 124" xfId="12064"/>
    <cellStyle name="Normal 3 125" xfId="12065"/>
    <cellStyle name="Normal 3 126" xfId="12066"/>
    <cellStyle name="Normal 3 127" xfId="12067"/>
    <cellStyle name="Normal 3 128" xfId="12068"/>
    <cellStyle name="Normal 3 129" xfId="12069"/>
    <cellStyle name="Normal 3 13" xfId="12070"/>
    <cellStyle name="Normal 3 13 2" xfId="12071"/>
    <cellStyle name="Normal 3 130" xfId="12072"/>
    <cellStyle name="Normal 3 131" xfId="12073"/>
    <cellStyle name="Normal 3 132" xfId="12074"/>
    <cellStyle name="Normal 3 133" xfId="12075"/>
    <cellStyle name="Normal 3 134" xfId="12076"/>
    <cellStyle name="Normal 3 135" xfId="12077"/>
    <cellStyle name="Normal 3 136" xfId="12078"/>
    <cellStyle name="Normal 3 137" xfId="12079"/>
    <cellStyle name="Normal 3 138" xfId="12080"/>
    <cellStyle name="Normal 3 139" xfId="12081"/>
    <cellStyle name="Normal 3 14" xfId="12082"/>
    <cellStyle name="Normal 3 14 2" xfId="12083"/>
    <cellStyle name="Normal 3 140" xfId="12084"/>
    <cellStyle name="Normal 3 141" xfId="12085"/>
    <cellStyle name="Normal 3 142" xfId="12086"/>
    <cellStyle name="Normal 3 143" xfId="12087"/>
    <cellStyle name="Normal 3 144" xfId="12088"/>
    <cellStyle name="Normal 3 145" xfId="12089"/>
    <cellStyle name="Normal 3 146" xfId="12090"/>
    <cellStyle name="Normal 3 147" xfId="12091"/>
    <cellStyle name="Normal 3 148" xfId="12092"/>
    <cellStyle name="Normal 3 149" xfId="12093"/>
    <cellStyle name="Normal 3 15" xfId="12094"/>
    <cellStyle name="Normal 3 15 2" xfId="12095"/>
    <cellStyle name="Normal 3 150" xfId="12096"/>
    <cellStyle name="Normal 3 151" xfId="12097"/>
    <cellStyle name="Normal 3 152" xfId="12098"/>
    <cellStyle name="Normal 3 153" xfId="12099"/>
    <cellStyle name="Normal 3 154" xfId="12100"/>
    <cellStyle name="Normal 3 155" xfId="12101"/>
    <cellStyle name="Normal 3 156" xfId="12102"/>
    <cellStyle name="Normal 3 157" xfId="12103"/>
    <cellStyle name="Normal 3 158" xfId="12104"/>
    <cellStyle name="Normal 3 159" xfId="12105"/>
    <cellStyle name="Normal 3 16" xfId="12106"/>
    <cellStyle name="Normal 3 16 2" xfId="12107"/>
    <cellStyle name="Normal 3 160" xfId="12108"/>
    <cellStyle name="Normal 3 161" xfId="12109"/>
    <cellStyle name="Normal 3 162" xfId="12110"/>
    <cellStyle name="Normal 3 163" xfId="12111"/>
    <cellStyle name="Normal 3 164" xfId="12112"/>
    <cellStyle name="Normal 3 165" xfId="12113"/>
    <cellStyle name="Normal 3 166" xfId="12114"/>
    <cellStyle name="Normal 3 167" xfId="12115"/>
    <cellStyle name="Normal 3 168" xfId="12116"/>
    <cellStyle name="Normal 3 169" xfId="12117"/>
    <cellStyle name="Normal 3 17" xfId="12118"/>
    <cellStyle name="Normal 3 17 2" xfId="12119"/>
    <cellStyle name="Normal 3 170" xfId="12120"/>
    <cellStyle name="Normal 3 171" xfId="12121"/>
    <cellStyle name="Normal 3 172" xfId="12122"/>
    <cellStyle name="Normal 3 173" xfId="12123"/>
    <cellStyle name="Normal 3 174" xfId="12124"/>
    <cellStyle name="Normal 3 175" xfId="12125"/>
    <cellStyle name="Normal 3 176" xfId="12126"/>
    <cellStyle name="Normal 3 176 2" xfId="12127"/>
    <cellStyle name="Normal 3 177" xfId="12128"/>
    <cellStyle name="Normal 3 177 2" xfId="12129"/>
    <cellStyle name="Normal 3 178" xfId="12130"/>
    <cellStyle name="Normal 3 179" xfId="12131"/>
    <cellStyle name="Normal 3 18" xfId="12132"/>
    <cellStyle name="Normal 3 18 2" xfId="12133"/>
    <cellStyle name="Normal 3 180" xfId="12134"/>
    <cellStyle name="Normal 3 181" xfId="12135"/>
    <cellStyle name="Normal 3 182" xfId="12136"/>
    <cellStyle name="Normal 3 183" xfId="12137"/>
    <cellStyle name="Normal 3 184" xfId="12138"/>
    <cellStyle name="Normal 3 185" xfId="12139"/>
    <cellStyle name="Normal 3 186" xfId="12140"/>
    <cellStyle name="Normal 3 187" xfId="12141"/>
    <cellStyle name="Normal 3 188" xfId="12142"/>
    <cellStyle name="Normal 3 189" xfId="12143"/>
    <cellStyle name="Normal 3 19" xfId="12144"/>
    <cellStyle name="Normal 3 19 2" xfId="12145"/>
    <cellStyle name="Normal 3 190" xfId="12146"/>
    <cellStyle name="Normal 3 191" xfId="12147"/>
    <cellStyle name="Normal 3 192" xfId="12148"/>
    <cellStyle name="Normal 3 193" xfId="12149"/>
    <cellStyle name="Normal 3 194" xfId="12150"/>
    <cellStyle name="Normal 3 195" xfId="12151"/>
    <cellStyle name="Normal 3 196" xfId="12152"/>
    <cellStyle name="Normal 3 197" xfId="12153"/>
    <cellStyle name="Normal 3 198" xfId="12154"/>
    <cellStyle name="Normal 3 199" xfId="12155"/>
    <cellStyle name="Normal 3 2" xfId="12156"/>
    <cellStyle name="Normal 3 2 2" xfId="12157"/>
    <cellStyle name="Normal 3 2 3" xfId="12158"/>
    <cellStyle name="Normal 3 2 4" xfId="12159"/>
    <cellStyle name="Normal 3 2 5" xfId="12160"/>
    <cellStyle name="Normal 3 2 6" xfId="12161"/>
    <cellStyle name="Normal 3 2 7" xfId="12162"/>
    <cellStyle name="Normal 3 2 8" xfId="12163"/>
    <cellStyle name="Normal 3 2 9" xfId="12164"/>
    <cellStyle name="Normal 3 20" xfId="12165"/>
    <cellStyle name="Normal 3 20 2" xfId="12166"/>
    <cellStyle name="Normal 3 200" xfId="12167"/>
    <cellStyle name="Normal 3 201" xfId="12168"/>
    <cellStyle name="Normal 3 202" xfId="12169"/>
    <cellStyle name="Normal 3 203" xfId="12170"/>
    <cellStyle name="Normal 3 204" xfId="12171"/>
    <cellStyle name="Normal 3 205" xfId="12172"/>
    <cellStyle name="Normal 3 206" xfId="12173"/>
    <cellStyle name="Normal 3 207" xfId="12174"/>
    <cellStyle name="Normal 3 208" xfId="12175"/>
    <cellStyle name="Normal 3 209" xfId="12176"/>
    <cellStyle name="Normal 3 21" xfId="12177"/>
    <cellStyle name="Normal 3 21 2" xfId="12178"/>
    <cellStyle name="Normal 3 210" xfId="12179"/>
    <cellStyle name="Normal 3 211" xfId="12180"/>
    <cellStyle name="Normal 3 212" xfId="12181"/>
    <cellStyle name="Normal 3 213" xfId="12182"/>
    <cellStyle name="Normal 3 214" xfId="12183"/>
    <cellStyle name="Normal 3 215" xfId="12184"/>
    <cellStyle name="Normal 3 215 2" xfId="12185"/>
    <cellStyle name="Normal 3 216" xfId="12186"/>
    <cellStyle name="Normal 3 217" xfId="12187"/>
    <cellStyle name="Normal 3 218" xfId="12188"/>
    <cellStyle name="Normal 3 219" xfId="12189"/>
    <cellStyle name="Normal 3 22" xfId="12190"/>
    <cellStyle name="Normal 3 220" xfId="12191"/>
    <cellStyle name="Normal 3 221" xfId="12192"/>
    <cellStyle name="Normal 3 222" xfId="12193"/>
    <cellStyle name="Normal 3 223" xfId="12194"/>
    <cellStyle name="Normal 3 224" xfId="12195"/>
    <cellStyle name="Normal 3 225" xfId="12196"/>
    <cellStyle name="Normal 3 226" xfId="12197"/>
    <cellStyle name="Normal 3 227" xfId="12198"/>
    <cellStyle name="Normal 3 228" xfId="12199"/>
    <cellStyle name="Normal 3 229" xfId="12200"/>
    <cellStyle name="Normal 3 23" xfId="12201"/>
    <cellStyle name="Normal 3 230" xfId="12202"/>
    <cellStyle name="Normal 3 231" xfId="12203"/>
    <cellStyle name="Normal 3 232" xfId="12204"/>
    <cellStyle name="Normal 3 233" xfId="12205"/>
    <cellStyle name="Normal 3 234" xfId="12206"/>
    <cellStyle name="Normal 3 235" xfId="12207"/>
    <cellStyle name="Normal 3 236" xfId="12208"/>
    <cellStyle name="Normal 3 237" xfId="12209"/>
    <cellStyle name="Normal 3 238" xfId="12210"/>
    <cellStyle name="Normal 3 239" xfId="12211"/>
    <cellStyle name="Normal 3 24" xfId="12212"/>
    <cellStyle name="Normal 3 240" xfId="12213"/>
    <cellStyle name="Normal 3 241" xfId="12214"/>
    <cellStyle name="Normal 3 242" xfId="12215"/>
    <cellStyle name="Normal 3 243" xfId="12216"/>
    <cellStyle name="Normal 3 244" xfId="12217"/>
    <cellStyle name="Normal 3 245" xfId="12218"/>
    <cellStyle name="Normal 3 246" xfId="12219"/>
    <cellStyle name="Normal 3 247" xfId="12220"/>
    <cellStyle name="Normal 3 248" xfId="12221"/>
    <cellStyle name="Normal 3 249" xfId="12222"/>
    <cellStyle name="Normal 3 25" xfId="12223"/>
    <cellStyle name="Normal 3 250" xfId="12224"/>
    <cellStyle name="Normal 3 251" xfId="12225"/>
    <cellStyle name="Normal 3 252" xfId="12226"/>
    <cellStyle name="Normal 3 253" xfId="12227"/>
    <cellStyle name="Normal 3 254" xfId="12228"/>
    <cellStyle name="Normal 3 255" xfId="12229"/>
    <cellStyle name="Normal 3 256" xfId="12230"/>
    <cellStyle name="Normal 3 257" xfId="12231"/>
    <cellStyle name="Normal 3 258" xfId="12232"/>
    <cellStyle name="Normal 3 259" xfId="12233"/>
    <cellStyle name="Normal 3 26" xfId="12234"/>
    <cellStyle name="Normal 3 27" xfId="12235"/>
    <cellStyle name="Normal 3 28" xfId="12236"/>
    <cellStyle name="Normal 3 29" xfId="12237"/>
    <cellStyle name="Normal 3 3" xfId="12238"/>
    <cellStyle name="Normal 3 3 2" xfId="12239"/>
    <cellStyle name="Normal 3 3 3" xfId="12240"/>
    <cellStyle name="Normal 3 3 4" xfId="12241"/>
    <cellStyle name="Normal 3 3 5" xfId="12242"/>
    <cellStyle name="Normal 3 3 6" xfId="12243"/>
    <cellStyle name="Normal 3 3 7" xfId="12244"/>
    <cellStyle name="Normal 3 3 8" xfId="12245"/>
    <cellStyle name="Normal 3 3 9" xfId="12246"/>
    <cellStyle name="Normal 3 30" xfId="12247"/>
    <cellStyle name="Normal 3 31" xfId="12248"/>
    <cellStyle name="Normal 3 32" xfId="12249"/>
    <cellStyle name="Normal 3 33" xfId="12250"/>
    <cellStyle name="Normal 3 34" xfId="12251"/>
    <cellStyle name="Normal 3 35" xfId="12252"/>
    <cellStyle name="Normal 3 36" xfId="12253"/>
    <cellStyle name="Normal 3 37" xfId="12254"/>
    <cellStyle name="Normal 3 38" xfId="12255"/>
    <cellStyle name="Normal 3 39" xfId="12256"/>
    <cellStyle name="Normal 3 4" xfId="12257"/>
    <cellStyle name="Normal 3 4 2" xfId="12258"/>
    <cellStyle name="Normal 3 4 3" xfId="12259"/>
    <cellStyle name="Normal 3 4 4" xfId="12260"/>
    <cellStyle name="Normal 3 4 5" xfId="12261"/>
    <cellStyle name="Normal 3 4 6" xfId="12262"/>
    <cellStyle name="Normal 3 4 7" xfId="12263"/>
    <cellStyle name="Normal 3 4 8" xfId="12264"/>
    <cellStyle name="Normal 3 4 9" xfId="12265"/>
    <cellStyle name="Normal 3 40" xfId="12266"/>
    <cellStyle name="Normal 3 41" xfId="12267"/>
    <cellStyle name="Normal 3 42" xfId="12268"/>
    <cellStyle name="Normal 3 42 2" xfId="12269"/>
    <cellStyle name="Normal 3 43" xfId="12270"/>
    <cellStyle name="Normal 3 44" xfId="12271"/>
    <cellStyle name="Normal 3 45" xfId="12272"/>
    <cellStyle name="Normal 3 46" xfId="12273"/>
    <cellStyle name="Normal 3 47" xfId="12274"/>
    <cellStyle name="Normal 3 48" xfId="12275"/>
    <cellStyle name="Normal 3 49" xfId="12276"/>
    <cellStyle name="Normal 3 5" xfId="12277"/>
    <cellStyle name="Normal 3 5 2" xfId="12278"/>
    <cellStyle name="Normal 3 5 3" xfId="12279"/>
    <cellStyle name="Normal 3 5 4" xfId="12280"/>
    <cellStyle name="Normal 3 5 5" xfId="12281"/>
    <cellStyle name="Normal 3 5 6" xfId="12282"/>
    <cellStyle name="Normal 3 5 7" xfId="12283"/>
    <cellStyle name="Normal 3 5 8" xfId="12284"/>
    <cellStyle name="Normal 3 5 9" xfId="12285"/>
    <cellStyle name="Normal 3 50" xfId="12286"/>
    <cellStyle name="Normal 3 51" xfId="12287"/>
    <cellStyle name="Normal 3 52" xfId="12288"/>
    <cellStyle name="Normal 3 53" xfId="12289"/>
    <cellStyle name="Normal 3 54" xfId="12290"/>
    <cellStyle name="Normal 3 55" xfId="12291"/>
    <cellStyle name="Normal 3 56" xfId="12292"/>
    <cellStyle name="Normal 3 57" xfId="12293"/>
    <cellStyle name="Normal 3 58" xfId="12294"/>
    <cellStyle name="Normal 3 59" xfId="12295"/>
    <cellStyle name="Normal 3 6" xfId="12296"/>
    <cellStyle name="Normal 3 6 2" xfId="12297"/>
    <cellStyle name="Normal 3 6 3" xfId="12298"/>
    <cellStyle name="Normal 3 6 4" xfId="12299"/>
    <cellStyle name="Normal 3 6 5" xfId="12300"/>
    <cellStyle name="Normal 3 60" xfId="12301"/>
    <cellStyle name="Normal 3 61" xfId="12302"/>
    <cellStyle name="Normal 3 62" xfId="12303"/>
    <cellStyle name="Normal 3 63" xfId="12304"/>
    <cellStyle name="Normal 3 64" xfId="12305"/>
    <cellStyle name="Normal 3 65" xfId="12306"/>
    <cellStyle name="Normal 3 66" xfId="12307"/>
    <cellStyle name="Normal 3 67" xfId="12308"/>
    <cellStyle name="Normal 3 68" xfId="12309"/>
    <cellStyle name="Normal 3 69" xfId="12310"/>
    <cellStyle name="Normal 3 7" xfId="12311"/>
    <cellStyle name="Normal 3 7 2" xfId="12312"/>
    <cellStyle name="Normal 3 7 3" xfId="12313"/>
    <cellStyle name="Normal 3 7 4" xfId="12314"/>
    <cellStyle name="Normal 3 7 5" xfId="12315"/>
    <cellStyle name="Normal 3 70" xfId="12316"/>
    <cellStyle name="Normal 3 71" xfId="12317"/>
    <cellStyle name="Normal 3 72" xfId="12318"/>
    <cellStyle name="Normal 3 73" xfId="12319"/>
    <cellStyle name="Normal 3 74" xfId="12320"/>
    <cellStyle name="Normal 3 75" xfId="12321"/>
    <cellStyle name="Normal 3 76" xfId="12322"/>
    <cellStyle name="Normal 3 77" xfId="12323"/>
    <cellStyle name="Normal 3 78" xfId="12324"/>
    <cellStyle name="Normal 3 79" xfId="12325"/>
    <cellStyle name="Normal 3 8" xfId="12326"/>
    <cellStyle name="Normal 3 8 2" xfId="12327"/>
    <cellStyle name="Normal 3 8 3" xfId="12328"/>
    <cellStyle name="Normal 3 8 4" xfId="12329"/>
    <cellStyle name="Normal 3 8 5" xfId="12330"/>
    <cellStyle name="Normal 3 80" xfId="12331"/>
    <cellStyle name="Normal 3 81" xfId="12332"/>
    <cellStyle name="Normal 3 82" xfId="12333"/>
    <cellStyle name="Normal 3 83" xfId="12334"/>
    <cellStyle name="Normal 3 84" xfId="12335"/>
    <cellStyle name="Normal 3 85" xfId="12336"/>
    <cellStyle name="Normal 3 86" xfId="12337"/>
    <cellStyle name="Normal 3 87" xfId="12338"/>
    <cellStyle name="Normal 3 88" xfId="12339"/>
    <cellStyle name="Normal 3 89" xfId="12340"/>
    <cellStyle name="Normal 3 9" xfId="12341"/>
    <cellStyle name="Normal 3 9 2" xfId="12342"/>
    <cellStyle name="Normal 3 9 3" xfId="12343"/>
    <cellStyle name="Normal 3 9 4" xfId="12344"/>
    <cellStyle name="Normal 3 9 5" xfId="12345"/>
    <cellStyle name="Normal 3 90" xfId="12346"/>
    <cellStyle name="Normal 3 91" xfId="12347"/>
    <cellStyle name="Normal 3 92" xfId="12348"/>
    <cellStyle name="Normal 3 93" xfId="12349"/>
    <cellStyle name="Normal 3 94" xfId="12350"/>
    <cellStyle name="Normal 3 95" xfId="12351"/>
    <cellStyle name="Normal 3 96" xfId="12352"/>
    <cellStyle name="Normal 3 97" xfId="12353"/>
    <cellStyle name="Normal 3 98" xfId="12354"/>
    <cellStyle name="Normal 3 98 2" xfId="12355"/>
    <cellStyle name="Normal 3 99" xfId="12356"/>
    <cellStyle name="Normal 30" xfId="12357"/>
    <cellStyle name="Normal 31" xfId="12358"/>
    <cellStyle name="Normal 32" xfId="12359"/>
    <cellStyle name="Normal 33" xfId="12360"/>
    <cellStyle name="Normal 34" xfId="12361"/>
    <cellStyle name="Normal 35" xfId="12362"/>
    <cellStyle name="Normal 36" xfId="12363"/>
    <cellStyle name="Normal 37" xfId="12364"/>
    <cellStyle name="Normal 38" xfId="12365"/>
    <cellStyle name="Normal 39" xfId="12366"/>
    <cellStyle name="Normal 4" xfId="12367"/>
    <cellStyle name="Normal 4 10" xfId="12368"/>
    <cellStyle name="Normal 4 100" xfId="12369"/>
    <cellStyle name="Normal 4 101" xfId="12370"/>
    <cellStyle name="Normal 4 102" xfId="12371"/>
    <cellStyle name="Normal 4 103" xfId="12372"/>
    <cellStyle name="Normal 4 104" xfId="12373"/>
    <cellStyle name="Normal 4 105" xfId="12374"/>
    <cellStyle name="Normal 4 106" xfId="12375"/>
    <cellStyle name="Normal 4 107" xfId="12376"/>
    <cellStyle name="Normal 4 108" xfId="12377"/>
    <cellStyle name="Normal 4 109" xfId="12378"/>
    <cellStyle name="Normal 4 11" xfId="12379"/>
    <cellStyle name="Normal 4 110" xfId="12380"/>
    <cellStyle name="Normal 4 111" xfId="12381"/>
    <cellStyle name="Normal 4 112" xfId="12382"/>
    <cellStyle name="Normal 4 113" xfId="12383"/>
    <cellStyle name="Normal 4 114" xfId="12384"/>
    <cellStyle name="Normal 4 115" xfId="12385"/>
    <cellStyle name="Normal 4 116" xfId="12386"/>
    <cellStyle name="Normal 4 117" xfId="12387"/>
    <cellStyle name="Normal 4 118" xfId="12388"/>
    <cellStyle name="Normal 4 119" xfId="12389"/>
    <cellStyle name="Normal 4 12" xfId="12390"/>
    <cellStyle name="Normal 4 120" xfId="12391"/>
    <cellStyle name="Normal 4 121" xfId="12392"/>
    <cellStyle name="Normal 4 122" xfId="12393"/>
    <cellStyle name="Normal 4 123" xfId="12394"/>
    <cellStyle name="Normal 4 124" xfId="12395"/>
    <cellStyle name="Normal 4 125" xfId="12396"/>
    <cellStyle name="Normal 4 126" xfId="12397"/>
    <cellStyle name="Normal 4 127" xfId="12398"/>
    <cellStyle name="Normal 4 128" xfId="12399"/>
    <cellStyle name="Normal 4 129" xfId="12400"/>
    <cellStyle name="Normal 4 13" xfId="12401"/>
    <cellStyle name="Normal 4 130" xfId="12402"/>
    <cellStyle name="Normal 4 131" xfId="12403"/>
    <cellStyle name="Normal 4 132" xfId="12404"/>
    <cellStyle name="Normal 4 133" xfId="12405"/>
    <cellStyle name="Normal 4 134" xfId="12406"/>
    <cellStyle name="Normal 4 135" xfId="12407"/>
    <cellStyle name="Normal 4 136" xfId="12408"/>
    <cellStyle name="Normal 4 137" xfId="12409"/>
    <cellStyle name="Normal 4 138" xfId="12410"/>
    <cellStyle name="Normal 4 139" xfId="12411"/>
    <cellStyle name="Normal 4 14" xfId="12412"/>
    <cellStyle name="Normal 4 140" xfId="12413"/>
    <cellStyle name="Normal 4 141" xfId="12414"/>
    <cellStyle name="Normal 4 142" xfId="12415"/>
    <cellStyle name="Normal 4 143" xfId="12416"/>
    <cellStyle name="Normal 4 144" xfId="12417"/>
    <cellStyle name="Normal 4 145" xfId="12418"/>
    <cellStyle name="Normal 4 146" xfId="12419"/>
    <cellStyle name="Normal 4 147" xfId="12420"/>
    <cellStyle name="Normal 4 148" xfId="12421"/>
    <cellStyle name="Normal 4 149" xfId="12422"/>
    <cellStyle name="Normal 4 15" xfId="12423"/>
    <cellStyle name="Normal 4 150" xfId="12424"/>
    <cellStyle name="Normal 4 151" xfId="12425"/>
    <cellStyle name="Normal 4 152" xfId="12426"/>
    <cellStyle name="Normal 4 153" xfId="12427"/>
    <cellStyle name="Normal 4 154" xfId="12428"/>
    <cellStyle name="Normal 4 155" xfId="12429"/>
    <cellStyle name="Normal 4 156" xfId="12430"/>
    <cellStyle name="Normal 4 157" xfId="12431"/>
    <cellStyle name="Normal 4 158" xfId="12432"/>
    <cellStyle name="Normal 4 159" xfId="12433"/>
    <cellStyle name="Normal 4 16" xfId="12434"/>
    <cellStyle name="Normal 4 160" xfId="12435"/>
    <cellStyle name="Normal 4 161" xfId="12436"/>
    <cellStyle name="Normal 4 162" xfId="12437"/>
    <cellStyle name="Normal 4 163" xfId="12438"/>
    <cellStyle name="Normal 4 164" xfId="12439"/>
    <cellStyle name="Normal 4 165" xfId="12440"/>
    <cellStyle name="Normal 4 166" xfId="12441"/>
    <cellStyle name="Normal 4 167" xfId="12442"/>
    <cellStyle name="Normal 4 168" xfId="12443"/>
    <cellStyle name="Normal 4 169" xfId="12444"/>
    <cellStyle name="Normal 4 17" xfId="12445"/>
    <cellStyle name="Normal 4 170" xfId="12446"/>
    <cellStyle name="Normal 4 171" xfId="12447"/>
    <cellStyle name="Normal 4 172" xfId="12448"/>
    <cellStyle name="Normal 4 173" xfId="12449"/>
    <cellStyle name="Normal 4 174" xfId="12450"/>
    <cellStyle name="Normal 4 175" xfId="12451"/>
    <cellStyle name="Normal 4 176" xfId="12452"/>
    <cellStyle name="Normal 4 177" xfId="12453"/>
    <cellStyle name="Normal 4 178" xfId="12454"/>
    <cellStyle name="Normal 4 179" xfId="12455"/>
    <cellStyle name="Normal 4 18" xfId="12456"/>
    <cellStyle name="Normal 4 180" xfId="12457"/>
    <cellStyle name="Normal 4 181" xfId="12458"/>
    <cellStyle name="Normal 4 182" xfId="12459"/>
    <cellStyle name="Normal 4 183" xfId="12460"/>
    <cellStyle name="Normal 4 184" xfId="12461"/>
    <cellStyle name="Normal 4 185" xfId="12462"/>
    <cellStyle name="Normal 4 186" xfId="12463"/>
    <cellStyle name="Normal 4 187" xfId="12464"/>
    <cellStyle name="Normal 4 188" xfId="12465"/>
    <cellStyle name="Normal 4 189" xfId="12466"/>
    <cellStyle name="Normal 4 19" xfId="12467"/>
    <cellStyle name="Normal 4 190" xfId="12468"/>
    <cellStyle name="Normal 4 191" xfId="12469"/>
    <cellStyle name="Normal 4 192" xfId="12470"/>
    <cellStyle name="Normal 4 193" xfId="12471"/>
    <cellStyle name="Normal 4 194" xfId="12472"/>
    <cellStyle name="Normal 4 195" xfId="12473"/>
    <cellStyle name="Normal 4 196" xfId="12474"/>
    <cellStyle name="Normal 4 197" xfId="12475"/>
    <cellStyle name="Normal 4 198" xfId="12476"/>
    <cellStyle name="Normal 4 199" xfId="12477"/>
    <cellStyle name="Normal 4 2" xfId="12478"/>
    <cellStyle name="Normal 4 20" xfId="12479"/>
    <cellStyle name="Normal 4 200" xfId="12480"/>
    <cellStyle name="Normal 4 201" xfId="12481"/>
    <cellStyle name="Normal 4 202" xfId="12482"/>
    <cellStyle name="Normal 4 203" xfId="12483"/>
    <cellStyle name="Normal 4 204" xfId="12484"/>
    <cellStyle name="Normal 4 205" xfId="12485"/>
    <cellStyle name="Normal 4 206" xfId="12486"/>
    <cellStyle name="Normal 4 207" xfId="12487"/>
    <cellStyle name="Normal 4 208" xfId="12488"/>
    <cellStyle name="Normal 4 209" xfId="12489"/>
    <cellStyle name="Normal 4 21" xfId="12490"/>
    <cellStyle name="Normal 4 210" xfId="12491"/>
    <cellStyle name="Normal 4 211" xfId="12492"/>
    <cellStyle name="Normal 4 212" xfId="12493"/>
    <cellStyle name="Normal 4 213" xfId="12494"/>
    <cellStyle name="Normal 4 214" xfId="12495"/>
    <cellStyle name="Normal 4 215" xfId="12496"/>
    <cellStyle name="Normal 4 216" xfId="12497"/>
    <cellStyle name="Normal 4 217" xfId="12498"/>
    <cellStyle name="Normal 4 218" xfId="12499"/>
    <cellStyle name="Normal 4 219" xfId="12500"/>
    <cellStyle name="Normal 4 22" xfId="12501"/>
    <cellStyle name="Normal 4 220" xfId="12502"/>
    <cellStyle name="Normal 4 221" xfId="12503"/>
    <cellStyle name="Normal 4 222" xfId="12504"/>
    <cellStyle name="Normal 4 223" xfId="12505"/>
    <cellStyle name="Normal 4 224" xfId="12506"/>
    <cellStyle name="Normal 4 225" xfId="12507"/>
    <cellStyle name="Normal 4 226" xfId="12508"/>
    <cellStyle name="Normal 4 227" xfId="12509"/>
    <cellStyle name="Normal 4 228" xfId="12510"/>
    <cellStyle name="Normal 4 229" xfId="12511"/>
    <cellStyle name="Normal 4 23" xfId="12512"/>
    <cellStyle name="Normal 4 230" xfId="12513"/>
    <cellStyle name="Normal 4 231" xfId="12514"/>
    <cellStyle name="Normal 4 232" xfId="12515"/>
    <cellStyle name="Normal 4 233" xfId="12516"/>
    <cellStyle name="Normal 4 234" xfId="12517"/>
    <cellStyle name="Normal 4 235" xfId="12518"/>
    <cellStyle name="Normal 4 236" xfId="12519"/>
    <cellStyle name="Normal 4 237" xfId="12520"/>
    <cellStyle name="Normal 4 238" xfId="12521"/>
    <cellStyle name="Normal 4 24" xfId="12522"/>
    <cellStyle name="Normal 4 25" xfId="12523"/>
    <cellStyle name="Normal 4 26" xfId="12524"/>
    <cellStyle name="Normal 4 27" xfId="12525"/>
    <cellStyle name="Normal 4 28" xfId="12526"/>
    <cellStyle name="Normal 4 29" xfId="12527"/>
    <cellStyle name="Normal 4 3" xfId="12528"/>
    <cellStyle name="Normal 4 30" xfId="12529"/>
    <cellStyle name="Normal 4 31" xfId="12530"/>
    <cellStyle name="Normal 4 32" xfId="12531"/>
    <cellStyle name="Normal 4 33" xfId="12532"/>
    <cellStyle name="Normal 4 34" xfId="12533"/>
    <cellStyle name="Normal 4 35" xfId="12534"/>
    <cellStyle name="Normal 4 36" xfId="12535"/>
    <cellStyle name="Normal 4 37" xfId="12536"/>
    <cellStyle name="Normal 4 38" xfId="12537"/>
    <cellStyle name="Normal 4 39" xfId="12538"/>
    <cellStyle name="Normal 4 4" xfId="12539"/>
    <cellStyle name="Normal 4 40" xfId="12540"/>
    <cellStyle name="Normal 4 41" xfId="12541"/>
    <cellStyle name="Normal 4 42" xfId="12542"/>
    <cellStyle name="Normal 4 43" xfId="12543"/>
    <cellStyle name="Normal 4 44" xfId="12544"/>
    <cellStyle name="Normal 4 45" xfId="12545"/>
    <cellStyle name="Normal 4 46" xfId="12546"/>
    <cellStyle name="Normal 4 47" xfId="12547"/>
    <cellStyle name="Normal 4 48" xfId="12548"/>
    <cellStyle name="Normal 4 49" xfId="12549"/>
    <cellStyle name="Normal 4 5" xfId="12550"/>
    <cellStyle name="Normal 4 50" xfId="12551"/>
    <cellStyle name="Normal 4 51" xfId="12552"/>
    <cellStyle name="Normal 4 52" xfId="12553"/>
    <cellStyle name="Normal 4 53" xfId="12554"/>
    <cellStyle name="Normal 4 54" xfId="12555"/>
    <cellStyle name="Normal 4 55" xfId="12556"/>
    <cellStyle name="Normal 4 56" xfId="12557"/>
    <cellStyle name="Normal 4 57" xfId="12558"/>
    <cellStyle name="Normal 4 58" xfId="12559"/>
    <cellStyle name="Normal 4 59" xfId="12560"/>
    <cellStyle name="Normal 4 6" xfId="12561"/>
    <cellStyle name="Normal 4 60" xfId="12562"/>
    <cellStyle name="Normal 4 61" xfId="12563"/>
    <cellStyle name="Normal 4 62" xfId="12564"/>
    <cellStyle name="Normal 4 63" xfId="12565"/>
    <cellStyle name="Normal 4 64" xfId="12566"/>
    <cellStyle name="Normal 4 65" xfId="12567"/>
    <cellStyle name="Normal 4 66" xfId="12568"/>
    <cellStyle name="Normal 4 67" xfId="12569"/>
    <cellStyle name="Normal 4 68" xfId="12570"/>
    <cellStyle name="Normal 4 69" xfId="12571"/>
    <cellStyle name="Normal 4 7" xfId="12572"/>
    <cellStyle name="Normal 4 70" xfId="12573"/>
    <cellStyle name="Normal 4 71" xfId="12574"/>
    <cellStyle name="Normal 4 72" xfId="12575"/>
    <cellStyle name="Normal 4 73" xfId="12576"/>
    <cellStyle name="Normal 4 74" xfId="12577"/>
    <cellStyle name="Normal 4 75" xfId="12578"/>
    <cellStyle name="Normal 4 76" xfId="12579"/>
    <cellStyle name="Normal 4 77" xfId="12580"/>
    <cellStyle name="Normal 4 78" xfId="12581"/>
    <cellStyle name="Normal 4 79" xfId="12582"/>
    <cellStyle name="Normal 4 8" xfId="12583"/>
    <cellStyle name="Normal 4 80" xfId="12584"/>
    <cellStyle name="Normal 4 81" xfId="12585"/>
    <cellStyle name="Normal 4 82" xfId="12586"/>
    <cellStyle name="Normal 4 83" xfId="12587"/>
    <cellStyle name="Normal 4 84" xfId="12588"/>
    <cellStyle name="Normal 4 85" xfId="12589"/>
    <cellStyle name="Normal 4 86" xfId="12590"/>
    <cellStyle name="Normal 4 87" xfId="12591"/>
    <cellStyle name="Normal 4 88" xfId="12592"/>
    <cellStyle name="Normal 4 89" xfId="12593"/>
    <cellStyle name="Normal 4 9" xfId="12594"/>
    <cellStyle name="Normal 4 90" xfId="12595"/>
    <cellStyle name="Normal 4 91" xfId="12596"/>
    <cellStyle name="Normal 4 92" xfId="12597"/>
    <cellStyle name="Normal 4 93" xfId="12598"/>
    <cellStyle name="Normal 4 94" xfId="12599"/>
    <cellStyle name="Normal 4 95" xfId="12600"/>
    <cellStyle name="Normal 4 96" xfId="12601"/>
    <cellStyle name="Normal 4 97" xfId="12602"/>
    <cellStyle name="Normal 4 98" xfId="12603"/>
    <cellStyle name="Normal 4 99" xfId="12604"/>
    <cellStyle name="Normal 40" xfId="12605"/>
    <cellStyle name="Normal 41" xfId="12606"/>
    <cellStyle name="Normal 42" xfId="12607"/>
    <cellStyle name="Normal 43" xfId="12608"/>
    <cellStyle name="Normal 44" xfId="12609"/>
    <cellStyle name="Normal 45" xfId="12610"/>
    <cellStyle name="Normal 46" xfId="12611"/>
    <cellStyle name="Normal 47" xfId="12612"/>
    <cellStyle name="Normal 48" xfId="12613"/>
    <cellStyle name="Normal 49" xfId="12614"/>
    <cellStyle name="Normal 5" xfId="12615"/>
    <cellStyle name="Normal 5 2" xfId="12616"/>
    <cellStyle name="Normal 5 2 2" xfId="12617"/>
    <cellStyle name="Normal 5 3" xfId="12618"/>
    <cellStyle name="Normal 5 4" xfId="12619"/>
    <cellStyle name="Normal 5 5" xfId="12620"/>
    <cellStyle name="Normal 5 6" xfId="12621"/>
    <cellStyle name="Normal 50" xfId="12622"/>
    <cellStyle name="Normal 51" xfId="12623"/>
    <cellStyle name="Normal 52" xfId="12624"/>
    <cellStyle name="Normal 53" xfId="12625"/>
    <cellStyle name="Normal 54" xfId="12626"/>
    <cellStyle name="Normal 55" xfId="12627"/>
    <cellStyle name="Normal 56" xfId="12628"/>
    <cellStyle name="Normal 57" xfId="12629"/>
    <cellStyle name="Normal 58" xfId="12630"/>
    <cellStyle name="Normal 59" xfId="12631"/>
    <cellStyle name="Normal 6" xfId="12632"/>
    <cellStyle name="Normal 6 10" xfId="12633"/>
    <cellStyle name="Normal 6 11" xfId="12634"/>
    <cellStyle name="Normal 6 2" xfId="12635"/>
    <cellStyle name="Normal 6 2 2" xfId="12636"/>
    <cellStyle name="Normal 6 3" xfId="12637"/>
    <cellStyle name="Normal 6 3 2" xfId="12638"/>
    <cellStyle name="Normal 6 3 3" xfId="12639"/>
    <cellStyle name="Normal 6 4" xfId="12640"/>
    <cellStyle name="Normal 6 4 2" xfId="12641"/>
    <cellStyle name="Normal 6 5" xfId="12642"/>
    <cellStyle name="Normal 6 5 2" xfId="12643"/>
    <cellStyle name="Normal 6 6" xfId="12644"/>
    <cellStyle name="Normal 6 7" xfId="12645"/>
    <cellStyle name="Normal 6 8" xfId="12646"/>
    <cellStyle name="Normal 6 9" xfId="12647"/>
    <cellStyle name="Normal 60" xfId="12648"/>
    <cellStyle name="Normal 61" xfId="12649"/>
    <cellStyle name="Normal 62" xfId="12650"/>
    <cellStyle name="Normal 63" xfId="12651"/>
    <cellStyle name="Normal 64" xfId="12652"/>
    <cellStyle name="Normal 65" xfId="12653"/>
    <cellStyle name="Normal 66" xfId="12654"/>
    <cellStyle name="Normal 67" xfId="12655"/>
    <cellStyle name="Normal 68" xfId="12656"/>
    <cellStyle name="Normal 69" xfId="12657"/>
    <cellStyle name="Normal 7" xfId="12658"/>
    <cellStyle name="Normal 7 2" xfId="12659"/>
    <cellStyle name="Normal 7 2 2" xfId="12660"/>
    <cellStyle name="Normal 7 3" xfId="12661"/>
    <cellStyle name="Normal 7 4" xfId="12662"/>
    <cellStyle name="Normal 7 5" xfId="12663"/>
    <cellStyle name="Normal 7 6" xfId="12664"/>
    <cellStyle name="Normal 70" xfId="12665"/>
    <cellStyle name="Normal 71" xfId="12666"/>
    <cellStyle name="Normal 72" xfId="12667"/>
    <cellStyle name="Normal 73" xfId="12668"/>
    <cellStyle name="Normal 74" xfId="12669"/>
    <cellStyle name="Normal 75" xfId="12670"/>
    <cellStyle name="Normal 76" xfId="12671"/>
    <cellStyle name="Normal 77" xfId="12672"/>
    <cellStyle name="Normal 78" xfId="12673"/>
    <cellStyle name="Normal 79" xfId="12674"/>
    <cellStyle name="Normal 8" xfId="12675"/>
    <cellStyle name="Normal 8 2" xfId="12676"/>
    <cellStyle name="Normal 8 3" xfId="12677"/>
    <cellStyle name="Normal 8 4" xfId="12678"/>
    <cellStyle name="Normal 8 5" xfId="12679"/>
    <cellStyle name="Normal 80" xfId="12680"/>
    <cellStyle name="Normal 81" xfId="12681"/>
    <cellStyle name="Normal 82" xfId="12682"/>
    <cellStyle name="Normal 83" xfId="12683"/>
    <cellStyle name="Normal 84" xfId="12684"/>
    <cellStyle name="Normal 85" xfId="12685"/>
    <cellStyle name="Normal 86" xfId="12686"/>
    <cellStyle name="Normal 87" xfId="12687"/>
    <cellStyle name="Normal 88" xfId="12688"/>
    <cellStyle name="Normal 89" xfId="12689"/>
    <cellStyle name="Normal 9" xfId="12690"/>
    <cellStyle name="Normal 9 2" xfId="12691"/>
    <cellStyle name="Normal 9 3" xfId="12692"/>
    <cellStyle name="Normal 9 4" xfId="12693"/>
    <cellStyle name="Normal 9 5" xfId="12694"/>
    <cellStyle name="Normal 90" xfId="12695"/>
    <cellStyle name="Normal 91" xfId="12696"/>
    <cellStyle name="Normal 92" xfId="12697"/>
    <cellStyle name="Normal 93" xfId="12698"/>
    <cellStyle name="Normal 94" xfId="12699"/>
    <cellStyle name="Normal 95" xfId="12700"/>
    <cellStyle name="Normal 96" xfId="12701"/>
    <cellStyle name="Normal 97" xfId="12702"/>
    <cellStyle name="Normal 98" xfId="12703"/>
    <cellStyle name="Normal 99" xfId="12704"/>
    <cellStyle name="Note" xfId="12705" builtinId="10" customBuiltin="1"/>
    <cellStyle name="Note 10" xfId="12706"/>
    <cellStyle name="Note 10 2" xfId="12707"/>
    <cellStyle name="Note 10 2 2" xfId="12708"/>
    <cellStyle name="Note 10 3" xfId="12709"/>
    <cellStyle name="Note 10 3 2" xfId="12710"/>
    <cellStyle name="Note 10 4" xfId="12711"/>
    <cellStyle name="Note 100" xfId="12712"/>
    <cellStyle name="Note 101" xfId="12713"/>
    <cellStyle name="Note 102" xfId="12714"/>
    <cellStyle name="Note 103" xfId="12715"/>
    <cellStyle name="Note 104" xfId="12716"/>
    <cellStyle name="Note 105" xfId="12717"/>
    <cellStyle name="Note 106" xfId="12718"/>
    <cellStyle name="Note 107" xfId="12719"/>
    <cellStyle name="Note 108" xfId="12720"/>
    <cellStyle name="Note 109" xfId="12721"/>
    <cellStyle name="Note 11" xfId="12722"/>
    <cellStyle name="Note 11 2" xfId="12723"/>
    <cellStyle name="Note 110" xfId="12724"/>
    <cellStyle name="Note 111" xfId="12725"/>
    <cellStyle name="Note 112" xfId="12726"/>
    <cellStyle name="Note 113" xfId="12727"/>
    <cellStyle name="Note 114" xfId="12728"/>
    <cellStyle name="Note 115" xfId="12729"/>
    <cellStyle name="Note 116" xfId="12730"/>
    <cellStyle name="Note 117" xfId="12731"/>
    <cellStyle name="Note 118" xfId="12732"/>
    <cellStyle name="Note 119" xfId="12733"/>
    <cellStyle name="Note 12" xfId="12734"/>
    <cellStyle name="Note 12 2" xfId="12735"/>
    <cellStyle name="Note 120" xfId="12736"/>
    <cellStyle name="Note 121" xfId="12737"/>
    <cellStyle name="Note 122" xfId="12738"/>
    <cellStyle name="Note 123" xfId="12739"/>
    <cellStyle name="Note 124" xfId="12740"/>
    <cellStyle name="Note 125" xfId="12741"/>
    <cellStyle name="Note 126" xfId="12742"/>
    <cellStyle name="Note 127" xfId="12743"/>
    <cellStyle name="Note 128" xfId="12744"/>
    <cellStyle name="Note 129" xfId="12745"/>
    <cellStyle name="Note 13" xfId="12746"/>
    <cellStyle name="Note 13 2" xfId="12747"/>
    <cellStyle name="Note 130" xfId="12748"/>
    <cellStyle name="Note 131" xfId="12749"/>
    <cellStyle name="Note 132" xfId="12750"/>
    <cellStyle name="Note 133" xfId="12751"/>
    <cellStyle name="Note 134" xfId="12752"/>
    <cellStyle name="Note 135" xfId="12753"/>
    <cellStyle name="Note 136" xfId="12754"/>
    <cellStyle name="Note 137" xfId="12755"/>
    <cellStyle name="Note 138" xfId="12756"/>
    <cellStyle name="Note 139" xfId="12757"/>
    <cellStyle name="Note 14" xfId="12758"/>
    <cellStyle name="Note 14 2" xfId="12759"/>
    <cellStyle name="Note 140" xfId="12760"/>
    <cellStyle name="Note 141" xfId="12761"/>
    <cellStyle name="Note 142" xfId="12762"/>
    <cellStyle name="Note 143" xfId="12763"/>
    <cellStyle name="Note 144" xfId="12764"/>
    <cellStyle name="Note 145" xfId="12765"/>
    <cellStyle name="Note 146" xfId="12766"/>
    <cellStyle name="Note 147" xfId="12767"/>
    <cellStyle name="Note 148" xfId="12768"/>
    <cellStyle name="Note 149" xfId="12769"/>
    <cellStyle name="Note 15" xfId="12770"/>
    <cellStyle name="Note 15 2" xfId="12771"/>
    <cellStyle name="Note 150" xfId="12772"/>
    <cellStyle name="Note 151" xfId="12773"/>
    <cellStyle name="Note 152" xfId="12774"/>
    <cellStyle name="Note 153" xfId="12775"/>
    <cellStyle name="Note 154" xfId="12776"/>
    <cellStyle name="Note 155" xfId="12777"/>
    <cellStyle name="Note 156" xfId="12778"/>
    <cellStyle name="Note 157" xfId="12779"/>
    <cellStyle name="Note 158" xfId="12780"/>
    <cellStyle name="Note 159" xfId="12781"/>
    <cellStyle name="Note 16" xfId="12782"/>
    <cellStyle name="Note 16 2" xfId="12783"/>
    <cellStyle name="Note 160" xfId="12784"/>
    <cellStyle name="Note 161" xfId="12785"/>
    <cellStyle name="Note 162" xfId="12786"/>
    <cellStyle name="Note 163" xfId="12787"/>
    <cellStyle name="Note 164" xfId="12788"/>
    <cellStyle name="Note 165" xfId="12789"/>
    <cellStyle name="Note 166" xfId="12790"/>
    <cellStyle name="Note 167" xfId="12791"/>
    <cellStyle name="Note 168" xfId="12792"/>
    <cellStyle name="Note 169" xfId="12793"/>
    <cellStyle name="Note 17" xfId="12794"/>
    <cellStyle name="Note 17 2" xfId="12795"/>
    <cellStyle name="Note 170" xfId="12796"/>
    <cellStyle name="Note 171" xfId="12797"/>
    <cellStyle name="Note 172" xfId="12798"/>
    <cellStyle name="Note 173" xfId="12799"/>
    <cellStyle name="Note 174" xfId="12800"/>
    <cellStyle name="Note 175" xfId="12801"/>
    <cellStyle name="Note 176" xfId="12802"/>
    <cellStyle name="Note 177" xfId="12803"/>
    <cellStyle name="Note 178" xfId="12804"/>
    <cellStyle name="Note 179" xfId="12805"/>
    <cellStyle name="Note 18" xfId="12806"/>
    <cellStyle name="Note 18 2" xfId="12807"/>
    <cellStyle name="Note 180" xfId="12808"/>
    <cellStyle name="Note 181" xfId="12809"/>
    <cellStyle name="Note 182" xfId="12810"/>
    <cellStyle name="Note 183" xfId="12811"/>
    <cellStyle name="Note 184" xfId="12812"/>
    <cellStyle name="Note 185" xfId="12813"/>
    <cellStyle name="Note 186" xfId="12814"/>
    <cellStyle name="Note 187" xfId="12815"/>
    <cellStyle name="Note 188" xfId="12816"/>
    <cellStyle name="Note 189" xfId="12817"/>
    <cellStyle name="Note 19" xfId="12818"/>
    <cellStyle name="Note 19 2" xfId="12819"/>
    <cellStyle name="Note 190" xfId="12820"/>
    <cellStyle name="Note 191" xfId="12821"/>
    <cellStyle name="Note 192" xfId="12822"/>
    <cellStyle name="Note 193" xfId="12823"/>
    <cellStyle name="Note 194" xfId="12824"/>
    <cellStyle name="Note 195" xfId="12825"/>
    <cellStyle name="Note 196" xfId="12826"/>
    <cellStyle name="Note 197" xfId="12827"/>
    <cellStyle name="Note 198" xfId="12828"/>
    <cellStyle name="Note 199" xfId="12829"/>
    <cellStyle name="Note 2" xfId="12830"/>
    <cellStyle name="Note 2 2" xfId="12831"/>
    <cellStyle name="Note 2 2 2" xfId="12832"/>
    <cellStyle name="Note 2 2 2 2" xfId="12833"/>
    <cellStyle name="Note 2 2 3" xfId="12834"/>
    <cellStyle name="Note 2 2 4" xfId="12835"/>
    <cellStyle name="Note 2 2 5" xfId="12836"/>
    <cellStyle name="Note 2 2 6" xfId="12837"/>
    <cellStyle name="Note 2 2 7" xfId="12838"/>
    <cellStyle name="Note 2 3" xfId="12839"/>
    <cellStyle name="Note 2 4" xfId="12840"/>
    <cellStyle name="Note 2 5" xfId="12841"/>
    <cellStyle name="Note 2 6" xfId="12842"/>
    <cellStyle name="Note 2 7" xfId="12843"/>
    <cellStyle name="Note 20" xfId="12844"/>
    <cellStyle name="Note 20 2" xfId="12845"/>
    <cellStyle name="Note 200" xfId="12846"/>
    <cellStyle name="Note 201" xfId="12847"/>
    <cellStyle name="Note 202" xfId="12848"/>
    <cellStyle name="Note 203" xfId="12849"/>
    <cellStyle name="Note 204" xfId="12850"/>
    <cellStyle name="Note 205" xfId="12851"/>
    <cellStyle name="Note 206" xfId="12852"/>
    <cellStyle name="Note 207" xfId="12853"/>
    <cellStyle name="Note 208" xfId="12854"/>
    <cellStyle name="Note 209" xfId="12855"/>
    <cellStyle name="Note 21" xfId="12856"/>
    <cellStyle name="Note 210" xfId="12857"/>
    <cellStyle name="Note 211" xfId="12858"/>
    <cellStyle name="Note 212" xfId="12859"/>
    <cellStyle name="Note 213" xfId="12860"/>
    <cellStyle name="Note 214" xfId="12861"/>
    <cellStyle name="Note 215" xfId="12862"/>
    <cellStyle name="Note 216" xfId="12863"/>
    <cellStyle name="Note 217" xfId="12864"/>
    <cellStyle name="Note 218" xfId="12865"/>
    <cellStyle name="Note 219" xfId="12866"/>
    <cellStyle name="Note 22" xfId="12867"/>
    <cellStyle name="Note 220" xfId="12868"/>
    <cellStyle name="Note 221" xfId="12869"/>
    <cellStyle name="Note 222" xfId="12870"/>
    <cellStyle name="Note 223" xfId="12871"/>
    <cellStyle name="Note 224" xfId="12872"/>
    <cellStyle name="Note 225" xfId="12873"/>
    <cellStyle name="Note 226" xfId="12874"/>
    <cellStyle name="Note 227" xfId="12875"/>
    <cellStyle name="Note 228" xfId="12876"/>
    <cellStyle name="Note 229" xfId="12877"/>
    <cellStyle name="Note 23" xfId="12878"/>
    <cellStyle name="Note 230" xfId="12879"/>
    <cellStyle name="Note 231" xfId="12880"/>
    <cellStyle name="Note 232" xfId="12881"/>
    <cellStyle name="Note 233" xfId="12882"/>
    <cellStyle name="Note 234" xfId="12883"/>
    <cellStyle name="Note 235" xfId="12884"/>
    <cellStyle name="Note 236" xfId="12885"/>
    <cellStyle name="Note 237" xfId="12886"/>
    <cellStyle name="Note 238" xfId="12887"/>
    <cellStyle name="Note 239" xfId="12888"/>
    <cellStyle name="Note 24" xfId="12889"/>
    <cellStyle name="Note 240" xfId="12890"/>
    <cellStyle name="Note 241" xfId="12891"/>
    <cellStyle name="Note 242" xfId="12892"/>
    <cellStyle name="Note 243" xfId="12893"/>
    <cellStyle name="Note 244" xfId="12894"/>
    <cellStyle name="Note 245" xfId="12895"/>
    <cellStyle name="Note 246" xfId="12896"/>
    <cellStyle name="Note 247" xfId="12897"/>
    <cellStyle name="Note 248" xfId="12898"/>
    <cellStyle name="Note 249" xfId="12899"/>
    <cellStyle name="Note 25" xfId="12900"/>
    <cellStyle name="Note 250" xfId="12901"/>
    <cellStyle name="Note 251" xfId="12902"/>
    <cellStyle name="Note 252" xfId="12903"/>
    <cellStyle name="Note 253" xfId="12904"/>
    <cellStyle name="Note 26" xfId="12905"/>
    <cellStyle name="Note 27" xfId="12906"/>
    <cellStyle name="Note 28" xfId="12907"/>
    <cellStyle name="Note 29" xfId="12908"/>
    <cellStyle name="Note 3" xfId="12909"/>
    <cellStyle name="Note 3 2" xfId="12910"/>
    <cellStyle name="Note 3 3" xfId="12911"/>
    <cellStyle name="Note 3 4" xfId="12912"/>
    <cellStyle name="Note 3 5" xfId="12913"/>
    <cellStyle name="Note 3 6" xfId="12914"/>
    <cellStyle name="Note 30" xfId="12915"/>
    <cellStyle name="Note 31" xfId="12916"/>
    <cellStyle name="Note 32" xfId="12917"/>
    <cellStyle name="Note 33" xfId="12918"/>
    <cellStyle name="Note 34" xfId="12919"/>
    <cellStyle name="Note 35" xfId="12920"/>
    <cellStyle name="Note 36" xfId="12921"/>
    <cellStyle name="Note 37" xfId="12922"/>
    <cellStyle name="Note 38" xfId="12923"/>
    <cellStyle name="Note 39" xfId="12924"/>
    <cellStyle name="Note 4" xfId="12925"/>
    <cellStyle name="Note 4 2" xfId="12926"/>
    <cellStyle name="Note 4 2 2" xfId="12927"/>
    <cellStyle name="Note 4 3" xfId="12928"/>
    <cellStyle name="Note 4 3 2" xfId="12929"/>
    <cellStyle name="Note 4 4" xfId="12930"/>
    <cellStyle name="Note 4 4 2" xfId="12931"/>
    <cellStyle name="Note 4 5" xfId="12932"/>
    <cellStyle name="Note 4 6" xfId="12933"/>
    <cellStyle name="Note 4 7" xfId="12934"/>
    <cellStyle name="Note 4 8" xfId="12935"/>
    <cellStyle name="Note 4 9" xfId="12936"/>
    <cellStyle name="Note 40" xfId="12937"/>
    <cellStyle name="Note 41" xfId="12938"/>
    <cellStyle name="Note 42" xfId="12939"/>
    <cellStyle name="Note 43" xfId="12940"/>
    <cellStyle name="Note 44" xfId="12941"/>
    <cellStyle name="Note 45" xfId="12942"/>
    <cellStyle name="Note 46" xfId="12943"/>
    <cellStyle name="Note 47" xfId="12944"/>
    <cellStyle name="Note 48" xfId="12945"/>
    <cellStyle name="Note 49" xfId="12946"/>
    <cellStyle name="Note 5" xfId="12947"/>
    <cellStyle name="Note 5 2" xfId="12948"/>
    <cellStyle name="Note 5 2 2" xfId="12949"/>
    <cellStyle name="Note 5 3" xfId="12950"/>
    <cellStyle name="Note 5 3 2" xfId="12951"/>
    <cellStyle name="Note 5 4" xfId="12952"/>
    <cellStyle name="Note 5 4 2" xfId="12953"/>
    <cellStyle name="Note 5 5" xfId="12954"/>
    <cellStyle name="Note 5 6" xfId="12955"/>
    <cellStyle name="Note 5 7" xfId="12956"/>
    <cellStyle name="Note 5 8" xfId="12957"/>
    <cellStyle name="Note 5 9" xfId="12958"/>
    <cellStyle name="Note 50" xfId="12959"/>
    <cellStyle name="Note 51" xfId="12960"/>
    <cellStyle name="Note 52" xfId="12961"/>
    <cellStyle name="Note 53" xfId="12962"/>
    <cellStyle name="Note 54" xfId="12963"/>
    <cellStyle name="Note 55" xfId="12964"/>
    <cellStyle name="Note 56" xfId="12965"/>
    <cellStyle name="Note 57" xfId="12966"/>
    <cellStyle name="Note 58" xfId="12967"/>
    <cellStyle name="Note 59" xfId="12968"/>
    <cellStyle name="Note 6" xfId="12969"/>
    <cellStyle name="Note 6 2" xfId="12970"/>
    <cellStyle name="Note 6 2 2" xfId="12971"/>
    <cellStyle name="Note 6 3" xfId="12972"/>
    <cellStyle name="Note 6 3 2" xfId="12973"/>
    <cellStyle name="Note 6 4" xfId="12974"/>
    <cellStyle name="Note 60" xfId="12975"/>
    <cellStyle name="Note 61" xfId="12976"/>
    <cellStyle name="Note 62" xfId="12977"/>
    <cellStyle name="Note 63" xfId="12978"/>
    <cellStyle name="Note 64" xfId="12979"/>
    <cellStyle name="Note 65" xfId="12980"/>
    <cellStyle name="Note 66" xfId="12981"/>
    <cellStyle name="Note 67" xfId="12982"/>
    <cellStyle name="Note 68" xfId="12983"/>
    <cellStyle name="Note 69" xfId="12984"/>
    <cellStyle name="Note 7" xfId="12985"/>
    <cellStyle name="Note 7 2" xfId="12986"/>
    <cellStyle name="Note 7 2 2" xfId="12987"/>
    <cellStyle name="Note 7 3" xfId="12988"/>
    <cellStyle name="Note 7 3 2" xfId="12989"/>
    <cellStyle name="Note 7 4" xfId="12990"/>
    <cellStyle name="Note 70" xfId="12991"/>
    <cellStyle name="Note 71" xfId="12992"/>
    <cellStyle name="Note 72" xfId="12993"/>
    <cellStyle name="Note 73" xfId="12994"/>
    <cellStyle name="Note 74" xfId="12995"/>
    <cellStyle name="Note 75" xfId="12996"/>
    <cellStyle name="Note 76" xfId="12997"/>
    <cellStyle name="Note 77" xfId="12998"/>
    <cellStyle name="Note 78" xfId="12999"/>
    <cellStyle name="Note 79" xfId="13000"/>
    <cellStyle name="Note 8" xfId="13001"/>
    <cellStyle name="Note 8 2" xfId="13002"/>
    <cellStyle name="Note 8 2 2" xfId="13003"/>
    <cellStyle name="Note 8 3" xfId="13004"/>
    <cellStyle name="Note 8 3 2" xfId="13005"/>
    <cellStyle name="Note 8 4" xfId="13006"/>
    <cellStyle name="Note 80" xfId="13007"/>
    <cellStyle name="Note 81" xfId="13008"/>
    <cellStyle name="Note 82" xfId="13009"/>
    <cellStyle name="Note 83" xfId="13010"/>
    <cellStyle name="Note 84" xfId="13011"/>
    <cellStyle name="Note 85" xfId="13012"/>
    <cellStyle name="Note 86" xfId="13013"/>
    <cellStyle name="Note 87" xfId="13014"/>
    <cellStyle name="Note 88" xfId="13015"/>
    <cellStyle name="Note 89" xfId="13016"/>
    <cellStyle name="Note 9" xfId="13017"/>
    <cellStyle name="Note 9 2" xfId="13018"/>
    <cellStyle name="Note 9 2 2" xfId="13019"/>
    <cellStyle name="Note 9 3" xfId="13020"/>
    <cellStyle name="Note 9 3 2" xfId="13021"/>
    <cellStyle name="Note 9 4" xfId="13022"/>
    <cellStyle name="Note 90" xfId="13023"/>
    <cellStyle name="Note 91" xfId="13024"/>
    <cellStyle name="Note 92" xfId="13025"/>
    <cellStyle name="Note 93" xfId="13026"/>
    <cellStyle name="Note 94" xfId="13027"/>
    <cellStyle name="Note 95" xfId="13028"/>
    <cellStyle name="Note 96" xfId="13029"/>
    <cellStyle name="Note 97" xfId="13030"/>
    <cellStyle name="Note 98" xfId="13031"/>
    <cellStyle name="Note 99" xfId="13032"/>
    <cellStyle name="Output" xfId="13033" builtinId="21" customBuiltin="1"/>
    <cellStyle name="Output 10" xfId="13034"/>
    <cellStyle name="Output 10 2" xfId="13035"/>
    <cellStyle name="Output 10 3" xfId="13036"/>
    <cellStyle name="Output 10 4" xfId="13037"/>
    <cellStyle name="Output 100" xfId="13038"/>
    <cellStyle name="Output 101" xfId="13039"/>
    <cellStyle name="Output 102" xfId="13040"/>
    <cellStyle name="Output 103" xfId="13041"/>
    <cellStyle name="Output 104" xfId="13042"/>
    <cellStyle name="Output 105" xfId="13043"/>
    <cellStyle name="Output 106" xfId="13044"/>
    <cellStyle name="Output 107" xfId="13045"/>
    <cellStyle name="Output 108" xfId="13046"/>
    <cellStyle name="Output 109" xfId="13047"/>
    <cellStyle name="Output 11" xfId="13048"/>
    <cellStyle name="Output 11 2" xfId="13049"/>
    <cellStyle name="Output 110" xfId="13050"/>
    <cellStyle name="Output 111" xfId="13051"/>
    <cellStyle name="Output 112" xfId="13052"/>
    <cellStyle name="Output 113" xfId="13053"/>
    <cellStyle name="Output 114" xfId="13054"/>
    <cellStyle name="Output 115" xfId="13055"/>
    <cellStyle name="Output 116" xfId="13056"/>
    <cellStyle name="Output 117" xfId="13057"/>
    <cellStyle name="Output 118" xfId="13058"/>
    <cellStyle name="Output 119" xfId="13059"/>
    <cellStyle name="Output 12" xfId="13060"/>
    <cellStyle name="Output 12 2" xfId="13061"/>
    <cellStyle name="Output 120" xfId="13062"/>
    <cellStyle name="Output 121" xfId="13063"/>
    <cellStyle name="Output 122" xfId="13064"/>
    <cellStyle name="Output 123" xfId="13065"/>
    <cellStyle name="Output 124" xfId="13066"/>
    <cellStyle name="Output 125" xfId="13067"/>
    <cellStyle name="Output 126" xfId="13068"/>
    <cellStyle name="Output 127" xfId="13069"/>
    <cellStyle name="Output 128" xfId="13070"/>
    <cellStyle name="Output 129" xfId="13071"/>
    <cellStyle name="Output 13" xfId="13072"/>
    <cellStyle name="Output 130" xfId="13073"/>
    <cellStyle name="Output 131" xfId="13074"/>
    <cellStyle name="Output 132" xfId="13075"/>
    <cellStyle name="Output 133" xfId="13076"/>
    <cellStyle name="Output 134" xfId="13077"/>
    <cellStyle name="Output 135" xfId="13078"/>
    <cellStyle name="Output 136" xfId="13079"/>
    <cellStyle name="Output 137" xfId="13080"/>
    <cellStyle name="Output 138" xfId="13081"/>
    <cellStyle name="Output 139" xfId="13082"/>
    <cellStyle name="Output 14" xfId="13083"/>
    <cellStyle name="Output 140" xfId="13084"/>
    <cellStyle name="Output 141" xfId="13085"/>
    <cellStyle name="Output 142" xfId="13086"/>
    <cellStyle name="Output 143" xfId="13087"/>
    <cellStyle name="Output 144" xfId="13088"/>
    <cellStyle name="Output 145" xfId="13089"/>
    <cellStyle name="Output 146" xfId="13090"/>
    <cellStyle name="Output 147" xfId="13091"/>
    <cellStyle name="Output 148" xfId="13092"/>
    <cellStyle name="Output 149" xfId="13093"/>
    <cellStyle name="Output 15" xfId="13094"/>
    <cellStyle name="Output 150" xfId="13095"/>
    <cellStyle name="Output 151" xfId="13096"/>
    <cellStyle name="Output 152" xfId="13097"/>
    <cellStyle name="Output 153" xfId="13098"/>
    <cellStyle name="Output 154" xfId="13099"/>
    <cellStyle name="Output 155" xfId="13100"/>
    <cellStyle name="Output 156" xfId="13101"/>
    <cellStyle name="Output 157" xfId="13102"/>
    <cellStyle name="Output 158" xfId="13103"/>
    <cellStyle name="Output 159" xfId="13104"/>
    <cellStyle name="Output 16" xfId="13105"/>
    <cellStyle name="Output 160" xfId="13106"/>
    <cellStyle name="Output 161" xfId="13107"/>
    <cellStyle name="Output 162" xfId="13108"/>
    <cellStyle name="Output 163" xfId="13109"/>
    <cellStyle name="Output 164" xfId="13110"/>
    <cellStyle name="Output 165" xfId="13111"/>
    <cellStyle name="Output 166" xfId="13112"/>
    <cellStyle name="Output 167" xfId="13113"/>
    <cellStyle name="Output 168" xfId="13114"/>
    <cellStyle name="Output 169" xfId="13115"/>
    <cellStyle name="Output 17" xfId="13116"/>
    <cellStyle name="Output 170" xfId="13117"/>
    <cellStyle name="Output 171" xfId="13118"/>
    <cellStyle name="Output 172" xfId="13119"/>
    <cellStyle name="Output 173" xfId="13120"/>
    <cellStyle name="Output 174" xfId="13121"/>
    <cellStyle name="Output 175" xfId="13122"/>
    <cellStyle name="Output 176" xfId="13123"/>
    <cellStyle name="Output 177" xfId="13124"/>
    <cellStyle name="Output 178" xfId="13125"/>
    <cellStyle name="Output 179" xfId="13126"/>
    <cellStyle name="Output 18" xfId="13127"/>
    <cellStyle name="Output 180" xfId="13128"/>
    <cellStyle name="Output 181" xfId="13129"/>
    <cellStyle name="Output 182" xfId="13130"/>
    <cellStyle name="Output 183" xfId="13131"/>
    <cellStyle name="Output 184" xfId="13132"/>
    <cellStyle name="Output 185" xfId="13133"/>
    <cellStyle name="Output 186" xfId="13134"/>
    <cellStyle name="Output 187" xfId="13135"/>
    <cellStyle name="Output 188" xfId="13136"/>
    <cellStyle name="Output 189" xfId="13137"/>
    <cellStyle name="Output 19" xfId="13138"/>
    <cellStyle name="Output 190" xfId="13139"/>
    <cellStyle name="Output 191" xfId="13140"/>
    <cellStyle name="Output 192" xfId="13141"/>
    <cellStyle name="Output 193" xfId="13142"/>
    <cellStyle name="Output 194" xfId="13143"/>
    <cellStyle name="Output 195" xfId="13144"/>
    <cellStyle name="Output 196" xfId="13145"/>
    <cellStyle name="Output 197" xfId="13146"/>
    <cellStyle name="Output 198" xfId="13147"/>
    <cellStyle name="Output 199" xfId="13148"/>
    <cellStyle name="Output 2" xfId="13149"/>
    <cellStyle name="Output 2 2" xfId="13150"/>
    <cellStyle name="Output 2 2 2" xfId="13151"/>
    <cellStyle name="Output 2 2 3" xfId="13152"/>
    <cellStyle name="Output 2 2 4" xfId="13153"/>
    <cellStyle name="Output 2 2 5" xfId="13154"/>
    <cellStyle name="Output 2 2 6" xfId="13155"/>
    <cellStyle name="Output 2 2 7" xfId="13156"/>
    <cellStyle name="Output 2 3" xfId="13157"/>
    <cellStyle name="Output 2 4" xfId="13158"/>
    <cellStyle name="Output 2 5" xfId="13159"/>
    <cellStyle name="Output 2 6" xfId="13160"/>
    <cellStyle name="Output 2 7" xfId="13161"/>
    <cellStyle name="Output 2 8" xfId="13162"/>
    <cellStyle name="Output 20" xfId="13163"/>
    <cellStyle name="Output 200" xfId="13164"/>
    <cellStyle name="Output 201" xfId="13165"/>
    <cellStyle name="Output 202" xfId="13166"/>
    <cellStyle name="Output 203" xfId="13167"/>
    <cellStyle name="Output 204" xfId="13168"/>
    <cellStyle name="Output 205" xfId="13169"/>
    <cellStyle name="Output 206" xfId="13170"/>
    <cellStyle name="Output 207" xfId="13171"/>
    <cellStyle name="Output 208" xfId="13172"/>
    <cellStyle name="Output 209" xfId="13173"/>
    <cellStyle name="Output 21" xfId="13174"/>
    <cellStyle name="Output 210" xfId="13175"/>
    <cellStyle name="Output 211" xfId="13176"/>
    <cellStyle name="Output 212" xfId="13177"/>
    <cellStyle name="Output 213" xfId="13178"/>
    <cellStyle name="Output 214" xfId="13179"/>
    <cellStyle name="Output 215" xfId="13180"/>
    <cellStyle name="Output 216" xfId="13181"/>
    <cellStyle name="Output 217" xfId="13182"/>
    <cellStyle name="Output 218" xfId="13183"/>
    <cellStyle name="Output 219" xfId="13184"/>
    <cellStyle name="Output 22" xfId="13185"/>
    <cellStyle name="Output 220" xfId="13186"/>
    <cellStyle name="Output 221" xfId="13187"/>
    <cellStyle name="Output 222" xfId="13188"/>
    <cellStyle name="Output 223" xfId="13189"/>
    <cellStyle name="Output 224" xfId="13190"/>
    <cellStyle name="Output 225" xfId="13191"/>
    <cellStyle name="Output 226" xfId="13192"/>
    <cellStyle name="Output 227" xfId="13193"/>
    <cellStyle name="Output 228" xfId="13194"/>
    <cellStyle name="Output 229" xfId="13195"/>
    <cellStyle name="Output 23" xfId="13196"/>
    <cellStyle name="Output 230" xfId="13197"/>
    <cellStyle name="Output 231" xfId="13198"/>
    <cellStyle name="Output 232" xfId="13199"/>
    <cellStyle name="Output 233" xfId="13200"/>
    <cellStyle name="Output 234" xfId="13201"/>
    <cellStyle name="Output 235" xfId="13202"/>
    <cellStyle name="Output 236" xfId="13203"/>
    <cellStyle name="Output 237" xfId="13204"/>
    <cellStyle name="Output 238" xfId="13205"/>
    <cellStyle name="Output 239" xfId="13206"/>
    <cellStyle name="Output 24" xfId="13207"/>
    <cellStyle name="Output 240" xfId="13208"/>
    <cellStyle name="Output 241" xfId="13209"/>
    <cellStyle name="Output 242" xfId="13210"/>
    <cellStyle name="Output 243" xfId="13211"/>
    <cellStyle name="Output 244" xfId="13212"/>
    <cellStyle name="Output 245" xfId="13213"/>
    <cellStyle name="Output 246" xfId="13214"/>
    <cellStyle name="Output 247" xfId="13215"/>
    <cellStyle name="Output 248" xfId="13216"/>
    <cellStyle name="Output 249" xfId="13217"/>
    <cellStyle name="Output 25" xfId="13218"/>
    <cellStyle name="Output 26" xfId="13219"/>
    <cellStyle name="Output 27" xfId="13220"/>
    <cellStyle name="Output 28" xfId="13221"/>
    <cellStyle name="Output 29" xfId="13222"/>
    <cellStyle name="Output 3" xfId="13223"/>
    <cellStyle name="Output 3 2" xfId="13224"/>
    <cellStyle name="Output 30" xfId="13225"/>
    <cellStyle name="Output 31" xfId="13226"/>
    <cellStyle name="Output 32" xfId="13227"/>
    <cellStyle name="Output 33" xfId="13228"/>
    <cellStyle name="Output 34" xfId="13229"/>
    <cellStyle name="Output 35" xfId="13230"/>
    <cellStyle name="Output 36" xfId="13231"/>
    <cellStyle name="Output 37" xfId="13232"/>
    <cellStyle name="Output 38" xfId="13233"/>
    <cellStyle name="Output 39" xfId="13234"/>
    <cellStyle name="Output 4" xfId="13235"/>
    <cellStyle name="Output 4 2" xfId="13236"/>
    <cellStyle name="Output 4 3" xfId="13237"/>
    <cellStyle name="Output 4 4" xfId="13238"/>
    <cellStyle name="Output 4 5" xfId="13239"/>
    <cellStyle name="Output 40" xfId="13240"/>
    <cellStyle name="Output 41" xfId="13241"/>
    <cellStyle name="Output 42" xfId="13242"/>
    <cellStyle name="Output 43" xfId="13243"/>
    <cellStyle name="Output 44" xfId="13244"/>
    <cellStyle name="Output 45" xfId="13245"/>
    <cellStyle name="Output 46" xfId="13246"/>
    <cellStyle name="Output 47" xfId="13247"/>
    <cellStyle name="Output 48" xfId="13248"/>
    <cellStyle name="Output 49" xfId="13249"/>
    <cellStyle name="Output 5" xfId="13250"/>
    <cellStyle name="Output 5 2" xfId="13251"/>
    <cellStyle name="Output 5 3" xfId="13252"/>
    <cellStyle name="Output 5 4" xfId="13253"/>
    <cellStyle name="Output 5 5" xfId="13254"/>
    <cellStyle name="Output 50" xfId="13255"/>
    <cellStyle name="Output 51" xfId="13256"/>
    <cellStyle name="Output 52" xfId="13257"/>
    <cellStyle name="Output 53" xfId="13258"/>
    <cellStyle name="Output 54" xfId="13259"/>
    <cellStyle name="Output 55" xfId="13260"/>
    <cellStyle name="Output 56" xfId="13261"/>
    <cellStyle name="Output 57" xfId="13262"/>
    <cellStyle name="Output 58" xfId="13263"/>
    <cellStyle name="Output 59" xfId="13264"/>
    <cellStyle name="Output 6" xfId="13265"/>
    <cellStyle name="Output 6 2" xfId="13266"/>
    <cellStyle name="Output 6 3" xfId="13267"/>
    <cellStyle name="Output 6 4" xfId="13268"/>
    <cellStyle name="Output 60" xfId="13269"/>
    <cellStyle name="Output 61" xfId="13270"/>
    <cellStyle name="Output 62" xfId="13271"/>
    <cellStyle name="Output 63" xfId="13272"/>
    <cellStyle name="Output 64" xfId="13273"/>
    <cellStyle name="Output 65" xfId="13274"/>
    <cellStyle name="Output 66" xfId="13275"/>
    <cellStyle name="Output 67" xfId="13276"/>
    <cellStyle name="Output 68" xfId="13277"/>
    <cellStyle name="Output 69" xfId="13278"/>
    <cellStyle name="Output 7" xfId="13279"/>
    <cellStyle name="Output 7 2" xfId="13280"/>
    <cellStyle name="Output 7 3" xfId="13281"/>
    <cellStyle name="Output 7 4" xfId="13282"/>
    <cellStyle name="Output 70" xfId="13283"/>
    <cellStyle name="Output 71" xfId="13284"/>
    <cellStyle name="Output 72" xfId="13285"/>
    <cellStyle name="Output 73" xfId="13286"/>
    <cellStyle name="Output 74" xfId="13287"/>
    <cellStyle name="Output 75" xfId="13288"/>
    <cellStyle name="Output 76" xfId="13289"/>
    <cellStyle name="Output 77" xfId="13290"/>
    <cellStyle name="Output 78" xfId="13291"/>
    <cellStyle name="Output 79" xfId="13292"/>
    <cellStyle name="Output 8" xfId="13293"/>
    <cellStyle name="Output 8 2" xfId="13294"/>
    <cellStyle name="Output 8 3" xfId="13295"/>
    <cellStyle name="Output 8 4" xfId="13296"/>
    <cellStyle name="Output 80" xfId="13297"/>
    <cellStyle name="Output 81" xfId="13298"/>
    <cellStyle name="Output 82" xfId="13299"/>
    <cellStyle name="Output 83" xfId="13300"/>
    <cellStyle name="Output 84" xfId="13301"/>
    <cellStyle name="Output 85" xfId="13302"/>
    <cellStyle name="Output 86" xfId="13303"/>
    <cellStyle name="Output 87" xfId="13304"/>
    <cellStyle name="Output 88" xfId="13305"/>
    <cellStyle name="Output 89" xfId="13306"/>
    <cellStyle name="Output 9" xfId="13307"/>
    <cellStyle name="Output 9 2" xfId="13308"/>
    <cellStyle name="Output 9 3" xfId="13309"/>
    <cellStyle name="Output 9 4" xfId="13310"/>
    <cellStyle name="Output 90" xfId="13311"/>
    <cellStyle name="Output 91" xfId="13312"/>
    <cellStyle name="Output 92" xfId="13313"/>
    <cellStyle name="Output 93" xfId="13314"/>
    <cellStyle name="Output 94" xfId="13315"/>
    <cellStyle name="Output 95" xfId="13316"/>
    <cellStyle name="Output 96" xfId="13317"/>
    <cellStyle name="Output 97" xfId="13318"/>
    <cellStyle name="Output 98" xfId="13319"/>
    <cellStyle name="Output 99" xfId="13320"/>
    <cellStyle name="Percent 2" xfId="13321"/>
    <cellStyle name="Percent 2 2" xfId="13322"/>
    <cellStyle name="Percent 2 2 10" xfId="13323"/>
    <cellStyle name="Percent 2 2 100" xfId="13324"/>
    <cellStyle name="Percent 2 2 101" xfId="13325"/>
    <cellStyle name="Percent 2 2 102" xfId="13326"/>
    <cellStyle name="Percent 2 2 103" xfId="13327"/>
    <cellStyle name="Percent 2 2 104" xfId="13328"/>
    <cellStyle name="Percent 2 2 105" xfId="13329"/>
    <cellStyle name="Percent 2 2 106" xfId="13330"/>
    <cellStyle name="Percent 2 2 107" xfId="13331"/>
    <cellStyle name="Percent 2 2 108" xfId="13332"/>
    <cellStyle name="Percent 2 2 109" xfId="13333"/>
    <cellStyle name="Percent 2 2 11" xfId="13334"/>
    <cellStyle name="Percent 2 2 110" xfId="13335"/>
    <cellStyle name="Percent 2 2 111" xfId="13336"/>
    <cellStyle name="Percent 2 2 112" xfId="13337"/>
    <cellStyle name="Percent 2 2 113" xfId="13338"/>
    <cellStyle name="Percent 2 2 114" xfId="13339"/>
    <cellStyle name="Percent 2 2 115" xfId="13340"/>
    <cellStyle name="Percent 2 2 116" xfId="13341"/>
    <cellStyle name="Percent 2 2 117" xfId="13342"/>
    <cellStyle name="Percent 2 2 118" xfId="13343"/>
    <cellStyle name="Percent 2 2 119" xfId="13344"/>
    <cellStyle name="Percent 2 2 12" xfId="13345"/>
    <cellStyle name="Percent 2 2 120" xfId="13346"/>
    <cellStyle name="Percent 2 2 121" xfId="13347"/>
    <cellStyle name="Percent 2 2 122" xfId="13348"/>
    <cellStyle name="Percent 2 2 123" xfId="13349"/>
    <cellStyle name="Percent 2 2 124" xfId="13350"/>
    <cellStyle name="Percent 2 2 125" xfId="13351"/>
    <cellStyle name="Percent 2 2 126" xfId="13352"/>
    <cellStyle name="Percent 2 2 127" xfId="13353"/>
    <cellStyle name="Percent 2 2 128" xfId="13354"/>
    <cellStyle name="Percent 2 2 129" xfId="13355"/>
    <cellStyle name="Percent 2 2 13" xfId="13356"/>
    <cellStyle name="Percent 2 2 130" xfId="13357"/>
    <cellStyle name="Percent 2 2 131" xfId="13358"/>
    <cellStyle name="Percent 2 2 132" xfId="13359"/>
    <cellStyle name="Percent 2 2 133" xfId="13360"/>
    <cellStyle name="Percent 2 2 134" xfId="13361"/>
    <cellStyle name="Percent 2 2 135" xfId="13362"/>
    <cellStyle name="Percent 2 2 136" xfId="13363"/>
    <cellStyle name="Percent 2 2 137" xfId="13364"/>
    <cellStyle name="Percent 2 2 138" xfId="13365"/>
    <cellStyle name="Percent 2 2 139" xfId="13366"/>
    <cellStyle name="Percent 2 2 14" xfId="13367"/>
    <cellStyle name="Percent 2 2 140" xfId="13368"/>
    <cellStyle name="Percent 2 2 141" xfId="13369"/>
    <cellStyle name="Percent 2 2 142" xfId="13370"/>
    <cellStyle name="Percent 2 2 143" xfId="13371"/>
    <cellStyle name="Percent 2 2 144" xfId="13372"/>
    <cellStyle name="Percent 2 2 145" xfId="13373"/>
    <cellStyle name="Percent 2 2 146" xfId="13374"/>
    <cellStyle name="Percent 2 2 147" xfId="13375"/>
    <cellStyle name="Percent 2 2 148" xfId="13376"/>
    <cellStyle name="Percent 2 2 149" xfId="13377"/>
    <cellStyle name="Percent 2 2 15" xfId="13378"/>
    <cellStyle name="Percent 2 2 150" xfId="13379"/>
    <cellStyle name="Percent 2 2 151" xfId="13380"/>
    <cellStyle name="Percent 2 2 152" xfId="13381"/>
    <cellStyle name="Percent 2 2 153" xfId="13382"/>
    <cellStyle name="Percent 2 2 154" xfId="13383"/>
    <cellStyle name="Percent 2 2 155" xfId="13384"/>
    <cellStyle name="Percent 2 2 156" xfId="13385"/>
    <cellStyle name="Percent 2 2 157" xfId="13386"/>
    <cellStyle name="Percent 2 2 158" xfId="13387"/>
    <cellStyle name="Percent 2 2 159" xfId="13388"/>
    <cellStyle name="Percent 2 2 16" xfId="13389"/>
    <cellStyle name="Percent 2 2 160" xfId="13390"/>
    <cellStyle name="Percent 2 2 161" xfId="13391"/>
    <cellStyle name="Percent 2 2 162" xfId="13392"/>
    <cellStyle name="Percent 2 2 163" xfId="13393"/>
    <cellStyle name="Percent 2 2 164" xfId="13394"/>
    <cellStyle name="Percent 2 2 165" xfId="13395"/>
    <cellStyle name="Percent 2 2 166" xfId="13396"/>
    <cellStyle name="Percent 2 2 167" xfId="13397"/>
    <cellStyle name="Percent 2 2 168" xfId="13398"/>
    <cellStyle name="Percent 2 2 169" xfId="13399"/>
    <cellStyle name="Percent 2 2 17" xfId="13400"/>
    <cellStyle name="Percent 2 2 170" xfId="13401"/>
    <cellStyle name="Percent 2 2 171" xfId="13402"/>
    <cellStyle name="Percent 2 2 172" xfId="13403"/>
    <cellStyle name="Percent 2 2 173" xfId="13404"/>
    <cellStyle name="Percent 2 2 174" xfId="13405"/>
    <cellStyle name="Percent 2 2 175" xfId="13406"/>
    <cellStyle name="Percent 2 2 176" xfId="13407"/>
    <cellStyle name="Percent 2 2 177" xfId="13408"/>
    <cellStyle name="Percent 2 2 178" xfId="13409"/>
    <cellStyle name="Percent 2 2 179" xfId="13410"/>
    <cellStyle name="Percent 2 2 18" xfId="13411"/>
    <cellStyle name="Percent 2 2 180" xfId="13412"/>
    <cellStyle name="Percent 2 2 181" xfId="13413"/>
    <cellStyle name="Percent 2 2 182" xfId="13414"/>
    <cellStyle name="Percent 2 2 183" xfId="13415"/>
    <cellStyle name="Percent 2 2 184" xfId="13416"/>
    <cellStyle name="Percent 2 2 185" xfId="13417"/>
    <cellStyle name="Percent 2 2 186" xfId="13418"/>
    <cellStyle name="Percent 2 2 187" xfId="13419"/>
    <cellStyle name="Percent 2 2 188" xfId="13420"/>
    <cellStyle name="Percent 2 2 189" xfId="13421"/>
    <cellStyle name="Percent 2 2 19" xfId="13422"/>
    <cellStyle name="Percent 2 2 190" xfId="13423"/>
    <cellStyle name="Percent 2 2 191" xfId="13424"/>
    <cellStyle name="Percent 2 2 192" xfId="13425"/>
    <cellStyle name="Percent 2 2 193" xfId="13426"/>
    <cellStyle name="Percent 2 2 194" xfId="13427"/>
    <cellStyle name="Percent 2 2 195" xfId="13428"/>
    <cellStyle name="Percent 2 2 196" xfId="13429"/>
    <cellStyle name="Percent 2 2 197" xfId="13430"/>
    <cellStyle name="Percent 2 2 198" xfId="13431"/>
    <cellStyle name="Percent 2 2 199" xfId="13432"/>
    <cellStyle name="Percent 2 2 2" xfId="13433"/>
    <cellStyle name="Percent 2 2 20" xfId="13434"/>
    <cellStyle name="Percent 2 2 200" xfId="13435"/>
    <cellStyle name="Percent 2 2 201" xfId="13436"/>
    <cellStyle name="Percent 2 2 202" xfId="13437"/>
    <cellStyle name="Percent 2 2 203" xfId="13438"/>
    <cellStyle name="Percent 2 2 204" xfId="13439"/>
    <cellStyle name="Percent 2 2 205" xfId="13440"/>
    <cellStyle name="Percent 2 2 206" xfId="13441"/>
    <cellStyle name="Percent 2 2 207" xfId="13442"/>
    <cellStyle name="Percent 2 2 208" xfId="13443"/>
    <cellStyle name="Percent 2 2 209" xfId="13444"/>
    <cellStyle name="Percent 2 2 21" xfId="13445"/>
    <cellStyle name="Percent 2 2 210" xfId="13446"/>
    <cellStyle name="Percent 2 2 211" xfId="13447"/>
    <cellStyle name="Percent 2 2 212" xfId="13448"/>
    <cellStyle name="Percent 2 2 213" xfId="13449"/>
    <cellStyle name="Percent 2 2 214" xfId="13450"/>
    <cellStyle name="Percent 2 2 215" xfId="13451"/>
    <cellStyle name="Percent 2 2 216" xfId="13452"/>
    <cellStyle name="Percent 2 2 217" xfId="13453"/>
    <cellStyle name="Percent 2 2 218" xfId="13454"/>
    <cellStyle name="Percent 2 2 219" xfId="13455"/>
    <cellStyle name="Percent 2 2 22" xfId="13456"/>
    <cellStyle name="Percent 2 2 220" xfId="13457"/>
    <cellStyle name="Percent 2 2 221" xfId="13458"/>
    <cellStyle name="Percent 2 2 222" xfId="13459"/>
    <cellStyle name="Percent 2 2 223" xfId="13460"/>
    <cellStyle name="Percent 2 2 224" xfId="13461"/>
    <cellStyle name="Percent 2 2 225" xfId="13462"/>
    <cellStyle name="Percent 2 2 226" xfId="13463"/>
    <cellStyle name="Percent 2 2 227" xfId="13464"/>
    <cellStyle name="Percent 2 2 228" xfId="13465"/>
    <cellStyle name="Percent 2 2 229" xfId="13466"/>
    <cellStyle name="Percent 2 2 23" xfId="13467"/>
    <cellStyle name="Percent 2 2 230" xfId="13468"/>
    <cellStyle name="Percent 2 2 231" xfId="13469"/>
    <cellStyle name="Percent 2 2 232" xfId="13470"/>
    <cellStyle name="Percent 2 2 233" xfId="13471"/>
    <cellStyle name="Percent 2 2 234" xfId="13472"/>
    <cellStyle name="Percent 2 2 235" xfId="13473"/>
    <cellStyle name="Percent 2 2 24" xfId="13474"/>
    <cellStyle name="Percent 2 2 25" xfId="13475"/>
    <cellStyle name="Percent 2 2 26" xfId="13476"/>
    <cellStyle name="Percent 2 2 27" xfId="13477"/>
    <cellStyle name="Percent 2 2 28" xfId="13478"/>
    <cellStyle name="Percent 2 2 29" xfId="13479"/>
    <cellStyle name="Percent 2 2 3" xfId="13480"/>
    <cellStyle name="Percent 2 2 30" xfId="13481"/>
    <cellStyle name="Percent 2 2 31" xfId="13482"/>
    <cellStyle name="Percent 2 2 32" xfId="13483"/>
    <cellStyle name="Percent 2 2 33" xfId="13484"/>
    <cellStyle name="Percent 2 2 34" xfId="13485"/>
    <cellStyle name="Percent 2 2 35" xfId="13486"/>
    <cellStyle name="Percent 2 2 36" xfId="13487"/>
    <cellStyle name="Percent 2 2 37" xfId="13488"/>
    <cellStyle name="Percent 2 2 38" xfId="13489"/>
    <cellStyle name="Percent 2 2 39" xfId="13490"/>
    <cellStyle name="Percent 2 2 4" xfId="13491"/>
    <cellStyle name="Percent 2 2 40" xfId="13492"/>
    <cellStyle name="Percent 2 2 41" xfId="13493"/>
    <cellStyle name="Percent 2 2 42" xfId="13494"/>
    <cellStyle name="Percent 2 2 43" xfId="13495"/>
    <cellStyle name="Percent 2 2 44" xfId="13496"/>
    <cellStyle name="Percent 2 2 45" xfId="13497"/>
    <cellStyle name="Percent 2 2 46" xfId="13498"/>
    <cellStyle name="Percent 2 2 47" xfId="13499"/>
    <cellStyle name="Percent 2 2 48" xfId="13500"/>
    <cellStyle name="Percent 2 2 49" xfId="13501"/>
    <cellStyle name="Percent 2 2 5" xfId="13502"/>
    <cellStyle name="Percent 2 2 50" xfId="13503"/>
    <cellStyle name="Percent 2 2 51" xfId="13504"/>
    <cellStyle name="Percent 2 2 52" xfId="13505"/>
    <cellStyle name="Percent 2 2 53" xfId="13506"/>
    <cellStyle name="Percent 2 2 54" xfId="13507"/>
    <cellStyle name="Percent 2 2 55" xfId="13508"/>
    <cellStyle name="Percent 2 2 56" xfId="13509"/>
    <cellStyle name="Percent 2 2 57" xfId="13510"/>
    <cellStyle name="Percent 2 2 58" xfId="13511"/>
    <cellStyle name="Percent 2 2 59" xfId="13512"/>
    <cellStyle name="Percent 2 2 6" xfId="13513"/>
    <cellStyle name="Percent 2 2 60" xfId="13514"/>
    <cellStyle name="Percent 2 2 61" xfId="13515"/>
    <cellStyle name="Percent 2 2 62" xfId="13516"/>
    <cellStyle name="Percent 2 2 63" xfId="13517"/>
    <cellStyle name="Percent 2 2 64" xfId="13518"/>
    <cellStyle name="Percent 2 2 65" xfId="13519"/>
    <cellStyle name="Percent 2 2 66" xfId="13520"/>
    <cellStyle name="Percent 2 2 67" xfId="13521"/>
    <cellStyle name="Percent 2 2 68" xfId="13522"/>
    <cellStyle name="Percent 2 2 69" xfId="13523"/>
    <cellStyle name="Percent 2 2 7" xfId="13524"/>
    <cellStyle name="Percent 2 2 70" xfId="13525"/>
    <cellStyle name="Percent 2 2 71" xfId="13526"/>
    <cellStyle name="Percent 2 2 72" xfId="13527"/>
    <cellStyle name="Percent 2 2 73" xfId="13528"/>
    <cellStyle name="Percent 2 2 74" xfId="13529"/>
    <cellStyle name="Percent 2 2 75" xfId="13530"/>
    <cellStyle name="Percent 2 2 76" xfId="13531"/>
    <cellStyle name="Percent 2 2 77" xfId="13532"/>
    <cellStyle name="Percent 2 2 78" xfId="13533"/>
    <cellStyle name="Percent 2 2 79" xfId="13534"/>
    <cellStyle name="Percent 2 2 8" xfId="13535"/>
    <cellStyle name="Percent 2 2 80" xfId="13536"/>
    <cellStyle name="Percent 2 2 81" xfId="13537"/>
    <cellStyle name="Percent 2 2 82" xfId="13538"/>
    <cellStyle name="Percent 2 2 83" xfId="13539"/>
    <cellStyle name="Percent 2 2 84" xfId="13540"/>
    <cellStyle name="Percent 2 2 85" xfId="13541"/>
    <cellStyle name="Percent 2 2 86" xfId="13542"/>
    <cellStyle name="Percent 2 2 87" xfId="13543"/>
    <cellStyle name="Percent 2 2 88" xfId="13544"/>
    <cellStyle name="Percent 2 2 89" xfId="13545"/>
    <cellStyle name="Percent 2 2 9" xfId="13546"/>
    <cellStyle name="Percent 2 2 90" xfId="13547"/>
    <cellStyle name="Percent 2 2 91" xfId="13548"/>
    <cellStyle name="Percent 2 2 92" xfId="13549"/>
    <cellStyle name="Percent 2 2 93" xfId="13550"/>
    <cellStyle name="Percent 2 2 94" xfId="13551"/>
    <cellStyle name="Percent 2 2 95" xfId="13552"/>
    <cellStyle name="Percent 2 2 96" xfId="13553"/>
    <cellStyle name="Percent 2 2 97" xfId="13554"/>
    <cellStyle name="Percent 2 2 98" xfId="13555"/>
    <cellStyle name="Percent 2 2 99" xfId="13556"/>
    <cellStyle name="Percent 2 3" xfId="13557"/>
    <cellStyle name="Percent 2 3 10" xfId="13558"/>
    <cellStyle name="Percent 2 3 100" xfId="13559"/>
    <cellStyle name="Percent 2 3 101" xfId="13560"/>
    <cellStyle name="Percent 2 3 102" xfId="13561"/>
    <cellStyle name="Percent 2 3 103" xfId="13562"/>
    <cellStyle name="Percent 2 3 104" xfId="13563"/>
    <cellStyle name="Percent 2 3 105" xfId="13564"/>
    <cellStyle name="Percent 2 3 106" xfId="13565"/>
    <cellStyle name="Percent 2 3 107" xfId="13566"/>
    <cellStyle name="Percent 2 3 108" xfId="13567"/>
    <cellStyle name="Percent 2 3 109" xfId="13568"/>
    <cellStyle name="Percent 2 3 11" xfId="13569"/>
    <cellStyle name="Percent 2 3 110" xfId="13570"/>
    <cellStyle name="Percent 2 3 111" xfId="13571"/>
    <cellStyle name="Percent 2 3 112" xfId="13572"/>
    <cellStyle name="Percent 2 3 113" xfId="13573"/>
    <cellStyle name="Percent 2 3 114" xfId="13574"/>
    <cellStyle name="Percent 2 3 115" xfId="13575"/>
    <cellStyle name="Percent 2 3 116" xfId="13576"/>
    <cellStyle name="Percent 2 3 117" xfId="13577"/>
    <cellStyle name="Percent 2 3 118" xfId="13578"/>
    <cellStyle name="Percent 2 3 119" xfId="13579"/>
    <cellStyle name="Percent 2 3 12" xfId="13580"/>
    <cellStyle name="Percent 2 3 120" xfId="13581"/>
    <cellStyle name="Percent 2 3 121" xfId="13582"/>
    <cellStyle name="Percent 2 3 122" xfId="13583"/>
    <cellStyle name="Percent 2 3 123" xfId="13584"/>
    <cellStyle name="Percent 2 3 124" xfId="13585"/>
    <cellStyle name="Percent 2 3 125" xfId="13586"/>
    <cellStyle name="Percent 2 3 126" xfId="13587"/>
    <cellStyle name="Percent 2 3 127" xfId="13588"/>
    <cellStyle name="Percent 2 3 128" xfId="13589"/>
    <cellStyle name="Percent 2 3 129" xfId="13590"/>
    <cellStyle name="Percent 2 3 13" xfId="13591"/>
    <cellStyle name="Percent 2 3 130" xfId="13592"/>
    <cellStyle name="Percent 2 3 131" xfId="13593"/>
    <cellStyle name="Percent 2 3 132" xfId="13594"/>
    <cellStyle name="Percent 2 3 133" xfId="13595"/>
    <cellStyle name="Percent 2 3 134" xfId="13596"/>
    <cellStyle name="Percent 2 3 135" xfId="13597"/>
    <cellStyle name="Percent 2 3 136" xfId="13598"/>
    <cellStyle name="Percent 2 3 137" xfId="13599"/>
    <cellStyle name="Percent 2 3 138" xfId="13600"/>
    <cellStyle name="Percent 2 3 139" xfId="13601"/>
    <cellStyle name="Percent 2 3 14" xfId="13602"/>
    <cellStyle name="Percent 2 3 140" xfId="13603"/>
    <cellStyle name="Percent 2 3 141" xfId="13604"/>
    <cellStyle name="Percent 2 3 142" xfId="13605"/>
    <cellStyle name="Percent 2 3 143" xfId="13606"/>
    <cellStyle name="Percent 2 3 144" xfId="13607"/>
    <cellStyle name="Percent 2 3 145" xfId="13608"/>
    <cellStyle name="Percent 2 3 146" xfId="13609"/>
    <cellStyle name="Percent 2 3 147" xfId="13610"/>
    <cellStyle name="Percent 2 3 148" xfId="13611"/>
    <cellStyle name="Percent 2 3 149" xfId="13612"/>
    <cellStyle name="Percent 2 3 15" xfId="13613"/>
    <cellStyle name="Percent 2 3 150" xfId="13614"/>
    <cellStyle name="Percent 2 3 151" xfId="13615"/>
    <cellStyle name="Percent 2 3 152" xfId="13616"/>
    <cellStyle name="Percent 2 3 153" xfId="13617"/>
    <cellStyle name="Percent 2 3 154" xfId="13618"/>
    <cellStyle name="Percent 2 3 155" xfId="13619"/>
    <cellStyle name="Percent 2 3 156" xfId="13620"/>
    <cellStyle name="Percent 2 3 157" xfId="13621"/>
    <cellStyle name="Percent 2 3 158" xfId="13622"/>
    <cellStyle name="Percent 2 3 159" xfId="13623"/>
    <cellStyle name="Percent 2 3 16" xfId="13624"/>
    <cellStyle name="Percent 2 3 160" xfId="13625"/>
    <cellStyle name="Percent 2 3 161" xfId="13626"/>
    <cellStyle name="Percent 2 3 162" xfId="13627"/>
    <cellStyle name="Percent 2 3 163" xfId="13628"/>
    <cellStyle name="Percent 2 3 164" xfId="13629"/>
    <cellStyle name="Percent 2 3 165" xfId="13630"/>
    <cellStyle name="Percent 2 3 166" xfId="13631"/>
    <cellStyle name="Percent 2 3 167" xfId="13632"/>
    <cellStyle name="Percent 2 3 168" xfId="13633"/>
    <cellStyle name="Percent 2 3 169" xfId="13634"/>
    <cellStyle name="Percent 2 3 17" xfId="13635"/>
    <cellStyle name="Percent 2 3 170" xfId="13636"/>
    <cellStyle name="Percent 2 3 171" xfId="13637"/>
    <cellStyle name="Percent 2 3 172" xfId="13638"/>
    <cellStyle name="Percent 2 3 173" xfId="13639"/>
    <cellStyle name="Percent 2 3 174" xfId="13640"/>
    <cellStyle name="Percent 2 3 175" xfId="13641"/>
    <cellStyle name="Percent 2 3 176" xfId="13642"/>
    <cellStyle name="Percent 2 3 177" xfId="13643"/>
    <cellStyle name="Percent 2 3 178" xfId="13644"/>
    <cellStyle name="Percent 2 3 179" xfId="13645"/>
    <cellStyle name="Percent 2 3 18" xfId="13646"/>
    <cellStyle name="Percent 2 3 180" xfId="13647"/>
    <cellStyle name="Percent 2 3 181" xfId="13648"/>
    <cellStyle name="Percent 2 3 182" xfId="13649"/>
    <cellStyle name="Percent 2 3 183" xfId="13650"/>
    <cellStyle name="Percent 2 3 184" xfId="13651"/>
    <cellStyle name="Percent 2 3 185" xfId="13652"/>
    <cellStyle name="Percent 2 3 186" xfId="13653"/>
    <cellStyle name="Percent 2 3 187" xfId="13654"/>
    <cellStyle name="Percent 2 3 188" xfId="13655"/>
    <cellStyle name="Percent 2 3 189" xfId="13656"/>
    <cellStyle name="Percent 2 3 19" xfId="13657"/>
    <cellStyle name="Percent 2 3 190" xfId="13658"/>
    <cellStyle name="Percent 2 3 191" xfId="13659"/>
    <cellStyle name="Percent 2 3 192" xfId="13660"/>
    <cellStyle name="Percent 2 3 193" xfId="13661"/>
    <cellStyle name="Percent 2 3 194" xfId="13662"/>
    <cellStyle name="Percent 2 3 195" xfId="13663"/>
    <cellStyle name="Percent 2 3 196" xfId="13664"/>
    <cellStyle name="Percent 2 3 197" xfId="13665"/>
    <cellStyle name="Percent 2 3 198" xfId="13666"/>
    <cellStyle name="Percent 2 3 199" xfId="13667"/>
    <cellStyle name="Percent 2 3 2" xfId="13668"/>
    <cellStyle name="Percent 2 3 20" xfId="13669"/>
    <cellStyle name="Percent 2 3 200" xfId="13670"/>
    <cellStyle name="Percent 2 3 201" xfId="13671"/>
    <cellStyle name="Percent 2 3 202" xfId="13672"/>
    <cellStyle name="Percent 2 3 203" xfId="13673"/>
    <cellStyle name="Percent 2 3 204" xfId="13674"/>
    <cellStyle name="Percent 2 3 205" xfId="13675"/>
    <cellStyle name="Percent 2 3 206" xfId="13676"/>
    <cellStyle name="Percent 2 3 207" xfId="13677"/>
    <cellStyle name="Percent 2 3 208" xfId="13678"/>
    <cellStyle name="Percent 2 3 209" xfId="13679"/>
    <cellStyle name="Percent 2 3 21" xfId="13680"/>
    <cellStyle name="Percent 2 3 210" xfId="13681"/>
    <cellStyle name="Percent 2 3 211" xfId="13682"/>
    <cellStyle name="Percent 2 3 212" xfId="13683"/>
    <cellStyle name="Percent 2 3 213" xfId="13684"/>
    <cellStyle name="Percent 2 3 214" xfId="13685"/>
    <cellStyle name="Percent 2 3 215" xfId="13686"/>
    <cellStyle name="Percent 2 3 216" xfId="13687"/>
    <cellStyle name="Percent 2 3 217" xfId="13688"/>
    <cellStyle name="Percent 2 3 218" xfId="13689"/>
    <cellStyle name="Percent 2 3 219" xfId="13690"/>
    <cellStyle name="Percent 2 3 22" xfId="13691"/>
    <cellStyle name="Percent 2 3 220" xfId="13692"/>
    <cellStyle name="Percent 2 3 221" xfId="13693"/>
    <cellStyle name="Percent 2 3 222" xfId="13694"/>
    <cellStyle name="Percent 2 3 223" xfId="13695"/>
    <cellStyle name="Percent 2 3 224" xfId="13696"/>
    <cellStyle name="Percent 2 3 225" xfId="13697"/>
    <cellStyle name="Percent 2 3 226" xfId="13698"/>
    <cellStyle name="Percent 2 3 227" xfId="13699"/>
    <cellStyle name="Percent 2 3 228" xfId="13700"/>
    <cellStyle name="Percent 2 3 229" xfId="13701"/>
    <cellStyle name="Percent 2 3 23" xfId="13702"/>
    <cellStyle name="Percent 2 3 230" xfId="13703"/>
    <cellStyle name="Percent 2 3 231" xfId="13704"/>
    <cellStyle name="Percent 2 3 232" xfId="13705"/>
    <cellStyle name="Percent 2 3 233" xfId="13706"/>
    <cellStyle name="Percent 2 3 234" xfId="13707"/>
    <cellStyle name="Percent 2 3 235" xfId="13708"/>
    <cellStyle name="Percent 2 3 24" xfId="13709"/>
    <cellStyle name="Percent 2 3 25" xfId="13710"/>
    <cellStyle name="Percent 2 3 26" xfId="13711"/>
    <cellStyle name="Percent 2 3 27" xfId="13712"/>
    <cellStyle name="Percent 2 3 28" xfId="13713"/>
    <cellStyle name="Percent 2 3 29" xfId="13714"/>
    <cellStyle name="Percent 2 3 3" xfId="13715"/>
    <cellStyle name="Percent 2 3 30" xfId="13716"/>
    <cellStyle name="Percent 2 3 31" xfId="13717"/>
    <cellStyle name="Percent 2 3 32" xfId="13718"/>
    <cellStyle name="Percent 2 3 33" xfId="13719"/>
    <cellStyle name="Percent 2 3 34" xfId="13720"/>
    <cellStyle name="Percent 2 3 35" xfId="13721"/>
    <cellStyle name="Percent 2 3 36" xfId="13722"/>
    <cellStyle name="Percent 2 3 37" xfId="13723"/>
    <cellStyle name="Percent 2 3 38" xfId="13724"/>
    <cellStyle name="Percent 2 3 39" xfId="13725"/>
    <cellStyle name="Percent 2 3 4" xfId="13726"/>
    <cellStyle name="Percent 2 3 40" xfId="13727"/>
    <cellStyle name="Percent 2 3 41" xfId="13728"/>
    <cellStyle name="Percent 2 3 42" xfId="13729"/>
    <cellStyle name="Percent 2 3 43" xfId="13730"/>
    <cellStyle name="Percent 2 3 44" xfId="13731"/>
    <cellStyle name="Percent 2 3 45" xfId="13732"/>
    <cellStyle name="Percent 2 3 46" xfId="13733"/>
    <cellStyle name="Percent 2 3 47" xfId="13734"/>
    <cellStyle name="Percent 2 3 48" xfId="13735"/>
    <cellStyle name="Percent 2 3 49" xfId="13736"/>
    <cellStyle name="Percent 2 3 5" xfId="13737"/>
    <cellStyle name="Percent 2 3 50" xfId="13738"/>
    <cellStyle name="Percent 2 3 51" xfId="13739"/>
    <cellStyle name="Percent 2 3 52" xfId="13740"/>
    <cellStyle name="Percent 2 3 53" xfId="13741"/>
    <cellStyle name="Percent 2 3 54" xfId="13742"/>
    <cellStyle name="Percent 2 3 55" xfId="13743"/>
    <cellStyle name="Percent 2 3 56" xfId="13744"/>
    <cellStyle name="Percent 2 3 57" xfId="13745"/>
    <cellStyle name="Percent 2 3 58" xfId="13746"/>
    <cellStyle name="Percent 2 3 59" xfId="13747"/>
    <cellStyle name="Percent 2 3 6" xfId="13748"/>
    <cellStyle name="Percent 2 3 60" xfId="13749"/>
    <cellStyle name="Percent 2 3 61" xfId="13750"/>
    <cellStyle name="Percent 2 3 62" xfId="13751"/>
    <cellStyle name="Percent 2 3 63" xfId="13752"/>
    <cellStyle name="Percent 2 3 64" xfId="13753"/>
    <cellStyle name="Percent 2 3 65" xfId="13754"/>
    <cellStyle name="Percent 2 3 66" xfId="13755"/>
    <cellStyle name="Percent 2 3 67" xfId="13756"/>
    <cellStyle name="Percent 2 3 68" xfId="13757"/>
    <cellStyle name="Percent 2 3 69" xfId="13758"/>
    <cellStyle name="Percent 2 3 7" xfId="13759"/>
    <cellStyle name="Percent 2 3 70" xfId="13760"/>
    <cellStyle name="Percent 2 3 71" xfId="13761"/>
    <cellStyle name="Percent 2 3 72" xfId="13762"/>
    <cellStyle name="Percent 2 3 73" xfId="13763"/>
    <cellStyle name="Percent 2 3 74" xfId="13764"/>
    <cellStyle name="Percent 2 3 75" xfId="13765"/>
    <cellStyle name="Percent 2 3 76" xfId="13766"/>
    <cellStyle name="Percent 2 3 77" xfId="13767"/>
    <cellStyle name="Percent 2 3 78" xfId="13768"/>
    <cellStyle name="Percent 2 3 79" xfId="13769"/>
    <cellStyle name="Percent 2 3 8" xfId="13770"/>
    <cellStyle name="Percent 2 3 80" xfId="13771"/>
    <cellStyle name="Percent 2 3 81" xfId="13772"/>
    <cellStyle name="Percent 2 3 82" xfId="13773"/>
    <cellStyle name="Percent 2 3 83" xfId="13774"/>
    <cellStyle name="Percent 2 3 84" xfId="13775"/>
    <cellStyle name="Percent 2 3 85" xfId="13776"/>
    <cellStyle name="Percent 2 3 86" xfId="13777"/>
    <cellStyle name="Percent 2 3 87" xfId="13778"/>
    <cellStyle name="Percent 2 3 88" xfId="13779"/>
    <cellStyle name="Percent 2 3 89" xfId="13780"/>
    <cellStyle name="Percent 2 3 9" xfId="13781"/>
    <cellStyle name="Percent 2 3 90" xfId="13782"/>
    <cellStyle name="Percent 2 3 91" xfId="13783"/>
    <cellStyle name="Percent 2 3 92" xfId="13784"/>
    <cellStyle name="Percent 2 3 93" xfId="13785"/>
    <cellStyle name="Percent 2 3 94" xfId="13786"/>
    <cellStyle name="Percent 2 3 95" xfId="13787"/>
    <cellStyle name="Percent 2 3 96" xfId="13788"/>
    <cellStyle name="Percent 2 3 97" xfId="13789"/>
    <cellStyle name="Percent 2 3 98" xfId="13790"/>
    <cellStyle name="Percent 2 3 99" xfId="13791"/>
    <cellStyle name="Percent 2 4" xfId="13792"/>
    <cellStyle name="Percent 2 4 10" xfId="13793"/>
    <cellStyle name="Percent 2 4 100" xfId="13794"/>
    <cellStyle name="Percent 2 4 101" xfId="13795"/>
    <cellStyle name="Percent 2 4 102" xfId="13796"/>
    <cellStyle name="Percent 2 4 103" xfId="13797"/>
    <cellStyle name="Percent 2 4 104" xfId="13798"/>
    <cellStyle name="Percent 2 4 105" xfId="13799"/>
    <cellStyle name="Percent 2 4 106" xfId="13800"/>
    <cellStyle name="Percent 2 4 107" xfId="13801"/>
    <cellStyle name="Percent 2 4 108" xfId="13802"/>
    <cellStyle name="Percent 2 4 109" xfId="13803"/>
    <cellStyle name="Percent 2 4 11" xfId="13804"/>
    <cellStyle name="Percent 2 4 110" xfId="13805"/>
    <cellStyle name="Percent 2 4 111" xfId="13806"/>
    <cellStyle name="Percent 2 4 112" xfId="13807"/>
    <cellStyle name="Percent 2 4 113" xfId="13808"/>
    <cellStyle name="Percent 2 4 114" xfId="13809"/>
    <cellStyle name="Percent 2 4 115" xfId="13810"/>
    <cellStyle name="Percent 2 4 116" xfId="13811"/>
    <cellStyle name="Percent 2 4 117" xfId="13812"/>
    <cellStyle name="Percent 2 4 118" xfId="13813"/>
    <cellStyle name="Percent 2 4 119" xfId="13814"/>
    <cellStyle name="Percent 2 4 12" xfId="13815"/>
    <cellStyle name="Percent 2 4 120" xfId="13816"/>
    <cellStyle name="Percent 2 4 121" xfId="13817"/>
    <cellStyle name="Percent 2 4 122" xfId="13818"/>
    <cellStyle name="Percent 2 4 123" xfId="13819"/>
    <cellStyle name="Percent 2 4 124" xfId="13820"/>
    <cellStyle name="Percent 2 4 125" xfId="13821"/>
    <cellStyle name="Percent 2 4 126" xfId="13822"/>
    <cellStyle name="Percent 2 4 127" xfId="13823"/>
    <cellStyle name="Percent 2 4 128" xfId="13824"/>
    <cellStyle name="Percent 2 4 129" xfId="13825"/>
    <cellStyle name="Percent 2 4 13" xfId="13826"/>
    <cellStyle name="Percent 2 4 130" xfId="13827"/>
    <cellStyle name="Percent 2 4 131" xfId="13828"/>
    <cellStyle name="Percent 2 4 132" xfId="13829"/>
    <cellStyle name="Percent 2 4 133" xfId="13830"/>
    <cellStyle name="Percent 2 4 134" xfId="13831"/>
    <cellStyle name="Percent 2 4 135" xfId="13832"/>
    <cellStyle name="Percent 2 4 136" xfId="13833"/>
    <cellStyle name="Percent 2 4 137" xfId="13834"/>
    <cellStyle name="Percent 2 4 138" xfId="13835"/>
    <cellStyle name="Percent 2 4 139" xfId="13836"/>
    <cellStyle name="Percent 2 4 14" xfId="13837"/>
    <cellStyle name="Percent 2 4 140" xfId="13838"/>
    <cellStyle name="Percent 2 4 141" xfId="13839"/>
    <cellStyle name="Percent 2 4 142" xfId="13840"/>
    <cellStyle name="Percent 2 4 143" xfId="13841"/>
    <cellStyle name="Percent 2 4 144" xfId="13842"/>
    <cellStyle name="Percent 2 4 145" xfId="13843"/>
    <cellStyle name="Percent 2 4 146" xfId="13844"/>
    <cellStyle name="Percent 2 4 147" xfId="13845"/>
    <cellStyle name="Percent 2 4 148" xfId="13846"/>
    <cellStyle name="Percent 2 4 149" xfId="13847"/>
    <cellStyle name="Percent 2 4 15" xfId="13848"/>
    <cellStyle name="Percent 2 4 150" xfId="13849"/>
    <cellStyle name="Percent 2 4 151" xfId="13850"/>
    <cellStyle name="Percent 2 4 152" xfId="13851"/>
    <cellStyle name="Percent 2 4 153" xfId="13852"/>
    <cellStyle name="Percent 2 4 154" xfId="13853"/>
    <cellStyle name="Percent 2 4 155" xfId="13854"/>
    <cellStyle name="Percent 2 4 156" xfId="13855"/>
    <cellStyle name="Percent 2 4 157" xfId="13856"/>
    <cellStyle name="Percent 2 4 158" xfId="13857"/>
    <cellStyle name="Percent 2 4 159" xfId="13858"/>
    <cellStyle name="Percent 2 4 16" xfId="13859"/>
    <cellStyle name="Percent 2 4 160" xfId="13860"/>
    <cellStyle name="Percent 2 4 161" xfId="13861"/>
    <cellStyle name="Percent 2 4 162" xfId="13862"/>
    <cellStyle name="Percent 2 4 163" xfId="13863"/>
    <cellStyle name="Percent 2 4 164" xfId="13864"/>
    <cellStyle name="Percent 2 4 165" xfId="13865"/>
    <cellStyle name="Percent 2 4 166" xfId="13866"/>
    <cellStyle name="Percent 2 4 167" xfId="13867"/>
    <cellStyle name="Percent 2 4 168" xfId="13868"/>
    <cellStyle name="Percent 2 4 169" xfId="13869"/>
    <cellStyle name="Percent 2 4 17" xfId="13870"/>
    <cellStyle name="Percent 2 4 170" xfId="13871"/>
    <cellStyle name="Percent 2 4 171" xfId="13872"/>
    <cellStyle name="Percent 2 4 172" xfId="13873"/>
    <cellStyle name="Percent 2 4 173" xfId="13874"/>
    <cellStyle name="Percent 2 4 174" xfId="13875"/>
    <cellStyle name="Percent 2 4 175" xfId="13876"/>
    <cellStyle name="Percent 2 4 176" xfId="13877"/>
    <cellStyle name="Percent 2 4 177" xfId="13878"/>
    <cellStyle name="Percent 2 4 178" xfId="13879"/>
    <cellStyle name="Percent 2 4 179" xfId="13880"/>
    <cellStyle name="Percent 2 4 18" xfId="13881"/>
    <cellStyle name="Percent 2 4 180" xfId="13882"/>
    <cellStyle name="Percent 2 4 181" xfId="13883"/>
    <cellStyle name="Percent 2 4 182" xfId="13884"/>
    <cellStyle name="Percent 2 4 183" xfId="13885"/>
    <cellStyle name="Percent 2 4 184" xfId="13886"/>
    <cellStyle name="Percent 2 4 185" xfId="13887"/>
    <cellStyle name="Percent 2 4 186" xfId="13888"/>
    <cellStyle name="Percent 2 4 187" xfId="13889"/>
    <cellStyle name="Percent 2 4 188" xfId="13890"/>
    <cellStyle name="Percent 2 4 189" xfId="13891"/>
    <cellStyle name="Percent 2 4 19" xfId="13892"/>
    <cellStyle name="Percent 2 4 190" xfId="13893"/>
    <cellStyle name="Percent 2 4 191" xfId="13894"/>
    <cellStyle name="Percent 2 4 192" xfId="13895"/>
    <cellStyle name="Percent 2 4 193" xfId="13896"/>
    <cellStyle name="Percent 2 4 194" xfId="13897"/>
    <cellStyle name="Percent 2 4 195" xfId="13898"/>
    <cellStyle name="Percent 2 4 196" xfId="13899"/>
    <cellStyle name="Percent 2 4 197" xfId="13900"/>
    <cellStyle name="Percent 2 4 198" xfId="13901"/>
    <cellStyle name="Percent 2 4 199" xfId="13902"/>
    <cellStyle name="Percent 2 4 2" xfId="13903"/>
    <cellStyle name="Percent 2 4 20" xfId="13904"/>
    <cellStyle name="Percent 2 4 200" xfId="13905"/>
    <cellStyle name="Percent 2 4 201" xfId="13906"/>
    <cellStyle name="Percent 2 4 202" xfId="13907"/>
    <cellStyle name="Percent 2 4 203" xfId="13908"/>
    <cellStyle name="Percent 2 4 204" xfId="13909"/>
    <cellStyle name="Percent 2 4 205" xfId="13910"/>
    <cellStyle name="Percent 2 4 206" xfId="13911"/>
    <cellStyle name="Percent 2 4 207" xfId="13912"/>
    <cellStyle name="Percent 2 4 208" xfId="13913"/>
    <cellStyle name="Percent 2 4 209" xfId="13914"/>
    <cellStyle name="Percent 2 4 21" xfId="13915"/>
    <cellStyle name="Percent 2 4 210" xfId="13916"/>
    <cellStyle name="Percent 2 4 211" xfId="13917"/>
    <cellStyle name="Percent 2 4 212" xfId="13918"/>
    <cellStyle name="Percent 2 4 213" xfId="13919"/>
    <cellStyle name="Percent 2 4 214" xfId="13920"/>
    <cellStyle name="Percent 2 4 215" xfId="13921"/>
    <cellStyle name="Percent 2 4 216" xfId="13922"/>
    <cellStyle name="Percent 2 4 217" xfId="13923"/>
    <cellStyle name="Percent 2 4 218" xfId="13924"/>
    <cellStyle name="Percent 2 4 219" xfId="13925"/>
    <cellStyle name="Percent 2 4 22" xfId="13926"/>
    <cellStyle name="Percent 2 4 220" xfId="13927"/>
    <cellStyle name="Percent 2 4 221" xfId="13928"/>
    <cellStyle name="Percent 2 4 222" xfId="13929"/>
    <cellStyle name="Percent 2 4 223" xfId="13930"/>
    <cellStyle name="Percent 2 4 224" xfId="13931"/>
    <cellStyle name="Percent 2 4 225" xfId="13932"/>
    <cellStyle name="Percent 2 4 226" xfId="13933"/>
    <cellStyle name="Percent 2 4 227" xfId="13934"/>
    <cellStyle name="Percent 2 4 228" xfId="13935"/>
    <cellStyle name="Percent 2 4 229" xfId="13936"/>
    <cellStyle name="Percent 2 4 23" xfId="13937"/>
    <cellStyle name="Percent 2 4 230" xfId="13938"/>
    <cellStyle name="Percent 2 4 231" xfId="13939"/>
    <cellStyle name="Percent 2 4 232" xfId="13940"/>
    <cellStyle name="Percent 2 4 233" xfId="13941"/>
    <cellStyle name="Percent 2 4 234" xfId="13942"/>
    <cellStyle name="Percent 2 4 235" xfId="13943"/>
    <cellStyle name="Percent 2 4 24" xfId="13944"/>
    <cellStyle name="Percent 2 4 25" xfId="13945"/>
    <cellStyle name="Percent 2 4 26" xfId="13946"/>
    <cellStyle name="Percent 2 4 27" xfId="13947"/>
    <cellStyle name="Percent 2 4 28" xfId="13948"/>
    <cellStyle name="Percent 2 4 29" xfId="13949"/>
    <cellStyle name="Percent 2 4 3" xfId="13950"/>
    <cellStyle name="Percent 2 4 30" xfId="13951"/>
    <cellStyle name="Percent 2 4 31" xfId="13952"/>
    <cellStyle name="Percent 2 4 32" xfId="13953"/>
    <cellStyle name="Percent 2 4 33" xfId="13954"/>
    <cellStyle name="Percent 2 4 34" xfId="13955"/>
    <cellStyle name="Percent 2 4 35" xfId="13956"/>
    <cellStyle name="Percent 2 4 36" xfId="13957"/>
    <cellStyle name="Percent 2 4 37" xfId="13958"/>
    <cellStyle name="Percent 2 4 38" xfId="13959"/>
    <cellStyle name="Percent 2 4 39" xfId="13960"/>
    <cellStyle name="Percent 2 4 4" xfId="13961"/>
    <cellStyle name="Percent 2 4 40" xfId="13962"/>
    <cellStyle name="Percent 2 4 41" xfId="13963"/>
    <cellStyle name="Percent 2 4 42" xfId="13964"/>
    <cellStyle name="Percent 2 4 43" xfId="13965"/>
    <cellStyle name="Percent 2 4 44" xfId="13966"/>
    <cellStyle name="Percent 2 4 45" xfId="13967"/>
    <cellStyle name="Percent 2 4 46" xfId="13968"/>
    <cellStyle name="Percent 2 4 47" xfId="13969"/>
    <cellStyle name="Percent 2 4 48" xfId="13970"/>
    <cellStyle name="Percent 2 4 49" xfId="13971"/>
    <cellStyle name="Percent 2 4 5" xfId="13972"/>
    <cellStyle name="Percent 2 4 50" xfId="13973"/>
    <cellStyle name="Percent 2 4 51" xfId="13974"/>
    <cellStyle name="Percent 2 4 52" xfId="13975"/>
    <cellStyle name="Percent 2 4 53" xfId="13976"/>
    <cellStyle name="Percent 2 4 54" xfId="13977"/>
    <cellStyle name="Percent 2 4 55" xfId="13978"/>
    <cellStyle name="Percent 2 4 56" xfId="13979"/>
    <cellStyle name="Percent 2 4 57" xfId="13980"/>
    <cellStyle name="Percent 2 4 58" xfId="13981"/>
    <cellStyle name="Percent 2 4 59" xfId="13982"/>
    <cellStyle name="Percent 2 4 6" xfId="13983"/>
    <cellStyle name="Percent 2 4 60" xfId="13984"/>
    <cellStyle name="Percent 2 4 61" xfId="13985"/>
    <cellStyle name="Percent 2 4 62" xfId="13986"/>
    <cellStyle name="Percent 2 4 63" xfId="13987"/>
    <cellStyle name="Percent 2 4 64" xfId="13988"/>
    <cellStyle name="Percent 2 4 65" xfId="13989"/>
    <cellStyle name="Percent 2 4 66" xfId="13990"/>
    <cellStyle name="Percent 2 4 67" xfId="13991"/>
    <cellStyle name="Percent 2 4 68" xfId="13992"/>
    <cellStyle name="Percent 2 4 69" xfId="13993"/>
    <cellStyle name="Percent 2 4 7" xfId="13994"/>
    <cellStyle name="Percent 2 4 70" xfId="13995"/>
    <cellStyle name="Percent 2 4 71" xfId="13996"/>
    <cellStyle name="Percent 2 4 72" xfId="13997"/>
    <cellStyle name="Percent 2 4 73" xfId="13998"/>
    <cellStyle name="Percent 2 4 74" xfId="13999"/>
    <cellStyle name="Percent 2 4 75" xfId="14000"/>
    <cellStyle name="Percent 2 4 76" xfId="14001"/>
    <cellStyle name="Percent 2 4 77" xfId="14002"/>
    <cellStyle name="Percent 2 4 78" xfId="14003"/>
    <cellStyle name="Percent 2 4 79" xfId="14004"/>
    <cellStyle name="Percent 2 4 8" xfId="14005"/>
    <cellStyle name="Percent 2 4 80" xfId="14006"/>
    <cellStyle name="Percent 2 4 81" xfId="14007"/>
    <cellStyle name="Percent 2 4 82" xfId="14008"/>
    <cellStyle name="Percent 2 4 83" xfId="14009"/>
    <cellStyle name="Percent 2 4 84" xfId="14010"/>
    <cellStyle name="Percent 2 4 85" xfId="14011"/>
    <cellStyle name="Percent 2 4 86" xfId="14012"/>
    <cellStyle name="Percent 2 4 87" xfId="14013"/>
    <cellStyle name="Percent 2 4 88" xfId="14014"/>
    <cellStyle name="Percent 2 4 89" xfId="14015"/>
    <cellStyle name="Percent 2 4 9" xfId="14016"/>
    <cellStyle name="Percent 2 4 90" xfId="14017"/>
    <cellStyle name="Percent 2 4 91" xfId="14018"/>
    <cellStyle name="Percent 2 4 92" xfId="14019"/>
    <cellStyle name="Percent 2 4 93" xfId="14020"/>
    <cellStyle name="Percent 2 4 94" xfId="14021"/>
    <cellStyle name="Percent 2 4 95" xfId="14022"/>
    <cellStyle name="Percent 2 4 96" xfId="14023"/>
    <cellStyle name="Percent 2 4 97" xfId="14024"/>
    <cellStyle name="Percent 2 4 98" xfId="14025"/>
    <cellStyle name="Percent 2 4 99" xfId="14026"/>
    <cellStyle name="Percent 2 5" xfId="14027"/>
    <cellStyle name="Percent 2 5 10" xfId="14028"/>
    <cellStyle name="Percent 2 5 100" xfId="14029"/>
    <cellStyle name="Percent 2 5 101" xfId="14030"/>
    <cellStyle name="Percent 2 5 102" xfId="14031"/>
    <cellStyle name="Percent 2 5 103" xfId="14032"/>
    <cellStyle name="Percent 2 5 104" xfId="14033"/>
    <cellStyle name="Percent 2 5 105" xfId="14034"/>
    <cellStyle name="Percent 2 5 106" xfId="14035"/>
    <cellStyle name="Percent 2 5 107" xfId="14036"/>
    <cellStyle name="Percent 2 5 108" xfId="14037"/>
    <cellStyle name="Percent 2 5 109" xfId="14038"/>
    <cellStyle name="Percent 2 5 11" xfId="14039"/>
    <cellStyle name="Percent 2 5 110" xfId="14040"/>
    <cellStyle name="Percent 2 5 111" xfId="14041"/>
    <cellStyle name="Percent 2 5 112" xfId="14042"/>
    <cellStyle name="Percent 2 5 113" xfId="14043"/>
    <cellStyle name="Percent 2 5 114" xfId="14044"/>
    <cellStyle name="Percent 2 5 115" xfId="14045"/>
    <cellStyle name="Percent 2 5 116" xfId="14046"/>
    <cellStyle name="Percent 2 5 117" xfId="14047"/>
    <cellStyle name="Percent 2 5 118" xfId="14048"/>
    <cellStyle name="Percent 2 5 119" xfId="14049"/>
    <cellStyle name="Percent 2 5 12" xfId="14050"/>
    <cellStyle name="Percent 2 5 120" xfId="14051"/>
    <cellStyle name="Percent 2 5 121" xfId="14052"/>
    <cellStyle name="Percent 2 5 122" xfId="14053"/>
    <cellStyle name="Percent 2 5 123" xfId="14054"/>
    <cellStyle name="Percent 2 5 124" xfId="14055"/>
    <cellStyle name="Percent 2 5 125" xfId="14056"/>
    <cellStyle name="Percent 2 5 126" xfId="14057"/>
    <cellStyle name="Percent 2 5 127" xfId="14058"/>
    <cellStyle name="Percent 2 5 128" xfId="14059"/>
    <cellStyle name="Percent 2 5 129" xfId="14060"/>
    <cellStyle name="Percent 2 5 13" xfId="14061"/>
    <cellStyle name="Percent 2 5 130" xfId="14062"/>
    <cellStyle name="Percent 2 5 131" xfId="14063"/>
    <cellStyle name="Percent 2 5 132" xfId="14064"/>
    <cellStyle name="Percent 2 5 133" xfId="14065"/>
    <cellStyle name="Percent 2 5 134" xfId="14066"/>
    <cellStyle name="Percent 2 5 135" xfId="14067"/>
    <cellStyle name="Percent 2 5 136" xfId="14068"/>
    <cellStyle name="Percent 2 5 137" xfId="14069"/>
    <cellStyle name="Percent 2 5 138" xfId="14070"/>
    <cellStyle name="Percent 2 5 139" xfId="14071"/>
    <cellStyle name="Percent 2 5 14" xfId="14072"/>
    <cellStyle name="Percent 2 5 140" xfId="14073"/>
    <cellStyle name="Percent 2 5 141" xfId="14074"/>
    <cellStyle name="Percent 2 5 142" xfId="14075"/>
    <cellStyle name="Percent 2 5 143" xfId="14076"/>
    <cellStyle name="Percent 2 5 144" xfId="14077"/>
    <cellStyle name="Percent 2 5 145" xfId="14078"/>
    <cellStyle name="Percent 2 5 146" xfId="14079"/>
    <cellStyle name="Percent 2 5 147" xfId="14080"/>
    <cellStyle name="Percent 2 5 148" xfId="14081"/>
    <cellStyle name="Percent 2 5 149" xfId="14082"/>
    <cellStyle name="Percent 2 5 15" xfId="14083"/>
    <cellStyle name="Percent 2 5 150" xfId="14084"/>
    <cellStyle name="Percent 2 5 151" xfId="14085"/>
    <cellStyle name="Percent 2 5 152" xfId="14086"/>
    <cellStyle name="Percent 2 5 153" xfId="14087"/>
    <cellStyle name="Percent 2 5 154" xfId="14088"/>
    <cellStyle name="Percent 2 5 155" xfId="14089"/>
    <cellStyle name="Percent 2 5 156" xfId="14090"/>
    <cellStyle name="Percent 2 5 157" xfId="14091"/>
    <cellStyle name="Percent 2 5 158" xfId="14092"/>
    <cellStyle name="Percent 2 5 159" xfId="14093"/>
    <cellStyle name="Percent 2 5 16" xfId="14094"/>
    <cellStyle name="Percent 2 5 160" xfId="14095"/>
    <cellStyle name="Percent 2 5 161" xfId="14096"/>
    <cellStyle name="Percent 2 5 162" xfId="14097"/>
    <cellStyle name="Percent 2 5 163" xfId="14098"/>
    <cellStyle name="Percent 2 5 164" xfId="14099"/>
    <cellStyle name="Percent 2 5 165" xfId="14100"/>
    <cellStyle name="Percent 2 5 166" xfId="14101"/>
    <cellStyle name="Percent 2 5 167" xfId="14102"/>
    <cellStyle name="Percent 2 5 168" xfId="14103"/>
    <cellStyle name="Percent 2 5 169" xfId="14104"/>
    <cellStyle name="Percent 2 5 17" xfId="14105"/>
    <cellStyle name="Percent 2 5 170" xfId="14106"/>
    <cellStyle name="Percent 2 5 171" xfId="14107"/>
    <cellStyle name="Percent 2 5 172" xfId="14108"/>
    <cellStyle name="Percent 2 5 173" xfId="14109"/>
    <cellStyle name="Percent 2 5 174" xfId="14110"/>
    <cellStyle name="Percent 2 5 175" xfId="14111"/>
    <cellStyle name="Percent 2 5 176" xfId="14112"/>
    <cellStyle name="Percent 2 5 177" xfId="14113"/>
    <cellStyle name="Percent 2 5 178" xfId="14114"/>
    <cellStyle name="Percent 2 5 179" xfId="14115"/>
    <cellStyle name="Percent 2 5 18" xfId="14116"/>
    <cellStyle name="Percent 2 5 180" xfId="14117"/>
    <cellStyle name="Percent 2 5 181" xfId="14118"/>
    <cellStyle name="Percent 2 5 182" xfId="14119"/>
    <cellStyle name="Percent 2 5 183" xfId="14120"/>
    <cellStyle name="Percent 2 5 184" xfId="14121"/>
    <cellStyle name="Percent 2 5 185" xfId="14122"/>
    <cellStyle name="Percent 2 5 186" xfId="14123"/>
    <cellStyle name="Percent 2 5 187" xfId="14124"/>
    <cellStyle name="Percent 2 5 188" xfId="14125"/>
    <cellStyle name="Percent 2 5 189" xfId="14126"/>
    <cellStyle name="Percent 2 5 19" xfId="14127"/>
    <cellStyle name="Percent 2 5 190" xfId="14128"/>
    <cellStyle name="Percent 2 5 191" xfId="14129"/>
    <cellStyle name="Percent 2 5 192" xfId="14130"/>
    <cellStyle name="Percent 2 5 193" xfId="14131"/>
    <cellStyle name="Percent 2 5 194" xfId="14132"/>
    <cellStyle name="Percent 2 5 195" xfId="14133"/>
    <cellStyle name="Percent 2 5 196" xfId="14134"/>
    <cellStyle name="Percent 2 5 197" xfId="14135"/>
    <cellStyle name="Percent 2 5 198" xfId="14136"/>
    <cellStyle name="Percent 2 5 199" xfId="14137"/>
    <cellStyle name="Percent 2 5 2" xfId="14138"/>
    <cellStyle name="Percent 2 5 20" xfId="14139"/>
    <cellStyle name="Percent 2 5 200" xfId="14140"/>
    <cellStyle name="Percent 2 5 201" xfId="14141"/>
    <cellStyle name="Percent 2 5 202" xfId="14142"/>
    <cellStyle name="Percent 2 5 203" xfId="14143"/>
    <cellStyle name="Percent 2 5 204" xfId="14144"/>
    <cellStyle name="Percent 2 5 205" xfId="14145"/>
    <cellStyle name="Percent 2 5 206" xfId="14146"/>
    <cellStyle name="Percent 2 5 207" xfId="14147"/>
    <cellStyle name="Percent 2 5 208" xfId="14148"/>
    <cellStyle name="Percent 2 5 209" xfId="14149"/>
    <cellStyle name="Percent 2 5 21" xfId="14150"/>
    <cellStyle name="Percent 2 5 210" xfId="14151"/>
    <cellStyle name="Percent 2 5 211" xfId="14152"/>
    <cellStyle name="Percent 2 5 212" xfId="14153"/>
    <cellStyle name="Percent 2 5 213" xfId="14154"/>
    <cellStyle name="Percent 2 5 214" xfId="14155"/>
    <cellStyle name="Percent 2 5 215" xfId="14156"/>
    <cellStyle name="Percent 2 5 216" xfId="14157"/>
    <cellStyle name="Percent 2 5 217" xfId="14158"/>
    <cellStyle name="Percent 2 5 218" xfId="14159"/>
    <cellStyle name="Percent 2 5 219" xfId="14160"/>
    <cellStyle name="Percent 2 5 22" xfId="14161"/>
    <cellStyle name="Percent 2 5 220" xfId="14162"/>
    <cellStyle name="Percent 2 5 221" xfId="14163"/>
    <cellStyle name="Percent 2 5 222" xfId="14164"/>
    <cellStyle name="Percent 2 5 223" xfId="14165"/>
    <cellStyle name="Percent 2 5 224" xfId="14166"/>
    <cellStyle name="Percent 2 5 225" xfId="14167"/>
    <cellStyle name="Percent 2 5 226" xfId="14168"/>
    <cellStyle name="Percent 2 5 227" xfId="14169"/>
    <cellStyle name="Percent 2 5 228" xfId="14170"/>
    <cellStyle name="Percent 2 5 229" xfId="14171"/>
    <cellStyle name="Percent 2 5 23" xfId="14172"/>
    <cellStyle name="Percent 2 5 230" xfId="14173"/>
    <cellStyle name="Percent 2 5 231" xfId="14174"/>
    <cellStyle name="Percent 2 5 232" xfId="14175"/>
    <cellStyle name="Percent 2 5 233" xfId="14176"/>
    <cellStyle name="Percent 2 5 234" xfId="14177"/>
    <cellStyle name="Percent 2 5 235" xfId="14178"/>
    <cellStyle name="Percent 2 5 24" xfId="14179"/>
    <cellStyle name="Percent 2 5 25" xfId="14180"/>
    <cellStyle name="Percent 2 5 26" xfId="14181"/>
    <cellStyle name="Percent 2 5 27" xfId="14182"/>
    <cellStyle name="Percent 2 5 28" xfId="14183"/>
    <cellStyle name="Percent 2 5 29" xfId="14184"/>
    <cellStyle name="Percent 2 5 3" xfId="14185"/>
    <cellStyle name="Percent 2 5 30" xfId="14186"/>
    <cellStyle name="Percent 2 5 31" xfId="14187"/>
    <cellStyle name="Percent 2 5 32" xfId="14188"/>
    <cellStyle name="Percent 2 5 33" xfId="14189"/>
    <cellStyle name="Percent 2 5 34" xfId="14190"/>
    <cellStyle name="Percent 2 5 35" xfId="14191"/>
    <cellStyle name="Percent 2 5 36" xfId="14192"/>
    <cellStyle name="Percent 2 5 37" xfId="14193"/>
    <cellStyle name="Percent 2 5 38" xfId="14194"/>
    <cellStyle name="Percent 2 5 39" xfId="14195"/>
    <cellStyle name="Percent 2 5 4" xfId="14196"/>
    <cellStyle name="Percent 2 5 40" xfId="14197"/>
    <cellStyle name="Percent 2 5 41" xfId="14198"/>
    <cellStyle name="Percent 2 5 42" xfId="14199"/>
    <cellStyle name="Percent 2 5 43" xfId="14200"/>
    <cellStyle name="Percent 2 5 44" xfId="14201"/>
    <cellStyle name="Percent 2 5 45" xfId="14202"/>
    <cellStyle name="Percent 2 5 46" xfId="14203"/>
    <cellStyle name="Percent 2 5 47" xfId="14204"/>
    <cellStyle name="Percent 2 5 48" xfId="14205"/>
    <cellStyle name="Percent 2 5 49" xfId="14206"/>
    <cellStyle name="Percent 2 5 5" xfId="14207"/>
    <cellStyle name="Percent 2 5 50" xfId="14208"/>
    <cellStyle name="Percent 2 5 51" xfId="14209"/>
    <cellStyle name="Percent 2 5 52" xfId="14210"/>
    <cellStyle name="Percent 2 5 53" xfId="14211"/>
    <cellStyle name="Percent 2 5 54" xfId="14212"/>
    <cellStyle name="Percent 2 5 55" xfId="14213"/>
    <cellStyle name="Percent 2 5 56" xfId="14214"/>
    <cellStyle name="Percent 2 5 57" xfId="14215"/>
    <cellStyle name="Percent 2 5 58" xfId="14216"/>
    <cellStyle name="Percent 2 5 59" xfId="14217"/>
    <cellStyle name="Percent 2 5 6" xfId="14218"/>
    <cellStyle name="Percent 2 5 60" xfId="14219"/>
    <cellStyle name="Percent 2 5 61" xfId="14220"/>
    <cellStyle name="Percent 2 5 62" xfId="14221"/>
    <cellStyle name="Percent 2 5 63" xfId="14222"/>
    <cellStyle name="Percent 2 5 64" xfId="14223"/>
    <cellStyle name="Percent 2 5 65" xfId="14224"/>
    <cellStyle name="Percent 2 5 66" xfId="14225"/>
    <cellStyle name="Percent 2 5 67" xfId="14226"/>
    <cellStyle name="Percent 2 5 68" xfId="14227"/>
    <cellStyle name="Percent 2 5 69" xfId="14228"/>
    <cellStyle name="Percent 2 5 7" xfId="14229"/>
    <cellStyle name="Percent 2 5 70" xfId="14230"/>
    <cellStyle name="Percent 2 5 71" xfId="14231"/>
    <cellStyle name="Percent 2 5 72" xfId="14232"/>
    <cellStyle name="Percent 2 5 73" xfId="14233"/>
    <cellStyle name="Percent 2 5 74" xfId="14234"/>
    <cellStyle name="Percent 2 5 75" xfId="14235"/>
    <cellStyle name="Percent 2 5 76" xfId="14236"/>
    <cellStyle name="Percent 2 5 77" xfId="14237"/>
    <cellStyle name="Percent 2 5 78" xfId="14238"/>
    <cellStyle name="Percent 2 5 79" xfId="14239"/>
    <cellStyle name="Percent 2 5 8" xfId="14240"/>
    <cellStyle name="Percent 2 5 80" xfId="14241"/>
    <cellStyle name="Percent 2 5 81" xfId="14242"/>
    <cellStyle name="Percent 2 5 82" xfId="14243"/>
    <cellStyle name="Percent 2 5 83" xfId="14244"/>
    <cellStyle name="Percent 2 5 84" xfId="14245"/>
    <cellStyle name="Percent 2 5 85" xfId="14246"/>
    <cellStyle name="Percent 2 5 86" xfId="14247"/>
    <cellStyle name="Percent 2 5 87" xfId="14248"/>
    <cellStyle name="Percent 2 5 88" xfId="14249"/>
    <cellStyle name="Percent 2 5 89" xfId="14250"/>
    <cellStyle name="Percent 2 5 9" xfId="14251"/>
    <cellStyle name="Percent 2 5 90" xfId="14252"/>
    <cellStyle name="Percent 2 5 91" xfId="14253"/>
    <cellStyle name="Percent 2 5 92" xfId="14254"/>
    <cellStyle name="Percent 2 5 93" xfId="14255"/>
    <cellStyle name="Percent 2 5 94" xfId="14256"/>
    <cellStyle name="Percent 2 5 95" xfId="14257"/>
    <cellStyle name="Percent 2 5 96" xfId="14258"/>
    <cellStyle name="Percent 2 5 97" xfId="14259"/>
    <cellStyle name="Percent 2 5 98" xfId="14260"/>
    <cellStyle name="Percent 2 5 99" xfId="14261"/>
    <cellStyle name="Percent 2 6" xfId="14262"/>
    <cellStyle name="Percent 2 6 10" xfId="14263"/>
    <cellStyle name="Percent 2 6 100" xfId="14264"/>
    <cellStyle name="Percent 2 6 101" xfId="14265"/>
    <cellStyle name="Percent 2 6 102" xfId="14266"/>
    <cellStyle name="Percent 2 6 103" xfId="14267"/>
    <cellStyle name="Percent 2 6 104" xfId="14268"/>
    <cellStyle name="Percent 2 6 105" xfId="14269"/>
    <cellStyle name="Percent 2 6 106" xfId="14270"/>
    <cellStyle name="Percent 2 6 107" xfId="14271"/>
    <cellStyle name="Percent 2 6 108" xfId="14272"/>
    <cellStyle name="Percent 2 6 109" xfId="14273"/>
    <cellStyle name="Percent 2 6 11" xfId="14274"/>
    <cellStyle name="Percent 2 6 110" xfId="14275"/>
    <cellStyle name="Percent 2 6 111" xfId="14276"/>
    <cellStyle name="Percent 2 6 112" xfId="14277"/>
    <cellStyle name="Percent 2 6 113" xfId="14278"/>
    <cellStyle name="Percent 2 6 114" xfId="14279"/>
    <cellStyle name="Percent 2 6 115" xfId="14280"/>
    <cellStyle name="Percent 2 6 116" xfId="14281"/>
    <cellStyle name="Percent 2 6 117" xfId="14282"/>
    <cellStyle name="Percent 2 6 118" xfId="14283"/>
    <cellStyle name="Percent 2 6 119" xfId="14284"/>
    <cellStyle name="Percent 2 6 12" xfId="14285"/>
    <cellStyle name="Percent 2 6 120" xfId="14286"/>
    <cellStyle name="Percent 2 6 121" xfId="14287"/>
    <cellStyle name="Percent 2 6 122" xfId="14288"/>
    <cellStyle name="Percent 2 6 123" xfId="14289"/>
    <cellStyle name="Percent 2 6 124" xfId="14290"/>
    <cellStyle name="Percent 2 6 125" xfId="14291"/>
    <cellStyle name="Percent 2 6 126" xfId="14292"/>
    <cellStyle name="Percent 2 6 127" xfId="14293"/>
    <cellStyle name="Percent 2 6 128" xfId="14294"/>
    <cellStyle name="Percent 2 6 129" xfId="14295"/>
    <cellStyle name="Percent 2 6 13" xfId="14296"/>
    <cellStyle name="Percent 2 6 130" xfId="14297"/>
    <cellStyle name="Percent 2 6 131" xfId="14298"/>
    <cellStyle name="Percent 2 6 132" xfId="14299"/>
    <cellStyle name="Percent 2 6 133" xfId="14300"/>
    <cellStyle name="Percent 2 6 134" xfId="14301"/>
    <cellStyle name="Percent 2 6 135" xfId="14302"/>
    <cellStyle name="Percent 2 6 136" xfId="14303"/>
    <cellStyle name="Percent 2 6 137" xfId="14304"/>
    <cellStyle name="Percent 2 6 138" xfId="14305"/>
    <cellStyle name="Percent 2 6 139" xfId="14306"/>
    <cellStyle name="Percent 2 6 14" xfId="14307"/>
    <cellStyle name="Percent 2 6 140" xfId="14308"/>
    <cellStyle name="Percent 2 6 141" xfId="14309"/>
    <cellStyle name="Percent 2 6 142" xfId="14310"/>
    <cellStyle name="Percent 2 6 143" xfId="14311"/>
    <cellStyle name="Percent 2 6 144" xfId="14312"/>
    <cellStyle name="Percent 2 6 145" xfId="14313"/>
    <cellStyle name="Percent 2 6 146" xfId="14314"/>
    <cellStyle name="Percent 2 6 147" xfId="14315"/>
    <cellStyle name="Percent 2 6 148" xfId="14316"/>
    <cellStyle name="Percent 2 6 149" xfId="14317"/>
    <cellStyle name="Percent 2 6 15" xfId="14318"/>
    <cellStyle name="Percent 2 6 150" xfId="14319"/>
    <cellStyle name="Percent 2 6 151" xfId="14320"/>
    <cellStyle name="Percent 2 6 152" xfId="14321"/>
    <cellStyle name="Percent 2 6 153" xfId="14322"/>
    <cellStyle name="Percent 2 6 154" xfId="14323"/>
    <cellStyle name="Percent 2 6 155" xfId="14324"/>
    <cellStyle name="Percent 2 6 156" xfId="14325"/>
    <cellStyle name="Percent 2 6 157" xfId="14326"/>
    <cellStyle name="Percent 2 6 158" xfId="14327"/>
    <cellStyle name="Percent 2 6 159" xfId="14328"/>
    <cellStyle name="Percent 2 6 16" xfId="14329"/>
    <cellStyle name="Percent 2 6 160" xfId="14330"/>
    <cellStyle name="Percent 2 6 161" xfId="14331"/>
    <cellStyle name="Percent 2 6 162" xfId="14332"/>
    <cellStyle name="Percent 2 6 163" xfId="14333"/>
    <cellStyle name="Percent 2 6 164" xfId="14334"/>
    <cellStyle name="Percent 2 6 165" xfId="14335"/>
    <cellStyle name="Percent 2 6 166" xfId="14336"/>
    <cellStyle name="Percent 2 6 167" xfId="14337"/>
    <cellStyle name="Percent 2 6 168" xfId="14338"/>
    <cellStyle name="Percent 2 6 169" xfId="14339"/>
    <cellStyle name="Percent 2 6 17" xfId="14340"/>
    <cellStyle name="Percent 2 6 170" xfId="14341"/>
    <cellStyle name="Percent 2 6 171" xfId="14342"/>
    <cellStyle name="Percent 2 6 172" xfId="14343"/>
    <cellStyle name="Percent 2 6 173" xfId="14344"/>
    <cellStyle name="Percent 2 6 174" xfId="14345"/>
    <cellStyle name="Percent 2 6 175" xfId="14346"/>
    <cellStyle name="Percent 2 6 176" xfId="14347"/>
    <cellStyle name="Percent 2 6 177" xfId="14348"/>
    <cellStyle name="Percent 2 6 178" xfId="14349"/>
    <cellStyle name="Percent 2 6 179" xfId="14350"/>
    <cellStyle name="Percent 2 6 18" xfId="14351"/>
    <cellStyle name="Percent 2 6 180" xfId="14352"/>
    <cellStyle name="Percent 2 6 181" xfId="14353"/>
    <cellStyle name="Percent 2 6 182" xfId="14354"/>
    <cellStyle name="Percent 2 6 183" xfId="14355"/>
    <cellStyle name="Percent 2 6 184" xfId="14356"/>
    <cellStyle name="Percent 2 6 185" xfId="14357"/>
    <cellStyle name="Percent 2 6 186" xfId="14358"/>
    <cellStyle name="Percent 2 6 187" xfId="14359"/>
    <cellStyle name="Percent 2 6 188" xfId="14360"/>
    <cellStyle name="Percent 2 6 189" xfId="14361"/>
    <cellStyle name="Percent 2 6 19" xfId="14362"/>
    <cellStyle name="Percent 2 6 190" xfId="14363"/>
    <cellStyle name="Percent 2 6 191" xfId="14364"/>
    <cellStyle name="Percent 2 6 192" xfId="14365"/>
    <cellStyle name="Percent 2 6 193" xfId="14366"/>
    <cellStyle name="Percent 2 6 194" xfId="14367"/>
    <cellStyle name="Percent 2 6 195" xfId="14368"/>
    <cellStyle name="Percent 2 6 196" xfId="14369"/>
    <cellStyle name="Percent 2 6 197" xfId="14370"/>
    <cellStyle name="Percent 2 6 198" xfId="14371"/>
    <cellStyle name="Percent 2 6 199" xfId="14372"/>
    <cellStyle name="Percent 2 6 2" xfId="14373"/>
    <cellStyle name="Percent 2 6 20" xfId="14374"/>
    <cellStyle name="Percent 2 6 200" xfId="14375"/>
    <cellStyle name="Percent 2 6 201" xfId="14376"/>
    <cellStyle name="Percent 2 6 202" xfId="14377"/>
    <cellStyle name="Percent 2 6 203" xfId="14378"/>
    <cellStyle name="Percent 2 6 204" xfId="14379"/>
    <cellStyle name="Percent 2 6 205" xfId="14380"/>
    <cellStyle name="Percent 2 6 206" xfId="14381"/>
    <cellStyle name="Percent 2 6 207" xfId="14382"/>
    <cellStyle name="Percent 2 6 208" xfId="14383"/>
    <cellStyle name="Percent 2 6 209" xfId="14384"/>
    <cellStyle name="Percent 2 6 21" xfId="14385"/>
    <cellStyle name="Percent 2 6 210" xfId="14386"/>
    <cellStyle name="Percent 2 6 211" xfId="14387"/>
    <cellStyle name="Percent 2 6 212" xfId="14388"/>
    <cellStyle name="Percent 2 6 213" xfId="14389"/>
    <cellStyle name="Percent 2 6 214" xfId="14390"/>
    <cellStyle name="Percent 2 6 215" xfId="14391"/>
    <cellStyle name="Percent 2 6 216" xfId="14392"/>
    <cellStyle name="Percent 2 6 217" xfId="14393"/>
    <cellStyle name="Percent 2 6 218" xfId="14394"/>
    <cellStyle name="Percent 2 6 219" xfId="14395"/>
    <cellStyle name="Percent 2 6 22" xfId="14396"/>
    <cellStyle name="Percent 2 6 220" xfId="14397"/>
    <cellStyle name="Percent 2 6 221" xfId="14398"/>
    <cellStyle name="Percent 2 6 222" xfId="14399"/>
    <cellStyle name="Percent 2 6 223" xfId="14400"/>
    <cellStyle name="Percent 2 6 224" xfId="14401"/>
    <cellStyle name="Percent 2 6 225" xfId="14402"/>
    <cellStyle name="Percent 2 6 226" xfId="14403"/>
    <cellStyle name="Percent 2 6 227" xfId="14404"/>
    <cellStyle name="Percent 2 6 228" xfId="14405"/>
    <cellStyle name="Percent 2 6 229" xfId="14406"/>
    <cellStyle name="Percent 2 6 23" xfId="14407"/>
    <cellStyle name="Percent 2 6 230" xfId="14408"/>
    <cellStyle name="Percent 2 6 231" xfId="14409"/>
    <cellStyle name="Percent 2 6 232" xfId="14410"/>
    <cellStyle name="Percent 2 6 233" xfId="14411"/>
    <cellStyle name="Percent 2 6 234" xfId="14412"/>
    <cellStyle name="Percent 2 6 235" xfId="14413"/>
    <cellStyle name="Percent 2 6 24" xfId="14414"/>
    <cellStyle name="Percent 2 6 25" xfId="14415"/>
    <cellStyle name="Percent 2 6 26" xfId="14416"/>
    <cellStyle name="Percent 2 6 27" xfId="14417"/>
    <cellStyle name="Percent 2 6 28" xfId="14418"/>
    <cellStyle name="Percent 2 6 29" xfId="14419"/>
    <cellStyle name="Percent 2 6 3" xfId="14420"/>
    <cellStyle name="Percent 2 6 30" xfId="14421"/>
    <cellStyle name="Percent 2 6 31" xfId="14422"/>
    <cellStyle name="Percent 2 6 32" xfId="14423"/>
    <cellStyle name="Percent 2 6 33" xfId="14424"/>
    <cellStyle name="Percent 2 6 34" xfId="14425"/>
    <cellStyle name="Percent 2 6 35" xfId="14426"/>
    <cellStyle name="Percent 2 6 36" xfId="14427"/>
    <cellStyle name="Percent 2 6 37" xfId="14428"/>
    <cellStyle name="Percent 2 6 38" xfId="14429"/>
    <cellStyle name="Percent 2 6 39" xfId="14430"/>
    <cellStyle name="Percent 2 6 4" xfId="14431"/>
    <cellStyle name="Percent 2 6 40" xfId="14432"/>
    <cellStyle name="Percent 2 6 41" xfId="14433"/>
    <cellStyle name="Percent 2 6 42" xfId="14434"/>
    <cellStyle name="Percent 2 6 43" xfId="14435"/>
    <cellStyle name="Percent 2 6 44" xfId="14436"/>
    <cellStyle name="Percent 2 6 45" xfId="14437"/>
    <cellStyle name="Percent 2 6 46" xfId="14438"/>
    <cellStyle name="Percent 2 6 47" xfId="14439"/>
    <cellStyle name="Percent 2 6 48" xfId="14440"/>
    <cellStyle name="Percent 2 6 49" xfId="14441"/>
    <cellStyle name="Percent 2 6 5" xfId="14442"/>
    <cellStyle name="Percent 2 6 50" xfId="14443"/>
    <cellStyle name="Percent 2 6 51" xfId="14444"/>
    <cellStyle name="Percent 2 6 52" xfId="14445"/>
    <cellStyle name="Percent 2 6 53" xfId="14446"/>
    <cellStyle name="Percent 2 6 54" xfId="14447"/>
    <cellStyle name="Percent 2 6 55" xfId="14448"/>
    <cellStyle name="Percent 2 6 56" xfId="14449"/>
    <cellStyle name="Percent 2 6 57" xfId="14450"/>
    <cellStyle name="Percent 2 6 58" xfId="14451"/>
    <cellStyle name="Percent 2 6 59" xfId="14452"/>
    <cellStyle name="Percent 2 6 6" xfId="14453"/>
    <cellStyle name="Percent 2 6 60" xfId="14454"/>
    <cellStyle name="Percent 2 6 61" xfId="14455"/>
    <cellStyle name="Percent 2 6 62" xfId="14456"/>
    <cellStyle name="Percent 2 6 63" xfId="14457"/>
    <cellStyle name="Percent 2 6 64" xfId="14458"/>
    <cellStyle name="Percent 2 6 65" xfId="14459"/>
    <cellStyle name="Percent 2 6 66" xfId="14460"/>
    <cellStyle name="Percent 2 6 67" xfId="14461"/>
    <cellStyle name="Percent 2 6 68" xfId="14462"/>
    <cellStyle name="Percent 2 6 69" xfId="14463"/>
    <cellStyle name="Percent 2 6 7" xfId="14464"/>
    <cellStyle name="Percent 2 6 70" xfId="14465"/>
    <cellStyle name="Percent 2 6 71" xfId="14466"/>
    <cellStyle name="Percent 2 6 72" xfId="14467"/>
    <cellStyle name="Percent 2 6 73" xfId="14468"/>
    <cellStyle name="Percent 2 6 74" xfId="14469"/>
    <cellStyle name="Percent 2 6 75" xfId="14470"/>
    <cellStyle name="Percent 2 6 76" xfId="14471"/>
    <cellStyle name="Percent 2 6 77" xfId="14472"/>
    <cellStyle name="Percent 2 6 78" xfId="14473"/>
    <cellStyle name="Percent 2 6 79" xfId="14474"/>
    <cellStyle name="Percent 2 6 8" xfId="14475"/>
    <cellStyle name="Percent 2 6 80" xfId="14476"/>
    <cellStyle name="Percent 2 6 81" xfId="14477"/>
    <cellStyle name="Percent 2 6 82" xfId="14478"/>
    <cellStyle name="Percent 2 6 83" xfId="14479"/>
    <cellStyle name="Percent 2 6 84" xfId="14480"/>
    <cellStyle name="Percent 2 6 85" xfId="14481"/>
    <cellStyle name="Percent 2 6 86" xfId="14482"/>
    <cellStyle name="Percent 2 6 87" xfId="14483"/>
    <cellStyle name="Percent 2 6 88" xfId="14484"/>
    <cellStyle name="Percent 2 6 89" xfId="14485"/>
    <cellStyle name="Percent 2 6 9" xfId="14486"/>
    <cellStyle name="Percent 2 6 90" xfId="14487"/>
    <cellStyle name="Percent 2 6 91" xfId="14488"/>
    <cellStyle name="Percent 2 6 92" xfId="14489"/>
    <cellStyle name="Percent 2 6 93" xfId="14490"/>
    <cellStyle name="Percent 2 6 94" xfId="14491"/>
    <cellStyle name="Percent 2 6 95" xfId="14492"/>
    <cellStyle name="Percent 2 6 96" xfId="14493"/>
    <cellStyle name="Percent 2 6 97" xfId="14494"/>
    <cellStyle name="Percent 2 6 98" xfId="14495"/>
    <cellStyle name="Percent 2 6 99" xfId="14496"/>
    <cellStyle name="Percent 2 7" xfId="14497"/>
    <cellStyle name="Percent 3" xfId="14498"/>
    <cellStyle name="Title" xfId="14499" builtinId="15" customBuiltin="1"/>
    <cellStyle name="Title 10" xfId="14500"/>
    <cellStyle name="Title 11" xfId="14501"/>
    <cellStyle name="Title 12" xfId="14502"/>
    <cellStyle name="Title 2" xfId="14503"/>
    <cellStyle name="Title 2 2" xfId="14504"/>
    <cellStyle name="Title 3" xfId="14505"/>
    <cellStyle name="Title 4" xfId="14506"/>
    <cellStyle name="Title 5" xfId="14507"/>
    <cellStyle name="Title 6" xfId="14508"/>
    <cellStyle name="Title 7" xfId="14509"/>
    <cellStyle name="Title 8" xfId="14510"/>
    <cellStyle name="Title 9" xfId="14511"/>
    <cellStyle name="Total" xfId="14512" builtinId="25" customBuiltin="1"/>
    <cellStyle name="Total 10" xfId="14513"/>
    <cellStyle name="Total 10 2" xfId="14514"/>
    <cellStyle name="Total 10 3" xfId="14515"/>
    <cellStyle name="Total 10 4" xfId="14516"/>
    <cellStyle name="Total 100" xfId="14517"/>
    <cellStyle name="Total 101" xfId="14518"/>
    <cellStyle name="Total 102" xfId="14519"/>
    <cellStyle name="Total 103" xfId="14520"/>
    <cellStyle name="Total 104" xfId="14521"/>
    <cellStyle name="Total 105" xfId="14522"/>
    <cellStyle name="Total 106" xfId="14523"/>
    <cellStyle name="Total 107" xfId="14524"/>
    <cellStyle name="Total 108" xfId="14525"/>
    <cellStyle name="Total 109" xfId="14526"/>
    <cellStyle name="Total 11" xfId="14527"/>
    <cellStyle name="Total 11 2" xfId="14528"/>
    <cellStyle name="Total 110" xfId="14529"/>
    <cellStyle name="Total 111" xfId="14530"/>
    <cellStyle name="Total 112" xfId="14531"/>
    <cellStyle name="Total 113" xfId="14532"/>
    <cellStyle name="Total 114" xfId="14533"/>
    <cellStyle name="Total 115" xfId="14534"/>
    <cellStyle name="Total 116" xfId="14535"/>
    <cellStyle name="Total 117" xfId="14536"/>
    <cellStyle name="Total 118" xfId="14537"/>
    <cellStyle name="Total 119" xfId="14538"/>
    <cellStyle name="Total 12" xfId="14539"/>
    <cellStyle name="Total 12 2" xfId="14540"/>
    <cellStyle name="Total 120" xfId="14541"/>
    <cellStyle name="Total 121" xfId="14542"/>
    <cellStyle name="Total 122" xfId="14543"/>
    <cellStyle name="Total 123" xfId="14544"/>
    <cellStyle name="Total 124" xfId="14545"/>
    <cellStyle name="Total 125" xfId="14546"/>
    <cellStyle name="Total 126" xfId="14547"/>
    <cellStyle name="Total 127" xfId="14548"/>
    <cellStyle name="Total 128" xfId="14549"/>
    <cellStyle name="Total 129" xfId="14550"/>
    <cellStyle name="Total 13" xfId="14551"/>
    <cellStyle name="Total 130" xfId="14552"/>
    <cellStyle name="Total 131" xfId="14553"/>
    <cellStyle name="Total 132" xfId="14554"/>
    <cellStyle name="Total 133" xfId="14555"/>
    <cellStyle name="Total 134" xfId="14556"/>
    <cellStyle name="Total 135" xfId="14557"/>
    <cellStyle name="Total 136" xfId="14558"/>
    <cellStyle name="Total 137" xfId="14559"/>
    <cellStyle name="Total 138" xfId="14560"/>
    <cellStyle name="Total 139" xfId="14561"/>
    <cellStyle name="Total 14" xfId="14562"/>
    <cellStyle name="Total 140" xfId="14563"/>
    <cellStyle name="Total 141" xfId="14564"/>
    <cellStyle name="Total 142" xfId="14565"/>
    <cellStyle name="Total 143" xfId="14566"/>
    <cellStyle name="Total 144" xfId="14567"/>
    <cellStyle name="Total 145" xfId="14568"/>
    <cellStyle name="Total 146" xfId="14569"/>
    <cellStyle name="Total 147" xfId="14570"/>
    <cellStyle name="Total 148" xfId="14571"/>
    <cellStyle name="Total 149" xfId="14572"/>
    <cellStyle name="Total 15" xfId="14573"/>
    <cellStyle name="Total 150" xfId="14574"/>
    <cellStyle name="Total 151" xfId="14575"/>
    <cellStyle name="Total 152" xfId="14576"/>
    <cellStyle name="Total 153" xfId="14577"/>
    <cellStyle name="Total 154" xfId="14578"/>
    <cellStyle name="Total 155" xfId="14579"/>
    <cellStyle name="Total 156" xfId="14580"/>
    <cellStyle name="Total 157" xfId="14581"/>
    <cellStyle name="Total 158" xfId="14582"/>
    <cellStyle name="Total 159" xfId="14583"/>
    <cellStyle name="Total 16" xfId="14584"/>
    <cellStyle name="Total 160" xfId="14585"/>
    <cellStyle name="Total 161" xfId="14586"/>
    <cellStyle name="Total 162" xfId="14587"/>
    <cellStyle name="Total 163" xfId="14588"/>
    <cellStyle name="Total 164" xfId="14589"/>
    <cellStyle name="Total 165" xfId="14590"/>
    <cellStyle name="Total 166" xfId="14591"/>
    <cellStyle name="Total 167" xfId="14592"/>
    <cellStyle name="Total 168" xfId="14593"/>
    <cellStyle name="Total 169" xfId="14594"/>
    <cellStyle name="Total 17" xfId="14595"/>
    <cellStyle name="Total 170" xfId="14596"/>
    <cellStyle name="Total 171" xfId="14597"/>
    <cellStyle name="Total 172" xfId="14598"/>
    <cellStyle name="Total 173" xfId="14599"/>
    <cellStyle name="Total 174" xfId="14600"/>
    <cellStyle name="Total 175" xfId="14601"/>
    <cellStyle name="Total 176" xfId="14602"/>
    <cellStyle name="Total 177" xfId="14603"/>
    <cellStyle name="Total 178" xfId="14604"/>
    <cellStyle name="Total 179" xfId="14605"/>
    <cellStyle name="Total 18" xfId="14606"/>
    <cellStyle name="Total 180" xfId="14607"/>
    <cellStyle name="Total 181" xfId="14608"/>
    <cellStyle name="Total 182" xfId="14609"/>
    <cellStyle name="Total 183" xfId="14610"/>
    <cellStyle name="Total 184" xfId="14611"/>
    <cellStyle name="Total 185" xfId="14612"/>
    <cellStyle name="Total 186" xfId="14613"/>
    <cellStyle name="Total 187" xfId="14614"/>
    <cellStyle name="Total 188" xfId="14615"/>
    <cellStyle name="Total 189" xfId="14616"/>
    <cellStyle name="Total 19" xfId="14617"/>
    <cellStyle name="Total 190" xfId="14618"/>
    <cellStyle name="Total 191" xfId="14619"/>
    <cellStyle name="Total 192" xfId="14620"/>
    <cellStyle name="Total 193" xfId="14621"/>
    <cellStyle name="Total 194" xfId="14622"/>
    <cellStyle name="Total 195" xfId="14623"/>
    <cellStyle name="Total 196" xfId="14624"/>
    <cellStyle name="Total 197" xfId="14625"/>
    <cellStyle name="Total 198" xfId="14626"/>
    <cellStyle name="Total 199" xfId="14627"/>
    <cellStyle name="Total 2" xfId="14628"/>
    <cellStyle name="Total 2 2" xfId="14629"/>
    <cellStyle name="Total 2 2 2" xfId="14630"/>
    <cellStyle name="Total 2 2 3" xfId="14631"/>
    <cellStyle name="Total 2 2 4" xfId="14632"/>
    <cellStyle name="Total 2 2 5" xfId="14633"/>
    <cellStyle name="Total 2 2 6" xfId="14634"/>
    <cellStyle name="Total 2 2 7" xfId="14635"/>
    <cellStyle name="Total 2 3" xfId="14636"/>
    <cellStyle name="Total 2 4" xfId="14637"/>
    <cellStyle name="Total 2 5" xfId="14638"/>
    <cellStyle name="Total 2 6" xfId="14639"/>
    <cellStyle name="Total 2 7" xfId="14640"/>
    <cellStyle name="Total 2 8" xfId="14641"/>
    <cellStyle name="Total 20" xfId="14642"/>
    <cellStyle name="Total 200" xfId="14643"/>
    <cellStyle name="Total 201" xfId="14644"/>
    <cellStyle name="Total 202" xfId="14645"/>
    <cellStyle name="Total 203" xfId="14646"/>
    <cellStyle name="Total 204" xfId="14647"/>
    <cellStyle name="Total 205" xfId="14648"/>
    <cellStyle name="Total 206" xfId="14649"/>
    <cellStyle name="Total 207" xfId="14650"/>
    <cellStyle name="Total 208" xfId="14651"/>
    <cellStyle name="Total 209" xfId="14652"/>
    <cellStyle name="Total 21" xfId="14653"/>
    <cellStyle name="Total 210" xfId="14654"/>
    <cellStyle name="Total 211" xfId="14655"/>
    <cellStyle name="Total 212" xfId="14656"/>
    <cellStyle name="Total 213" xfId="14657"/>
    <cellStyle name="Total 214" xfId="14658"/>
    <cellStyle name="Total 215" xfId="14659"/>
    <cellStyle name="Total 216" xfId="14660"/>
    <cellStyle name="Total 217" xfId="14661"/>
    <cellStyle name="Total 218" xfId="14662"/>
    <cellStyle name="Total 219" xfId="14663"/>
    <cellStyle name="Total 22" xfId="14664"/>
    <cellStyle name="Total 220" xfId="14665"/>
    <cellStyle name="Total 221" xfId="14666"/>
    <cellStyle name="Total 222" xfId="14667"/>
    <cellStyle name="Total 223" xfId="14668"/>
    <cellStyle name="Total 224" xfId="14669"/>
    <cellStyle name="Total 225" xfId="14670"/>
    <cellStyle name="Total 226" xfId="14671"/>
    <cellStyle name="Total 227" xfId="14672"/>
    <cellStyle name="Total 228" xfId="14673"/>
    <cellStyle name="Total 229" xfId="14674"/>
    <cellStyle name="Total 23" xfId="14675"/>
    <cellStyle name="Total 230" xfId="14676"/>
    <cellStyle name="Total 231" xfId="14677"/>
    <cellStyle name="Total 232" xfId="14678"/>
    <cellStyle name="Total 233" xfId="14679"/>
    <cellStyle name="Total 234" xfId="14680"/>
    <cellStyle name="Total 235" xfId="14681"/>
    <cellStyle name="Total 236" xfId="14682"/>
    <cellStyle name="Total 237" xfId="14683"/>
    <cellStyle name="Total 238" xfId="14684"/>
    <cellStyle name="Total 239" xfId="14685"/>
    <cellStyle name="Total 24" xfId="14686"/>
    <cellStyle name="Total 240" xfId="14687"/>
    <cellStyle name="Total 241" xfId="14688"/>
    <cellStyle name="Total 242" xfId="14689"/>
    <cellStyle name="Total 243" xfId="14690"/>
    <cellStyle name="Total 244" xfId="14691"/>
    <cellStyle name="Total 245" xfId="14692"/>
    <cellStyle name="Total 246" xfId="14693"/>
    <cellStyle name="Total 247" xfId="14694"/>
    <cellStyle name="Total 248" xfId="14695"/>
    <cellStyle name="Total 249" xfId="14696"/>
    <cellStyle name="Total 25" xfId="14697"/>
    <cellStyle name="Total 26" xfId="14698"/>
    <cellStyle name="Total 27" xfId="14699"/>
    <cellStyle name="Total 28" xfId="14700"/>
    <cellStyle name="Total 29" xfId="14701"/>
    <cellStyle name="Total 3" xfId="14702"/>
    <cellStyle name="Total 3 2" xfId="14703"/>
    <cellStyle name="Total 30" xfId="14704"/>
    <cellStyle name="Total 31" xfId="14705"/>
    <cellStyle name="Total 32" xfId="14706"/>
    <cellStyle name="Total 33" xfId="14707"/>
    <cellStyle name="Total 34" xfId="14708"/>
    <cellStyle name="Total 35" xfId="14709"/>
    <cellStyle name="Total 36" xfId="14710"/>
    <cellStyle name="Total 37" xfId="14711"/>
    <cellStyle name="Total 38" xfId="14712"/>
    <cellStyle name="Total 39" xfId="14713"/>
    <cellStyle name="Total 4" xfId="14714"/>
    <cellStyle name="Total 4 2" xfId="14715"/>
    <cellStyle name="Total 4 3" xfId="14716"/>
    <cellStyle name="Total 4 4" xfId="14717"/>
    <cellStyle name="Total 4 5" xfId="14718"/>
    <cellStyle name="Total 40" xfId="14719"/>
    <cellStyle name="Total 41" xfId="14720"/>
    <cellStyle name="Total 42" xfId="14721"/>
    <cellStyle name="Total 43" xfId="14722"/>
    <cellStyle name="Total 44" xfId="14723"/>
    <cellStyle name="Total 45" xfId="14724"/>
    <cellStyle name="Total 46" xfId="14725"/>
    <cellStyle name="Total 47" xfId="14726"/>
    <cellStyle name="Total 48" xfId="14727"/>
    <cellStyle name="Total 49" xfId="14728"/>
    <cellStyle name="Total 5" xfId="14729"/>
    <cellStyle name="Total 5 2" xfId="14730"/>
    <cellStyle name="Total 5 3" xfId="14731"/>
    <cellStyle name="Total 5 4" xfId="14732"/>
    <cellStyle name="Total 5 5" xfId="14733"/>
    <cellStyle name="Total 50" xfId="14734"/>
    <cellStyle name="Total 51" xfId="14735"/>
    <cellStyle name="Total 52" xfId="14736"/>
    <cellStyle name="Total 53" xfId="14737"/>
    <cellStyle name="Total 54" xfId="14738"/>
    <cellStyle name="Total 55" xfId="14739"/>
    <cellStyle name="Total 56" xfId="14740"/>
    <cellStyle name="Total 57" xfId="14741"/>
    <cellStyle name="Total 58" xfId="14742"/>
    <cellStyle name="Total 59" xfId="14743"/>
    <cellStyle name="Total 6" xfId="14744"/>
    <cellStyle name="Total 6 2" xfId="14745"/>
    <cellStyle name="Total 6 3" xfId="14746"/>
    <cellStyle name="Total 6 4" xfId="14747"/>
    <cellStyle name="Total 60" xfId="14748"/>
    <cellStyle name="Total 61" xfId="14749"/>
    <cellStyle name="Total 62" xfId="14750"/>
    <cellStyle name="Total 63" xfId="14751"/>
    <cellStyle name="Total 64" xfId="14752"/>
    <cellStyle name="Total 65" xfId="14753"/>
    <cellStyle name="Total 66" xfId="14754"/>
    <cellStyle name="Total 67" xfId="14755"/>
    <cellStyle name="Total 68" xfId="14756"/>
    <cellStyle name="Total 69" xfId="14757"/>
    <cellStyle name="Total 7" xfId="14758"/>
    <cellStyle name="Total 7 2" xfId="14759"/>
    <cellStyle name="Total 7 3" xfId="14760"/>
    <cellStyle name="Total 7 4" xfId="14761"/>
    <cellStyle name="Total 70" xfId="14762"/>
    <cellStyle name="Total 71" xfId="14763"/>
    <cellStyle name="Total 72" xfId="14764"/>
    <cellStyle name="Total 73" xfId="14765"/>
    <cellStyle name="Total 74" xfId="14766"/>
    <cellStyle name="Total 75" xfId="14767"/>
    <cellStyle name="Total 76" xfId="14768"/>
    <cellStyle name="Total 77" xfId="14769"/>
    <cellStyle name="Total 78" xfId="14770"/>
    <cellStyle name="Total 79" xfId="14771"/>
    <cellStyle name="Total 8" xfId="14772"/>
    <cellStyle name="Total 8 2" xfId="14773"/>
    <cellStyle name="Total 8 3" xfId="14774"/>
    <cellStyle name="Total 8 4" xfId="14775"/>
    <cellStyle name="Total 80" xfId="14776"/>
    <cellStyle name="Total 81" xfId="14777"/>
    <cellStyle name="Total 82" xfId="14778"/>
    <cellStyle name="Total 83" xfId="14779"/>
    <cellStyle name="Total 84" xfId="14780"/>
    <cellStyle name="Total 85" xfId="14781"/>
    <cellStyle name="Total 86" xfId="14782"/>
    <cellStyle name="Total 87" xfId="14783"/>
    <cellStyle name="Total 88" xfId="14784"/>
    <cellStyle name="Total 89" xfId="14785"/>
    <cellStyle name="Total 9" xfId="14786"/>
    <cellStyle name="Total 9 2" xfId="14787"/>
    <cellStyle name="Total 9 3" xfId="14788"/>
    <cellStyle name="Total 9 4" xfId="14789"/>
    <cellStyle name="Total 90" xfId="14790"/>
    <cellStyle name="Total 91" xfId="14791"/>
    <cellStyle name="Total 92" xfId="14792"/>
    <cellStyle name="Total 93" xfId="14793"/>
    <cellStyle name="Total 94" xfId="14794"/>
    <cellStyle name="Total 95" xfId="14795"/>
    <cellStyle name="Total 96" xfId="14796"/>
    <cellStyle name="Total 97" xfId="14797"/>
    <cellStyle name="Total 98" xfId="14798"/>
    <cellStyle name="Total 99" xfId="14799"/>
    <cellStyle name="Warning Text" xfId="14800" builtinId="11" customBuiltin="1"/>
    <cellStyle name="Warning Text 10" xfId="14801"/>
    <cellStyle name="Warning Text 10 2" xfId="14802"/>
    <cellStyle name="Warning Text 10 3" xfId="14803"/>
    <cellStyle name="Warning Text 10 4" xfId="14804"/>
    <cellStyle name="Warning Text 100" xfId="14805"/>
    <cellStyle name="Warning Text 101" xfId="14806"/>
    <cellStyle name="Warning Text 102" xfId="14807"/>
    <cellStyle name="Warning Text 103" xfId="14808"/>
    <cellStyle name="Warning Text 104" xfId="14809"/>
    <cellStyle name="Warning Text 105" xfId="14810"/>
    <cellStyle name="Warning Text 106" xfId="14811"/>
    <cellStyle name="Warning Text 107" xfId="14812"/>
    <cellStyle name="Warning Text 108" xfId="14813"/>
    <cellStyle name="Warning Text 109" xfId="14814"/>
    <cellStyle name="Warning Text 11" xfId="14815"/>
    <cellStyle name="Warning Text 11 2" xfId="14816"/>
    <cellStyle name="Warning Text 110" xfId="14817"/>
    <cellStyle name="Warning Text 111" xfId="14818"/>
    <cellStyle name="Warning Text 112" xfId="14819"/>
    <cellStyle name="Warning Text 113" xfId="14820"/>
    <cellStyle name="Warning Text 114" xfId="14821"/>
    <cellStyle name="Warning Text 115" xfId="14822"/>
    <cellStyle name="Warning Text 116" xfId="14823"/>
    <cellStyle name="Warning Text 117" xfId="14824"/>
    <cellStyle name="Warning Text 118" xfId="14825"/>
    <cellStyle name="Warning Text 119" xfId="14826"/>
    <cellStyle name="Warning Text 12" xfId="14827"/>
    <cellStyle name="Warning Text 12 2" xfId="14828"/>
    <cellStyle name="Warning Text 120" xfId="14829"/>
    <cellStyle name="Warning Text 121" xfId="14830"/>
    <cellStyle name="Warning Text 122" xfId="14831"/>
    <cellStyle name="Warning Text 123" xfId="14832"/>
    <cellStyle name="Warning Text 124" xfId="14833"/>
    <cellStyle name="Warning Text 125" xfId="14834"/>
    <cellStyle name="Warning Text 126" xfId="14835"/>
    <cellStyle name="Warning Text 127" xfId="14836"/>
    <cellStyle name="Warning Text 128" xfId="14837"/>
    <cellStyle name="Warning Text 129" xfId="14838"/>
    <cellStyle name="Warning Text 13" xfId="14839"/>
    <cellStyle name="Warning Text 130" xfId="14840"/>
    <cellStyle name="Warning Text 131" xfId="14841"/>
    <cellStyle name="Warning Text 132" xfId="14842"/>
    <cellStyle name="Warning Text 133" xfId="14843"/>
    <cellStyle name="Warning Text 134" xfId="14844"/>
    <cellStyle name="Warning Text 135" xfId="14845"/>
    <cellStyle name="Warning Text 136" xfId="14846"/>
    <cellStyle name="Warning Text 137" xfId="14847"/>
    <cellStyle name="Warning Text 138" xfId="14848"/>
    <cellStyle name="Warning Text 139" xfId="14849"/>
    <cellStyle name="Warning Text 14" xfId="14850"/>
    <cellStyle name="Warning Text 140" xfId="14851"/>
    <cellStyle name="Warning Text 141" xfId="14852"/>
    <cellStyle name="Warning Text 142" xfId="14853"/>
    <cellStyle name="Warning Text 143" xfId="14854"/>
    <cellStyle name="Warning Text 144" xfId="14855"/>
    <cellStyle name="Warning Text 145" xfId="14856"/>
    <cellStyle name="Warning Text 146" xfId="14857"/>
    <cellStyle name="Warning Text 147" xfId="14858"/>
    <cellStyle name="Warning Text 148" xfId="14859"/>
    <cellStyle name="Warning Text 149" xfId="14860"/>
    <cellStyle name="Warning Text 15" xfId="14861"/>
    <cellStyle name="Warning Text 150" xfId="14862"/>
    <cellStyle name="Warning Text 151" xfId="14863"/>
    <cellStyle name="Warning Text 152" xfId="14864"/>
    <cellStyle name="Warning Text 153" xfId="14865"/>
    <cellStyle name="Warning Text 154" xfId="14866"/>
    <cellStyle name="Warning Text 155" xfId="14867"/>
    <cellStyle name="Warning Text 156" xfId="14868"/>
    <cellStyle name="Warning Text 157" xfId="14869"/>
    <cellStyle name="Warning Text 158" xfId="14870"/>
    <cellStyle name="Warning Text 159" xfId="14871"/>
    <cellStyle name="Warning Text 16" xfId="14872"/>
    <cellStyle name="Warning Text 160" xfId="14873"/>
    <cellStyle name="Warning Text 161" xfId="14874"/>
    <cellStyle name="Warning Text 162" xfId="14875"/>
    <cellStyle name="Warning Text 163" xfId="14876"/>
    <cellStyle name="Warning Text 164" xfId="14877"/>
    <cellStyle name="Warning Text 165" xfId="14878"/>
    <cellStyle name="Warning Text 166" xfId="14879"/>
    <cellStyle name="Warning Text 167" xfId="14880"/>
    <cellStyle name="Warning Text 168" xfId="14881"/>
    <cellStyle name="Warning Text 169" xfId="14882"/>
    <cellStyle name="Warning Text 17" xfId="14883"/>
    <cellStyle name="Warning Text 170" xfId="14884"/>
    <cellStyle name="Warning Text 171" xfId="14885"/>
    <cellStyle name="Warning Text 172" xfId="14886"/>
    <cellStyle name="Warning Text 173" xfId="14887"/>
    <cellStyle name="Warning Text 174" xfId="14888"/>
    <cellStyle name="Warning Text 175" xfId="14889"/>
    <cellStyle name="Warning Text 176" xfId="14890"/>
    <cellStyle name="Warning Text 177" xfId="14891"/>
    <cellStyle name="Warning Text 178" xfId="14892"/>
    <cellStyle name="Warning Text 179" xfId="14893"/>
    <cellStyle name="Warning Text 18" xfId="14894"/>
    <cellStyle name="Warning Text 180" xfId="14895"/>
    <cellStyle name="Warning Text 181" xfId="14896"/>
    <cellStyle name="Warning Text 182" xfId="14897"/>
    <cellStyle name="Warning Text 183" xfId="14898"/>
    <cellStyle name="Warning Text 184" xfId="14899"/>
    <cellStyle name="Warning Text 185" xfId="14900"/>
    <cellStyle name="Warning Text 186" xfId="14901"/>
    <cellStyle name="Warning Text 187" xfId="14902"/>
    <cellStyle name="Warning Text 188" xfId="14903"/>
    <cellStyle name="Warning Text 189" xfId="14904"/>
    <cellStyle name="Warning Text 19" xfId="14905"/>
    <cellStyle name="Warning Text 190" xfId="14906"/>
    <cellStyle name="Warning Text 191" xfId="14907"/>
    <cellStyle name="Warning Text 192" xfId="14908"/>
    <cellStyle name="Warning Text 193" xfId="14909"/>
    <cellStyle name="Warning Text 194" xfId="14910"/>
    <cellStyle name="Warning Text 195" xfId="14911"/>
    <cellStyle name="Warning Text 196" xfId="14912"/>
    <cellStyle name="Warning Text 197" xfId="14913"/>
    <cellStyle name="Warning Text 198" xfId="14914"/>
    <cellStyle name="Warning Text 199" xfId="14915"/>
    <cellStyle name="Warning Text 2" xfId="14916"/>
    <cellStyle name="Warning Text 2 2" xfId="14917"/>
    <cellStyle name="Warning Text 2 2 2" xfId="14918"/>
    <cellStyle name="Warning Text 2 2 3" xfId="14919"/>
    <cellStyle name="Warning Text 2 2 4" xfId="14920"/>
    <cellStyle name="Warning Text 2 2 5" xfId="14921"/>
    <cellStyle name="Warning Text 2 2 6" xfId="14922"/>
    <cellStyle name="Warning Text 2 2 7" xfId="14923"/>
    <cellStyle name="Warning Text 2 3" xfId="14924"/>
    <cellStyle name="Warning Text 2 4" xfId="14925"/>
    <cellStyle name="Warning Text 2 5" xfId="14926"/>
    <cellStyle name="Warning Text 2 6" xfId="14927"/>
    <cellStyle name="Warning Text 2 7" xfId="14928"/>
    <cellStyle name="Warning Text 2 8" xfId="14929"/>
    <cellStyle name="Warning Text 20" xfId="14930"/>
    <cellStyle name="Warning Text 200" xfId="14931"/>
    <cellStyle name="Warning Text 201" xfId="14932"/>
    <cellStyle name="Warning Text 202" xfId="14933"/>
    <cellStyle name="Warning Text 203" xfId="14934"/>
    <cellStyle name="Warning Text 204" xfId="14935"/>
    <cellStyle name="Warning Text 205" xfId="14936"/>
    <cellStyle name="Warning Text 206" xfId="14937"/>
    <cellStyle name="Warning Text 207" xfId="14938"/>
    <cellStyle name="Warning Text 208" xfId="14939"/>
    <cellStyle name="Warning Text 209" xfId="14940"/>
    <cellStyle name="Warning Text 21" xfId="14941"/>
    <cellStyle name="Warning Text 210" xfId="14942"/>
    <cellStyle name="Warning Text 211" xfId="14943"/>
    <cellStyle name="Warning Text 212" xfId="14944"/>
    <cellStyle name="Warning Text 213" xfId="14945"/>
    <cellStyle name="Warning Text 214" xfId="14946"/>
    <cellStyle name="Warning Text 215" xfId="14947"/>
    <cellStyle name="Warning Text 216" xfId="14948"/>
    <cellStyle name="Warning Text 217" xfId="14949"/>
    <cellStyle name="Warning Text 218" xfId="14950"/>
    <cellStyle name="Warning Text 219" xfId="14951"/>
    <cellStyle name="Warning Text 22" xfId="14952"/>
    <cellStyle name="Warning Text 220" xfId="14953"/>
    <cellStyle name="Warning Text 221" xfId="14954"/>
    <cellStyle name="Warning Text 222" xfId="14955"/>
    <cellStyle name="Warning Text 223" xfId="14956"/>
    <cellStyle name="Warning Text 224" xfId="14957"/>
    <cellStyle name="Warning Text 225" xfId="14958"/>
    <cellStyle name="Warning Text 226" xfId="14959"/>
    <cellStyle name="Warning Text 227" xfId="14960"/>
    <cellStyle name="Warning Text 228" xfId="14961"/>
    <cellStyle name="Warning Text 229" xfId="14962"/>
    <cellStyle name="Warning Text 23" xfId="14963"/>
    <cellStyle name="Warning Text 230" xfId="14964"/>
    <cellStyle name="Warning Text 231" xfId="14965"/>
    <cellStyle name="Warning Text 232" xfId="14966"/>
    <cellStyle name="Warning Text 233" xfId="14967"/>
    <cellStyle name="Warning Text 234" xfId="14968"/>
    <cellStyle name="Warning Text 235" xfId="14969"/>
    <cellStyle name="Warning Text 236" xfId="14970"/>
    <cellStyle name="Warning Text 237" xfId="14971"/>
    <cellStyle name="Warning Text 238" xfId="14972"/>
    <cellStyle name="Warning Text 239" xfId="14973"/>
    <cellStyle name="Warning Text 24" xfId="14974"/>
    <cellStyle name="Warning Text 240" xfId="14975"/>
    <cellStyle name="Warning Text 241" xfId="14976"/>
    <cellStyle name="Warning Text 242" xfId="14977"/>
    <cellStyle name="Warning Text 243" xfId="14978"/>
    <cellStyle name="Warning Text 244" xfId="14979"/>
    <cellStyle name="Warning Text 245" xfId="14980"/>
    <cellStyle name="Warning Text 246" xfId="14981"/>
    <cellStyle name="Warning Text 247" xfId="14982"/>
    <cellStyle name="Warning Text 248" xfId="14983"/>
    <cellStyle name="Warning Text 249" xfId="14984"/>
    <cellStyle name="Warning Text 25" xfId="14985"/>
    <cellStyle name="Warning Text 26" xfId="14986"/>
    <cellStyle name="Warning Text 27" xfId="14987"/>
    <cellStyle name="Warning Text 28" xfId="14988"/>
    <cellStyle name="Warning Text 29" xfId="14989"/>
    <cellStyle name="Warning Text 3" xfId="14990"/>
    <cellStyle name="Warning Text 3 2" xfId="14991"/>
    <cellStyle name="Warning Text 30" xfId="14992"/>
    <cellStyle name="Warning Text 31" xfId="14993"/>
    <cellStyle name="Warning Text 32" xfId="14994"/>
    <cellStyle name="Warning Text 33" xfId="14995"/>
    <cellStyle name="Warning Text 34" xfId="14996"/>
    <cellStyle name="Warning Text 35" xfId="14997"/>
    <cellStyle name="Warning Text 36" xfId="14998"/>
    <cellStyle name="Warning Text 37" xfId="14999"/>
    <cellStyle name="Warning Text 38" xfId="15000"/>
    <cellStyle name="Warning Text 39" xfId="15001"/>
    <cellStyle name="Warning Text 4" xfId="15002"/>
    <cellStyle name="Warning Text 4 2" xfId="15003"/>
    <cellStyle name="Warning Text 4 3" xfId="15004"/>
    <cellStyle name="Warning Text 4 4" xfId="15005"/>
    <cellStyle name="Warning Text 4 5" xfId="15006"/>
    <cellStyle name="Warning Text 40" xfId="15007"/>
    <cellStyle name="Warning Text 41" xfId="15008"/>
    <cellStyle name="Warning Text 42" xfId="15009"/>
    <cellStyle name="Warning Text 43" xfId="15010"/>
    <cellStyle name="Warning Text 44" xfId="15011"/>
    <cellStyle name="Warning Text 45" xfId="15012"/>
    <cellStyle name="Warning Text 46" xfId="15013"/>
    <cellStyle name="Warning Text 47" xfId="15014"/>
    <cellStyle name="Warning Text 48" xfId="15015"/>
    <cellStyle name="Warning Text 49" xfId="15016"/>
    <cellStyle name="Warning Text 5" xfId="15017"/>
    <cellStyle name="Warning Text 5 2" xfId="15018"/>
    <cellStyle name="Warning Text 5 3" xfId="15019"/>
    <cellStyle name="Warning Text 5 4" xfId="15020"/>
    <cellStyle name="Warning Text 5 5" xfId="15021"/>
    <cellStyle name="Warning Text 50" xfId="15022"/>
    <cellStyle name="Warning Text 51" xfId="15023"/>
    <cellStyle name="Warning Text 52" xfId="15024"/>
    <cellStyle name="Warning Text 53" xfId="15025"/>
    <cellStyle name="Warning Text 54" xfId="15026"/>
    <cellStyle name="Warning Text 55" xfId="15027"/>
    <cellStyle name="Warning Text 56" xfId="15028"/>
    <cellStyle name="Warning Text 57" xfId="15029"/>
    <cellStyle name="Warning Text 58" xfId="15030"/>
    <cellStyle name="Warning Text 59" xfId="15031"/>
    <cellStyle name="Warning Text 6" xfId="15032"/>
    <cellStyle name="Warning Text 6 2" xfId="15033"/>
    <cellStyle name="Warning Text 6 3" xfId="15034"/>
    <cellStyle name="Warning Text 6 4" xfId="15035"/>
    <cellStyle name="Warning Text 60" xfId="15036"/>
    <cellStyle name="Warning Text 61" xfId="15037"/>
    <cellStyle name="Warning Text 62" xfId="15038"/>
    <cellStyle name="Warning Text 63" xfId="15039"/>
    <cellStyle name="Warning Text 64" xfId="15040"/>
    <cellStyle name="Warning Text 65" xfId="15041"/>
    <cellStyle name="Warning Text 66" xfId="15042"/>
    <cellStyle name="Warning Text 67" xfId="15043"/>
    <cellStyle name="Warning Text 68" xfId="15044"/>
    <cellStyle name="Warning Text 69" xfId="15045"/>
    <cellStyle name="Warning Text 7" xfId="15046"/>
    <cellStyle name="Warning Text 7 2" xfId="15047"/>
    <cellStyle name="Warning Text 7 3" xfId="15048"/>
    <cellStyle name="Warning Text 7 4" xfId="15049"/>
    <cellStyle name="Warning Text 70" xfId="15050"/>
    <cellStyle name="Warning Text 71" xfId="15051"/>
    <cellStyle name="Warning Text 72" xfId="15052"/>
    <cellStyle name="Warning Text 73" xfId="15053"/>
    <cellStyle name="Warning Text 74" xfId="15054"/>
    <cellStyle name="Warning Text 75" xfId="15055"/>
    <cellStyle name="Warning Text 76" xfId="15056"/>
    <cellStyle name="Warning Text 77" xfId="15057"/>
    <cellStyle name="Warning Text 78" xfId="15058"/>
    <cellStyle name="Warning Text 79" xfId="15059"/>
    <cellStyle name="Warning Text 8" xfId="15060"/>
    <cellStyle name="Warning Text 8 2" xfId="15061"/>
    <cellStyle name="Warning Text 8 3" xfId="15062"/>
    <cellStyle name="Warning Text 8 4" xfId="15063"/>
    <cellStyle name="Warning Text 80" xfId="15064"/>
    <cellStyle name="Warning Text 81" xfId="15065"/>
    <cellStyle name="Warning Text 82" xfId="15066"/>
    <cellStyle name="Warning Text 83" xfId="15067"/>
    <cellStyle name="Warning Text 84" xfId="15068"/>
    <cellStyle name="Warning Text 85" xfId="15069"/>
    <cellStyle name="Warning Text 86" xfId="15070"/>
    <cellStyle name="Warning Text 87" xfId="15071"/>
    <cellStyle name="Warning Text 88" xfId="15072"/>
    <cellStyle name="Warning Text 89" xfId="15073"/>
    <cellStyle name="Warning Text 9" xfId="15074"/>
    <cellStyle name="Warning Text 9 2" xfId="15075"/>
    <cellStyle name="Warning Text 9 3" xfId="15076"/>
    <cellStyle name="Warning Text 9 4" xfId="15077"/>
    <cellStyle name="Warning Text 90" xfId="15078"/>
    <cellStyle name="Warning Text 91" xfId="15079"/>
    <cellStyle name="Warning Text 92" xfId="15080"/>
    <cellStyle name="Warning Text 93" xfId="15081"/>
    <cellStyle name="Warning Text 94" xfId="15082"/>
    <cellStyle name="Warning Text 95" xfId="15083"/>
    <cellStyle name="Warning Text 96" xfId="15084"/>
    <cellStyle name="Warning Text 97" xfId="15085"/>
    <cellStyle name="Warning Text 98" xfId="15086"/>
    <cellStyle name="Warning Text 99" xfId="15087"/>
    <cellStyle name="साधारण 2" xfId="15088"/>
    <cellStyle name="साधारण 2 10" xfId="15089"/>
    <cellStyle name="साधारण 2 100" xfId="15090"/>
    <cellStyle name="साधारण 2 101" xfId="15091"/>
    <cellStyle name="साधारण 2 102" xfId="15092"/>
    <cellStyle name="साधारण 2 103" xfId="15093"/>
    <cellStyle name="साधारण 2 104" xfId="15094"/>
    <cellStyle name="साधारण 2 105" xfId="15095"/>
    <cellStyle name="साधारण 2 106" xfId="15096"/>
    <cellStyle name="साधारण 2 107" xfId="15097"/>
    <cellStyle name="साधारण 2 108" xfId="15098"/>
    <cellStyle name="साधारण 2 109" xfId="15099"/>
    <cellStyle name="साधारण 2 11" xfId="15100"/>
    <cellStyle name="साधारण 2 110" xfId="15101"/>
    <cellStyle name="साधारण 2 111" xfId="15102"/>
    <cellStyle name="साधारण 2 112" xfId="15103"/>
    <cellStyle name="साधारण 2 113" xfId="15104"/>
    <cellStyle name="साधारण 2 114" xfId="15105"/>
    <cellStyle name="साधारण 2 115" xfId="15106"/>
    <cellStyle name="साधारण 2 116" xfId="15107"/>
    <cellStyle name="साधारण 2 117" xfId="15108"/>
    <cellStyle name="साधारण 2 118" xfId="15109"/>
    <cellStyle name="साधारण 2 119" xfId="15110"/>
    <cellStyle name="साधारण 2 12" xfId="15111"/>
    <cellStyle name="साधारण 2 120" xfId="15112"/>
    <cellStyle name="साधारण 2 121" xfId="15113"/>
    <cellStyle name="साधारण 2 122" xfId="15114"/>
    <cellStyle name="साधारण 2 123" xfId="15115"/>
    <cellStyle name="साधारण 2 124" xfId="15116"/>
    <cellStyle name="साधारण 2 125" xfId="15117"/>
    <cellStyle name="साधारण 2 126" xfId="15118"/>
    <cellStyle name="साधारण 2 127" xfId="15119"/>
    <cellStyle name="साधारण 2 128" xfId="15120"/>
    <cellStyle name="साधारण 2 129" xfId="15121"/>
    <cellStyle name="साधारण 2 13" xfId="15122"/>
    <cellStyle name="साधारण 2 130" xfId="15123"/>
    <cellStyle name="साधारण 2 131" xfId="15124"/>
    <cellStyle name="साधारण 2 132" xfId="15125"/>
    <cellStyle name="साधारण 2 133" xfId="15126"/>
    <cellStyle name="साधारण 2 134" xfId="15127"/>
    <cellStyle name="साधारण 2 135" xfId="15128"/>
    <cellStyle name="साधारण 2 136" xfId="15129"/>
    <cellStyle name="साधारण 2 137" xfId="15130"/>
    <cellStyle name="साधारण 2 138" xfId="15131"/>
    <cellStyle name="साधारण 2 139" xfId="15132"/>
    <cellStyle name="साधारण 2 14" xfId="15133"/>
    <cellStyle name="साधारण 2 140" xfId="15134"/>
    <cellStyle name="साधारण 2 141" xfId="15135"/>
    <cellStyle name="साधारण 2 142" xfId="15136"/>
    <cellStyle name="साधारण 2 143" xfId="15137"/>
    <cellStyle name="साधारण 2 144" xfId="15138"/>
    <cellStyle name="साधारण 2 145" xfId="15139"/>
    <cellStyle name="साधारण 2 146" xfId="15140"/>
    <cellStyle name="साधारण 2 147" xfId="15141"/>
    <cellStyle name="साधारण 2 148" xfId="15142"/>
    <cellStyle name="साधारण 2 149" xfId="15143"/>
    <cellStyle name="साधारण 2 15" xfId="15144"/>
    <cellStyle name="साधारण 2 150" xfId="15145"/>
    <cellStyle name="साधारण 2 151" xfId="15146"/>
    <cellStyle name="साधारण 2 152" xfId="15147"/>
    <cellStyle name="साधारण 2 153" xfId="15148"/>
    <cellStyle name="साधारण 2 154" xfId="15149"/>
    <cellStyle name="साधारण 2 155" xfId="15150"/>
    <cellStyle name="साधारण 2 156" xfId="15151"/>
    <cellStyle name="साधारण 2 157" xfId="15152"/>
    <cellStyle name="साधारण 2 158" xfId="15153"/>
    <cellStyle name="साधारण 2 159" xfId="15154"/>
    <cellStyle name="साधारण 2 16" xfId="15155"/>
    <cellStyle name="साधारण 2 160" xfId="15156"/>
    <cellStyle name="साधारण 2 161" xfId="15157"/>
    <cellStyle name="साधारण 2 162" xfId="15158"/>
    <cellStyle name="साधारण 2 163" xfId="15159"/>
    <cellStyle name="साधारण 2 164" xfId="15160"/>
    <cellStyle name="साधारण 2 165" xfId="15161"/>
    <cellStyle name="साधारण 2 166" xfId="15162"/>
    <cellStyle name="साधारण 2 167" xfId="15163"/>
    <cellStyle name="साधारण 2 168" xfId="15164"/>
    <cellStyle name="साधारण 2 169" xfId="15165"/>
    <cellStyle name="साधारण 2 17" xfId="15166"/>
    <cellStyle name="साधारण 2 170" xfId="15167"/>
    <cellStyle name="साधारण 2 171" xfId="15168"/>
    <cellStyle name="साधारण 2 172" xfId="15169"/>
    <cellStyle name="साधारण 2 173" xfId="15170"/>
    <cellStyle name="साधारण 2 174" xfId="15171"/>
    <cellStyle name="साधारण 2 175" xfId="15172"/>
    <cellStyle name="साधारण 2 176" xfId="15173"/>
    <cellStyle name="साधारण 2 177" xfId="15174"/>
    <cellStyle name="साधारण 2 178" xfId="15175"/>
    <cellStyle name="साधारण 2 179" xfId="15176"/>
    <cellStyle name="साधारण 2 18" xfId="15177"/>
    <cellStyle name="साधारण 2 180" xfId="15178"/>
    <cellStyle name="साधारण 2 181" xfId="15179"/>
    <cellStyle name="साधारण 2 182" xfId="15180"/>
    <cellStyle name="साधारण 2 183" xfId="15181"/>
    <cellStyle name="साधारण 2 184" xfId="15182"/>
    <cellStyle name="साधारण 2 185" xfId="15183"/>
    <cellStyle name="साधारण 2 186" xfId="15184"/>
    <cellStyle name="साधारण 2 187" xfId="15185"/>
    <cellStyle name="साधारण 2 188" xfId="15186"/>
    <cellStyle name="साधारण 2 189" xfId="15187"/>
    <cellStyle name="साधारण 2 19" xfId="15188"/>
    <cellStyle name="साधारण 2 190" xfId="15189"/>
    <cellStyle name="साधारण 2 191" xfId="15190"/>
    <cellStyle name="साधारण 2 192" xfId="15191"/>
    <cellStyle name="साधारण 2 193" xfId="15192"/>
    <cellStyle name="साधारण 2 194" xfId="15193"/>
    <cellStyle name="साधारण 2 195" xfId="15194"/>
    <cellStyle name="साधारण 2 196" xfId="15195"/>
    <cellStyle name="साधारण 2 197" xfId="15196"/>
    <cellStyle name="साधारण 2 198" xfId="15197"/>
    <cellStyle name="साधारण 2 199" xfId="15198"/>
    <cellStyle name="साधारण 2 2" xfId="15199"/>
    <cellStyle name="साधारण 2 20" xfId="15200"/>
    <cellStyle name="साधारण 2 200" xfId="15201"/>
    <cellStyle name="साधारण 2 201" xfId="15202"/>
    <cellStyle name="साधारण 2 202" xfId="15203"/>
    <cellStyle name="साधारण 2 203" xfId="15204"/>
    <cellStyle name="साधारण 2 204" xfId="15205"/>
    <cellStyle name="साधारण 2 205" xfId="15206"/>
    <cellStyle name="साधारण 2 206" xfId="15207"/>
    <cellStyle name="साधारण 2 207" xfId="15208"/>
    <cellStyle name="साधारण 2 208" xfId="15209"/>
    <cellStyle name="साधारण 2 209" xfId="15210"/>
    <cellStyle name="साधारण 2 21" xfId="15211"/>
    <cellStyle name="साधारण 2 210" xfId="15212"/>
    <cellStyle name="साधारण 2 211" xfId="15213"/>
    <cellStyle name="साधारण 2 212" xfId="15214"/>
    <cellStyle name="साधारण 2 213" xfId="15215"/>
    <cellStyle name="साधारण 2 214" xfId="15216"/>
    <cellStyle name="साधारण 2 215" xfId="15217"/>
    <cellStyle name="साधारण 2 216" xfId="15218"/>
    <cellStyle name="साधारण 2 217" xfId="15219"/>
    <cellStyle name="साधारण 2 218" xfId="15220"/>
    <cellStyle name="साधारण 2 219" xfId="15221"/>
    <cellStyle name="साधारण 2 22" xfId="15222"/>
    <cellStyle name="साधारण 2 220" xfId="15223"/>
    <cellStyle name="साधारण 2 221" xfId="15224"/>
    <cellStyle name="साधारण 2 222" xfId="15225"/>
    <cellStyle name="साधारण 2 223" xfId="15226"/>
    <cellStyle name="साधारण 2 224" xfId="15227"/>
    <cellStyle name="साधारण 2 225" xfId="15228"/>
    <cellStyle name="साधारण 2 226" xfId="15229"/>
    <cellStyle name="साधारण 2 227" xfId="15230"/>
    <cellStyle name="साधारण 2 228" xfId="15231"/>
    <cellStyle name="साधारण 2 229" xfId="15232"/>
    <cellStyle name="साधारण 2 23" xfId="15233"/>
    <cellStyle name="साधारण 2 230" xfId="15234"/>
    <cellStyle name="साधारण 2 24" xfId="15235"/>
    <cellStyle name="साधारण 2 25" xfId="15236"/>
    <cellStyle name="साधारण 2 26" xfId="15237"/>
    <cellStyle name="साधारण 2 27" xfId="15238"/>
    <cellStyle name="साधारण 2 28" xfId="15239"/>
    <cellStyle name="साधारण 2 29" xfId="15240"/>
    <cellStyle name="साधारण 2 3" xfId="15241"/>
    <cellStyle name="साधारण 2 30" xfId="15242"/>
    <cellStyle name="साधारण 2 31" xfId="15243"/>
    <cellStyle name="साधारण 2 32" xfId="15244"/>
    <cellStyle name="साधारण 2 33" xfId="15245"/>
    <cellStyle name="साधारण 2 34" xfId="15246"/>
    <cellStyle name="साधारण 2 35" xfId="15247"/>
    <cellStyle name="साधारण 2 36" xfId="15248"/>
    <cellStyle name="साधारण 2 37" xfId="15249"/>
    <cellStyle name="साधारण 2 38" xfId="15250"/>
    <cellStyle name="साधारण 2 39" xfId="15251"/>
    <cellStyle name="साधारण 2 4" xfId="15252"/>
    <cellStyle name="साधारण 2 40" xfId="15253"/>
    <cellStyle name="साधारण 2 41" xfId="15254"/>
    <cellStyle name="साधारण 2 42" xfId="15255"/>
    <cellStyle name="साधारण 2 43" xfId="15256"/>
    <cellStyle name="साधारण 2 44" xfId="15257"/>
    <cellStyle name="साधारण 2 45" xfId="15258"/>
    <cellStyle name="साधारण 2 46" xfId="15259"/>
    <cellStyle name="साधारण 2 47" xfId="15260"/>
    <cellStyle name="साधारण 2 48" xfId="15261"/>
    <cellStyle name="साधारण 2 49" xfId="15262"/>
    <cellStyle name="साधारण 2 5" xfId="15263"/>
    <cellStyle name="साधारण 2 50" xfId="15264"/>
    <cellStyle name="साधारण 2 51" xfId="15265"/>
    <cellStyle name="साधारण 2 52" xfId="15266"/>
    <cellStyle name="साधारण 2 53" xfId="15267"/>
    <cellStyle name="साधारण 2 54" xfId="15268"/>
    <cellStyle name="साधारण 2 55" xfId="15269"/>
    <cellStyle name="साधारण 2 56" xfId="15270"/>
    <cellStyle name="साधारण 2 57" xfId="15271"/>
    <cellStyle name="साधारण 2 58" xfId="15272"/>
    <cellStyle name="साधारण 2 59" xfId="15273"/>
    <cellStyle name="साधारण 2 6" xfId="15274"/>
    <cellStyle name="साधारण 2 60" xfId="15275"/>
    <cellStyle name="साधारण 2 61" xfId="15276"/>
    <cellStyle name="साधारण 2 62" xfId="15277"/>
    <cellStyle name="साधारण 2 63" xfId="15278"/>
    <cellStyle name="साधारण 2 64" xfId="15279"/>
    <cellStyle name="साधारण 2 65" xfId="15280"/>
    <cellStyle name="साधारण 2 66" xfId="15281"/>
    <cellStyle name="साधारण 2 67" xfId="15282"/>
    <cellStyle name="साधारण 2 68" xfId="15283"/>
    <cellStyle name="साधारण 2 69" xfId="15284"/>
    <cellStyle name="साधारण 2 7" xfId="15285"/>
    <cellStyle name="साधारण 2 70" xfId="15286"/>
    <cellStyle name="साधारण 2 71" xfId="15287"/>
    <cellStyle name="साधारण 2 72" xfId="15288"/>
    <cellStyle name="साधारण 2 73" xfId="15289"/>
    <cellStyle name="साधारण 2 74" xfId="15290"/>
    <cellStyle name="साधारण 2 75" xfId="15291"/>
    <cellStyle name="साधारण 2 76" xfId="15292"/>
    <cellStyle name="साधारण 2 77" xfId="15293"/>
    <cellStyle name="साधारण 2 78" xfId="15294"/>
    <cellStyle name="साधारण 2 79" xfId="15295"/>
    <cellStyle name="साधारण 2 8" xfId="15296"/>
    <cellStyle name="साधारण 2 80" xfId="15297"/>
    <cellStyle name="साधारण 2 81" xfId="15298"/>
    <cellStyle name="साधारण 2 82" xfId="15299"/>
    <cellStyle name="साधारण 2 83" xfId="15300"/>
    <cellStyle name="साधारण 2 84" xfId="15301"/>
    <cellStyle name="साधारण 2 85" xfId="15302"/>
    <cellStyle name="साधारण 2 86" xfId="15303"/>
    <cellStyle name="साधारण 2 87" xfId="15304"/>
    <cellStyle name="साधारण 2 88" xfId="15305"/>
    <cellStyle name="साधारण 2 89" xfId="15306"/>
    <cellStyle name="साधारण 2 9" xfId="15307"/>
    <cellStyle name="साधारण 2 90" xfId="15308"/>
    <cellStyle name="साधारण 2 91" xfId="15309"/>
    <cellStyle name="साधारण 2 92" xfId="15310"/>
    <cellStyle name="साधारण 2 93" xfId="15311"/>
    <cellStyle name="साधारण 2 94" xfId="15312"/>
    <cellStyle name="साधारण 2 95" xfId="15313"/>
    <cellStyle name="साधारण 2 96" xfId="15314"/>
    <cellStyle name="साधारण 2 97" xfId="15315"/>
    <cellStyle name="साधारण 2 98" xfId="15316"/>
    <cellStyle name="साधारण 2 99" xfId="15317"/>
  </cellStyles>
  <dxfs count="2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b/>
        <i val="0"/>
        <color theme="4"/>
      </font>
      <fill>
        <patternFill>
          <bgColor theme="5" tint="0.59996337778862885"/>
        </patternFill>
      </fill>
    </dxf>
    <dxf>
      <font>
        <b/>
        <i val="0"/>
        <color theme="0" tint="-4.9989318521683403E-2"/>
      </font>
      <fill>
        <patternFill>
          <bgColor rgb="FFC00000"/>
        </patternFill>
      </fill>
    </dxf>
    <dxf>
      <font>
        <b/>
        <i val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146050</xdr:colOff>
          <xdr:row>17</xdr:row>
          <xdr:rowOff>95250</xdr:rowOff>
        </xdr:from>
        <xdr:to>
          <xdr:col>5</xdr:col>
          <xdr:colOff>298450</xdr:colOff>
          <xdr:row>19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Monthly Avg  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838200</xdr:colOff>
          <xdr:row>6</xdr:row>
          <xdr:rowOff>152400</xdr:rowOff>
        </xdr:from>
        <xdr:to>
          <xdr:col>3</xdr:col>
          <xdr:colOff>400050</xdr:colOff>
          <xdr:row>7</xdr:row>
          <xdr:rowOff>139700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0.158.1.8\ppc%20data\PPC%20New\ppc%20rEPORTS\LOADING_FLASH%20FILES\2017-18\Ldgflsh_DEC'17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"/>
      <sheetName val="Mornflsh"/>
      <sheetName val="BSL"/>
      <sheetName val="DSP"/>
      <sheetName val="RSP"/>
      <sheetName val="BSP"/>
      <sheetName val="IISCO"/>
      <sheetName val="OTH"/>
      <sheetName val="TOTAL"/>
      <sheetName val="ldg_unld"/>
      <sheetName val="Sheet2"/>
      <sheetName val="STOCK"/>
      <sheetName val="Sheet1"/>
      <sheetName val="STOCK_OOOt"/>
      <sheetName val="Rev Plan"/>
      <sheetName val="Des Vol Database"/>
      <sheetName val="Linkage"/>
      <sheetName val="CBT"/>
      <sheetName val="Sheet16"/>
    </sheetNames>
    <sheetDataSet>
      <sheetData sheetId="0"/>
      <sheetData sheetId="1">
        <row r="27">
          <cell r="E27">
            <v>48</v>
          </cell>
        </row>
        <row r="28">
          <cell r="E28">
            <v>41</v>
          </cell>
        </row>
        <row r="29">
          <cell r="E29">
            <v>0</v>
          </cell>
        </row>
        <row r="30">
          <cell r="E30">
            <v>0</v>
          </cell>
        </row>
        <row r="31">
          <cell r="E31">
            <v>0</v>
          </cell>
        </row>
        <row r="32">
          <cell r="E32">
            <v>21</v>
          </cell>
        </row>
        <row r="33">
          <cell r="E33">
            <v>0</v>
          </cell>
        </row>
        <row r="34">
          <cell r="E34">
            <v>1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queryTables/queryTable1.xml><?xml version="1.0" encoding="utf-8"?>
<queryTable xmlns="http://schemas.openxmlformats.org/spreadsheetml/2006/main" name="ExternalData_1978" connectionId="2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.xml><?xml version="1.0" encoding="utf-8"?>
<queryTable xmlns="http://schemas.openxmlformats.org/spreadsheetml/2006/main" name="ExternalData_2117" connectionId="4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.xml><?xml version="1.0" encoding="utf-8"?>
<queryTable xmlns="http://schemas.openxmlformats.org/spreadsheetml/2006/main" name="ExternalData_1682" connectionId="6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.xml><?xml version="1.0" encoding="utf-8"?>
<queryTable xmlns="http://schemas.openxmlformats.org/spreadsheetml/2006/main" name="ExternalData_2284" firstBackgroundRefresh="1" connectionId="60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.xml><?xml version="1.0" encoding="utf-8"?>
<queryTable xmlns="http://schemas.openxmlformats.org/spreadsheetml/2006/main" name="ExternalData_2219" connectionId="5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.xml><?xml version="1.0" encoding="utf-8"?>
<queryTable xmlns="http://schemas.openxmlformats.org/spreadsheetml/2006/main" name="ExternalData_1841" connectionId="1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.xml><?xml version="1.0" encoding="utf-8"?>
<queryTable xmlns="http://schemas.openxmlformats.org/spreadsheetml/2006/main" name="ExternalData_2076" connectionId="3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.xml><?xml version="1.0" encoding="utf-8"?>
<queryTable xmlns="http://schemas.openxmlformats.org/spreadsheetml/2006/main" name="ExternalData_2141" connectionId="4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.xml><?xml version="1.0" encoding="utf-8"?>
<queryTable xmlns="http://schemas.openxmlformats.org/spreadsheetml/2006/main" name="ExternalData_2118" connectionId="4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.xml><?xml version="1.0" encoding="utf-8"?>
<queryTable xmlns="http://schemas.openxmlformats.org/spreadsheetml/2006/main" name="ExternalData_1779" connectionId="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.xml><?xml version="1.0" encoding="utf-8"?>
<queryTable xmlns="http://schemas.openxmlformats.org/spreadsheetml/2006/main" name="ExternalData_2121" connectionId="4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.xml><?xml version="1.0" encoding="utf-8"?>
<queryTable xmlns="http://schemas.openxmlformats.org/spreadsheetml/2006/main" name="ExternalData_1855" connectionId="1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.xml><?xml version="1.0" encoding="utf-8"?>
<queryTable xmlns="http://schemas.openxmlformats.org/spreadsheetml/2006/main" name="ExternalData_1742" connectionId="6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.xml><?xml version="1.0" encoding="utf-8"?>
<queryTable xmlns="http://schemas.openxmlformats.org/spreadsheetml/2006/main" name="ExternalData_1681" connectionId="5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.xml><?xml version="1.0" encoding="utf-8"?>
<queryTable xmlns="http://schemas.openxmlformats.org/spreadsheetml/2006/main" name="ExternalData_1845" connectionId="1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.xml><?xml version="1.0" encoding="utf-8"?>
<queryTable xmlns="http://schemas.openxmlformats.org/spreadsheetml/2006/main" name="ExternalData_1772" connectionId="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.xml><?xml version="1.0" encoding="utf-8"?>
<queryTable xmlns="http://schemas.openxmlformats.org/spreadsheetml/2006/main" name="ExternalData_1826" connectionId="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.xml><?xml version="1.0" encoding="utf-8"?>
<queryTable xmlns="http://schemas.openxmlformats.org/spreadsheetml/2006/main" name="ExternalData_1946" connectionId="2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.xml><?xml version="1.0" encoding="utf-8"?>
<queryTable xmlns="http://schemas.openxmlformats.org/spreadsheetml/2006/main" name="ExternalData_2114" connectionId="4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.xml><?xml version="1.0" encoding="utf-8"?>
<queryTable xmlns="http://schemas.openxmlformats.org/spreadsheetml/2006/main" name="ExternalData_1781" connectionId="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.xml><?xml version="1.0" encoding="utf-8"?>
<queryTable xmlns="http://schemas.openxmlformats.org/spreadsheetml/2006/main" name="ExternalData_2151" connectionId="4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.xml><?xml version="1.0" encoding="utf-8"?>
<queryTable xmlns="http://schemas.openxmlformats.org/spreadsheetml/2006/main" name="ExternalData_2082" connectionId="3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.xml><?xml version="1.0" encoding="utf-8"?>
<queryTable xmlns="http://schemas.openxmlformats.org/spreadsheetml/2006/main" name="ExternalData_2193" connectionId="5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.xml><?xml version="1.0" encoding="utf-8"?>
<queryTable xmlns="http://schemas.openxmlformats.org/spreadsheetml/2006/main" name="ExternalData_2194" connectionId="5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.xml><?xml version="1.0" encoding="utf-8"?>
<queryTable xmlns="http://schemas.openxmlformats.org/spreadsheetml/2006/main" name="ExternalData_1744" connectionId="6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.xml><?xml version="1.0" encoding="utf-8"?>
<queryTable xmlns="http://schemas.openxmlformats.org/spreadsheetml/2006/main" name="ExternalData_1720" connectionId="4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.xml><?xml version="1.0" encoding="utf-8"?>
<queryTable xmlns="http://schemas.openxmlformats.org/spreadsheetml/2006/main" name="ExternalData_1894" connectionId="1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.xml><?xml version="1.0" encoding="utf-8"?>
<queryTable xmlns="http://schemas.openxmlformats.org/spreadsheetml/2006/main" name="ExternalData_1737" connectionId="6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.xml><?xml version="1.0" encoding="utf-8"?>
<queryTable xmlns="http://schemas.openxmlformats.org/spreadsheetml/2006/main" name="ExternalData_2073" connectionId="3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.xml><?xml version="1.0" encoding="utf-8"?>
<queryTable xmlns="http://schemas.openxmlformats.org/spreadsheetml/2006/main" name="ExternalData_1951" connectionId="2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.xml><?xml version="1.0" encoding="utf-8"?>
<queryTable xmlns="http://schemas.openxmlformats.org/spreadsheetml/2006/main" name="ExternalData_1822" connectionId="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.xml><?xml version="1.0" encoding="utf-8"?>
<queryTable xmlns="http://schemas.openxmlformats.org/spreadsheetml/2006/main" name="ExternalData_2069" connectionId="3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.xml><?xml version="1.0" encoding="utf-8"?>
<queryTable xmlns="http://schemas.openxmlformats.org/spreadsheetml/2006/main" name="ExternalData_2233" connectionId="5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.xml><?xml version="1.0" encoding="utf-8"?>
<queryTable xmlns="http://schemas.openxmlformats.org/spreadsheetml/2006/main" name="ExternalData_2074" connectionId="3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.xml><?xml version="1.0" encoding="utf-8"?>
<queryTable xmlns="http://schemas.openxmlformats.org/spreadsheetml/2006/main" name="ExternalData_1818" connectionId="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.xml><?xml version="1.0" encoding="utf-8"?>
<queryTable xmlns="http://schemas.openxmlformats.org/spreadsheetml/2006/main" name="ExternalData_1727" connectionId="5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.xml><?xml version="1.0" encoding="utf-8"?>
<queryTable xmlns="http://schemas.openxmlformats.org/spreadsheetml/2006/main" name="ExternalData_1898" connectionId="1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.xml><?xml version="1.0" encoding="utf-8"?>
<queryTable xmlns="http://schemas.openxmlformats.org/spreadsheetml/2006/main" name="ExternalData_1718" connectionId="4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.xml><?xml version="1.0" encoding="utf-8"?>
<queryTable xmlns="http://schemas.openxmlformats.org/spreadsheetml/2006/main" name="ExternalData_2071" connectionId="3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.xml><?xml version="1.0" encoding="utf-8"?>
<queryTable xmlns="http://schemas.openxmlformats.org/spreadsheetml/2006/main" name="ExternalData_2181" connectionId="4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.xml><?xml version="1.0" encoding="utf-8"?>
<queryTable xmlns="http://schemas.openxmlformats.org/spreadsheetml/2006/main" name="ExternalData_1846" connectionId="1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.xml><?xml version="1.0" encoding="utf-8"?>
<queryTable xmlns="http://schemas.openxmlformats.org/spreadsheetml/2006/main" name="ExternalData_2090" connectionId="3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.xml><?xml version="1.0" encoding="utf-8"?>
<queryTable xmlns="http://schemas.openxmlformats.org/spreadsheetml/2006/main" name="ExternalData_1780" connectionId="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.xml><?xml version="1.0" encoding="utf-8"?>
<queryTable xmlns="http://schemas.openxmlformats.org/spreadsheetml/2006/main" name="ExternalData_1896" connectionId="1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.xml><?xml version="1.0" encoding="utf-8"?>
<queryTable xmlns="http://schemas.openxmlformats.org/spreadsheetml/2006/main" name="ExternalData_2185" connectionId="4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.xml><?xml version="1.0" encoding="utf-8"?>
<queryTable xmlns="http://schemas.openxmlformats.org/spreadsheetml/2006/main" name="ExternalData_2145" connectionId="4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.xml><?xml version="1.0" encoding="utf-8"?>
<queryTable xmlns="http://schemas.openxmlformats.org/spreadsheetml/2006/main" name="ExternalData_2191" connectionId="5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.xml><?xml version="1.0" encoding="utf-8"?>
<queryTable xmlns="http://schemas.openxmlformats.org/spreadsheetml/2006/main" name="ExternalData_1724" firstBackgroundRefresh="1" connectionId="494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9.xml><?xml version="1.0" encoding="utf-8"?>
<queryTable xmlns="http://schemas.openxmlformats.org/spreadsheetml/2006/main" name="ExternalData_1784" connectionId="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.xml><?xml version="1.0" encoding="utf-8"?>
<queryTable xmlns="http://schemas.openxmlformats.org/spreadsheetml/2006/main" name="ExternalData_1799" connectionId="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.xml><?xml version="1.0" encoding="utf-8"?>
<queryTable xmlns="http://schemas.openxmlformats.org/spreadsheetml/2006/main" name="ExternalData_2129" connectionId="4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.xml><?xml version="1.0" encoding="utf-8"?>
<queryTable xmlns="http://schemas.openxmlformats.org/spreadsheetml/2006/main" name="ExternalData_1994" connectionId="2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.xml><?xml version="1.0" encoding="utf-8"?>
<queryTable xmlns="http://schemas.openxmlformats.org/spreadsheetml/2006/main" name="ExternalData_1675" connectionId="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.xml><?xml version="1.0" encoding="utf-8"?>
<queryTable xmlns="http://schemas.openxmlformats.org/spreadsheetml/2006/main" name="ExternalData_2048" connectionId="3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.xml><?xml version="1.0" encoding="utf-8"?>
<queryTable xmlns="http://schemas.openxmlformats.org/spreadsheetml/2006/main" name="ExternalData_2253" connectionId="5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.xml><?xml version="1.0" encoding="utf-8"?>
<queryTable xmlns="http://schemas.openxmlformats.org/spreadsheetml/2006/main" name="ExternalData_2070" connectionId="3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.xml><?xml version="1.0" encoding="utf-8"?>
<queryTable xmlns="http://schemas.openxmlformats.org/spreadsheetml/2006/main" name="ExternalData_2119" connectionId="4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.xml><?xml version="1.0" encoding="utf-8"?>
<queryTable xmlns="http://schemas.openxmlformats.org/spreadsheetml/2006/main" name="ExternalData_1813" connectionId="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.xml><?xml version="1.0" encoding="utf-8"?>
<queryTable xmlns="http://schemas.openxmlformats.org/spreadsheetml/2006/main" name="ExternalData_1684" connectionId="6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.xml><?xml version="1.0" encoding="utf-8"?>
<queryTable xmlns="http://schemas.openxmlformats.org/spreadsheetml/2006/main" name="ExternalData_1839" connectionId="1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.xml><?xml version="1.0" encoding="utf-8"?>
<queryTable xmlns="http://schemas.openxmlformats.org/spreadsheetml/2006/main" name="ExternalData_2028" connectionId="3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.xml><?xml version="1.0" encoding="utf-8"?>
<queryTable xmlns="http://schemas.openxmlformats.org/spreadsheetml/2006/main" name="ExternalData_1709" connectionId="2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3.xml><?xml version="1.0" encoding="utf-8"?>
<queryTable xmlns="http://schemas.openxmlformats.org/spreadsheetml/2006/main" name="ExternalData_2269" connectionId="5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4.xml><?xml version="1.0" encoding="utf-8"?>
<queryTable xmlns="http://schemas.openxmlformats.org/spreadsheetml/2006/main" name="ExternalData_2252" firstBackgroundRefresh="1" connectionId="56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65.xml><?xml version="1.0" encoding="utf-8"?>
<queryTable xmlns="http://schemas.openxmlformats.org/spreadsheetml/2006/main" name="ExternalData_2162" firstBackgroundRefresh="1" connectionId="4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66.xml><?xml version="1.0" encoding="utf-8"?>
<queryTable xmlns="http://schemas.openxmlformats.org/spreadsheetml/2006/main" name="ExternalData_2177" connectionId="4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7.xml><?xml version="1.0" encoding="utf-8"?>
<queryTable xmlns="http://schemas.openxmlformats.org/spreadsheetml/2006/main" name="ExternalData_1683" connectionId="6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8.xml><?xml version="1.0" encoding="utf-8"?>
<queryTable xmlns="http://schemas.openxmlformats.org/spreadsheetml/2006/main" name="ExternalData_2066" connectionId="3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9.xml><?xml version="1.0" encoding="utf-8"?>
<queryTable xmlns="http://schemas.openxmlformats.org/spreadsheetml/2006/main" name="ExternalData_2208" connectionId="5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0.xml><?xml version="1.0" encoding="utf-8"?>
<queryTable xmlns="http://schemas.openxmlformats.org/spreadsheetml/2006/main" name="ExternalData_2270" connectionId="5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1.xml><?xml version="1.0" encoding="utf-8"?>
<queryTable xmlns="http://schemas.openxmlformats.org/spreadsheetml/2006/main" name="ExternalData_2214" connectionId="5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2.xml><?xml version="1.0" encoding="utf-8"?>
<queryTable xmlns="http://schemas.openxmlformats.org/spreadsheetml/2006/main" name="ExternalData_1705" connectionId="2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3.xml><?xml version="1.0" encoding="utf-8"?>
<queryTable xmlns="http://schemas.openxmlformats.org/spreadsheetml/2006/main" name="ExternalData_1703" connectionId="2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4.xml><?xml version="1.0" encoding="utf-8"?>
<queryTable xmlns="http://schemas.openxmlformats.org/spreadsheetml/2006/main" name="ExternalData_2019" connectionId="3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5.xml><?xml version="1.0" encoding="utf-8"?>
<queryTable xmlns="http://schemas.openxmlformats.org/spreadsheetml/2006/main" name="ExternalData_1776" connectionId="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6.xml><?xml version="1.0" encoding="utf-8"?>
<queryTable xmlns="http://schemas.openxmlformats.org/spreadsheetml/2006/main" name="ExternalData_2198" connectionId="5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7.xml><?xml version="1.0" encoding="utf-8"?>
<queryTable xmlns="http://schemas.openxmlformats.org/spreadsheetml/2006/main" name="ExternalData_2001" connectionId="2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8.xml><?xml version="1.0" encoding="utf-8"?>
<queryTable xmlns="http://schemas.openxmlformats.org/spreadsheetml/2006/main" name="ExternalData_2254" connectionId="5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79.xml><?xml version="1.0" encoding="utf-8"?>
<queryTable xmlns="http://schemas.openxmlformats.org/spreadsheetml/2006/main" name="ExternalData_1899" connectionId="1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0.xml><?xml version="1.0" encoding="utf-8"?>
<queryTable xmlns="http://schemas.openxmlformats.org/spreadsheetml/2006/main" name="ExternalData_2025" connectionId="3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1.xml><?xml version="1.0" encoding="utf-8"?>
<queryTable xmlns="http://schemas.openxmlformats.org/spreadsheetml/2006/main" name="ExternalData_1997" connectionId="2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2.xml><?xml version="1.0" encoding="utf-8"?>
<queryTable xmlns="http://schemas.openxmlformats.org/spreadsheetml/2006/main" name="ExternalData_2236" connectionId="5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3.xml><?xml version="1.0" encoding="utf-8"?>
<queryTable xmlns="http://schemas.openxmlformats.org/spreadsheetml/2006/main" name="ExternalData_1788" connectionId="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4.xml><?xml version="1.0" encoding="utf-8"?>
<queryTable xmlns="http://schemas.openxmlformats.org/spreadsheetml/2006/main" name="ExternalData_2175" connectionId="4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5.xml><?xml version="1.0" encoding="utf-8"?>
<queryTable xmlns="http://schemas.openxmlformats.org/spreadsheetml/2006/main" name="ExternalData_2007" connectionId="2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6.xml><?xml version="1.0" encoding="utf-8"?>
<queryTable xmlns="http://schemas.openxmlformats.org/spreadsheetml/2006/main" name="ExternalData_1787" connectionId="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7.xml><?xml version="1.0" encoding="utf-8"?>
<queryTable xmlns="http://schemas.openxmlformats.org/spreadsheetml/2006/main" name="ExternalData_1955" connectionId="2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8.xml><?xml version="1.0" encoding="utf-8"?>
<queryTable xmlns="http://schemas.openxmlformats.org/spreadsheetml/2006/main" name="ExternalData_1981" connectionId="2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89.xml><?xml version="1.0" encoding="utf-8"?>
<queryTable xmlns="http://schemas.openxmlformats.org/spreadsheetml/2006/main" name="ExternalData_2123" connectionId="4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0.xml><?xml version="1.0" encoding="utf-8"?>
<queryTable xmlns="http://schemas.openxmlformats.org/spreadsheetml/2006/main" name="ExternalData_2128" connectionId="4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1.xml><?xml version="1.0" encoding="utf-8"?>
<queryTable xmlns="http://schemas.openxmlformats.org/spreadsheetml/2006/main" name="ExternalData_1827" connectionId="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2.xml><?xml version="1.0" encoding="utf-8"?>
<queryTable xmlns="http://schemas.openxmlformats.org/spreadsheetml/2006/main" name="ExternalData_1806" connectionId="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3.xml><?xml version="1.0" encoding="utf-8"?>
<queryTable xmlns="http://schemas.openxmlformats.org/spreadsheetml/2006/main" name="ExternalData_1814" connectionId="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4.xml><?xml version="1.0" encoding="utf-8"?>
<queryTable xmlns="http://schemas.openxmlformats.org/spreadsheetml/2006/main" name="ExternalData_1736" connectionId="6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5.xml><?xml version="1.0" encoding="utf-8"?>
<queryTable xmlns="http://schemas.openxmlformats.org/spreadsheetml/2006/main" name="ExternalData_1967" connectionId="2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6.xml><?xml version="1.0" encoding="utf-8"?>
<queryTable xmlns="http://schemas.openxmlformats.org/spreadsheetml/2006/main" name="ExternalData_2002" connectionId="2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7.xml><?xml version="1.0" encoding="utf-8"?>
<queryTable xmlns="http://schemas.openxmlformats.org/spreadsheetml/2006/main" name="ExternalData_2223" connectionId="5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8.xml><?xml version="1.0" encoding="utf-8"?>
<queryTable xmlns="http://schemas.openxmlformats.org/spreadsheetml/2006/main" name="ExternalData_1712" connectionId="3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99.xml><?xml version="1.0" encoding="utf-8"?>
<queryTable xmlns="http://schemas.openxmlformats.org/spreadsheetml/2006/main" name="ExternalData_2176" connectionId="4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0.xml><?xml version="1.0" encoding="utf-8"?>
<queryTable xmlns="http://schemas.openxmlformats.org/spreadsheetml/2006/main" name="ExternalData_1963" connectionId="2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1.xml><?xml version="1.0" encoding="utf-8"?>
<queryTable xmlns="http://schemas.openxmlformats.org/spreadsheetml/2006/main" name="ExternalData_1726" connectionId="5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2.xml><?xml version="1.0" encoding="utf-8"?>
<queryTable xmlns="http://schemas.openxmlformats.org/spreadsheetml/2006/main" name="ExternalData_2279" connectionId="6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3.xml><?xml version="1.0" encoding="utf-8"?>
<queryTable xmlns="http://schemas.openxmlformats.org/spreadsheetml/2006/main" name="ExternalData_1800" connectionId="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4.xml><?xml version="1.0" encoding="utf-8"?>
<queryTable xmlns="http://schemas.openxmlformats.org/spreadsheetml/2006/main" name="ExternalData_2158" connectionId="4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5.xml><?xml version="1.0" encoding="utf-8"?>
<queryTable xmlns="http://schemas.openxmlformats.org/spreadsheetml/2006/main" name="ExternalData_2120" connectionId="4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6.xml><?xml version="1.0" encoding="utf-8"?>
<queryTable xmlns="http://schemas.openxmlformats.org/spreadsheetml/2006/main" name="ExternalData_1821" connectionId="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7.xml><?xml version="1.0" encoding="utf-8"?>
<queryTable xmlns="http://schemas.openxmlformats.org/spreadsheetml/2006/main" name="ExternalData_2171" connectionId="4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08.xml><?xml version="1.0" encoding="utf-8"?>
<queryTable xmlns="http://schemas.openxmlformats.org/spreadsheetml/2006/main" name="ExternalData_1968" firstBackgroundRefresh="1" connectionId="25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09.xml><?xml version="1.0" encoding="utf-8"?>
<queryTable xmlns="http://schemas.openxmlformats.org/spreadsheetml/2006/main" name="ExternalData_2057" connectionId="3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0.xml><?xml version="1.0" encoding="utf-8"?>
<queryTable xmlns="http://schemas.openxmlformats.org/spreadsheetml/2006/main" name="ExternalData_2099" connectionId="3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1.xml><?xml version="1.0" encoding="utf-8"?>
<queryTable xmlns="http://schemas.openxmlformats.org/spreadsheetml/2006/main" name="ExternalData_1715" connectionId="3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2.xml><?xml version="1.0" encoding="utf-8"?>
<queryTable xmlns="http://schemas.openxmlformats.org/spreadsheetml/2006/main" name="ExternalData_2139" connectionId="4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3.xml><?xml version="1.0" encoding="utf-8"?>
<queryTable xmlns="http://schemas.openxmlformats.org/spreadsheetml/2006/main" name="ExternalData_1804" connectionId="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4.xml><?xml version="1.0" encoding="utf-8"?>
<queryTable xmlns="http://schemas.openxmlformats.org/spreadsheetml/2006/main" name="ExternalData_2004" connectionId="2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5.xml><?xml version="1.0" encoding="utf-8"?>
<queryTable xmlns="http://schemas.openxmlformats.org/spreadsheetml/2006/main" name="ExternalData_2037" connectionId="3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6.xml><?xml version="1.0" encoding="utf-8"?>
<queryTable xmlns="http://schemas.openxmlformats.org/spreadsheetml/2006/main" name="ExternalData_2143" connectionId="4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7.xml><?xml version="1.0" encoding="utf-8"?>
<queryTable xmlns="http://schemas.openxmlformats.org/spreadsheetml/2006/main" name="ExternalData_1918" connectionId="1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8.xml><?xml version="1.0" encoding="utf-8"?>
<queryTable xmlns="http://schemas.openxmlformats.org/spreadsheetml/2006/main" name="ExternalData_1932" connectionId="2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19.xml><?xml version="1.0" encoding="utf-8"?>
<queryTable xmlns="http://schemas.openxmlformats.org/spreadsheetml/2006/main" name="ExternalData_1689" connectionId="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0.xml><?xml version="1.0" encoding="utf-8"?>
<queryTable xmlns="http://schemas.openxmlformats.org/spreadsheetml/2006/main" name="ExternalData_1969" connectionId="2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1.xml><?xml version="1.0" encoding="utf-8"?>
<queryTable xmlns="http://schemas.openxmlformats.org/spreadsheetml/2006/main" name="ExternalData_2287" connectionId="6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2.xml><?xml version="1.0" encoding="utf-8"?>
<queryTable xmlns="http://schemas.openxmlformats.org/spreadsheetml/2006/main" name="ExternalData_1871" firstBackgroundRefresh="1" connectionId="1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23.xml><?xml version="1.0" encoding="utf-8"?>
<queryTable xmlns="http://schemas.openxmlformats.org/spreadsheetml/2006/main" name="ExternalData_2031" connectionId="3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4.xml><?xml version="1.0" encoding="utf-8"?>
<queryTable xmlns="http://schemas.openxmlformats.org/spreadsheetml/2006/main" name="ExternalData_1864" connectionId="1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5.xml><?xml version="1.0" encoding="utf-8"?>
<queryTable xmlns="http://schemas.openxmlformats.org/spreadsheetml/2006/main" name="ExternalData_2282" connectionId="6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6.xml><?xml version="1.0" encoding="utf-8"?>
<queryTable xmlns="http://schemas.openxmlformats.org/spreadsheetml/2006/main" name="ExternalData_1965" connectionId="2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7.xml><?xml version="1.0" encoding="utf-8"?>
<queryTable xmlns="http://schemas.openxmlformats.org/spreadsheetml/2006/main" name="ExternalData_1903" connectionId="1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8.xml><?xml version="1.0" encoding="utf-8"?>
<queryTable xmlns="http://schemas.openxmlformats.org/spreadsheetml/2006/main" name="ExternalData_1774" connectionId="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29.xml><?xml version="1.0" encoding="utf-8"?>
<queryTable xmlns="http://schemas.openxmlformats.org/spreadsheetml/2006/main" name="ExternalData_1990" connectionId="2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0.xml><?xml version="1.0" encoding="utf-8"?>
<queryTable xmlns="http://schemas.openxmlformats.org/spreadsheetml/2006/main" name="ExternalData_2036" connectionId="3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1.xml><?xml version="1.0" encoding="utf-8"?>
<queryTable xmlns="http://schemas.openxmlformats.org/spreadsheetml/2006/main" name="ExternalData_1762" connectionId="6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2.xml><?xml version="1.0" encoding="utf-8"?>
<queryTable xmlns="http://schemas.openxmlformats.org/spreadsheetml/2006/main" name="ExternalData_2155" connectionId="4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3.xml><?xml version="1.0" encoding="utf-8"?>
<queryTable xmlns="http://schemas.openxmlformats.org/spreadsheetml/2006/main" name="ExternalData_2218" connectionId="5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4.xml><?xml version="1.0" encoding="utf-8"?>
<queryTable xmlns="http://schemas.openxmlformats.org/spreadsheetml/2006/main" name="ExternalData_1731" connectionId="5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5.xml><?xml version="1.0" encoding="utf-8"?>
<queryTable xmlns="http://schemas.openxmlformats.org/spreadsheetml/2006/main" name="ExternalData_2092" connectionId="3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6.xml><?xml version="1.0" encoding="utf-8"?>
<queryTable xmlns="http://schemas.openxmlformats.org/spreadsheetml/2006/main" name="ExternalData_1706" connectionId="2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7.xml><?xml version="1.0" encoding="utf-8"?>
<queryTable xmlns="http://schemas.openxmlformats.org/spreadsheetml/2006/main" name="ExternalData_2046" connectionId="3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8.xml><?xml version="1.0" encoding="utf-8"?>
<queryTable xmlns="http://schemas.openxmlformats.org/spreadsheetml/2006/main" name="ExternalData_1915" connectionId="1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39.xml><?xml version="1.0" encoding="utf-8"?>
<queryTable xmlns="http://schemas.openxmlformats.org/spreadsheetml/2006/main" name="ExternalData_1840" connectionId="1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0.xml><?xml version="1.0" encoding="utf-8"?>
<queryTable xmlns="http://schemas.openxmlformats.org/spreadsheetml/2006/main" name="ExternalData_1755" connectionId="6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1.xml><?xml version="1.0" encoding="utf-8"?>
<queryTable xmlns="http://schemas.openxmlformats.org/spreadsheetml/2006/main" name="ExternalData_2205" connectionId="5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2.xml><?xml version="1.0" encoding="utf-8"?>
<queryTable xmlns="http://schemas.openxmlformats.org/spreadsheetml/2006/main" name="ExternalData_1738" connectionId="6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3.xml><?xml version="1.0" encoding="utf-8"?>
<queryTable xmlns="http://schemas.openxmlformats.org/spreadsheetml/2006/main" name="ExternalData_1937" connectionId="2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4.xml><?xml version="1.0" encoding="utf-8"?>
<queryTable xmlns="http://schemas.openxmlformats.org/spreadsheetml/2006/main" name="ExternalData_1843" connectionId="1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5.xml><?xml version="1.0" encoding="utf-8"?>
<queryTable xmlns="http://schemas.openxmlformats.org/spreadsheetml/2006/main" name="ExternalData_2221" connectionId="5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6.xml><?xml version="1.0" encoding="utf-8"?>
<queryTable xmlns="http://schemas.openxmlformats.org/spreadsheetml/2006/main" name="ExternalData_1766" connectionId="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7.xml><?xml version="1.0" encoding="utf-8"?>
<queryTable xmlns="http://schemas.openxmlformats.org/spreadsheetml/2006/main" name="ExternalData_1825" connectionId="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8.xml><?xml version="1.0" encoding="utf-8"?>
<queryTable xmlns="http://schemas.openxmlformats.org/spreadsheetml/2006/main" name="ExternalData_1926" connectionId="2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49.xml><?xml version="1.0" encoding="utf-8"?>
<queryTable xmlns="http://schemas.openxmlformats.org/spreadsheetml/2006/main" name="ExternalData_2059" connectionId="3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0.xml><?xml version="1.0" encoding="utf-8"?>
<queryTable xmlns="http://schemas.openxmlformats.org/spreadsheetml/2006/main" name="ExternalData_2049" connectionId="3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1.xml><?xml version="1.0" encoding="utf-8"?>
<queryTable xmlns="http://schemas.openxmlformats.org/spreadsheetml/2006/main" name="ExternalData_1759" connectionId="6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2.xml><?xml version="1.0" encoding="utf-8"?>
<queryTable xmlns="http://schemas.openxmlformats.org/spreadsheetml/2006/main" name="ExternalData_1824" connectionId="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3.xml><?xml version="1.0" encoding="utf-8"?>
<queryTable xmlns="http://schemas.openxmlformats.org/spreadsheetml/2006/main" name="ExternalData_1753" connectionId="6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4.xml><?xml version="1.0" encoding="utf-8"?>
<queryTable xmlns="http://schemas.openxmlformats.org/spreadsheetml/2006/main" name="ExternalData_1971" connectionId="2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5.xml><?xml version="1.0" encoding="utf-8"?>
<queryTable xmlns="http://schemas.openxmlformats.org/spreadsheetml/2006/main" name="ExternalData_2006" connectionId="2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6.xml><?xml version="1.0" encoding="utf-8"?>
<queryTable xmlns="http://schemas.openxmlformats.org/spreadsheetml/2006/main" name="ExternalData_1677" connectionId="1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7.xml><?xml version="1.0" encoding="utf-8"?>
<queryTable xmlns="http://schemas.openxmlformats.org/spreadsheetml/2006/main" name="ExternalData_2204" connectionId="5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8.xml><?xml version="1.0" encoding="utf-8"?>
<queryTable xmlns="http://schemas.openxmlformats.org/spreadsheetml/2006/main" name="ExternalData_1785" connectionId="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59.xml><?xml version="1.0" encoding="utf-8"?>
<queryTable xmlns="http://schemas.openxmlformats.org/spreadsheetml/2006/main" name="ExternalData_1989" connectionId="2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0.xml><?xml version="1.0" encoding="utf-8"?>
<queryTable xmlns="http://schemas.openxmlformats.org/spreadsheetml/2006/main" name="ExternalData_1949" connectionId="2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1.xml><?xml version="1.0" encoding="utf-8"?>
<queryTable xmlns="http://schemas.openxmlformats.org/spreadsheetml/2006/main" name="ExternalData_2222" connectionId="5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2.xml><?xml version="1.0" encoding="utf-8"?>
<queryTable xmlns="http://schemas.openxmlformats.org/spreadsheetml/2006/main" name="ExternalData_1852" connectionId="1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3.xml><?xml version="1.0" encoding="utf-8"?>
<queryTable xmlns="http://schemas.openxmlformats.org/spreadsheetml/2006/main" name="ExternalData_1872" firstBackgroundRefresh="1" connectionId="142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164.xml><?xml version="1.0" encoding="utf-8"?>
<queryTable xmlns="http://schemas.openxmlformats.org/spreadsheetml/2006/main" name="ExternalData_1867" connectionId="1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5.xml><?xml version="1.0" encoding="utf-8"?>
<queryTable xmlns="http://schemas.openxmlformats.org/spreadsheetml/2006/main" name="ExternalData_2124" connectionId="4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6.xml><?xml version="1.0" encoding="utf-8"?>
<queryTable xmlns="http://schemas.openxmlformats.org/spreadsheetml/2006/main" name="ExternalData_2017" connectionId="3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7.xml><?xml version="1.0" encoding="utf-8"?>
<queryTable xmlns="http://schemas.openxmlformats.org/spreadsheetml/2006/main" name="ExternalData_1696" connectionId="1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8.xml><?xml version="1.0" encoding="utf-8"?>
<queryTable xmlns="http://schemas.openxmlformats.org/spreadsheetml/2006/main" name="ExternalData_2195" connectionId="5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69.xml><?xml version="1.0" encoding="utf-8"?>
<queryTable xmlns="http://schemas.openxmlformats.org/spreadsheetml/2006/main" name="ExternalData_2127" connectionId="4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0.xml><?xml version="1.0" encoding="utf-8"?>
<queryTable xmlns="http://schemas.openxmlformats.org/spreadsheetml/2006/main" name="ExternalData_1887" connectionId="1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1.xml><?xml version="1.0" encoding="utf-8"?>
<queryTable xmlns="http://schemas.openxmlformats.org/spreadsheetml/2006/main" name="ExternalData_2153" connectionId="4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2.xml><?xml version="1.0" encoding="utf-8"?>
<queryTable xmlns="http://schemas.openxmlformats.org/spreadsheetml/2006/main" name="ExternalData_1919" connectionId="1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3.xml><?xml version="1.0" encoding="utf-8"?>
<queryTable xmlns="http://schemas.openxmlformats.org/spreadsheetml/2006/main" name="ExternalData_2063" connectionId="3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4.xml><?xml version="1.0" encoding="utf-8"?>
<queryTable xmlns="http://schemas.openxmlformats.org/spreadsheetml/2006/main" name="ExternalData_2043" connectionId="3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5.xml><?xml version="1.0" encoding="utf-8"?>
<queryTable xmlns="http://schemas.openxmlformats.org/spreadsheetml/2006/main" name="ExternalData_2215" connectionId="5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6.xml><?xml version="1.0" encoding="utf-8"?>
<queryTable xmlns="http://schemas.openxmlformats.org/spreadsheetml/2006/main" name="ExternalData_1847" connectionId="1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7.xml><?xml version="1.0" encoding="utf-8"?>
<queryTable xmlns="http://schemas.openxmlformats.org/spreadsheetml/2006/main" name="ExternalData_2260" connectionId="5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8.xml><?xml version="1.0" encoding="utf-8"?>
<queryTable xmlns="http://schemas.openxmlformats.org/spreadsheetml/2006/main" name="ExternalData_2050" connectionId="3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79.xml><?xml version="1.0" encoding="utf-8"?>
<queryTable xmlns="http://schemas.openxmlformats.org/spreadsheetml/2006/main" name="ExternalData_1945" connectionId="2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0.xml><?xml version="1.0" encoding="utf-8"?>
<queryTable xmlns="http://schemas.openxmlformats.org/spreadsheetml/2006/main" name="ExternalData_1893" connectionId="1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1.xml><?xml version="1.0" encoding="utf-8"?>
<queryTable xmlns="http://schemas.openxmlformats.org/spreadsheetml/2006/main" name="ExternalData_1987" connectionId="2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2.xml><?xml version="1.0" encoding="utf-8"?>
<queryTable xmlns="http://schemas.openxmlformats.org/spreadsheetml/2006/main" name="ExternalData_1880" connectionId="1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3.xml><?xml version="1.0" encoding="utf-8"?>
<queryTable xmlns="http://schemas.openxmlformats.org/spreadsheetml/2006/main" name="ExternalData_2041" connectionId="3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4.xml><?xml version="1.0" encoding="utf-8"?>
<queryTable xmlns="http://schemas.openxmlformats.org/spreadsheetml/2006/main" name="ExternalData_2242" connectionId="5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5.xml><?xml version="1.0" encoding="utf-8"?>
<queryTable xmlns="http://schemas.openxmlformats.org/spreadsheetml/2006/main" name="ExternalData_1892" connectionId="1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6.xml><?xml version="1.0" encoding="utf-8"?>
<queryTable xmlns="http://schemas.openxmlformats.org/spreadsheetml/2006/main" name="ExternalData_2240" connectionId="5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7.xml><?xml version="1.0" encoding="utf-8"?>
<queryTable xmlns="http://schemas.openxmlformats.org/spreadsheetml/2006/main" name="ExternalData_1917" connectionId="1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8.xml><?xml version="1.0" encoding="utf-8"?>
<queryTable xmlns="http://schemas.openxmlformats.org/spreadsheetml/2006/main" name="ExternalData_2097" connectionId="3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89.xml><?xml version="1.0" encoding="utf-8"?>
<queryTable xmlns="http://schemas.openxmlformats.org/spreadsheetml/2006/main" name="ExternalData_2032" connectionId="3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0.xml><?xml version="1.0" encoding="utf-8"?>
<queryTable xmlns="http://schemas.openxmlformats.org/spreadsheetml/2006/main" name="ExternalData_2173" connectionId="4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1.xml><?xml version="1.0" encoding="utf-8"?>
<queryTable xmlns="http://schemas.openxmlformats.org/spreadsheetml/2006/main" name="ExternalData_1982" connectionId="2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2.xml><?xml version="1.0" encoding="utf-8"?>
<queryTable xmlns="http://schemas.openxmlformats.org/spreadsheetml/2006/main" name="ExternalData_2080" connectionId="3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3.xml><?xml version="1.0" encoding="utf-8"?>
<queryTable xmlns="http://schemas.openxmlformats.org/spreadsheetml/2006/main" name="ExternalData_2166" connectionId="4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4.xml><?xml version="1.0" encoding="utf-8"?>
<queryTable xmlns="http://schemas.openxmlformats.org/spreadsheetml/2006/main" name="ExternalData_1881" connectionId="1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5.xml><?xml version="1.0" encoding="utf-8"?>
<queryTable xmlns="http://schemas.openxmlformats.org/spreadsheetml/2006/main" name="ExternalData_1941" connectionId="2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6.xml><?xml version="1.0" encoding="utf-8"?>
<queryTable xmlns="http://schemas.openxmlformats.org/spreadsheetml/2006/main" name="ExternalData_2056" connectionId="3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7.xml><?xml version="1.0" encoding="utf-8"?>
<queryTable xmlns="http://schemas.openxmlformats.org/spreadsheetml/2006/main" name="ExternalData_2188" connectionId="4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8.xml><?xml version="1.0" encoding="utf-8"?>
<queryTable xmlns="http://schemas.openxmlformats.org/spreadsheetml/2006/main" name="ExternalData_2186" connectionId="4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199.xml><?xml version="1.0" encoding="utf-8"?>
<queryTable xmlns="http://schemas.openxmlformats.org/spreadsheetml/2006/main" name="ExternalData_2054" connectionId="3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0.xml><?xml version="1.0" encoding="utf-8"?>
<queryTable xmlns="http://schemas.openxmlformats.org/spreadsheetml/2006/main" name="ExternalData_2018" connectionId="3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1.xml><?xml version="1.0" encoding="utf-8"?>
<queryTable xmlns="http://schemas.openxmlformats.org/spreadsheetml/2006/main" name="ExternalData_2060" connectionId="3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2.xml><?xml version="1.0" encoding="utf-8"?>
<queryTable xmlns="http://schemas.openxmlformats.org/spreadsheetml/2006/main" name="ExternalData_1988" connectionId="2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3.xml><?xml version="1.0" encoding="utf-8"?>
<queryTable xmlns="http://schemas.openxmlformats.org/spreadsheetml/2006/main" name="ExternalData_1770" connectionId="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4.xml><?xml version="1.0" encoding="utf-8"?>
<queryTable xmlns="http://schemas.openxmlformats.org/spreadsheetml/2006/main" name="ExternalData_1939" connectionId="2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5.xml><?xml version="1.0" encoding="utf-8"?>
<queryTable xmlns="http://schemas.openxmlformats.org/spreadsheetml/2006/main" name="ExternalData_1801" connectionId="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6.xml><?xml version="1.0" encoding="utf-8"?>
<queryTable xmlns="http://schemas.openxmlformats.org/spreadsheetml/2006/main" name="ExternalData_1748" connectionId="6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7.xml><?xml version="1.0" encoding="utf-8"?>
<queryTable xmlns="http://schemas.openxmlformats.org/spreadsheetml/2006/main" name="ExternalData_1980" connectionId="2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8.xml><?xml version="1.0" encoding="utf-8"?>
<queryTable xmlns="http://schemas.openxmlformats.org/spreadsheetml/2006/main" name="ExternalData_1802" connectionId="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09.xml><?xml version="1.0" encoding="utf-8"?>
<queryTable xmlns="http://schemas.openxmlformats.org/spreadsheetml/2006/main" name="ExternalData_2093" connectionId="3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0.xml><?xml version="1.0" encoding="utf-8"?>
<queryTable xmlns="http://schemas.openxmlformats.org/spreadsheetml/2006/main" name="ExternalData_2289" connectionId="6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1.xml><?xml version="1.0" encoding="utf-8"?>
<queryTable xmlns="http://schemas.openxmlformats.org/spreadsheetml/2006/main" name="ExternalData_2246" connectionId="5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2.xml><?xml version="1.0" encoding="utf-8"?>
<queryTable xmlns="http://schemas.openxmlformats.org/spreadsheetml/2006/main" name="ExternalData_2295" connectionId="6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3.xml><?xml version="1.0" encoding="utf-8"?>
<queryTable xmlns="http://schemas.openxmlformats.org/spreadsheetml/2006/main" name="ExternalData_1676" connectionId="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4.xml><?xml version="1.0" encoding="utf-8"?>
<queryTable xmlns="http://schemas.openxmlformats.org/spreadsheetml/2006/main" name="ExternalData_1792" connectionId="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5.xml><?xml version="1.0" encoding="utf-8"?>
<queryTable xmlns="http://schemas.openxmlformats.org/spreadsheetml/2006/main" name="ExternalData_1765" connectionId="6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6.xml><?xml version="1.0" encoding="utf-8"?>
<queryTable xmlns="http://schemas.openxmlformats.org/spreadsheetml/2006/main" name="ExternalData_1865" connectionId="1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7.xml><?xml version="1.0" encoding="utf-8"?>
<queryTable xmlns="http://schemas.openxmlformats.org/spreadsheetml/2006/main" name="ExternalData_1866" connectionId="1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8.xml><?xml version="1.0" encoding="utf-8"?>
<queryTable xmlns="http://schemas.openxmlformats.org/spreadsheetml/2006/main" name="ExternalData_1938" connectionId="2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19.xml><?xml version="1.0" encoding="utf-8"?>
<queryTable xmlns="http://schemas.openxmlformats.org/spreadsheetml/2006/main" name="ExternalData_1740" connectionId="6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0.xml><?xml version="1.0" encoding="utf-8"?>
<queryTable xmlns="http://schemas.openxmlformats.org/spreadsheetml/2006/main" name="ExternalData_1769" connectionId="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1.xml><?xml version="1.0" encoding="utf-8"?>
<queryTable xmlns="http://schemas.openxmlformats.org/spreadsheetml/2006/main" name="ExternalData_1934" connectionId="2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2.xml><?xml version="1.0" encoding="utf-8"?>
<queryTable xmlns="http://schemas.openxmlformats.org/spreadsheetml/2006/main" name="ExternalData_1874" connectionId="1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3.xml><?xml version="1.0" encoding="utf-8"?>
<queryTable xmlns="http://schemas.openxmlformats.org/spreadsheetml/2006/main" name="ExternalData_2086" connectionId="3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4.xml><?xml version="1.0" encoding="utf-8"?>
<queryTable xmlns="http://schemas.openxmlformats.org/spreadsheetml/2006/main" name="ExternalData_1860" connectionId="1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5.xml><?xml version="1.0" encoding="utf-8"?>
<queryTable xmlns="http://schemas.openxmlformats.org/spreadsheetml/2006/main" name="ExternalData_1775" connectionId="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6.xml><?xml version="1.0" encoding="utf-8"?>
<queryTable xmlns="http://schemas.openxmlformats.org/spreadsheetml/2006/main" name="ExternalData_1734" connectionId="6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7.xml><?xml version="1.0" encoding="utf-8"?>
<queryTable xmlns="http://schemas.openxmlformats.org/spreadsheetml/2006/main" name="ExternalData_2122" connectionId="4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8.xml><?xml version="1.0" encoding="utf-8"?>
<queryTable xmlns="http://schemas.openxmlformats.org/spreadsheetml/2006/main" name="ExternalData_1954" connectionId="2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29.xml><?xml version="1.0" encoding="utf-8"?>
<queryTable xmlns="http://schemas.openxmlformats.org/spreadsheetml/2006/main" name="ExternalData_1790" connectionId="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0.xml><?xml version="1.0" encoding="utf-8"?>
<queryTable xmlns="http://schemas.openxmlformats.org/spreadsheetml/2006/main" name="ExternalData_2078" connectionId="3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1.xml><?xml version="1.0" encoding="utf-8"?>
<queryTable xmlns="http://schemas.openxmlformats.org/spreadsheetml/2006/main" name="ExternalData_1725" connectionId="5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2.xml><?xml version="1.0" encoding="utf-8"?>
<queryTable xmlns="http://schemas.openxmlformats.org/spreadsheetml/2006/main" name="ExternalData_2183" connectionId="4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3.xml><?xml version="1.0" encoding="utf-8"?>
<queryTable xmlns="http://schemas.openxmlformats.org/spreadsheetml/2006/main" name="ExternalData_1964" connectionId="2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4.xml><?xml version="1.0" encoding="utf-8"?>
<queryTable xmlns="http://schemas.openxmlformats.org/spreadsheetml/2006/main" name="ExternalData_1680" connectionId="4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5.xml><?xml version="1.0" encoding="utf-8"?>
<queryTable xmlns="http://schemas.openxmlformats.org/spreadsheetml/2006/main" name="ExternalData_2014" connectionId="3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6.xml><?xml version="1.0" encoding="utf-8"?>
<queryTable xmlns="http://schemas.openxmlformats.org/spreadsheetml/2006/main" name="ExternalData_2065" connectionId="3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7.xml><?xml version="1.0" encoding="utf-8"?>
<queryTable xmlns="http://schemas.openxmlformats.org/spreadsheetml/2006/main" name="ExternalData_2243" connectionId="5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8.xml><?xml version="1.0" encoding="utf-8"?>
<queryTable xmlns="http://schemas.openxmlformats.org/spreadsheetml/2006/main" name="ExternalData_2008" connectionId="2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39.xml><?xml version="1.0" encoding="utf-8"?>
<queryTable xmlns="http://schemas.openxmlformats.org/spreadsheetml/2006/main" name="ExternalData_1995" connectionId="2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0.xml><?xml version="1.0" encoding="utf-8"?>
<queryTable xmlns="http://schemas.openxmlformats.org/spreadsheetml/2006/main" name="ExternalData_1901" connectionId="1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1.xml><?xml version="1.0" encoding="utf-8"?>
<queryTable xmlns="http://schemas.openxmlformats.org/spreadsheetml/2006/main" name="ExternalData_1837" connectionId="1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2.xml><?xml version="1.0" encoding="utf-8"?>
<queryTable xmlns="http://schemas.openxmlformats.org/spreadsheetml/2006/main" name="ExternalData_1904" connectionId="1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3.xml><?xml version="1.0" encoding="utf-8"?>
<queryTable xmlns="http://schemas.openxmlformats.org/spreadsheetml/2006/main" name="ExternalData_1891" connectionId="1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4.xml><?xml version="1.0" encoding="utf-8"?>
<queryTable xmlns="http://schemas.openxmlformats.org/spreadsheetml/2006/main" name="ExternalData_2062" connectionId="3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5.xml><?xml version="1.0" encoding="utf-8"?>
<queryTable xmlns="http://schemas.openxmlformats.org/spreadsheetml/2006/main" name="ExternalData_1959" firstBackgroundRefresh="1" connectionId="241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246.xml><?xml version="1.0" encoding="utf-8"?>
<queryTable xmlns="http://schemas.openxmlformats.org/spreadsheetml/2006/main" name="ExternalData_2281" connectionId="6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7.xml><?xml version="1.0" encoding="utf-8"?>
<queryTable xmlns="http://schemas.openxmlformats.org/spreadsheetml/2006/main" name="ExternalData_1702" connectionId="2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8.xml><?xml version="1.0" encoding="utf-8"?>
<queryTable xmlns="http://schemas.openxmlformats.org/spreadsheetml/2006/main" name="ExternalData_1729" connectionId="5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49.xml><?xml version="1.0" encoding="utf-8"?>
<queryTable xmlns="http://schemas.openxmlformats.org/spreadsheetml/2006/main" name="ExternalData_2125" connectionId="4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0.xml><?xml version="1.0" encoding="utf-8"?>
<queryTable xmlns="http://schemas.openxmlformats.org/spreadsheetml/2006/main" name="ExternalData_2134" connectionId="4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1.xml><?xml version="1.0" encoding="utf-8"?>
<queryTable xmlns="http://schemas.openxmlformats.org/spreadsheetml/2006/main" name="ExternalData_2296" connectionId="6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2.xml><?xml version="1.0" encoding="utf-8"?>
<queryTable xmlns="http://schemas.openxmlformats.org/spreadsheetml/2006/main" name="ExternalData_1749" connectionId="6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3.xml><?xml version="1.0" encoding="utf-8"?>
<queryTable xmlns="http://schemas.openxmlformats.org/spreadsheetml/2006/main" name="ExternalData_1670" connectionId="87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254.xml><?xml version="1.0" encoding="utf-8"?>
<queryTable xmlns="http://schemas.openxmlformats.org/spreadsheetml/2006/main" name="ExternalData_1698" connectionId="1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5.xml><?xml version="1.0" encoding="utf-8"?>
<queryTable xmlns="http://schemas.openxmlformats.org/spreadsheetml/2006/main" name="ExternalData_2010" connectionId="2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6.xml><?xml version="1.0" encoding="utf-8"?>
<queryTable xmlns="http://schemas.openxmlformats.org/spreadsheetml/2006/main" name="ExternalData_2229" connectionId="5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7.xml><?xml version="1.0" encoding="utf-8"?>
<queryTable xmlns="http://schemas.openxmlformats.org/spreadsheetml/2006/main" name="ExternalData_2144" connectionId="4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8.xml><?xml version="1.0" encoding="utf-8"?>
<queryTable xmlns="http://schemas.openxmlformats.org/spreadsheetml/2006/main" name="ExternalData_1708" connectionId="2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59.xml><?xml version="1.0" encoding="utf-8"?>
<queryTable xmlns="http://schemas.openxmlformats.org/spreadsheetml/2006/main" name="ExternalData_1756" connectionId="6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0.xml><?xml version="1.0" encoding="utf-8"?>
<queryTable xmlns="http://schemas.openxmlformats.org/spreadsheetml/2006/main" name="ExternalData_1732" connectionId="5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1.xml><?xml version="1.0" encoding="utf-8"?>
<queryTable xmlns="http://schemas.openxmlformats.org/spreadsheetml/2006/main" name="ExternalData_1848" connectionId="1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2.xml><?xml version="1.0" encoding="utf-8"?>
<queryTable xmlns="http://schemas.openxmlformats.org/spreadsheetml/2006/main" name="ExternalData_2133" connectionId="4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3.xml><?xml version="1.0" encoding="utf-8"?>
<queryTable xmlns="http://schemas.openxmlformats.org/spreadsheetml/2006/main" name="ExternalData_2159" connectionId="4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4.xml><?xml version="1.0" encoding="utf-8"?>
<queryTable xmlns="http://schemas.openxmlformats.org/spreadsheetml/2006/main" name="ExternalData_2227" connectionId="5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5.xml><?xml version="1.0" encoding="utf-8"?>
<queryTable xmlns="http://schemas.openxmlformats.org/spreadsheetml/2006/main" name="ExternalData_2207" connectionId="5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6.xml><?xml version="1.0" encoding="utf-8"?>
<queryTable xmlns="http://schemas.openxmlformats.org/spreadsheetml/2006/main" name="ExternalData_1701" connectionId="1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7.xml><?xml version="1.0" encoding="utf-8"?>
<queryTable xmlns="http://schemas.openxmlformats.org/spreadsheetml/2006/main" name="ExternalData_1816" connectionId="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8.xml><?xml version="1.0" encoding="utf-8"?>
<queryTable xmlns="http://schemas.openxmlformats.org/spreadsheetml/2006/main" name="ExternalData_2189" connectionId="4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69.xml><?xml version="1.0" encoding="utf-8"?>
<queryTable xmlns="http://schemas.openxmlformats.org/spreadsheetml/2006/main" name="ExternalData_1752" connectionId="6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0.xml><?xml version="1.0" encoding="utf-8"?>
<queryTable xmlns="http://schemas.openxmlformats.org/spreadsheetml/2006/main" name="ExternalData_1694" connectionId="1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1.xml><?xml version="1.0" encoding="utf-8"?>
<queryTable xmlns="http://schemas.openxmlformats.org/spreadsheetml/2006/main" name="ExternalData_1819" connectionId="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2.xml><?xml version="1.0" encoding="utf-8"?>
<queryTable xmlns="http://schemas.openxmlformats.org/spreadsheetml/2006/main" name="ExternalData_1711" connectionId="3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3.xml><?xml version="1.0" encoding="utf-8"?>
<queryTable xmlns="http://schemas.openxmlformats.org/spreadsheetml/2006/main" name="ExternalData_1996" connectionId="2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4.xml><?xml version="1.0" encoding="utf-8"?>
<queryTable xmlns="http://schemas.openxmlformats.org/spreadsheetml/2006/main" name="ExternalData_1875" connectionId="1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5.xml><?xml version="1.0" encoding="utf-8"?>
<queryTable xmlns="http://schemas.openxmlformats.org/spreadsheetml/2006/main" name="ExternalData_2262" connectionId="5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6.xml><?xml version="1.0" encoding="utf-8"?>
<queryTable xmlns="http://schemas.openxmlformats.org/spreadsheetml/2006/main" name="ExternalData_1809" connectionId="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7.xml><?xml version="1.0" encoding="utf-8"?>
<queryTable xmlns="http://schemas.openxmlformats.org/spreadsheetml/2006/main" name="ExternalData_2138" connectionId="44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8.xml><?xml version="1.0" encoding="utf-8"?>
<queryTable xmlns="http://schemas.openxmlformats.org/spreadsheetml/2006/main" name="ExternalData_1986" connectionId="2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79.xml><?xml version="1.0" encoding="utf-8"?>
<queryTable xmlns="http://schemas.openxmlformats.org/spreadsheetml/2006/main" name="ExternalData_1730" connectionId="5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0.xml><?xml version="1.0" encoding="utf-8"?>
<queryTable xmlns="http://schemas.openxmlformats.org/spreadsheetml/2006/main" name="ExternalData_1690" connectionId="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1.xml><?xml version="1.0" encoding="utf-8"?>
<queryTable xmlns="http://schemas.openxmlformats.org/spreadsheetml/2006/main" name="ExternalData_1950" connectionId="2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2.xml><?xml version="1.0" encoding="utf-8"?>
<queryTable xmlns="http://schemas.openxmlformats.org/spreadsheetml/2006/main" name="ExternalData_2038" connectionId="3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3.xml><?xml version="1.0" encoding="utf-8"?>
<queryTable xmlns="http://schemas.openxmlformats.org/spreadsheetml/2006/main" name="ExternalData_2178" connectionId="4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4.xml><?xml version="1.0" encoding="utf-8"?>
<queryTable xmlns="http://schemas.openxmlformats.org/spreadsheetml/2006/main" name="ExternalData_2040" connectionId="3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5.xml><?xml version="1.0" encoding="utf-8"?>
<queryTable xmlns="http://schemas.openxmlformats.org/spreadsheetml/2006/main" name="ExternalData_1791" connectionId="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6.xml><?xml version="1.0" encoding="utf-8"?>
<queryTable xmlns="http://schemas.openxmlformats.org/spreadsheetml/2006/main" name="ExternalData_1883" connectionId="1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7.xml><?xml version="1.0" encoding="utf-8"?>
<queryTable xmlns="http://schemas.openxmlformats.org/spreadsheetml/2006/main" name="ExternalData_1851" connectionId="1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8.xml><?xml version="1.0" encoding="utf-8"?>
<queryTable xmlns="http://schemas.openxmlformats.org/spreadsheetml/2006/main" name="ExternalData_2005" connectionId="2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89.xml><?xml version="1.0" encoding="utf-8"?>
<queryTable xmlns="http://schemas.openxmlformats.org/spreadsheetml/2006/main" name="ExternalData_1810" connectionId="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0.xml><?xml version="1.0" encoding="utf-8"?>
<queryTable xmlns="http://schemas.openxmlformats.org/spreadsheetml/2006/main" name="ExternalData_2096" connectionId="3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1.xml><?xml version="1.0" encoding="utf-8"?>
<queryTable xmlns="http://schemas.openxmlformats.org/spreadsheetml/2006/main" name="ExternalData_1747" connectionId="6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2.xml><?xml version="1.0" encoding="utf-8"?>
<queryTable xmlns="http://schemas.openxmlformats.org/spreadsheetml/2006/main" name="ExternalData_1909" connectionId="1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3.xml><?xml version="1.0" encoding="utf-8"?>
<queryTable xmlns="http://schemas.openxmlformats.org/spreadsheetml/2006/main" name="ExternalData_1853" connectionId="1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4.xml><?xml version="1.0" encoding="utf-8"?>
<queryTable xmlns="http://schemas.openxmlformats.org/spreadsheetml/2006/main" name="ExternalData_2021" connectionId="3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5.xml><?xml version="1.0" encoding="utf-8"?>
<queryTable xmlns="http://schemas.openxmlformats.org/spreadsheetml/2006/main" name="ExternalData_2072" connectionId="3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6.xml><?xml version="1.0" encoding="utf-8"?>
<queryTable xmlns="http://schemas.openxmlformats.org/spreadsheetml/2006/main" name="ExternalData_2015" connectionId="3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7.xml><?xml version="1.0" encoding="utf-8"?>
<queryTable xmlns="http://schemas.openxmlformats.org/spreadsheetml/2006/main" name="ExternalData_2294" connectionId="6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8.xml><?xml version="1.0" encoding="utf-8"?>
<queryTable xmlns="http://schemas.openxmlformats.org/spreadsheetml/2006/main" name="ExternalData_1979" connectionId="2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299.xml><?xml version="1.0" encoding="utf-8"?>
<queryTable xmlns="http://schemas.openxmlformats.org/spreadsheetml/2006/main" name="ExternalData_1704" connectionId="22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0.xml><?xml version="1.0" encoding="utf-8"?>
<queryTable xmlns="http://schemas.openxmlformats.org/spreadsheetml/2006/main" name="ExternalData_1908" connectionId="1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1.xml><?xml version="1.0" encoding="utf-8"?>
<queryTable xmlns="http://schemas.openxmlformats.org/spreadsheetml/2006/main" name="ExternalData_1897" connectionId="1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2.xml><?xml version="1.0" encoding="utf-8"?>
<queryTable xmlns="http://schemas.openxmlformats.org/spreadsheetml/2006/main" name="ExternalData_2111" connectionId="4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3.xml><?xml version="1.0" encoding="utf-8"?>
<queryTable xmlns="http://schemas.openxmlformats.org/spreadsheetml/2006/main" name="ExternalData_2103" connectionId="40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4.xml><?xml version="1.0" encoding="utf-8"?>
<queryTable xmlns="http://schemas.openxmlformats.org/spreadsheetml/2006/main" name="ExternalData_1674" connectionId="91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05.xml><?xml version="1.0" encoding="utf-8"?>
<queryTable xmlns="http://schemas.openxmlformats.org/spreadsheetml/2006/main" name="ExternalData_2169" connectionId="4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6.xml><?xml version="1.0" encoding="utf-8"?>
<queryTable xmlns="http://schemas.openxmlformats.org/spreadsheetml/2006/main" name="ExternalData_2165" connectionId="4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7.xml><?xml version="1.0" encoding="utf-8"?>
<queryTable xmlns="http://schemas.openxmlformats.org/spreadsheetml/2006/main" name="ExternalData_1906" connectionId="1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8.xml><?xml version="1.0" encoding="utf-8"?>
<queryTable xmlns="http://schemas.openxmlformats.org/spreadsheetml/2006/main" name="ExternalData_2237" connectionId="5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09.xml><?xml version="1.0" encoding="utf-8"?>
<queryTable xmlns="http://schemas.openxmlformats.org/spreadsheetml/2006/main" name="ExternalData_1885" connectionId="1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0.xml><?xml version="1.0" encoding="utf-8"?>
<queryTable xmlns="http://schemas.openxmlformats.org/spreadsheetml/2006/main" name="ExternalData_2064" connectionId="3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1.xml><?xml version="1.0" encoding="utf-8"?>
<queryTable xmlns="http://schemas.openxmlformats.org/spreadsheetml/2006/main" name="ExternalData_2055" connectionId="3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2.xml><?xml version="1.0" encoding="utf-8"?>
<queryTable xmlns="http://schemas.openxmlformats.org/spreadsheetml/2006/main" name="ExternalData_1789" connectionId="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3.xml><?xml version="1.0" encoding="utf-8"?>
<queryTable xmlns="http://schemas.openxmlformats.org/spreadsheetml/2006/main" name="ExternalData_2234" connectionId="5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4.xml><?xml version="1.0" encoding="utf-8"?>
<queryTable xmlns="http://schemas.openxmlformats.org/spreadsheetml/2006/main" name="ExternalData_2261" connectionId="5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5.xml><?xml version="1.0" encoding="utf-8"?>
<queryTable xmlns="http://schemas.openxmlformats.org/spreadsheetml/2006/main" name="ExternalData_2146" connectionId="4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6.xml><?xml version="1.0" encoding="utf-8"?>
<queryTable xmlns="http://schemas.openxmlformats.org/spreadsheetml/2006/main" name="ExternalData_1973" connectionId="2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7.xml><?xml version="1.0" encoding="utf-8"?>
<queryTable xmlns="http://schemas.openxmlformats.org/spreadsheetml/2006/main" name="ExternalData_1956" connectionId="2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8.xml><?xml version="1.0" encoding="utf-8"?>
<queryTable xmlns="http://schemas.openxmlformats.org/spreadsheetml/2006/main" name="ExternalData_1691" connectionId="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19.xml><?xml version="1.0" encoding="utf-8"?>
<queryTable xmlns="http://schemas.openxmlformats.org/spreadsheetml/2006/main" name="ExternalData_2187" connectionId="4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0.xml><?xml version="1.0" encoding="utf-8"?>
<queryTable xmlns="http://schemas.openxmlformats.org/spreadsheetml/2006/main" name="ExternalData_2275" connectionId="5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1.xml><?xml version="1.0" encoding="utf-8"?>
<queryTable xmlns="http://schemas.openxmlformats.org/spreadsheetml/2006/main" name="ExternalData_2203" connectionId="5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2.xml><?xml version="1.0" encoding="utf-8"?>
<queryTable xmlns="http://schemas.openxmlformats.org/spreadsheetml/2006/main" name="ExternalData_1812" connectionId="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3.xml><?xml version="1.0" encoding="utf-8"?>
<queryTable xmlns="http://schemas.openxmlformats.org/spreadsheetml/2006/main" name="ExternalData_1886" connectionId="1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4.xml><?xml version="1.0" encoding="utf-8"?>
<queryTable xmlns="http://schemas.openxmlformats.org/spreadsheetml/2006/main" name="ExternalData_2258" connectionId="5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5.xml><?xml version="1.0" encoding="utf-8"?>
<queryTable xmlns="http://schemas.openxmlformats.org/spreadsheetml/2006/main" name="ExternalData_2042" connectionId="3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6.xml><?xml version="1.0" encoding="utf-8"?>
<queryTable xmlns="http://schemas.openxmlformats.org/spreadsheetml/2006/main" name="ExternalData_1974" connectionId="2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7.xml><?xml version="1.0" encoding="utf-8"?>
<queryTable xmlns="http://schemas.openxmlformats.org/spreadsheetml/2006/main" name="ExternalData_1931" connectionId="2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8.xml><?xml version="1.0" encoding="utf-8"?>
<queryTable xmlns="http://schemas.openxmlformats.org/spreadsheetml/2006/main" name="ExternalData_2163" connectionId="4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29.xml><?xml version="1.0" encoding="utf-8"?>
<queryTable xmlns="http://schemas.openxmlformats.org/spreadsheetml/2006/main" name="ExternalData_2039" connectionId="3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0.xml><?xml version="1.0" encoding="utf-8"?>
<queryTable xmlns="http://schemas.openxmlformats.org/spreadsheetml/2006/main" name="ExternalData_1942" connectionId="2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1.xml><?xml version="1.0" encoding="utf-8"?>
<queryTable xmlns="http://schemas.openxmlformats.org/spreadsheetml/2006/main" name="ExternalData_1856" connectionId="1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2.xml><?xml version="1.0" encoding="utf-8"?>
<queryTable xmlns="http://schemas.openxmlformats.org/spreadsheetml/2006/main" name="ExternalData_2197" connectionId="5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3.xml><?xml version="1.0" encoding="utf-8"?>
<queryTable xmlns="http://schemas.openxmlformats.org/spreadsheetml/2006/main" name="ExternalData_2150" connectionId="4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4.xml><?xml version="1.0" encoding="utf-8"?>
<queryTable xmlns="http://schemas.openxmlformats.org/spreadsheetml/2006/main" name="ExternalData_1830" connectionId="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5.xml><?xml version="1.0" encoding="utf-8"?>
<queryTable xmlns="http://schemas.openxmlformats.org/spreadsheetml/2006/main" name="ExternalData_2264" connectionId="5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6.xml><?xml version="1.0" encoding="utf-8"?>
<queryTable xmlns="http://schemas.openxmlformats.org/spreadsheetml/2006/main" name="ExternalData_1733" connectionId="5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7.xml><?xml version="1.0" encoding="utf-8"?>
<queryTable xmlns="http://schemas.openxmlformats.org/spreadsheetml/2006/main" name="ExternalData_1697" connectionId="1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8.xml><?xml version="1.0" encoding="utf-8"?>
<queryTable xmlns="http://schemas.openxmlformats.org/spreadsheetml/2006/main" name="ExternalData_1958" connectionId="2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39.xml><?xml version="1.0" encoding="utf-8"?>
<queryTable xmlns="http://schemas.openxmlformats.org/spreadsheetml/2006/main" name="ExternalData_1794" connectionId="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0.xml><?xml version="1.0" encoding="utf-8"?>
<queryTable xmlns="http://schemas.openxmlformats.org/spreadsheetml/2006/main" name="ExternalData_2217" connectionId="5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1.xml><?xml version="1.0" encoding="utf-8"?>
<queryTable xmlns="http://schemas.openxmlformats.org/spreadsheetml/2006/main" name="ExternalData_1854" connectionId="1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2.xml><?xml version="1.0" encoding="utf-8"?>
<queryTable xmlns="http://schemas.openxmlformats.org/spreadsheetml/2006/main" name="ExternalData_2273" connectionId="5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3.xml><?xml version="1.0" encoding="utf-8"?>
<queryTable xmlns="http://schemas.openxmlformats.org/spreadsheetml/2006/main" name="ExternalData_2137" connectionId="4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4.xml><?xml version="1.0" encoding="utf-8"?>
<queryTable xmlns="http://schemas.openxmlformats.org/spreadsheetml/2006/main" name="ExternalData_2244" connectionId="5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5.xml><?xml version="1.0" encoding="utf-8"?>
<queryTable xmlns="http://schemas.openxmlformats.org/spreadsheetml/2006/main" name="ExternalData_1783" connectionId="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6.xml><?xml version="1.0" encoding="utf-8"?>
<queryTable xmlns="http://schemas.openxmlformats.org/spreadsheetml/2006/main" name="ExternalData_2100" connectionId="3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7.xml><?xml version="1.0" encoding="utf-8"?>
<queryTable xmlns="http://schemas.openxmlformats.org/spreadsheetml/2006/main" name="ExternalData_2110" connectionId="4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8.xml><?xml version="1.0" encoding="utf-8"?>
<queryTable xmlns="http://schemas.openxmlformats.org/spreadsheetml/2006/main" name="ExternalData_2265" connectionId="5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49.xml><?xml version="1.0" encoding="utf-8"?>
<queryTable xmlns="http://schemas.openxmlformats.org/spreadsheetml/2006/main" name="ExternalData_1943" connectionId="2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0.xml><?xml version="1.0" encoding="utf-8"?>
<queryTable xmlns="http://schemas.openxmlformats.org/spreadsheetml/2006/main" name="ExternalData_1993" connectionId="2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1.xml><?xml version="1.0" encoding="utf-8"?>
<queryTable xmlns="http://schemas.openxmlformats.org/spreadsheetml/2006/main" name="ExternalData_1929" connectionId="2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2.xml><?xml version="1.0" encoding="utf-8"?>
<queryTable xmlns="http://schemas.openxmlformats.org/spreadsheetml/2006/main" name="ExternalData_2081" connectionId="3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3.xml><?xml version="1.0" encoding="utf-8"?>
<queryTable xmlns="http://schemas.openxmlformats.org/spreadsheetml/2006/main" name="ExternalData_1685" connectionId="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4.xml><?xml version="1.0" encoding="utf-8"?>
<queryTable xmlns="http://schemas.openxmlformats.org/spreadsheetml/2006/main" name="ExternalData_1907" connectionId="1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5.xml><?xml version="1.0" encoding="utf-8"?>
<queryTable xmlns="http://schemas.openxmlformats.org/spreadsheetml/2006/main" name="ExternalData_1815" connectionId="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6.xml><?xml version="1.0" encoding="utf-8"?>
<queryTable xmlns="http://schemas.openxmlformats.org/spreadsheetml/2006/main" name="ExternalData_1786" connectionId="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7.xml><?xml version="1.0" encoding="utf-8"?>
<queryTable xmlns="http://schemas.openxmlformats.org/spreadsheetml/2006/main" name="ExternalData_1952" connectionId="2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8.xml><?xml version="1.0" encoding="utf-8"?>
<queryTable xmlns="http://schemas.openxmlformats.org/spreadsheetml/2006/main" name="ExternalData_1692" connectionId="9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59.xml><?xml version="1.0" encoding="utf-8"?>
<queryTable xmlns="http://schemas.openxmlformats.org/spreadsheetml/2006/main" name="ExternalData_2274" connectionId="5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0.xml><?xml version="1.0" encoding="utf-8"?>
<queryTable xmlns="http://schemas.openxmlformats.org/spreadsheetml/2006/main" name="ExternalData_1983" connectionId="2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1.xml><?xml version="1.0" encoding="utf-8"?>
<queryTable xmlns="http://schemas.openxmlformats.org/spreadsheetml/2006/main" name="ExternalData_1913" connectionId="1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2.xml><?xml version="1.0" encoding="utf-8"?>
<queryTable xmlns="http://schemas.openxmlformats.org/spreadsheetml/2006/main" name="ExternalData_2045" connectionId="3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3.xml><?xml version="1.0" encoding="utf-8"?>
<queryTable xmlns="http://schemas.openxmlformats.org/spreadsheetml/2006/main" name="ExternalData_2170" connectionId="4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4.xml><?xml version="1.0" encoding="utf-8"?>
<queryTable xmlns="http://schemas.openxmlformats.org/spreadsheetml/2006/main" name="ExternalData_1924" connectionId="2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5.xml><?xml version="1.0" encoding="utf-8"?>
<queryTable xmlns="http://schemas.openxmlformats.org/spreadsheetml/2006/main" name="ExternalData_1976" connectionId="2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6.xml><?xml version="1.0" encoding="utf-8"?>
<queryTable xmlns="http://schemas.openxmlformats.org/spreadsheetml/2006/main" name="ExternalData_1911" connectionId="1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7.xml><?xml version="1.0" encoding="utf-8"?>
<queryTable xmlns="http://schemas.openxmlformats.org/spreadsheetml/2006/main" name="ExternalData_2149" connectionId="4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8.xml><?xml version="1.0" encoding="utf-8"?>
<queryTable xmlns="http://schemas.openxmlformats.org/spreadsheetml/2006/main" name="ExternalData_2293" connectionId="6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69.xml><?xml version="1.0" encoding="utf-8"?>
<queryTable xmlns="http://schemas.openxmlformats.org/spreadsheetml/2006/main" name="ExternalData_2077" connectionId="3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0.xml><?xml version="1.0" encoding="utf-8"?>
<queryTable xmlns="http://schemas.openxmlformats.org/spreadsheetml/2006/main" name="ExternalData_1870" connectionId="1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1.xml><?xml version="1.0" encoding="utf-8"?>
<queryTable xmlns="http://schemas.openxmlformats.org/spreadsheetml/2006/main" name="ExternalData_1948" connectionId="2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2.xml><?xml version="1.0" encoding="utf-8"?>
<queryTable xmlns="http://schemas.openxmlformats.org/spreadsheetml/2006/main" name="ExternalData_2160" connectionId="46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3.xml><?xml version="1.0" encoding="utf-8"?>
<queryTable xmlns="http://schemas.openxmlformats.org/spreadsheetml/2006/main" name="ExternalData_1998" connectionId="28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4.xml><?xml version="1.0" encoding="utf-8"?>
<queryTable xmlns="http://schemas.openxmlformats.org/spreadsheetml/2006/main" name="ExternalData_2053" connectionId="3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5.xml><?xml version="1.0" encoding="utf-8"?>
<queryTable xmlns="http://schemas.openxmlformats.org/spreadsheetml/2006/main" name="ExternalData_2268" connectionId="5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6.xml><?xml version="1.0" encoding="utf-8"?>
<queryTable xmlns="http://schemas.openxmlformats.org/spreadsheetml/2006/main" name="ExternalData_2088" connectionId="3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7.xml><?xml version="1.0" encoding="utf-8"?>
<queryTable xmlns="http://schemas.openxmlformats.org/spreadsheetml/2006/main" name="ExternalData_2280" connectionId="6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8.xml><?xml version="1.0" encoding="utf-8"?>
<queryTable xmlns="http://schemas.openxmlformats.org/spreadsheetml/2006/main" name="ExternalData_2130" connectionId="4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79.xml><?xml version="1.0" encoding="utf-8"?>
<queryTable xmlns="http://schemas.openxmlformats.org/spreadsheetml/2006/main" name="ExternalData_1879" connectionId="1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0.xml><?xml version="1.0" encoding="utf-8"?>
<queryTable xmlns="http://schemas.openxmlformats.org/spreadsheetml/2006/main" name="ExternalData_2167" connectionId="4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1.xml><?xml version="1.0" encoding="utf-8"?>
<queryTable xmlns="http://schemas.openxmlformats.org/spreadsheetml/2006/main" name="ExternalData_1966" connectionId="2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2.xml><?xml version="1.0" encoding="utf-8"?>
<queryTable xmlns="http://schemas.openxmlformats.org/spreadsheetml/2006/main" name="ExternalData_1723" connectionId="4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3.xml><?xml version="1.0" encoding="utf-8"?>
<queryTable xmlns="http://schemas.openxmlformats.org/spreadsheetml/2006/main" name="ExternalData_1803" connectionId="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4.xml><?xml version="1.0" encoding="utf-8"?>
<queryTable xmlns="http://schemas.openxmlformats.org/spreadsheetml/2006/main" name="ExternalData_1838" connectionId="1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5.xml><?xml version="1.0" encoding="utf-8"?>
<queryTable xmlns="http://schemas.openxmlformats.org/spreadsheetml/2006/main" name="ExternalData_1671" connectionId="88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86.xml><?xml version="1.0" encoding="utf-8"?>
<queryTable xmlns="http://schemas.openxmlformats.org/spreadsheetml/2006/main" name="ExternalData_1957" connectionId="2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7.xml><?xml version="1.0" encoding="utf-8"?>
<queryTable xmlns="http://schemas.openxmlformats.org/spreadsheetml/2006/main" name="ExternalData_1933" connectionId="2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8.xml><?xml version="1.0" encoding="utf-8"?>
<queryTable xmlns="http://schemas.openxmlformats.org/spreadsheetml/2006/main" name="ExternalData_1890" connectionId="1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89.xml><?xml version="1.0" encoding="utf-8"?>
<queryTable xmlns="http://schemas.openxmlformats.org/spreadsheetml/2006/main" name="ExternalData_2212" connectionId="5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0.xml><?xml version="1.0" encoding="utf-8"?>
<queryTable xmlns="http://schemas.openxmlformats.org/spreadsheetml/2006/main" name="ExternalData_2210" connectionId="52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1.xml><?xml version="1.0" encoding="utf-8"?>
<queryTable xmlns="http://schemas.openxmlformats.org/spreadsheetml/2006/main" name="ExternalData_2250" firstBackgroundRefresh="1" connectionId="56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392.xml><?xml version="1.0" encoding="utf-8"?>
<queryTable xmlns="http://schemas.openxmlformats.org/spreadsheetml/2006/main" name="ExternalData_2285" connectionId="6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3.xml><?xml version="1.0" encoding="utf-8"?>
<queryTable xmlns="http://schemas.openxmlformats.org/spreadsheetml/2006/main" name="ExternalData_2024" connectionId="312" autoFormatId="0" applyNumberFormats="0" applyBorderFormats="0" applyFontFormats="1" applyPatternFormats="1" applyAlignmentFormats="0" applyWidthHeightFormats="0">
  <queryTableRefresh preserveSortFilterLayout="0" nextId="29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4.xml><?xml version="1.0" encoding="utf-8"?>
<queryTable xmlns="http://schemas.openxmlformats.org/spreadsheetml/2006/main" name="ExternalData_1672" connectionId="89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395.xml><?xml version="1.0" encoding="utf-8"?>
<queryTable xmlns="http://schemas.openxmlformats.org/spreadsheetml/2006/main" name="ExternalData_2003" connectionId="2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6.xml><?xml version="1.0" encoding="utf-8"?>
<queryTable xmlns="http://schemas.openxmlformats.org/spreadsheetml/2006/main" name="ExternalData_1842" connectionId="1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7.xml><?xml version="1.0" encoding="utf-8"?>
<queryTable xmlns="http://schemas.openxmlformats.org/spreadsheetml/2006/main" name="ExternalData_2091" connectionId="3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8.xml><?xml version="1.0" encoding="utf-8"?>
<queryTable xmlns="http://schemas.openxmlformats.org/spreadsheetml/2006/main" name="ExternalData_1754" connectionId="6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399.xml><?xml version="1.0" encoding="utf-8"?>
<queryTable xmlns="http://schemas.openxmlformats.org/spreadsheetml/2006/main" name="ExternalData_1823" connectionId="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0.xml><?xml version="1.0" encoding="utf-8"?>
<queryTable xmlns="http://schemas.openxmlformats.org/spreadsheetml/2006/main" name="ExternalData_1741" connectionId="62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1.xml><?xml version="1.0" encoding="utf-8"?>
<queryTable xmlns="http://schemas.openxmlformats.org/spreadsheetml/2006/main" name="ExternalData_2089" connectionId="3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2.xml><?xml version="1.0" encoding="utf-8"?>
<queryTable xmlns="http://schemas.openxmlformats.org/spreadsheetml/2006/main" name="ExternalData_2179" connectionId="4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3.xml><?xml version="1.0" encoding="utf-8"?>
<queryTable xmlns="http://schemas.openxmlformats.org/spreadsheetml/2006/main" name="ExternalData_1758" connectionId="6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4.xml><?xml version="1.0" encoding="utf-8"?>
<queryTable xmlns="http://schemas.openxmlformats.org/spreadsheetml/2006/main" name="ExternalData_1751" connectionId="6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5.xml><?xml version="1.0" encoding="utf-8"?>
<queryTable xmlns="http://schemas.openxmlformats.org/spreadsheetml/2006/main" name="ExternalData_1833" connectionId="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6.xml><?xml version="1.0" encoding="utf-8"?>
<queryTable xmlns="http://schemas.openxmlformats.org/spreadsheetml/2006/main" name="ExternalData_2156" connectionId="4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7.xml><?xml version="1.0" encoding="utf-8"?>
<queryTable xmlns="http://schemas.openxmlformats.org/spreadsheetml/2006/main" name="ExternalData_1922" connectionId="1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8.xml><?xml version="1.0" encoding="utf-8"?>
<queryTable xmlns="http://schemas.openxmlformats.org/spreadsheetml/2006/main" name="ExternalData_1850" connectionId="1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09.xml><?xml version="1.0" encoding="utf-8"?>
<queryTable xmlns="http://schemas.openxmlformats.org/spreadsheetml/2006/main" name="ExternalData_1831" connectionId="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0.xml><?xml version="1.0" encoding="utf-8"?>
<queryTable xmlns="http://schemas.openxmlformats.org/spreadsheetml/2006/main" name="ExternalData_2083" connectionId="38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1.xml><?xml version="1.0" encoding="utf-8"?>
<queryTable xmlns="http://schemas.openxmlformats.org/spreadsheetml/2006/main" name="ExternalData_2135" connectionId="4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2.xml><?xml version="1.0" encoding="utf-8"?>
<queryTable xmlns="http://schemas.openxmlformats.org/spreadsheetml/2006/main" name="ExternalData_2259" connectionId="57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3.xml><?xml version="1.0" encoding="utf-8"?>
<queryTable xmlns="http://schemas.openxmlformats.org/spreadsheetml/2006/main" name="ExternalData_2225" connectionId="5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4.xml><?xml version="1.0" encoding="utf-8"?>
<queryTable xmlns="http://schemas.openxmlformats.org/spreadsheetml/2006/main" name="ExternalData_2016" connectionId="3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5.xml><?xml version="1.0" encoding="utf-8"?>
<queryTable xmlns="http://schemas.openxmlformats.org/spreadsheetml/2006/main" name="ExternalData_2288" connectionId="6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6.xml><?xml version="1.0" encoding="utf-8"?>
<queryTable xmlns="http://schemas.openxmlformats.org/spreadsheetml/2006/main" name="ExternalData_1782" connectionId="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7.xml><?xml version="1.0" encoding="utf-8"?>
<queryTable xmlns="http://schemas.openxmlformats.org/spreadsheetml/2006/main" name="ExternalData_1920" connectionId="1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8.xml><?xml version="1.0" encoding="utf-8"?>
<queryTable xmlns="http://schemas.openxmlformats.org/spreadsheetml/2006/main" name="ExternalData_1757" connectionId="6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19.xml><?xml version="1.0" encoding="utf-8"?>
<queryTable xmlns="http://schemas.openxmlformats.org/spreadsheetml/2006/main" name="ExternalData_1716" connectionId="4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0.xml><?xml version="1.0" encoding="utf-8"?>
<queryTable xmlns="http://schemas.openxmlformats.org/spreadsheetml/2006/main" name="ExternalData_1884" connectionId="1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1.xml><?xml version="1.0" encoding="utf-8"?>
<queryTable xmlns="http://schemas.openxmlformats.org/spreadsheetml/2006/main" name="ExternalData_2251" firstBackgroundRefresh="1" connectionId="568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22.xml><?xml version="1.0" encoding="utf-8"?>
<queryTable xmlns="http://schemas.openxmlformats.org/spreadsheetml/2006/main" name="ExternalData_2061" connectionId="3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3.xml><?xml version="1.0" encoding="utf-8"?>
<queryTable xmlns="http://schemas.openxmlformats.org/spreadsheetml/2006/main" name="ExternalData_1673" connectionId="90" autoFormatId="0" applyNumberFormats="0" applyBorderFormats="0" applyFontFormats="1" applyPatternFormats="1" applyAlignmentFormats="0" applyWidthHeightFormats="0">
  <queryTableRefresh preserveSortFilterLayout="0" nextId="14">
    <queryTableFields count="11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</queryTableFields>
    <queryTableDeletedFields count="2">
      <deletedField name="RAKENO"/>
      <deletedField name="EDATE"/>
    </queryTableDeletedFields>
  </queryTableRefresh>
</queryTable>
</file>

<file path=xl/queryTables/queryTable424.xml><?xml version="1.0" encoding="utf-8"?>
<queryTable xmlns="http://schemas.openxmlformats.org/spreadsheetml/2006/main" name="ExternalData_1889" connectionId="1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5.xml><?xml version="1.0" encoding="utf-8"?>
<queryTable xmlns="http://schemas.openxmlformats.org/spreadsheetml/2006/main" name="ExternalData_1714" connectionId="3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6.xml><?xml version="1.0" encoding="utf-8"?>
<queryTable xmlns="http://schemas.openxmlformats.org/spreadsheetml/2006/main" name="ExternalData_2180" connectionId="48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7.xml><?xml version="1.0" encoding="utf-8"?>
<queryTable xmlns="http://schemas.openxmlformats.org/spreadsheetml/2006/main" name="ExternalData_1858" connectionId="1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8.xml><?xml version="1.0" encoding="utf-8"?>
<queryTable xmlns="http://schemas.openxmlformats.org/spreadsheetml/2006/main" name="ExternalData_2201" connectionId="5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29.xml><?xml version="1.0" encoding="utf-8"?>
<queryTable xmlns="http://schemas.openxmlformats.org/spreadsheetml/2006/main" name="ExternalData_2174" connectionId="4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0.xml><?xml version="1.0" encoding="utf-8"?>
<queryTable xmlns="http://schemas.openxmlformats.org/spreadsheetml/2006/main" name="ExternalData_2136" connectionId="4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1.xml><?xml version="1.0" encoding="utf-8"?>
<queryTable xmlns="http://schemas.openxmlformats.org/spreadsheetml/2006/main" name="ExternalData_1710" connectionId="3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2.xml><?xml version="1.0" encoding="utf-8"?>
<queryTable xmlns="http://schemas.openxmlformats.org/spreadsheetml/2006/main" name="ExternalData_1970" connectionId="2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3.xml><?xml version="1.0" encoding="utf-8"?>
<queryTable xmlns="http://schemas.openxmlformats.org/spreadsheetml/2006/main" name="ExternalData_2148" connectionId="4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4.xml><?xml version="1.0" encoding="utf-8"?>
<queryTable xmlns="http://schemas.openxmlformats.org/spreadsheetml/2006/main" name="ExternalData_2094" connectionId="3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5.xml><?xml version="1.0" encoding="utf-8"?>
<queryTable xmlns="http://schemas.openxmlformats.org/spreadsheetml/2006/main" name="ExternalData_1861" connectionId="13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6.xml><?xml version="1.0" encoding="utf-8"?>
<queryTable xmlns="http://schemas.openxmlformats.org/spreadsheetml/2006/main" name="ExternalData_1947" connectionId="2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7.xml><?xml version="1.0" encoding="utf-8"?>
<queryTable xmlns="http://schemas.openxmlformats.org/spreadsheetml/2006/main" name="ExternalData_2022" connectionId="3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8.xml><?xml version="1.0" encoding="utf-8"?>
<queryTable xmlns="http://schemas.openxmlformats.org/spreadsheetml/2006/main" name="ExternalData_1699" connectionId="1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39.xml><?xml version="1.0" encoding="utf-8"?>
<queryTable xmlns="http://schemas.openxmlformats.org/spreadsheetml/2006/main" name="ExternalData_2231" connectionId="5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0.xml><?xml version="1.0" encoding="utf-8"?>
<queryTable xmlns="http://schemas.openxmlformats.org/spreadsheetml/2006/main" name="ExternalData_2168" connectionId="4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1.xml><?xml version="1.0" encoding="utf-8"?>
<queryTable xmlns="http://schemas.openxmlformats.org/spreadsheetml/2006/main" name="ExternalData_2232" firstBackgroundRefresh="1" connectionId="547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42.xml><?xml version="1.0" encoding="utf-8"?>
<queryTable xmlns="http://schemas.openxmlformats.org/spreadsheetml/2006/main" name="ExternalData_1900" connectionId="1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3.xml><?xml version="1.0" encoding="utf-8"?>
<queryTable xmlns="http://schemas.openxmlformats.org/spreadsheetml/2006/main" name="ExternalData_1811" connectionId="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4.xml><?xml version="1.0" encoding="utf-8"?>
<queryTable xmlns="http://schemas.openxmlformats.org/spreadsheetml/2006/main" name="ExternalData_1771" connectionId="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5.xml><?xml version="1.0" encoding="utf-8"?>
<queryTable xmlns="http://schemas.openxmlformats.org/spreadsheetml/2006/main" name="ExternalData_2000" connectionId="2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6.xml><?xml version="1.0" encoding="utf-8"?>
<queryTable xmlns="http://schemas.openxmlformats.org/spreadsheetml/2006/main" name="ExternalData_1857" connectionId="1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7.xml><?xml version="1.0" encoding="utf-8"?>
<queryTable xmlns="http://schemas.openxmlformats.org/spreadsheetml/2006/main" name="ExternalData_2105" connectionId="4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8.xml><?xml version="1.0" encoding="utf-8"?>
<queryTable xmlns="http://schemas.openxmlformats.org/spreadsheetml/2006/main" name="ExternalData_2230" connectionId="5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49.xml><?xml version="1.0" encoding="utf-8"?>
<queryTable xmlns="http://schemas.openxmlformats.org/spreadsheetml/2006/main" name="ExternalData_1992" connectionId="27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0.xml><?xml version="1.0" encoding="utf-8"?>
<queryTable xmlns="http://schemas.openxmlformats.org/spreadsheetml/2006/main" name="ExternalData_1750" connectionId="6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1.xml><?xml version="1.0" encoding="utf-8"?>
<queryTable xmlns="http://schemas.openxmlformats.org/spreadsheetml/2006/main" name="ExternalData_2292" connectionId="6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2.xml><?xml version="1.0" encoding="utf-8"?>
<queryTable xmlns="http://schemas.openxmlformats.org/spreadsheetml/2006/main" name="ExternalData_2224" connectionId="5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3.xml><?xml version="1.0" encoding="utf-8"?>
<queryTable xmlns="http://schemas.openxmlformats.org/spreadsheetml/2006/main" name="ExternalData_2161" connectionId="46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4.xml><?xml version="1.0" encoding="utf-8"?>
<queryTable xmlns="http://schemas.openxmlformats.org/spreadsheetml/2006/main" name="ExternalData_2023" connectionId="31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5.xml><?xml version="1.0" encoding="utf-8"?>
<queryTable xmlns="http://schemas.openxmlformats.org/spreadsheetml/2006/main" name="ExternalData_1797" connectionId="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6.xml><?xml version="1.0" encoding="utf-8"?>
<queryTable xmlns="http://schemas.openxmlformats.org/spreadsheetml/2006/main" name="ExternalData_1760" connectionId="6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7.xml><?xml version="1.0" encoding="utf-8"?>
<queryTable xmlns="http://schemas.openxmlformats.org/spreadsheetml/2006/main" name="ExternalData_1972" connectionId="2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8.xml><?xml version="1.0" encoding="utf-8"?>
<queryTable xmlns="http://schemas.openxmlformats.org/spreadsheetml/2006/main" name="ExternalData_1975" connectionId="2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59.xml><?xml version="1.0" encoding="utf-8"?>
<queryTable xmlns="http://schemas.openxmlformats.org/spreadsheetml/2006/main" name="ExternalData_1873" connectionId="1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0.xml><?xml version="1.0" encoding="utf-8"?>
<queryTable xmlns="http://schemas.openxmlformats.org/spreadsheetml/2006/main" name="ExternalData_2271" connectionId="5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1.xml><?xml version="1.0" encoding="utf-8"?>
<queryTable xmlns="http://schemas.openxmlformats.org/spreadsheetml/2006/main" name="ExternalData_2184" connectionId="4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2.xml><?xml version="1.0" encoding="utf-8"?>
<queryTable xmlns="http://schemas.openxmlformats.org/spreadsheetml/2006/main" name="ExternalData_2211" connectionId="5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3.xml><?xml version="1.0" encoding="utf-8"?>
<queryTable xmlns="http://schemas.openxmlformats.org/spreadsheetml/2006/main" name="ExternalData_1863" connectionId="1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4.xml><?xml version="1.0" encoding="utf-8"?>
<queryTable xmlns="http://schemas.openxmlformats.org/spreadsheetml/2006/main" name="ExternalData_2257" connectionId="5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5.xml><?xml version="1.0" encoding="utf-8"?>
<queryTable xmlns="http://schemas.openxmlformats.org/spreadsheetml/2006/main" name="ExternalData_1962" connectionId="2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6.xml><?xml version="1.0" encoding="utf-8"?>
<queryTable xmlns="http://schemas.openxmlformats.org/spreadsheetml/2006/main" name="ExternalData_1743" connectionId="6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7.xml><?xml version="1.0" encoding="utf-8"?>
<queryTable xmlns="http://schemas.openxmlformats.org/spreadsheetml/2006/main" name="ExternalData_1828" connectionId="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8.xml><?xml version="1.0" encoding="utf-8"?>
<queryTable xmlns="http://schemas.openxmlformats.org/spreadsheetml/2006/main" name="ExternalData_1930" connectionId="2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69.xml><?xml version="1.0" encoding="utf-8"?>
<queryTable xmlns="http://schemas.openxmlformats.org/spreadsheetml/2006/main" name="ExternalData_1905" firstBackgroundRefresh="1" connectionId="17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470.xml><?xml version="1.0" encoding="utf-8"?>
<queryTable xmlns="http://schemas.openxmlformats.org/spreadsheetml/2006/main" name="ExternalData_2152" connectionId="45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1.xml><?xml version="1.0" encoding="utf-8"?>
<queryTable xmlns="http://schemas.openxmlformats.org/spreadsheetml/2006/main" name="ExternalData_1768" connectionId="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2.xml><?xml version="1.0" encoding="utf-8"?>
<queryTable xmlns="http://schemas.openxmlformats.org/spreadsheetml/2006/main" name="ExternalData_1876" connectionId="14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3.xml><?xml version="1.0" encoding="utf-8"?>
<queryTable xmlns="http://schemas.openxmlformats.org/spreadsheetml/2006/main" name="ExternalData_1961" connectionId="2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4.xml><?xml version="1.0" encoding="utf-8"?>
<queryTable xmlns="http://schemas.openxmlformats.org/spreadsheetml/2006/main" name="ExternalData_1912" connectionId="1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5.xml><?xml version="1.0" encoding="utf-8"?>
<queryTable xmlns="http://schemas.openxmlformats.org/spreadsheetml/2006/main" name="ExternalData_1935" connectionId="2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6.xml><?xml version="1.0" encoding="utf-8"?>
<queryTable xmlns="http://schemas.openxmlformats.org/spreadsheetml/2006/main" name="ExternalData_2112" connectionId="4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7.xml><?xml version="1.0" encoding="utf-8"?>
<queryTable xmlns="http://schemas.openxmlformats.org/spreadsheetml/2006/main" name="ExternalData_1686" connectionId="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8.xml><?xml version="1.0" encoding="utf-8"?>
<queryTable xmlns="http://schemas.openxmlformats.org/spreadsheetml/2006/main" name="ExternalData_1798" connectionId="5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79.xml><?xml version="1.0" encoding="utf-8"?>
<queryTable xmlns="http://schemas.openxmlformats.org/spreadsheetml/2006/main" name="ExternalData_1721" connectionId="4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0.xml><?xml version="1.0" encoding="utf-8"?>
<queryTable xmlns="http://schemas.openxmlformats.org/spreadsheetml/2006/main" name="ExternalData_2164" connectionId="47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1.xml><?xml version="1.0" encoding="utf-8"?>
<queryTable xmlns="http://schemas.openxmlformats.org/spreadsheetml/2006/main" name="ExternalData_1940" connectionId="2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2.xml><?xml version="1.0" encoding="utf-8"?>
<queryTable xmlns="http://schemas.openxmlformats.org/spreadsheetml/2006/main" name="ExternalData_2291" connectionId="6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3.xml><?xml version="1.0" encoding="utf-8"?>
<queryTable xmlns="http://schemas.openxmlformats.org/spreadsheetml/2006/main" name="ExternalData_2116" connectionId="4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4.xml><?xml version="1.0" encoding="utf-8"?>
<queryTable xmlns="http://schemas.openxmlformats.org/spreadsheetml/2006/main" name="ExternalData_1902" connectionId="1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5.xml><?xml version="1.0" encoding="utf-8"?>
<queryTable xmlns="http://schemas.openxmlformats.org/spreadsheetml/2006/main" name="ExternalData_1844" connectionId="1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6.xml><?xml version="1.0" encoding="utf-8"?>
<queryTable xmlns="http://schemas.openxmlformats.org/spreadsheetml/2006/main" name="ExternalData_2172" connectionId="47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7.xml><?xml version="1.0" encoding="utf-8"?>
<queryTable xmlns="http://schemas.openxmlformats.org/spreadsheetml/2006/main" name="ExternalData_2202" connectionId="51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8.xml><?xml version="1.0" encoding="utf-8"?>
<queryTable xmlns="http://schemas.openxmlformats.org/spreadsheetml/2006/main" name="ExternalData_2033" connectionId="3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89.xml><?xml version="1.0" encoding="utf-8"?>
<queryTable xmlns="http://schemas.openxmlformats.org/spreadsheetml/2006/main" name="ExternalData_2087" connectionId="3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0.xml><?xml version="1.0" encoding="utf-8"?>
<queryTable xmlns="http://schemas.openxmlformats.org/spreadsheetml/2006/main" name="ExternalData_1953" connectionId="2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1.xml><?xml version="1.0" encoding="utf-8"?>
<queryTable xmlns="http://schemas.openxmlformats.org/spreadsheetml/2006/main" name="ExternalData_1778" connectionId="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2.xml><?xml version="1.0" encoding="utf-8"?>
<queryTable xmlns="http://schemas.openxmlformats.org/spreadsheetml/2006/main" name="ExternalData_2196" connectionId="5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3.xml><?xml version="1.0" encoding="utf-8"?>
<queryTable xmlns="http://schemas.openxmlformats.org/spreadsheetml/2006/main" name="ExternalData_2248" connectionId="56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4.xml><?xml version="1.0" encoding="utf-8"?>
<queryTable xmlns="http://schemas.openxmlformats.org/spreadsheetml/2006/main" name="ExternalData_1960" connectionId="2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5.xml><?xml version="1.0" encoding="utf-8"?>
<queryTable xmlns="http://schemas.openxmlformats.org/spreadsheetml/2006/main" name="ExternalData_2030" connectionId="31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6.xml><?xml version="1.0" encoding="utf-8"?>
<queryTable xmlns="http://schemas.openxmlformats.org/spreadsheetml/2006/main" name="ExternalData_2206" connectionId="51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7.xml><?xml version="1.0" encoding="utf-8"?>
<queryTable xmlns="http://schemas.openxmlformats.org/spreadsheetml/2006/main" name="ExternalData_1849" connectionId="1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8.xml><?xml version="1.0" encoding="utf-8"?>
<queryTable xmlns="http://schemas.openxmlformats.org/spreadsheetml/2006/main" name="ExternalData_1695" connectionId="1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499.xml><?xml version="1.0" encoding="utf-8"?>
<queryTable xmlns="http://schemas.openxmlformats.org/spreadsheetml/2006/main" name="ExternalData_1817" connectionId="7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0.xml><?xml version="1.0" encoding="utf-8"?>
<queryTable xmlns="http://schemas.openxmlformats.org/spreadsheetml/2006/main" name="ExternalData_2044" connectionId="33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1.xml><?xml version="1.0" encoding="utf-8"?>
<queryTable xmlns="http://schemas.openxmlformats.org/spreadsheetml/2006/main" name="ExternalData_1688" connectionId="4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2.xml><?xml version="1.0" encoding="utf-8"?>
<queryTable xmlns="http://schemas.openxmlformats.org/spreadsheetml/2006/main" name="ExternalData_2241" connectionId="55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3.xml><?xml version="1.0" encoding="utf-8"?>
<queryTable xmlns="http://schemas.openxmlformats.org/spreadsheetml/2006/main" name="ExternalData_2266" connectionId="58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4.xml><?xml version="1.0" encoding="utf-8"?>
<queryTable xmlns="http://schemas.openxmlformats.org/spreadsheetml/2006/main" name="ExternalData_2154" connectionId="45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5.xml><?xml version="1.0" encoding="utf-8"?>
<queryTable xmlns="http://schemas.openxmlformats.org/spreadsheetml/2006/main" name="ExternalData_1927" connectionId="2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6.xml><?xml version="1.0" encoding="utf-8"?>
<queryTable xmlns="http://schemas.openxmlformats.org/spreadsheetml/2006/main" name="ExternalData_2108" connectionId="4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7.xml><?xml version="1.0" encoding="utf-8"?>
<queryTable xmlns="http://schemas.openxmlformats.org/spreadsheetml/2006/main" name="ExternalData_2084" connectionId="38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8.xml><?xml version="1.0" encoding="utf-8"?>
<queryTable xmlns="http://schemas.openxmlformats.org/spreadsheetml/2006/main" name="ExternalData_2012" connectionId="2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09.xml><?xml version="1.0" encoding="utf-8"?>
<queryTable xmlns="http://schemas.openxmlformats.org/spreadsheetml/2006/main" name="ExternalData_1984" connectionId="2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0.xml><?xml version="1.0" encoding="utf-8"?>
<queryTable xmlns="http://schemas.openxmlformats.org/spreadsheetml/2006/main" name="ExternalData_2113" connectionId="4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1.xml><?xml version="1.0" encoding="utf-8"?>
<queryTable xmlns="http://schemas.openxmlformats.org/spreadsheetml/2006/main" name="ExternalData_2290" connectionId="6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2.xml><?xml version="1.0" encoding="utf-8"?>
<queryTable xmlns="http://schemas.openxmlformats.org/spreadsheetml/2006/main" name="ExternalData_1888" connectionId="15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3.xml><?xml version="1.0" encoding="utf-8"?>
<queryTable xmlns="http://schemas.openxmlformats.org/spreadsheetml/2006/main" name="ExternalData_1869" connectionId="1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4.xml><?xml version="1.0" encoding="utf-8"?>
<queryTable xmlns="http://schemas.openxmlformats.org/spreadsheetml/2006/main" name="ExternalData_2098" connectionId="3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5.xml><?xml version="1.0" encoding="utf-8"?>
<queryTable xmlns="http://schemas.openxmlformats.org/spreadsheetml/2006/main" name="ExternalData_1764" connectionId="6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6.xml><?xml version="1.0" encoding="utf-8"?>
<queryTable xmlns="http://schemas.openxmlformats.org/spreadsheetml/2006/main" name="ExternalData_2079" connectionId="3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7.xml><?xml version="1.0" encoding="utf-8"?>
<queryTable xmlns="http://schemas.openxmlformats.org/spreadsheetml/2006/main" name="ExternalData_2247" connectionId="5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8.xml><?xml version="1.0" encoding="utf-8"?>
<queryTable xmlns="http://schemas.openxmlformats.org/spreadsheetml/2006/main" name="ExternalData_2283" connectionId="6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19.xml><?xml version="1.0" encoding="utf-8"?>
<queryTable xmlns="http://schemas.openxmlformats.org/spreadsheetml/2006/main" name="ExternalData_2213" connectionId="5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0.xml><?xml version="1.0" encoding="utf-8"?>
<queryTable xmlns="http://schemas.openxmlformats.org/spreadsheetml/2006/main" name="ExternalData_2106" connectionId="40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1.xml><?xml version="1.0" encoding="utf-8"?>
<queryTable xmlns="http://schemas.openxmlformats.org/spreadsheetml/2006/main" name="ExternalData_2192" connectionId="5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2.xml><?xml version="1.0" encoding="utf-8"?>
<queryTable xmlns="http://schemas.openxmlformats.org/spreadsheetml/2006/main" name="ExternalData_2011" connectionId="2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3.xml><?xml version="1.0" encoding="utf-8"?>
<queryTable xmlns="http://schemas.openxmlformats.org/spreadsheetml/2006/main" name="ExternalData_2107" connectionId="40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4.xml><?xml version="1.0" encoding="utf-8"?>
<queryTable xmlns="http://schemas.openxmlformats.org/spreadsheetml/2006/main" name="ExternalData_2220" connectionId="53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5.xml><?xml version="1.0" encoding="utf-8"?>
<queryTable xmlns="http://schemas.openxmlformats.org/spreadsheetml/2006/main" name="ExternalData_2157" connectionId="4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6.xml><?xml version="1.0" encoding="utf-8"?>
<queryTable xmlns="http://schemas.openxmlformats.org/spreadsheetml/2006/main" name="ExternalData_1777" connectionId="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7.xml><?xml version="1.0" encoding="utf-8"?>
<queryTable xmlns="http://schemas.openxmlformats.org/spreadsheetml/2006/main" name="ExternalData_2027" connectionId="3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8.xml><?xml version="1.0" encoding="utf-8"?>
<queryTable xmlns="http://schemas.openxmlformats.org/spreadsheetml/2006/main" name="ExternalData_1739" connectionId="62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29.xml><?xml version="1.0" encoding="utf-8"?>
<queryTable xmlns="http://schemas.openxmlformats.org/spreadsheetml/2006/main" name="ExternalData_2255" connectionId="57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0.xml><?xml version="1.0" encoding="utf-8"?>
<queryTable xmlns="http://schemas.openxmlformats.org/spreadsheetml/2006/main" name="ExternalData_2209" connectionId="52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1.xml><?xml version="1.0" encoding="utf-8"?>
<queryTable xmlns="http://schemas.openxmlformats.org/spreadsheetml/2006/main" name="ExternalData_1807" connectionId="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2.xml><?xml version="1.0" encoding="utf-8"?>
<queryTable xmlns="http://schemas.openxmlformats.org/spreadsheetml/2006/main" name="ExternalData_2277" connectionId="6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3.xml><?xml version="1.0" encoding="utf-8"?>
<queryTable xmlns="http://schemas.openxmlformats.org/spreadsheetml/2006/main" name="ExternalData_2085" connectionId="3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4.xml><?xml version="1.0" encoding="utf-8"?>
<queryTable xmlns="http://schemas.openxmlformats.org/spreadsheetml/2006/main" name="ExternalData_1859" connectionId="12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5.xml><?xml version="1.0" encoding="utf-8"?>
<queryTable xmlns="http://schemas.openxmlformats.org/spreadsheetml/2006/main" name="ExternalData_2052" connectionId="3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6.xml><?xml version="1.0" encoding="utf-8"?>
<queryTable xmlns="http://schemas.openxmlformats.org/spreadsheetml/2006/main" name="ExternalData_2238" connectionId="55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7.xml><?xml version="1.0" encoding="utf-8"?>
<queryTable xmlns="http://schemas.openxmlformats.org/spreadsheetml/2006/main" name="ExternalData_2020" connectionId="30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8.xml><?xml version="1.0" encoding="utf-8"?>
<queryTable xmlns="http://schemas.openxmlformats.org/spreadsheetml/2006/main" name="ExternalData_2026" connectionId="31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39.xml><?xml version="1.0" encoding="utf-8"?>
<queryTable xmlns="http://schemas.openxmlformats.org/spreadsheetml/2006/main" name="ExternalData_1923" connectionId="1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0.xml><?xml version="1.0" encoding="utf-8"?>
<queryTable xmlns="http://schemas.openxmlformats.org/spreadsheetml/2006/main" name="ExternalData_2263" connectionId="58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1.xml><?xml version="1.0" encoding="utf-8"?>
<queryTable xmlns="http://schemas.openxmlformats.org/spreadsheetml/2006/main" name="ExternalData_1767" connectionId="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2.xml><?xml version="1.0" encoding="utf-8"?>
<queryTable xmlns="http://schemas.openxmlformats.org/spreadsheetml/2006/main" name="ExternalData_2200" connectionId="5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3.xml><?xml version="1.0" encoding="utf-8"?>
<queryTable xmlns="http://schemas.openxmlformats.org/spreadsheetml/2006/main" name="ExternalData_1679" connectionId="3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4.xml><?xml version="1.0" encoding="utf-8"?>
<queryTable xmlns="http://schemas.openxmlformats.org/spreadsheetml/2006/main" name="ExternalData_1745" connectionId="6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5.xml><?xml version="1.0" encoding="utf-8"?>
<queryTable xmlns="http://schemas.openxmlformats.org/spreadsheetml/2006/main" name="ExternalData_1687" firstBackgroundRefresh="1" connectionId="29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46.xml><?xml version="1.0" encoding="utf-8"?>
<queryTable xmlns="http://schemas.openxmlformats.org/spreadsheetml/2006/main" name="ExternalData_2126" connectionId="4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7.xml><?xml version="1.0" encoding="utf-8"?>
<queryTable xmlns="http://schemas.openxmlformats.org/spreadsheetml/2006/main" name="ExternalData_2140" connectionId="4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8.xml><?xml version="1.0" encoding="utf-8"?>
<queryTable xmlns="http://schemas.openxmlformats.org/spreadsheetml/2006/main" name="ExternalData_1763" connectionId="6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49.xml><?xml version="1.0" encoding="utf-8"?>
<queryTable xmlns="http://schemas.openxmlformats.org/spreadsheetml/2006/main" name="ExternalData_2228" connectionId="54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0.xml><?xml version="1.0" encoding="utf-8"?>
<queryTable xmlns="http://schemas.openxmlformats.org/spreadsheetml/2006/main" name="ExternalData_2095" connectionId="39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1.xml><?xml version="1.0" encoding="utf-8"?>
<queryTable xmlns="http://schemas.openxmlformats.org/spreadsheetml/2006/main" name="ExternalData_2104" connectionId="40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2.xml><?xml version="1.0" encoding="utf-8"?>
<queryTable xmlns="http://schemas.openxmlformats.org/spreadsheetml/2006/main" name="ExternalData_1944" connectionId="22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3.xml><?xml version="1.0" encoding="utf-8"?>
<queryTable xmlns="http://schemas.openxmlformats.org/spreadsheetml/2006/main" name="ExternalData_2147" connectionId="4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4.xml><?xml version="1.0" encoding="utf-8"?>
<queryTable xmlns="http://schemas.openxmlformats.org/spreadsheetml/2006/main" name="ExternalData_1829" connectionId="9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5.xml><?xml version="1.0" encoding="utf-8"?>
<queryTable xmlns="http://schemas.openxmlformats.org/spreadsheetml/2006/main" name="ExternalData_1820" connectionId="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6.xml><?xml version="1.0" encoding="utf-8"?>
<queryTable xmlns="http://schemas.openxmlformats.org/spreadsheetml/2006/main" name="ExternalData_1717" connectionId="4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7.xml><?xml version="1.0" encoding="utf-8"?>
<queryTable xmlns="http://schemas.openxmlformats.org/spreadsheetml/2006/main" name="ExternalData_2132" connectionId="43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8.xml><?xml version="1.0" encoding="utf-8"?>
<queryTable xmlns="http://schemas.openxmlformats.org/spreadsheetml/2006/main" name="ExternalData_1882" connectionId="1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59.xml><?xml version="1.0" encoding="utf-8"?>
<queryTable xmlns="http://schemas.openxmlformats.org/spreadsheetml/2006/main" name="ExternalData_2182" connectionId="49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0.xml><?xml version="1.0" encoding="utf-8"?>
<queryTable xmlns="http://schemas.openxmlformats.org/spreadsheetml/2006/main" name="ExternalData_1700" connectionId="18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1.xml><?xml version="1.0" encoding="utf-8"?>
<queryTable xmlns="http://schemas.openxmlformats.org/spreadsheetml/2006/main" name="ExternalData_2216" connectionId="52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2.xml><?xml version="1.0" encoding="utf-8"?>
<queryTable xmlns="http://schemas.openxmlformats.org/spreadsheetml/2006/main" name="ExternalData_1678" connectionId="2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3.xml><?xml version="1.0" encoding="utf-8"?>
<queryTable xmlns="http://schemas.openxmlformats.org/spreadsheetml/2006/main" name="ExternalData_1834" connectionId="9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4.xml><?xml version="1.0" encoding="utf-8"?>
<queryTable xmlns="http://schemas.openxmlformats.org/spreadsheetml/2006/main" name="ExternalData_1914" connectionId="18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5.xml><?xml version="1.0" encoding="utf-8"?>
<queryTable xmlns="http://schemas.openxmlformats.org/spreadsheetml/2006/main" name="ExternalData_1895" connectionId="16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6.xml><?xml version="1.0" encoding="utf-8"?>
<queryTable xmlns="http://schemas.openxmlformats.org/spreadsheetml/2006/main" name="ExternalData_1936" connectionId="2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7.xml><?xml version="1.0" encoding="utf-8"?>
<queryTable xmlns="http://schemas.openxmlformats.org/spreadsheetml/2006/main" name="ExternalData_2239" connectionId="55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8.xml><?xml version="1.0" encoding="utf-8"?>
<queryTable xmlns="http://schemas.openxmlformats.org/spreadsheetml/2006/main" name="ExternalData_2190" connectionId="4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69.xml><?xml version="1.0" encoding="utf-8"?>
<queryTable xmlns="http://schemas.openxmlformats.org/spreadsheetml/2006/main" name="ExternalData_1910" connectionId="1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0.xml><?xml version="1.0" encoding="utf-8"?>
<queryTable xmlns="http://schemas.openxmlformats.org/spreadsheetml/2006/main" name="ExternalData_2131" connectionId="43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1.xml><?xml version="1.0" encoding="utf-8"?>
<queryTable xmlns="http://schemas.openxmlformats.org/spreadsheetml/2006/main" name="ExternalData_2199" connectionId="5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2.xml><?xml version="1.0" encoding="utf-8"?>
<queryTable xmlns="http://schemas.openxmlformats.org/spreadsheetml/2006/main" name="ExternalData_1878" connectionId="14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3.xml><?xml version="1.0" encoding="utf-8"?>
<queryTable xmlns="http://schemas.openxmlformats.org/spreadsheetml/2006/main" name="ExternalData_1805" connectionId="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4.xml><?xml version="1.0" encoding="utf-8"?>
<queryTable xmlns="http://schemas.openxmlformats.org/spreadsheetml/2006/main" name="ExternalData_1795" connectionId="4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5.xml><?xml version="1.0" encoding="utf-8"?>
<queryTable xmlns="http://schemas.openxmlformats.org/spreadsheetml/2006/main" name="ExternalData_2009" connectionId="2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6.xml><?xml version="1.0" encoding="utf-8"?>
<queryTable xmlns="http://schemas.openxmlformats.org/spreadsheetml/2006/main" name="ExternalData_1928" connectionId="20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7.xml><?xml version="1.0" encoding="utf-8"?>
<queryTable xmlns="http://schemas.openxmlformats.org/spreadsheetml/2006/main" name="ExternalData_2272" connectionId="59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8.xml><?xml version="1.0" encoding="utf-8"?>
<queryTable xmlns="http://schemas.openxmlformats.org/spreadsheetml/2006/main" name="ExternalData_2047" connectionId="34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79.xml><?xml version="1.0" encoding="utf-8"?>
<queryTable xmlns="http://schemas.openxmlformats.org/spreadsheetml/2006/main" name="ExternalData_1713" connectionId="3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0.xml><?xml version="1.0" encoding="utf-8"?>
<queryTable xmlns="http://schemas.openxmlformats.org/spreadsheetml/2006/main" name="ExternalData_2249" firstBackgroundRefresh="1" connectionId="566" autoFormatId="0" applyNumberFormats="0" applyBorderFormats="0" applyFontFormats="1" applyPatternFormats="1" applyAlignmentFormats="0" applyWidthHeightFormats="0">
  <queryTableRefresh preserveSortFilterLayout="0">
    <queryTableFields/>
  </queryTableRefresh>
</queryTable>
</file>

<file path=xl/queryTables/queryTable581.xml><?xml version="1.0" encoding="utf-8"?>
<queryTable xmlns="http://schemas.openxmlformats.org/spreadsheetml/2006/main" name="ExternalData_1793" connectionId="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2.xml><?xml version="1.0" encoding="utf-8"?>
<queryTable xmlns="http://schemas.openxmlformats.org/spreadsheetml/2006/main" name="ExternalData_1728" connectionId="5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3.xml><?xml version="1.0" encoding="utf-8"?>
<queryTable xmlns="http://schemas.openxmlformats.org/spreadsheetml/2006/main" name="ExternalData_2276" connectionId="5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4.xml><?xml version="1.0" encoding="utf-8"?>
<queryTable xmlns="http://schemas.openxmlformats.org/spreadsheetml/2006/main" name="ExternalData_2235" connectionId="55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5.xml><?xml version="1.0" encoding="utf-8"?>
<queryTable xmlns="http://schemas.openxmlformats.org/spreadsheetml/2006/main" name="ExternalData_1999" connectionId="28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6.xml><?xml version="1.0" encoding="utf-8"?>
<queryTable xmlns="http://schemas.openxmlformats.org/spreadsheetml/2006/main" name="ExternalData_2068" connectionId="36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7.xml><?xml version="1.0" encoding="utf-8"?>
<queryTable xmlns="http://schemas.openxmlformats.org/spreadsheetml/2006/main" name="ExternalData_1722" connectionId="47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8.xml><?xml version="1.0" encoding="utf-8"?>
<queryTable xmlns="http://schemas.openxmlformats.org/spreadsheetml/2006/main" name="ExternalData_1985" connectionId="26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89.xml><?xml version="1.0" encoding="utf-8"?>
<queryTable xmlns="http://schemas.openxmlformats.org/spreadsheetml/2006/main" name="ExternalData_2286" connectionId="61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0.xml><?xml version="1.0" encoding="utf-8"?>
<queryTable xmlns="http://schemas.openxmlformats.org/spreadsheetml/2006/main" name="ExternalData_2029" connectionId="31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1.xml><?xml version="1.0" encoding="utf-8"?>
<queryTable xmlns="http://schemas.openxmlformats.org/spreadsheetml/2006/main" name="ExternalData_1862" connectionId="13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2.xml><?xml version="1.0" encoding="utf-8"?>
<queryTable xmlns="http://schemas.openxmlformats.org/spreadsheetml/2006/main" name="ExternalData_2115" connectionId="41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3.xml><?xml version="1.0" encoding="utf-8"?>
<queryTable xmlns="http://schemas.openxmlformats.org/spreadsheetml/2006/main" name="ExternalData_1921" connectionId="19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4.xml><?xml version="1.0" encoding="utf-8"?>
<queryTable xmlns="http://schemas.openxmlformats.org/spreadsheetml/2006/main" name="ExternalData_1773" connectionId="1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5.xml><?xml version="1.0" encoding="utf-8"?>
<queryTable xmlns="http://schemas.openxmlformats.org/spreadsheetml/2006/main" name="ExternalData_1761" connectionId="6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6.xml><?xml version="1.0" encoding="utf-8"?>
<queryTable xmlns="http://schemas.openxmlformats.org/spreadsheetml/2006/main" name="ExternalData_1836" connectionId="1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7.xml><?xml version="1.0" encoding="utf-8"?>
<queryTable xmlns="http://schemas.openxmlformats.org/spreadsheetml/2006/main" name="ExternalData_1877" connectionId="14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8.xml><?xml version="1.0" encoding="utf-8"?>
<queryTable xmlns="http://schemas.openxmlformats.org/spreadsheetml/2006/main" name="ExternalData_1735" connectionId="61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599.xml><?xml version="1.0" encoding="utf-8"?>
<queryTable xmlns="http://schemas.openxmlformats.org/spreadsheetml/2006/main" name="ExternalData_1707" connectionId="26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0.xml><?xml version="1.0" encoding="utf-8"?>
<queryTable xmlns="http://schemas.openxmlformats.org/spreadsheetml/2006/main" name="ExternalData_2256" connectionId="57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1.xml><?xml version="1.0" encoding="utf-8"?>
<queryTable xmlns="http://schemas.openxmlformats.org/spreadsheetml/2006/main" name="ExternalData_2226" connectionId="53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2.xml><?xml version="1.0" encoding="utf-8"?>
<queryTable xmlns="http://schemas.openxmlformats.org/spreadsheetml/2006/main" name="ExternalData_2075" connectionId="37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3.xml><?xml version="1.0" encoding="utf-8"?>
<queryTable xmlns="http://schemas.openxmlformats.org/spreadsheetml/2006/main" name="ExternalData_2035" connectionId="32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4.xml><?xml version="1.0" encoding="utf-8"?>
<queryTable xmlns="http://schemas.openxmlformats.org/spreadsheetml/2006/main" name="ExternalData_2101" connectionId="4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5.xml><?xml version="1.0" encoding="utf-8"?>
<queryTable xmlns="http://schemas.openxmlformats.org/spreadsheetml/2006/main" name="ExternalData_2013" connectionId="30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6.xml><?xml version="1.0" encoding="utf-8"?>
<queryTable xmlns="http://schemas.openxmlformats.org/spreadsheetml/2006/main" name="ExternalData_2034" connectionId="32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7.xml><?xml version="1.0" encoding="utf-8"?>
<queryTable xmlns="http://schemas.openxmlformats.org/spreadsheetml/2006/main" name="ExternalData_1719" connectionId="438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8.xml><?xml version="1.0" encoding="utf-8"?>
<queryTable xmlns="http://schemas.openxmlformats.org/spreadsheetml/2006/main" name="ExternalData_2142" connectionId="44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09.xml><?xml version="1.0" encoding="utf-8"?>
<queryTable xmlns="http://schemas.openxmlformats.org/spreadsheetml/2006/main" name="ExternalData_1832" connectionId="9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0.xml><?xml version="1.0" encoding="utf-8"?>
<queryTable xmlns="http://schemas.openxmlformats.org/spreadsheetml/2006/main" name="ExternalData_1693" connectionId="10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1.xml><?xml version="1.0" encoding="utf-8"?>
<queryTable xmlns="http://schemas.openxmlformats.org/spreadsheetml/2006/main" name="ExternalData_2067" connectionId="3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2.xml><?xml version="1.0" encoding="utf-8"?>
<queryTable xmlns="http://schemas.openxmlformats.org/spreadsheetml/2006/main" name="ExternalData_1746" connectionId="635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3.xml><?xml version="1.0" encoding="utf-8"?>
<queryTable xmlns="http://schemas.openxmlformats.org/spreadsheetml/2006/main" name="ExternalData_1808" connectionId="6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4.xml><?xml version="1.0" encoding="utf-8"?>
<queryTable xmlns="http://schemas.openxmlformats.org/spreadsheetml/2006/main" name="ExternalData_1796" connectionId="5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5.xml><?xml version="1.0" encoding="utf-8"?>
<queryTable xmlns="http://schemas.openxmlformats.org/spreadsheetml/2006/main" name="ExternalData_1991" connectionId="276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6.xml><?xml version="1.0" encoding="utf-8"?>
<queryTable xmlns="http://schemas.openxmlformats.org/spreadsheetml/2006/main" name="ExternalData_1916" connectionId="19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7.xml><?xml version="1.0" encoding="utf-8"?>
<queryTable xmlns="http://schemas.openxmlformats.org/spreadsheetml/2006/main" name="ExternalData_2109" connectionId="40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8.xml><?xml version="1.0" encoding="utf-8"?>
<queryTable xmlns="http://schemas.openxmlformats.org/spreadsheetml/2006/main" name="ExternalData_1925" connectionId="2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19.xml><?xml version="1.0" encoding="utf-8"?>
<queryTable xmlns="http://schemas.openxmlformats.org/spreadsheetml/2006/main" name="ExternalData_1868" connectionId="13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0.xml><?xml version="1.0" encoding="utf-8"?>
<queryTable xmlns="http://schemas.openxmlformats.org/spreadsheetml/2006/main" name="ExternalData_2051" connectionId="344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1.xml><?xml version="1.0" encoding="utf-8"?>
<queryTable xmlns="http://schemas.openxmlformats.org/spreadsheetml/2006/main" name="ExternalData_2278" connectionId="6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2.xml><?xml version="1.0" encoding="utf-8"?>
<queryTable xmlns="http://schemas.openxmlformats.org/spreadsheetml/2006/main" name="ExternalData_1977" connectionId="260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3.xml><?xml version="1.0" encoding="utf-8"?>
<queryTable xmlns="http://schemas.openxmlformats.org/spreadsheetml/2006/main" name="ExternalData_1835" connectionId="99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4.xml><?xml version="1.0" encoding="utf-8"?>
<queryTable xmlns="http://schemas.openxmlformats.org/spreadsheetml/2006/main" name="ExternalData_2058" connectionId="353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5.xml><?xml version="1.0" encoding="utf-8"?>
<queryTable xmlns="http://schemas.openxmlformats.org/spreadsheetml/2006/main" name="ExternalData_2267" connectionId="587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6.xml><?xml version="1.0" encoding="utf-8"?>
<queryTable xmlns="http://schemas.openxmlformats.org/spreadsheetml/2006/main" name="ExternalData_2102" connectionId="401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queryTables/queryTable627.xml><?xml version="1.0" encoding="utf-8"?>
<queryTable xmlns="http://schemas.openxmlformats.org/spreadsheetml/2006/main" name="ExternalData_2245" connectionId="562" autoFormatId="0" applyNumberFormats="0" applyBorderFormats="0" applyFontFormats="1" applyPatternFormats="1" applyAlignmentFormats="0" applyWidthHeightFormats="0">
  <queryTableRefresh preserveSortFilterLayout="0" nextId="14">
    <queryTableFields count="13">
      <queryTableField id="1" name="SLNO"/>
      <queryTableField id="2" name="DATE"/>
      <queryTableField id="3" name="CUST"/>
      <queryTableField id="4" name="UNIT"/>
      <queryTableField id="5" name="COMM_GRP"/>
      <queryTableField id="6" name="COMM"/>
      <queryTableField id="7" name="FE"/>
      <queryTableField id="8" name="SIO2"/>
      <queryTableField id="9" name="AL2O3"/>
      <queryTableField id="10" name="OS"/>
      <queryTableField id="11" name="US"/>
      <queryTableField id="12" name="RAKENO"/>
      <queryTableField id="13" name="EDATE"/>
    </queryTableFields>
  </queryTableRefresh>
</query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16.xml"/><Relationship Id="rId299" Type="http://schemas.openxmlformats.org/officeDocument/2006/relationships/queryTable" Target="../queryTables/queryTable298.xml"/><Relationship Id="rId21" Type="http://schemas.openxmlformats.org/officeDocument/2006/relationships/queryTable" Target="../queryTables/queryTable20.xml"/><Relationship Id="rId63" Type="http://schemas.openxmlformats.org/officeDocument/2006/relationships/queryTable" Target="../queryTables/queryTable62.xml"/><Relationship Id="rId159" Type="http://schemas.openxmlformats.org/officeDocument/2006/relationships/queryTable" Target="../queryTables/queryTable158.xml"/><Relationship Id="rId324" Type="http://schemas.openxmlformats.org/officeDocument/2006/relationships/queryTable" Target="../queryTables/queryTable323.xml"/><Relationship Id="rId366" Type="http://schemas.openxmlformats.org/officeDocument/2006/relationships/queryTable" Target="../queryTables/queryTable365.xml"/><Relationship Id="rId531" Type="http://schemas.openxmlformats.org/officeDocument/2006/relationships/queryTable" Target="../queryTables/queryTable530.xml"/><Relationship Id="rId573" Type="http://schemas.openxmlformats.org/officeDocument/2006/relationships/queryTable" Target="../queryTables/queryTable572.xml"/><Relationship Id="rId170" Type="http://schemas.openxmlformats.org/officeDocument/2006/relationships/queryTable" Target="../queryTables/queryTable169.xml"/><Relationship Id="rId226" Type="http://schemas.openxmlformats.org/officeDocument/2006/relationships/queryTable" Target="../queryTables/queryTable225.xml"/><Relationship Id="rId433" Type="http://schemas.openxmlformats.org/officeDocument/2006/relationships/queryTable" Target="../queryTables/queryTable432.xml"/><Relationship Id="rId268" Type="http://schemas.openxmlformats.org/officeDocument/2006/relationships/queryTable" Target="../queryTables/queryTable267.xml"/><Relationship Id="rId475" Type="http://schemas.openxmlformats.org/officeDocument/2006/relationships/queryTable" Target="../queryTables/queryTable474.xml"/><Relationship Id="rId32" Type="http://schemas.openxmlformats.org/officeDocument/2006/relationships/queryTable" Target="../queryTables/queryTable31.xml"/><Relationship Id="rId74" Type="http://schemas.openxmlformats.org/officeDocument/2006/relationships/queryTable" Target="../queryTables/queryTable73.xml"/><Relationship Id="rId128" Type="http://schemas.openxmlformats.org/officeDocument/2006/relationships/queryTable" Target="../queryTables/queryTable127.xml"/><Relationship Id="rId335" Type="http://schemas.openxmlformats.org/officeDocument/2006/relationships/queryTable" Target="../queryTables/queryTable334.xml"/><Relationship Id="rId377" Type="http://schemas.openxmlformats.org/officeDocument/2006/relationships/queryTable" Target="../queryTables/queryTable376.xml"/><Relationship Id="rId500" Type="http://schemas.openxmlformats.org/officeDocument/2006/relationships/queryTable" Target="../queryTables/queryTable499.xml"/><Relationship Id="rId542" Type="http://schemas.openxmlformats.org/officeDocument/2006/relationships/queryTable" Target="../queryTables/queryTable541.xml"/><Relationship Id="rId584" Type="http://schemas.openxmlformats.org/officeDocument/2006/relationships/queryTable" Target="../queryTables/queryTable583.xml"/><Relationship Id="rId5" Type="http://schemas.openxmlformats.org/officeDocument/2006/relationships/queryTable" Target="../queryTables/queryTable4.xml"/><Relationship Id="rId181" Type="http://schemas.openxmlformats.org/officeDocument/2006/relationships/queryTable" Target="../queryTables/queryTable180.xml"/><Relationship Id="rId237" Type="http://schemas.openxmlformats.org/officeDocument/2006/relationships/queryTable" Target="../queryTables/queryTable236.xml"/><Relationship Id="rId402" Type="http://schemas.openxmlformats.org/officeDocument/2006/relationships/queryTable" Target="../queryTables/queryTable401.xml"/><Relationship Id="rId279" Type="http://schemas.openxmlformats.org/officeDocument/2006/relationships/queryTable" Target="../queryTables/queryTable278.xml"/><Relationship Id="rId444" Type="http://schemas.openxmlformats.org/officeDocument/2006/relationships/queryTable" Target="../queryTables/queryTable443.xml"/><Relationship Id="rId486" Type="http://schemas.openxmlformats.org/officeDocument/2006/relationships/queryTable" Target="../queryTables/queryTable485.xml"/><Relationship Id="rId43" Type="http://schemas.openxmlformats.org/officeDocument/2006/relationships/queryTable" Target="../queryTables/queryTable42.xml"/><Relationship Id="rId139" Type="http://schemas.openxmlformats.org/officeDocument/2006/relationships/queryTable" Target="../queryTables/queryTable138.xml"/><Relationship Id="rId290" Type="http://schemas.openxmlformats.org/officeDocument/2006/relationships/queryTable" Target="../queryTables/queryTable289.xml"/><Relationship Id="rId304" Type="http://schemas.openxmlformats.org/officeDocument/2006/relationships/queryTable" Target="../queryTables/queryTable303.xml"/><Relationship Id="rId346" Type="http://schemas.openxmlformats.org/officeDocument/2006/relationships/queryTable" Target="../queryTables/queryTable345.xml"/><Relationship Id="rId388" Type="http://schemas.openxmlformats.org/officeDocument/2006/relationships/queryTable" Target="../queryTables/queryTable387.xml"/><Relationship Id="rId511" Type="http://schemas.openxmlformats.org/officeDocument/2006/relationships/queryTable" Target="../queryTables/queryTable510.xml"/><Relationship Id="rId553" Type="http://schemas.openxmlformats.org/officeDocument/2006/relationships/queryTable" Target="../queryTables/queryTable552.xml"/><Relationship Id="rId609" Type="http://schemas.openxmlformats.org/officeDocument/2006/relationships/queryTable" Target="../queryTables/queryTable608.xml"/><Relationship Id="rId85" Type="http://schemas.openxmlformats.org/officeDocument/2006/relationships/queryTable" Target="../queryTables/queryTable84.xml"/><Relationship Id="rId150" Type="http://schemas.openxmlformats.org/officeDocument/2006/relationships/queryTable" Target="../queryTables/queryTable149.xml"/><Relationship Id="rId192" Type="http://schemas.openxmlformats.org/officeDocument/2006/relationships/queryTable" Target="../queryTables/queryTable191.xml"/><Relationship Id="rId206" Type="http://schemas.openxmlformats.org/officeDocument/2006/relationships/queryTable" Target="../queryTables/queryTable205.xml"/><Relationship Id="rId413" Type="http://schemas.openxmlformats.org/officeDocument/2006/relationships/queryTable" Target="../queryTables/queryTable412.xml"/><Relationship Id="rId595" Type="http://schemas.openxmlformats.org/officeDocument/2006/relationships/queryTable" Target="../queryTables/queryTable594.xml"/><Relationship Id="rId248" Type="http://schemas.openxmlformats.org/officeDocument/2006/relationships/queryTable" Target="../queryTables/queryTable247.xml"/><Relationship Id="rId455" Type="http://schemas.openxmlformats.org/officeDocument/2006/relationships/queryTable" Target="../queryTables/queryTable454.xml"/><Relationship Id="rId497" Type="http://schemas.openxmlformats.org/officeDocument/2006/relationships/queryTable" Target="../queryTables/queryTable496.xml"/><Relationship Id="rId620" Type="http://schemas.openxmlformats.org/officeDocument/2006/relationships/queryTable" Target="../queryTables/queryTable619.xml"/><Relationship Id="rId12" Type="http://schemas.openxmlformats.org/officeDocument/2006/relationships/queryTable" Target="../queryTables/queryTable11.xml"/><Relationship Id="rId108" Type="http://schemas.openxmlformats.org/officeDocument/2006/relationships/queryTable" Target="../queryTables/queryTable107.xml"/><Relationship Id="rId315" Type="http://schemas.openxmlformats.org/officeDocument/2006/relationships/queryTable" Target="../queryTables/queryTable314.xml"/><Relationship Id="rId357" Type="http://schemas.openxmlformats.org/officeDocument/2006/relationships/queryTable" Target="../queryTables/queryTable356.xml"/><Relationship Id="rId522" Type="http://schemas.openxmlformats.org/officeDocument/2006/relationships/queryTable" Target="../queryTables/queryTable521.xml"/><Relationship Id="rId54" Type="http://schemas.openxmlformats.org/officeDocument/2006/relationships/queryTable" Target="../queryTables/queryTable53.xml"/><Relationship Id="rId96" Type="http://schemas.openxmlformats.org/officeDocument/2006/relationships/queryTable" Target="../queryTables/queryTable95.xml"/><Relationship Id="rId161" Type="http://schemas.openxmlformats.org/officeDocument/2006/relationships/queryTable" Target="../queryTables/queryTable160.xml"/><Relationship Id="rId217" Type="http://schemas.openxmlformats.org/officeDocument/2006/relationships/queryTable" Target="../queryTables/queryTable216.xml"/><Relationship Id="rId399" Type="http://schemas.openxmlformats.org/officeDocument/2006/relationships/queryTable" Target="../queryTables/queryTable398.xml"/><Relationship Id="rId564" Type="http://schemas.openxmlformats.org/officeDocument/2006/relationships/queryTable" Target="../queryTables/queryTable563.xml"/><Relationship Id="rId259" Type="http://schemas.openxmlformats.org/officeDocument/2006/relationships/queryTable" Target="../queryTables/queryTable258.xml"/><Relationship Id="rId424" Type="http://schemas.openxmlformats.org/officeDocument/2006/relationships/queryTable" Target="../queryTables/queryTable423.xml"/><Relationship Id="rId466" Type="http://schemas.openxmlformats.org/officeDocument/2006/relationships/queryTable" Target="../queryTables/queryTable465.xml"/><Relationship Id="rId23" Type="http://schemas.openxmlformats.org/officeDocument/2006/relationships/queryTable" Target="../queryTables/queryTable22.xml"/><Relationship Id="rId119" Type="http://schemas.openxmlformats.org/officeDocument/2006/relationships/queryTable" Target="../queryTables/queryTable118.xml"/><Relationship Id="rId270" Type="http://schemas.openxmlformats.org/officeDocument/2006/relationships/queryTable" Target="../queryTables/queryTable269.xml"/><Relationship Id="rId326" Type="http://schemas.openxmlformats.org/officeDocument/2006/relationships/queryTable" Target="../queryTables/queryTable325.xml"/><Relationship Id="rId533" Type="http://schemas.openxmlformats.org/officeDocument/2006/relationships/queryTable" Target="../queryTables/queryTable532.xml"/><Relationship Id="rId65" Type="http://schemas.openxmlformats.org/officeDocument/2006/relationships/queryTable" Target="../queryTables/queryTable64.xml"/><Relationship Id="rId130" Type="http://schemas.openxmlformats.org/officeDocument/2006/relationships/queryTable" Target="../queryTables/queryTable129.xml"/><Relationship Id="rId368" Type="http://schemas.openxmlformats.org/officeDocument/2006/relationships/queryTable" Target="../queryTables/queryTable367.xml"/><Relationship Id="rId575" Type="http://schemas.openxmlformats.org/officeDocument/2006/relationships/queryTable" Target="../queryTables/queryTable574.xml"/><Relationship Id="rId172" Type="http://schemas.openxmlformats.org/officeDocument/2006/relationships/queryTable" Target="../queryTables/queryTable171.xml"/><Relationship Id="rId228" Type="http://schemas.openxmlformats.org/officeDocument/2006/relationships/queryTable" Target="../queryTables/queryTable227.xml"/><Relationship Id="rId435" Type="http://schemas.openxmlformats.org/officeDocument/2006/relationships/queryTable" Target="../queryTables/queryTable434.xml"/><Relationship Id="rId477" Type="http://schemas.openxmlformats.org/officeDocument/2006/relationships/queryTable" Target="../queryTables/queryTable476.xml"/><Relationship Id="rId600" Type="http://schemas.openxmlformats.org/officeDocument/2006/relationships/queryTable" Target="../queryTables/queryTable599.xml"/><Relationship Id="rId281" Type="http://schemas.openxmlformats.org/officeDocument/2006/relationships/queryTable" Target="../queryTables/queryTable280.xml"/><Relationship Id="rId337" Type="http://schemas.openxmlformats.org/officeDocument/2006/relationships/queryTable" Target="../queryTables/queryTable336.xml"/><Relationship Id="rId502" Type="http://schemas.openxmlformats.org/officeDocument/2006/relationships/queryTable" Target="../queryTables/queryTable501.xml"/><Relationship Id="rId34" Type="http://schemas.openxmlformats.org/officeDocument/2006/relationships/queryTable" Target="../queryTables/queryTable33.xml"/><Relationship Id="rId76" Type="http://schemas.openxmlformats.org/officeDocument/2006/relationships/queryTable" Target="../queryTables/queryTable75.xml"/><Relationship Id="rId141" Type="http://schemas.openxmlformats.org/officeDocument/2006/relationships/queryTable" Target="../queryTables/queryTable140.xml"/><Relationship Id="rId379" Type="http://schemas.openxmlformats.org/officeDocument/2006/relationships/queryTable" Target="../queryTables/queryTable378.xml"/><Relationship Id="rId544" Type="http://schemas.openxmlformats.org/officeDocument/2006/relationships/queryTable" Target="../queryTables/queryTable543.xml"/><Relationship Id="rId586" Type="http://schemas.openxmlformats.org/officeDocument/2006/relationships/queryTable" Target="../queryTables/queryTable585.xml"/><Relationship Id="rId7" Type="http://schemas.openxmlformats.org/officeDocument/2006/relationships/queryTable" Target="../queryTables/queryTable6.xml"/><Relationship Id="rId183" Type="http://schemas.openxmlformats.org/officeDocument/2006/relationships/queryTable" Target="../queryTables/queryTable182.xml"/><Relationship Id="rId239" Type="http://schemas.openxmlformats.org/officeDocument/2006/relationships/queryTable" Target="../queryTables/queryTable238.xml"/><Relationship Id="rId390" Type="http://schemas.openxmlformats.org/officeDocument/2006/relationships/queryTable" Target="../queryTables/queryTable389.xml"/><Relationship Id="rId404" Type="http://schemas.openxmlformats.org/officeDocument/2006/relationships/queryTable" Target="../queryTables/queryTable403.xml"/><Relationship Id="rId446" Type="http://schemas.openxmlformats.org/officeDocument/2006/relationships/queryTable" Target="../queryTables/queryTable445.xml"/><Relationship Id="rId611" Type="http://schemas.openxmlformats.org/officeDocument/2006/relationships/queryTable" Target="../queryTables/queryTable610.xml"/><Relationship Id="rId250" Type="http://schemas.openxmlformats.org/officeDocument/2006/relationships/queryTable" Target="../queryTables/queryTable249.xml"/><Relationship Id="rId292" Type="http://schemas.openxmlformats.org/officeDocument/2006/relationships/queryTable" Target="../queryTables/queryTable291.xml"/><Relationship Id="rId306" Type="http://schemas.openxmlformats.org/officeDocument/2006/relationships/queryTable" Target="../queryTables/queryTable305.xml"/><Relationship Id="rId488" Type="http://schemas.openxmlformats.org/officeDocument/2006/relationships/queryTable" Target="../queryTables/queryTable487.xml"/><Relationship Id="rId45" Type="http://schemas.openxmlformats.org/officeDocument/2006/relationships/queryTable" Target="../queryTables/queryTable44.xml"/><Relationship Id="rId87" Type="http://schemas.openxmlformats.org/officeDocument/2006/relationships/queryTable" Target="../queryTables/queryTable86.xml"/><Relationship Id="rId110" Type="http://schemas.openxmlformats.org/officeDocument/2006/relationships/queryTable" Target="../queryTables/queryTable109.xml"/><Relationship Id="rId348" Type="http://schemas.openxmlformats.org/officeDocument/2006/relationships/queryTable" Target="../queryTables/queryTable347.xml"/><Relationship Id="rId513" Type="http://schemas.openxmlformats.org/officeDocument/2006/relationships/queryTable" Target="../queryTables/queryTable512.xml"/><Relationship Id="rId555" Type="http://schemas.openxmlformats.org/officeDocument/2006/relationships/queryTable" Target="../queryTables/queryTable554.xml"/><Relationship Id="rId597" Type="http://schemas.openxmlformats.org/officeDocument/2006/relationships/queryTable" Target="../queryTables/queryTable596.xml"/><Relationship Id="rId152" Type="http://schemas.openxmlformats.org/officeDocument/2006/relationships/queryTable" Target="../queryTables/queryTable151.xml"/><Relationship Id="rId194" Type="http://schemas.openxmlformats.org/officeDocument/2006/relationships/queryTable" Target="../queryTables/queryTable193.xml"/><Relationship Id="rId208" Type="http://schemas.openxmlformats.org/officeDocument/2006/relationships/queryTable" Target="../queryTables/queryTable207.xml"/><Relationship Id="rId415" Type="http://schemas.openxmlformats.org/officeDocument/2006/relationships/queryTable" Target="../queryTables/queryTable414.xml"/><Relationship Id="rId457" Type="http://schemas.openxmlformats.org/officeDocument/2006/relationships/queryTable" Target="../queryTables/queryTable456.xml"/><Relationship Id="rId622" Type="http://schemas.openxmlformats.org/officeDocument/2006/relationships/queryTable" Target="../queryTables/queryTable621.xml"/><Relationship Id="rId261" Type="http://schemas.openxmlformats.org/officeDocument/2006/relationships/queryTable" Target="../queryTables/queryTable260.xml"/><Relationship Id="rId499" Type="http://schemas.openxmlformats.org/officeDocument/2006/relationships/queryTable" Target="../queryTables/queryTable498.xml"/><Relationship Id="rId14" Type="http://schemas.openxmlformats.org/officeDocument/2006/relationships/queryTable" Target="../queryTables/queryTable13.xml"/><Relationship Id="rId56" Type="http://schemas.openxmlformats.org/officeDocument/2006/relationships/queryTable" Target="../queryTables/queryTable55.xml"/><Relationship Id="rId317" Type="http://schemas.openxmlformats.org/officeDocument/2006/relationships/queryTable" Target="../queryTables/queryTable316.xml"/><Relationship Id="rId359" Type="http://schemas.openxmlformats.org/officeDocument/2006/relationships/queryTable" Target="../queryTables/queryTable358.xml"/><Relationship Id="rId524" Type="http://schemas.openxmlformats.org/officeDocument/2006/relationships/queryTable" Target="../queryTables/queryTable523.xml"/><Relationship Id="rId566" Type="http://schemas.openxmlformats.org/officeDocument/2006/relationships/queryTable" Target="../queryTables/queryTable565.xml"/><Relationship Id="rId98" Type="http://schemas.openxmlformats.org/officeDocument/2006/relationships/queryTable" Target="../queryTables/queryTable97.xml"/><Relationship Id="rId121" Type="http://schemas.openxmlformats.org/officeDocument/2006/relationships/queryTable" Target="../queryTables/queryTable120.xml"/><Relationship Id="rId163" Type="http://schemas.openxmlformats.org/officeDocument/2006/relationships/queryTable" Target="../queryTables/queryTable162.xml"/><Relationship Id="rId219" Type="http://schemas.openxmlformats.org/officeDocument/2006/relationships/queryTable" Target="../queryTables/queryTable218.xml"/><Relationship Id="rId370" Type="http://schemas.openxmlformats.org/officeDocument/2006/relationships/queryTable" Target="../queryTables/queryTable369.xml"/><Relationship Id="rId426" Type="http://schemas.openxmlformats.org/officeDocument/2006/relationships/queryTable" Target="../queryTables/queryTable425.xml"/><Relationship Id="rId230" Type="http://schemas.openxmlformats.org/officeDocument/2006/relationships/queryTable" Target="../queryTables/queryTable229.xml"/><Relationship Id="rId468" Type="http://schemas.openxmlformats.org/officeDocument/2006/relationships/queryTable" Target="../queryTables/queryTable467.xml"/><Relationship Id="rId25" Type="http://schemas.openxmlformats.org/officeDocument/2006/relationships/queryTable" Target="../queryTables/queryTable24.xml"/><Relationship Id="rId67" Type="http://schemas.openxmlformats.org/officeDocument/2006/relationships/queryTable" Target="../queryTables/queryTable66.xml"/><Relationship Id="rId272" Type="http://schemas.openxmlformats.org/officeDocument/2006/relationships/queryTable" Target="../queryTables/queryTable271.xml"/><Relationship Id="rId328" Type="http://schemas.openxmlformats.org/officeDocument/2006/relationships/queryTable" Target="../queryTables/queryTable327.xml"/><Relationship Id="rId535" Type="http://schemas.openxmlformats.org/officeDocument/2006/relationships/queryTable" Target="../queryTables/queryTable534.xml"/><Relationship Id="rId577" Type="http://schemas.openxmlformats.org/officeDocument/2006/relationships/queryTable" Target="../queryTables/queryTable576.xml"/><Relationship Id="rId132" Type="http://schemas.openxmlformats.org/officeDocument/2006/relationships/queryTable" Target="../queryTables/queryTable131.xml"/><Relationship Id="rId174" Type="http://schemas.openxmlformats.org/officeDocument/2006/relationships/queryTable" Target="../queryTables/queryTable173.xml"/><Relationship Id="rId381" Type="http://schemas.openxmlformats.org/officeDocument/2006/relationships/queryTable" Target="../queryTables/queryTable380.xml"/><Relationship Id="rId602" Type="http://schemas.openxmlformats.org/officeDocument/2006/relationships/queryTable" Target="../queryTables/queryTable601.xml"/><Relationship Id="rId241" Type="http://schemas.openxmlformats.org/officeDocument/2006/relationships/queryTable" Target="../queryTables/queryTable240.xml"/><Relationship Id="rId437" Type="http://schemas.openxmlformats.org/officeDocument/2006/relationships/queryTable" Target="../queryTables/queryTable436.xml"/><Relationship Id="rId479" Type="http://schemas.openxmlformats.org/officeDocument/2006/relationships/queryTable" Target="../queryTables/queryTable478.xml"/><Relationship Id="rId36" Type="http://schemas.openxmlformats.org/officeDocument/2006/relationships/queryTable" Target="../queryTables/queryTable35.xml"/><Relationship Id="rId283" Type="http://schemas.openxmlformats.org/officeDocument/2006/relationships/queryTable" Target="../queryTables/queryTable282.xml"/><Relationship Id="rId339" Type="http://schemas.openxmlformats.org/officeDocument/2006/relationships/queryTable" Target="../queryTables/queryTable338.xml"/><Relationship Id="rId490" Type="http://schemas.openxmlformats.org/officeDocument/2006/relationships/queryTable" Target="../queryTables/queryTable489.xml"/><Relationship Id="rId504" Type="http://schemas.openxmlformats.org/officeDocument/2006/relationships/queryTable" Target="../queryTables/queryTable503.xml"/><Relationship Id="rId546" Type="http://schemas.openxmlformats.org/officeDocument/2006/relationships/queryTable" Target="../queryTables/queryTable545.xml"/><Relationship Id="rId78" Type="http://schemas.openxmlformats.org/officeDocument/2006/relationships/queryTable" Target="../queryTables/queryTable77.xml"/><Relationship Id="rId101" Type="http://schemas.openxmlformats.org/officeDocument/2006/relationships/queryTable" Target="../queryTables/queryTable100.xml"/><Relationship Id="rId143" Type="http://schemas.openxmlformats.org/officeDocument/2006/relationships/queryTable" Target="../queryTables/queryTable142.xml"/><Relationship Id="rId185" Type="http://schemas.openxmlformats.org/officeDocument/2006/relationships/queryTable" Target="../queryTables/queryTable184.xml"/><Relationship Id="rId350" Type="http://schemas.openxmlformats.org/officeDocument/2006/relationships/queryTable" Target="../queryTables/queryTable349.xml"/><Relationship Id="rId406" Type="http://schemas.openxmlformats.org/officeDocument/2006/relationships/queryTable" Target="../queryTables/queryTable405.xml"/><Relationship Id="rId588" Type="http://schemas.openxmlformats.org/officeDocument/2006/relationships/queryTable" Target="../queryTables/queryTable587.xml"/><Relationship Id="rId9" Type="http://schemas.openxmlformats.org/officeDocument/2006/relationships/queryTable" Target="../queryTables/queryTable8.xml"/><Relationship Id="rId210" Type="http://schemas.openxmlformats.org/officeDocument/2006/relationships/queryTable" Target="../queryTables/queryTable209.xml"/><Relationship Id="rId392" Type="http://schemas.openxmlformats.org/officeDocument/2006/relationships/queryTable" Target="../queryTables/queryTable391.xml"/><Relationship Id="rId448" Type="http://schemas.openxmlformats.org/officeDocument/2006/relationships/queryTable" Target="../queryTables/queryTable447.xml"/><Relationship Id="rId613" Type="http://schemas.openxmlformats.org/officeDocument/2006/relationships/queryTable" Target="../queryTables/queryTable612.xml"/><Relationship Id="rId252" Type="http://schemas.openxmlformats.org/officeDocument/2006/relationships/queryTable" Target="../queryTables/queryTable251.xml"/><Relationship Id="rId294" Type="http://schemas.openxmlformats.org/officeDocument/2006/relationships/queryTable" Target="../queryTables/queryTable293.xml"/><Relationship Id="rId308" Type="http://schemas.openxmlformats.org/officeDocument/2006/relationships/queryTable" Target="../queryTables/queryTable307.xml"/><Relationship Id="rId515" Type="http://schemas.openxmlformats.org/officeDocument/2006/relationships/queryTable" Target="../queryTables/queryTable514.xml"/><Relationship Id="rId47" Type="http://schemas.openxmlformats.org/officeDocument/2006/relationships/queryTable" Target="../queryTables/queryTable46.xml"/><Relationship Id="rId89" Type="http://schemas.openxmlformats.org/officeDocument/2006/relationships/queryTable" Target="../queryTables/queryTable88.xml"/><Relationship Id="rId112" Type="http://schemas.openxmlformats.org/officeDocument/2006/relationships/queryTable" Target="../queryTables/queryTable111.xml"/><Relationship Id="rId154" Type="http://schemas.openxmlformats.org/officeDocument/2006/relationships/queryTable" Target="../queryTables/queryTable153.xml"/><Relationship Id="rId361" Type="http://schemas.openxmlformats.org/officeDocument/2006/relationships/queryTable" Target="../queryTables/queryTable360.xml"/><Relationship Id="rId557" Type="http://schemas.openxmlformats.org/officeDocument/2006/relationships/queryTable" Target="../queryTables/queryTable556.xml"/><Relationship Id="rId599" Type="http://schemas.openxmlformats.org/officeDocument/2006/relationships/queryTable" Target="../queryTables/queryTable598.xml"/><Relationship Id="rId196" Type="http://schemas.openxmlformats.org/officeDocument/2006/relationships/queryTable" Target="../queryTables/queryTable195.xml"/><Relationship Id="rId417" Type="http://schemas.openxmlformats.org/officeDocument/2006/relationships/queryTable" Target="../queryTables/queryTable416.xml"/><Relationship Id="rId459" Type="http://schemas.openxmlformats.org/officeDocument/2006/relationships/queryTable" Target="../queryTables/queryTable458.xml"/><Relationship Id="rId624" Type="http://schemas.openxmlformats.org/officeDocument/2006/relationships/queryTable" Target="../queryTables/queryTable623.xml"/><Relationship Id="rId16" Type="http://schemas.openxmlformats.org/officeDocument/2006/relationships/queryTable" Target="../queryTables/queryTable15.xml"/><Relationship Id="rId221" Type="http://schemas.openxmlformats.org/officeDocument/2006/relationships/queryTable" Target="../queryTables/queryTable220.xml"/><Relationship Id="rId263" Type="http://schemas.openxmlformats.org/officeDocument/2006/relationships/queryTable" Target="../queryTables/queryTable262.xml"/><Relationship Id="rId319" Type="http://schemas.openxmlformats.org/officeDocument/2006/relationships/queryTable" Target="../queryTables/queryTable318.xml"/><Relationship Id="rId470" Type="http://schemas.openxmlformats.org/officeDocument/2006/relationships/queryTable" Target="../queryTables/queryTable469.xml"/><Relationship Id="rId526" Type="http://schemas.openxmlformats.org/officeDocument/2006/relationships/queryTable" Target="../queryTables/queryTable525.xml"/><Relationship Id="rId58" Type="http://schemas.openxmlformats.org/officeDocument/2006/relationships/queryTable" Target="../queryTables/queryTable57.xml"/><Relationship Id="rId123" Type="http://schemas.openxmlformats.org/officeDocument/2006/relationships/queryTable" Target="../queryTables/queryTable122.xml"/><Relationship Id="rId330" Type="http://schemas.openxmlformats.org/officeDocument/2006/relationships/queryTable" Target="../queryTables/queryTable329.xml"/><Relationship Id="rId568" Type="http://schemas.openxmlformats.org/officeDocument/2006/relationships/queryTable" Target="../queryTables/queryTable567.xml"/><Relationship Id="rId165" Type="http://schemas.openxmlformats.org/officeDocument/2006/relationships/queryTable" Target="../queryTables/queryTable164.xml"/><Relationship Id="rId372" Type="http://schemas.openxmlformats.org/officeDocument/2006/relationships/queryTable" Target="../queryTables/queryTable371.xml"/><Relationship Id="rId428" Type="http://schemas.openxmlformats.org/officeDocument/2006/relationships/queryTable" Target="../queryTables/queryTable427.xml"/><Relationship Id="rId232" Type="http://schemas.openxmlformats.org/officeDocument/2006/relationships/queryTable" Target="../queryTables/queryTable231.xml"/><Relationship Id="rId274" Type="http://schemas.openxmlformats.org/officeDocument/2006/relationships/queryTable" Target="../queryTables/queryTable273.xml"/><Relationship Id="rId481" Type="http://schemas.openxmlformats.org/officeDocument/2006/relationships/queryTable" Target="../queryTables/queryTable480.xml"/><Relationship Id="rId27" Type="http://schemas.openxmlformats.org/officeDocument/2006/relationships/queryTable" Target="../queryTables/queryTable26.xml"/><Relationship Id="rId69" Type="http://schemas.openxmlformats.org/officeDocument/2006/relationships/queryTable" Target="../queryTables/queryTable68.xml"/><Relationship Id="rId134" Type="http://schemas.openxmlformats.org/officeDocument/2006/relationships/queryTable" Target="../queryTables/queryTable133.xml"/><Relationship Id="rId537" Type="http://schemas.openxmlformats.org/officeDocument/2006/relationships/queryTable" Target="../queryTables/queryTable536.xml"/><Relationship Id="rId579" Type="http://schemas.openxmlformats.org/officeDocument/2006/relationships/queryTable" Target="../queryTables/queryTable578.xml"/><Relationship Id="rId80" Type="http://schemas.openxmlformats.org/officeDocument/2006/relationships/queryTable" Target="../queryTables/queryTable79.xml"/><Relationship Id="rId176" Type="http://schemas.openxmlformats.org/officeDocument/2006/relationships/queryTable" Target="../queryTables/queryTable175.xml"/><Relationship Id="rId341" Type="http://schemas.openxmlformats.org/officeDocument/2006/relationships/queryTable" Target="../queryTables/queryTable340.xml"/><Relationship Id="rId383" Type="http://schemas.openxmlformats.org/officeDocument/2006/relationships/queryTable" Target="../queryTables/queryTable382.xml"/><Relationship Id="rId439" Type="http://schemas.openxmlformats.org/officeDocument/2006/relationships/queryTable" Target="../queryTables/queryTable438.xml"/><Relationship Id="rId590" Type="http://schemas.openxmlformats.org/officeDocument/2006/relationships/queryTable" Target="../queryTables/queryTable589.xml"/><Relationship Id="rId604" Type="http://schemas.openxmlformats.org/officeDocument/2006/relationships/queryTable" Target="../queryTables/queryTable603.xml"/><Relationship Id="rId201" Type="http://schemas.openxmlformats.org/officeDocument/2006/relationships/queryTable" Target="../queryTables/queryTable200.xml"/><Relationship Id="rId222" Type="http://schemas.openxmlformats.org/officeDocument/2006/relationships/queryTable" Target="../queryTables/queryTable221.xml"/><Relationship Id="rId243" Type="http://schemas.openxmlformats.org/officeDocument/2006/relationships/queryTable" Target="../queryTables/queryTable242.xml"/><Relationship Id="rId264" Type="http://schemas.openxmlformats.org/officeDocument/2006/relationships/queryTable" Target="../queryTables/queryTable263.xml"/><Relationship Id="rId285" Type="http://schemas.openxmlformats.org/officeDocument/2006/relationships/queryTable" Target="../queryTables/queryTable284.xml"/><Relationship Id="rId450" Type="http://schemas.openxmlformats.org/officeDocument/2006/relationships/queryTable" Target="../queryTables/queryTable449.xml"/><Relationship Id="rId471" Type="http://schemas.openxmlformats.org/officeDocument/2006/relationships/queryTable" Target="../queryTables/queryTable470.xml"/><Relationship Id="rId506" Type="http://schemas.openxmlformats.org/officeDocument/2006/relationships/queryTable" Target="../queryTables/queryTable505.xml"/><Relationship Id="rId17" Type="http://schemas.openxmlformats.org/officeDocument/2006/relationships/queryTable" Target="../queryTables/queryTable16.xml"/><Relationship Id="rId38" Type="http://schemas.openxmlformats.org/officeDocument/2006/relationships/queryTable" Target="../queryTables/queryTable37.xml"/><Relationship Id="rId59" Type="http://schemas.openxmlformats.org/officeDocument/2006/relationships/queryTable" Target="../queryTables/queryTable58.xml"/><Relationship Id="rId103" Type="http://schemas.openxmlformats.org/officeDocument/2006/relationships/queryTable" Target="../queryTables/queryTable102.xml"/><Relationship Id="rId124" Type="http://schemas.openxmlformats.org/officeDocument/2006/relationships/queryTable" Target="../queryTables/queryTable123.xml"/><Relationship Id="rId310" Type="http://schemas.openxmlformats.org/officeDocument/2006/relationships/queryTable" Target="../queryTables/queryTable309.xml"/><Relationship Id="rId492" Type="http://schemas.openxmlformats.org/officeDocument/2006/relationships/queryTable" Target="../queryTables/queryTable491.xml"/><Relationship Id="rId527" Type="http://schemas.openxmlformats.org/officeDocument/2006/relationships/queryTable" Target="../queryTables/queryTable526.xml"/><Relationship Id="rId548" Type="http://schemas.openxmlformats.org/officeDocument/2006/relationships/queryTable" Target="../queryTables/queryTable547.xml"/><Relationship Id="rId569" Type="http://schemas.openxmlformats.org/officeDocument/2006/relationships/queryTable" Target="../queryTables/queryTable568.xml"/><Relationship Id="rId70" Type="http://schemas.openxmlformats.org/officeDocument/2006/relationships/queryTable" Target="../queryTables/queryTable69.xml"/><Relationship Id="rId91" Type="http://schemas.openxmlformats.org/officeDocument/2006/relationships/queryTable" Target="../queryTables/queryTable90.xml"/><Relationship Id="rId145" Type="http://schemas.openxmlformats.org/officeDocument/2006/relationships/queryTable" Target="../queryTables/queryTable144.xml"/><Relationship Id="rId166" Type="http://schemas.openxmlformats.org/officeDocument/2006/relationships/queryTable" Target="../queryTables/queryTable165.xml"/><Relationship Id="rId187" Type="http://schemas.openxmlformats.org/officeDocument/2006/relationships/queryTable" Target="../queryTables/queryTable186.xml"/><Relationship Id="rId331" Type="http://schemas.openxmlformats.org/officeDocument/2006/relationships/queryTable" Target="../queryTables/queryTable330.xml"/><Relationship Id="rId352" Type="http://schemas.openxmlformats.org/officeDocument/2006/relationships/queryTable" Target="../queryTables/queryTable351.xml"/><Relationship Id="rId373" Type="http://schemas.openxmlformats.org/officeDocument/2006/relationships/queryTable" Target="../queryTables/queryTable372.xml"/><Relationship Id="rId394" Type="http://schemas.openxmlformats.org/officeDocument/2006/relationships/queryTable" Target="../queryTables/queryTable393.xml"/><Relationship Id="rId408" Type="http://schemas.openxmlformats.org/officeDocument/2006/relationships/queryTable" Target="../queryTables/queryTable407.xml"/><Relationship Id="rId429" Type="http://schemas.openxmlformats.org/officeDocument/2006/relationships/queryTable" Target="../queryTables/queryTable428.xml"/><Relationship Id="rId580" Type="http://schemas.openxmlformats.org/officeDocument/2006/relationships/queryTable" Target="../queryTables/queryTable579.xml"/><Relationship Id="rId615" Type="http://schemas.openxmlformats.org/officeDocument/2006/relationships/queryTable" Target="../queryTables/queryTable614.xml"/><Relationship Id="rId1" Type="http://schemas.openxmlformats.org/officeDocument/2006/relationships/printerSettings" Target="../printerSettings/printerSettings4.bin"/><Relationship Id="rId212" Type="http://schemas.openxmlformats.org/officeDocument/2006/relationships/queryTable" Target="../queryTables/queryTable211.xml"/><Relationship Id="rId233" Type="http://schemas.openxmlformats.org/officeDocument/2006/relationships/queryTable" Target="../queryTables/queryTable232.xml"/><Relationship Id="rId254" Type="http://schemas.openxmlformats.org/officeDocument/2006/relationships/queryTable" Target="../queryTables/queryTable253.xml"/><Relationship Id="rId440" Type="http://schemas.openxmlformats.org/officeDocument/2006/relationships/queryTable" Target="../queryTables/queryTable439.xml"/><Relationship Id="rId28" Type="http://schemas.openxmlformats.org/officeDocument/2006/relationships/queryTable" Target="../queryTables/queryTable27.xml"/><Relationship Id="rId49" Type="http://schemas.openxmlformats.org/officeDocument/2006/relationships/queryTable" Target="../queryTables/queryTable48.xml"/><Relationship Id="rId114" Type="http://schemas.openxmlformats.org/officeDocument/2006/relationships/queryTable" Target="../queryTables/queryTable113.xml"/><Relationship Id="rId275" Type="http://schemas.openxmlformats.org/officeDocument/2006/relationships/queryTable" Target="../queryTables/queryTable274.xml"/><Relationship Id="rId296" Type="http://schemas.openxmlformats.org/officeDocument/2006/relationships/queryTable" Target="../queryTables/queryTable295.xml"/><Relationship Id="rId300" Type="http://schemas.openxmlformats.org/officeDocument/2006/relationships/queryTable" Target="../queryTables/queryTable299.xml"/><Relationship Id="rId461" Type="http://schemas.openxmlformats.org/officeDocument/2006/relationships/queryTable" Target="../queryTables/queryTable460.xml"/><Relationship Id="rId482" Type="http://schemas.openxmlformats.org/officeDocument/2006/relationships/queryTable" Target="../queryTables/queryTable481.xml"/><Relationship Id="rId517" Type="http://schemas.openxmlformats.org/officeDocument/2006/relationships/queryTable" Target="../queryTables/queryTable516.xml"/><Relationship Id="rId538" Type="http://schemas.openxmlformats.org/officeDocument/2006/relationships/queryTable" Target="../queryTables/queryTable537.xml"/><Relationship Id="rId559" Type="http://schemas.openxmlformats.org/officeDocument/2006/relationships/queryTable" Target="../queryTables/queryTable558.xml"/><Relationship Id="rId60" Type="http://schemas.openxmlformats.org/officeDocument/2006/relationships/queryTable" Target="../queryTables/queryTable59.xml"/><Relationship Id="rId81" Type="http://schemas.openxmlformats.org/officeDocument/2006/relationships/queryTable" Target="../queryTables/queryTable80.xml"/><Relationship Id="rId135" Type="http://schemas.openxmlformats.org/officeDocument/2006/relationships/queryTable" Target="../queryTables/queryTable134.xml"/><Relationship Id="rId156" Type="http://schemas.openxmlformats.org/officeDocument/2006/relationships/queryTable" Target="../queryTables/queryTable155.xml"/><Relationship Id="rId177" Type="http://schemas.openxmlformats.org/officeDocument/2006/relationships/queryTable" Target="../queryTables/queryTable176.xml"/><Relationship Id="rId198" Type="http://schemas.openxmlformats.org/officeDocument/2006/relationships/queryTable" Target="../queryTables/queryTable197.xml"/><Relationship Id="rId321" Type="http://schemas.openxmlformats.org/officeDocument/2006/relationships/queryTable" Target="../queryTables/queryTable320.xml"/><Relationship Id="rId342" Type="http://schemas.openxmlformats.org/officeDocument/2006/relationships/queryTable" Target="../queryTables/queryTable341.xml"/><Relationship Id="rId363" Type="http://schemas.openxmlformats.org/officeDocument/2006/relationships/queryTable" Target="../queryTables/queryTable362.xml"/><Relationship Id="rId384" Type="http://schemas.openxmlformats.org/officeDocument/2006/relationships/queryTable" Target="../queryTables/queryTable383.xml"/><Relationship Id="rId419" Type="http://schemas.openxmlformats.org/officeDocument/2006/relationships/queryTable" Target="../queryTables/queryTable418.xml"/><Relationship Id="rId570" Type="http://schemas.openxmlformats.org/officeDocument/2006/relationships/queryTable" Target="../queryTables/queryTable569.xml"/><Relationship Id="rId591" Type="http://schemas.openxmlformats.org/officeDocument/2006/relationships/queryTable" Target="../queryTables/queryTable590.xml"/><Relationship Id="rId605" Type="http://schemas.openxmlformats.org/officeDocument/2006/relationships/queryTable" Target="../queryTables/queryTable604.xml"/><Relationship Id="rId626" Type="http://schemas.openxmlformats.org/officeDocument/2006/relationships/queryTable" Target="../queryTables/queryTable625.xml"/><Relationship Id="rId202" Type="http://schemas.openxmlformats.org/officeDocument/2006/relationships/queryTable" Target="../queryTables/queryTable201.xml"/><Relationship Id="rId223" Type="http://schemas.openxmlformats.org/officeDocument/2006/relationships/queryTable" Target="../queryTables/queryTable222.xml"/><Relationship Id="rId244" Type="http://schemas.openxmlformats.org/officeDocument/2006/relationships/queryTable" Target="../queryTables/queryTable243.xml"/><Relationship Id="rId430" Type="http://schemas.openxmlformats.org/officeDocument/2006/relationships/queryTable" Target="../queryTables/queryTable429.xml"/><Relationship Id="rId18" Type="http://schemas.openxmlformats.org/officeDocument/2006/relationships/queryTable" Target="../queryTables/queryTable17.xml"/><Relationship Id="rId39" Type="http://schemas.openxmlformats.org/officeDocument/2006/relationships/queryTable" Target="../queryTables/queryTable38.xml"/><Relationship Id="rId265" Type="http://schemas.openxmlformats.org/officeDocument/2006/relationships/queryTable" Target="../queryTables/queryTable264.xml"/><Relationship Id="rId286" Type="http://schemas.openxmlformats.org/officeDocument/2006/relationships/queryTable" Target="../queryTables/queryTable285.xml"/><Relationship Id="rId451" Type="http://schemas.openxmlformats.org/officeDocument/2006/relationships/queryTable" Target="../queryTables/queryTable450.xml"/><Relationship Id="rId472" Type="http://schemas.openxmlformats.org/officeDocument/2006/relationships/queryTable" Target="../queryTables/queryTable471.xml"/><Relationship Id="rId493" Type="http://schemas.openxmlformats.org/officeDocument/2006/relationships/queryTable" Target="../queryTables/queryTable492.xml"/><Relationship Id="rId507" Type="http://schemas.openxmlformats.org/officeDocument/2006/relationships/queryTable" Target="../queryTables/queryTable506.xml"/><Relationship Id="rId528" Type="http://schemas.openxmlformats.org/officeDocument/2006/relationships/queryTable" Target="../queryTables/queryTable527.xml"/><Relationship Id="rId549" Type="http://schemas.openxmlformats.org/officeDocument/2006/relationships/queryTable" Target="../queryTables/queryTable548.xml"/><Relationship Id="rId50" Type="http://schemas.openxmlformats.org/officeDocument/2006/relationships/queryTable" Target="../queryTables/queryTable49.xml"/><Relationship Id="rId104" Type="http://schemas.openxmlformats.org/officeDocument/2006/relationships/queryTable" Target="../queryTables/queryTable103.xml"/><Relationship Id="rId125" Type="http://schemas.openxmlformats.org/officeDocument/2006/relationships/queryTable" Target="../queryTables/queryTable124.xml"/><Relationship Id="rId146" Type="http://schemas.openxmlformats.org/officeDocument/2006/relationships/queryTable" Target="../queryTables/queryTable145.xml"/><Relationship Id="rId167" Type="http://schemas.openxmlformats.org/officeDocument/2006/relationships/queryTable" Target="../queryTables/queryTable166.xml"/><Relationship Id="rId188" Type="http://schemas.openxmlformats.org/officeDocument/2006/relationships/queryTable" Target="../queryTables/queryTable187.xml"/><Relationship Id="rId311" Type="http://schemas.openxmlformats.org/officeDocument/2006/relationships/queryTable" Target="../queryTables/queryTable310.xml"/><Relationship Id="rId332" Type="http://schemas.openxmlformats.org/officeDocument/2006/relationships/queryTable" Target="../queryTables/queryTable331.xml"/><Relationship Id="rId353" Type="http://schemas.openxmlformats.org/officeDocument/2006/relationships/queryTable" Target="../queryTables/queryTable352.xml"/><Relationship Id="rId374" Type="http://schemas.openxmlformats.org/officeDocument/2006/relationships/queryTable" Target="../queryTables/queryTable373.xml"/><Relationship Id="rId395" Type="http://schemas.openxmlformats.org/officeDocument/2006/relationships/queryTable" Target="../queryTables/queryTable394.xml"/><Relationship Id="rId409" Type="http://schemas.openxmlformats.org/officeDocument/2006/relationships/queryTable" Target="../queryTables/queryTable408.xml"/><Relationship Id="rId560" Type="http://schemas.openxmlformats.org/officeDocument/2006/relationships/queryTable" Target="../queryTables/queryTable559.xml"/><Relationship Id="rId581" Type="http://schemas.openxmlformats.org/officeDocument/2006/relationships/queryTable" Target="../queryTables/queryTable580.xml"/><Relationship Id="rId71" Type="http://schemas.openxmlformats.org/officeDocument/2006/relationships/queryTable" Target="../queryTables/queryTable70.xml"/><Relationship Id="rId92" Type="http://schemas.openxmlformats.org/officeDocument/2006/relationships/queryTable" Target="../queryTables/queryTable91.xml"/><Relationship Id="rId213" Type="http://schemas.openxmlformats.org/officeDocument/2006/relationships/queryTable" Target="../queryTables/queryTable212.xml"/><Relationship Id="rId234" Type="http://schemas.openxmlformats.org/officeDocument/2006/relationships/queryTable" Target="../queryTables/queryTable233.xml"/><Relationship Id="rId420" Type="http://schemas.openxmlformats.org/officeDocument/2006/relationships/queryTable" Target="../queryTables/queryTable419.xml"/><Relationship Id="rId616" Type="http://schemas.openxmlformats.org/officeDocument/2006/relationships/queryTable" Target="../queryTables/queryTable615.xml"/><Relationship Id="rId2" Type="http://schemas.openxmlformats.org/officeDocument/2006/relationships/queryTable" Target="../queryTables/queryTable1.xml"/><Relationship Id="rId29" Type="http://schemas.openxmlformats.org/officeDocument/2006/relationships/queryTable" Target="../queryTables/queryTable28.xml"/><Relationship Id="rId255" Type="http://schemas.openxmlformats.org/officeDocument/2006/relationships/queryTable" Target="../queryTables/queryTable254.xml"/><Relationship Id="rId276" Type="http://schemas.openxmlformats.org/officeDocument/2006/relationships/queryTable" Target="../queryTables/queryTable275.xml"/><Relationship Id="rId297" Type="http://schemas.openxmlformats.org/officeDocument/2006/relationships/queryTable" Target="../queryTables/queryTable296.xml"/><Relationship Id="rId441" Type="http://schemas.openxmlformats.org/officeDocument/2006/relationships/queryTable" Target="../queryTables/queryTable440.xml"/><Relationship Id="rId462" Type="http://schemas.openxmlformats.org/officeDocument/2006/relationships/queryTable" Target="../queryTables/queryTable461.xml"/><Relationship Id="rId483" Type="http://schemas.openxmlformats.org/officeDocument/2006/relationships/queryTable" Target="../queryTables/queryTable482.xml"/><Relationship Id="rId518" Type="http://schemas.openxmlformats.org/officeDocument/2006/relationships/queryTable" Target="../queryTables/queryTable517.xml"/><Relationship Id="rId539" Type="http://schemas.openxmlformats.org/officeDocument/2006/relationships/queryTable" Target="../queryTables/queryTable538.xml"/><Relationship Id="rId40" Type="http://schemas.openxmlformats.org/officeDocument/2006/relationships/queryTable" Target="../queryTables/queryTable39.xml"/><Relationship Id="rId115" Type="http://schemas.openxmlformats.org/officeDocument/2006/relationships/queryTable" Target="../queryTables/queryTable114.xml"/><Relationship Id="rId136" Type="http://schemas.openxmlformats.org/officeDocument/2006/relationships/queryTable" Target="../queryTables/queryTable135.xml"/><Relationship Id="rId157" Type="http://schemas.openxmlformats.org/officeDocument/2006/relationships/queryTable" Target="../queryTables/queryTable156.xml"/><Relationship Id="rId178" Type="http://schemas.openxmlformats.org/officeDocument/2006/relationships/queryTable" Target="../queryTables/queryTable177.xml"/><Relationship Id="rId301" Type="http://schemas.openxmlformats.org/officeDocument/2006/relationships/queryTable" Target="../queryTables/queryTable300.xml"/><Relationship Id="rId322" Type="http://schemas.openxmlformats.org/officeDocument/2006/relationships/queryTable" Target="../queryTables/queryTable321.xml"/><Relationship Id="rId343" Type="http://schemas.openxmlformats.org/officeDocument/2006/relationships/queryTable" Target="../queryTables/queryTable342.xml"/><Relationship Id="rId364" Type="http://schemas.openxmlformats.org/officeDocument/2006/relationships/queryTable" Target="../queryTables/queryTable363.xml"/><Relationship Id="rId550" Type="http://schemas.openxmlformats.org/officeDocument/2006/relationships/queryTable" Target="../queryTables/queryTable549.xml"/><Relationship Id="rId61" Type="http://schemas.openxmlformats.org/officeDocument/2006/relationships/queryTable" Target="../queryTables/queryTable60.xml"/><Relationship Id="rId82" Type="http://schemas.openxmlformats.org/officeDocument/2006/relationships/queryTable" Target="../queryTables/queryTable81.xml"/><Relationship Id="rId199" Type="http://schemas.openxmlformats.org/officeDocument/2006/relationships/queryTable" Target="../queryTables/queryTable198.xml"/><Relationship Id="rId203" Type="http://schemas.openxmlformats.org/officeDocument/2006/relationships/queryTable" Target="../queryTables/queryTable202.xml"/><Relationship Id="rId385" Type="http://schemas.openxmlformats.org/officeDocument/2006/relationships/queryTable" Target="../queryTables/queryTable384.xml"/><Relationship Id="rId571" Type="http://schemas.openxmlformats.org/officeDocument/2006/relationships/queryTable" Target="../queryTables/queryTable570.xml"/><Relationship Id="rId592" Type="http://schemas.openxmlformats.org/officeDocument/2006/relationships/queryTable" Target="../queryTables/queryTable591.xml"/><Relationship Id="rId606" Type="http://schemas.openxmlformats.org/officeDocument/2006/relationships/queryTable" Target="../queryTables/queryTable605.xml"/><Relationship Id="rId627" Type="http://schemas.openxmlformats.org/officeDocument/2006/relationships/queryTable" Target="../queryTables/queryTable626.xml"/><Relationship Id="rId19" Type="http://schemas.openxmlformats.org/officeDocument/2006/relationships/queryTable" Target="../queryTables/queryTable18.xml"/><Relationship Id="rId224" Type="http://schemas.openxmlformats.org/officeDocument/2006/relationships/queryTable" Target="../queryTables/queryTable223.xml"/><Relationship Id="rId245" Type="http://schemas.openxmlformats.org/officeDocument/2006/relationships/queryTable" Target="../queryTables/queryTable244.xml"/><Relationship Id="rId266" Type="http://schemas.openxmlformats.org/officeDocument/2006/relationships/queryTable" Target="../queryTables/queryTable265.xml"/><Relationship Id="rId287" Type="http://schemas.openxmlformats.org/officeDocument/2006/relationships/queryTable" Target="../queryTables/queryTable286.xml"/><Relationship Id="rId410" Type="http://schemas.openxmlformats.org/officeDocument/2006/relationships/queryTable" Target="../queryTables/queryTable409.xml"/><Relationship Id="rId431" Type="http://schemas.openxmlformats.org/officeDocument/2006/relationships/queryTable" Target="../queryTables/queryTable430.xml"/><Relationship Id="rId452" Type="http://schemas.openxmlformats.org/officeDocument/2006/relationships/queryTable" Target="../queryTables/queryTable451.xml"/><Relationship Id="rId473" Type="http://schemas.openxmlformats.org/officeDocument/2006/relationships/queryTable" Target="../queryTables/queryTable472.xml"/><Relationship Id="rId494" Type="http://schemas.openxmlformats.org/officeDocument/2006/relationships/queryTable" Target="../queryTables/queryTable493.xml"/><Relationship Id="rId508" Type="http://schemas.openxmlformats.org/officeDocument/2006/relationships/queryTable" Target="../queryTables/queryTable507.xml"/><Relationship Id="rId529" Type="http://schemas.openxmlformats.org/officeDocument/2006/relationships/queryTable" Target="../queryTables/queryTable528.xml"/><Relationship Id="rId30" Type="http://schemas.openxmlformats.org/officeDocument/2006/relationships/queryTable" Target="../queryTables/queryTable29.xml"/><Relationship Id="rId105" Type="http://schemas.openxmlformats.org/officeDocument/2006/relationships/queryTable" Target="../queryTables/queryTable104.xml"/><Relationship Id="rId126" Type="http://schemas.openxmlformats.org/officeDocument/2006/relationships/queryTable" Target="../queryTables/queryTable125.xml"/><Relationship Id="rId147" Type="http://schemas.openxmlformats.org/officeDocument/2006/relationships/queryTable" Target="../queryTables/queryTable146.xml"/><Relationship Id="rId168" Type="http://schemas.openxmlformats.org/officeDocument/2006/relationships/queryTable" Target="../queryTables/queryTable167.xml"/><Relationship Id="rId312" Type="http://schemas.openxmlformats.org/officeDocument/2006/relationships/queryTable" Target="../queryTables/queryTable311.xml"/><Relationship Id="rId333" Type="http://schemas.openxmlformats.org/officeDocument/2006/relationships/queryTable" Target="../queryTables/queryTable332.xml"/><Relationship Id="rId354" Type="http://schemas.openxmlformats.org/officeDocument/2006/relationships/queryTable" Target="../queryTables/queryTable353.xml"/><Relationship Id="rId540" Type="http://schemas.openxmlformats.org/officeDocument/2006/relationships/queryTable" Target="../queryTables/queryTable539.xml"/><Relationship Id="rId51" Type="http://schemas.openxmlformats.org/officeDocument/2006/relationships/queryTable" Target="../queryTables/queryTable50.xml"/><Relationship Id="rId72" Type="http://schemas.openxmlformats.org/officeDocument/2006/relationships/queryTable" Target="../queryTables/queryTable71.xml"/><Relationship Id="rId93" Type="http://schemas.openxmlformats.org/officeDocument/2006/relationships/queryTable" Target="../queryTables/queryTable92.xml"/><Relationship Id="rId189" Type="http://schemas.openxmlformats.org/officeDocument/2006/relationships/queryTable" Target="../queryTables/queryTable188.xml"/><Relationship Id="rId375" Type="http://schemas.openxmlformats.org/officeDocument/2006/relationships/queryTable" Target="../queryTables/queryTable374.xml"/><Relationship Id="rId396" Type="http://schemas.openxmlformats.org/officeDocument/2006/relationships/queryTable" Target="../queryTables/queryTable395.xml"/><Relationship Id="rId561" Type="http://schemas.openxmlformats.org/officeDocument/2006/relationships/queryTable" Target="../queryTables/queryTable560.xml"/><Relationship Id="rId582" Type="http://schemas.openxmlformats.org/officeDocument/2006/relationships/queryTable" Target="../queryTables/queryTable581.xml"/><Relationship Id="rId617" Type="http://schemas.openxmlformats.org/officeDocument/2006/relationships/queryTable" Target="../queryTables/queryTable616.xml"/><Relationship Id="rId3" Type="http://schemas.openxmlformats.org/officeDocument/2006/relationships/queryTable" Target="../queryTables/queryTable2.xml"/><Relationship Id="rId214" Type="http://schemas.openxmlformats.org/officeDocument/2006/relationships/queryTable" Target="../queryTables/queryTable213.xml"/><Relationship Id="rId235" Type="http://schemas.openxmlformats.org/officeDocument/2006/relationships/queryTable" Target="../queryTables/queryTable234.xml"/><Relationship Id="rId256" Type="http://schemas.openxmlformats.org/officeDocument/2006/relationships/queryTable" Target="../queryTables/queryTable255.xml"/><Relationship Id="rId277" Type="http://schemas.openxmlformats.org/officeDocument/2006/relationships/queryTable" Target="../queryTables/queryTable276.xml"/><Relationship Id="rId298" Type="http://schemas.openxmlformats.org/officeDocument/2006/relationships/queryTable" Target="../queryTables/queryTable297.xml"/><Relationship Id="rId400" Type="http://schemas.openxmlformats.org/officeDocument/2006/relationships/queryTable" Target="../queryTables/queryTable399.xml"/><Relationship Id="rId421" Type="http://schemas.openxmlformats.org/officeDocument/2006/relationships/queryTable" Target="../queryTables/queryTable420.xml"/><Relationship Id="rId442" Type="http://schemas.openxmlformats.org/officeDocument/2006/relationships/queryTable" Target="../queryTables/queryTable441.xml"/><Relationship Id="rId463" Type="http://schemas.openxmlformats.org/officeDocument/2006/relationships/queryTable" Target="../queryTables/queryTable462.xml"/><Relationship Id="rId484" Type="http://schemas.openxmlformats.org/officeDocument/2006/relationships/queryTable" Target="../queryTables/queryTable483.xml"/><Relationship Id="rId519" Type="http://schemas.openxmlformats.org/officeDocument/2006/relationships/queryTable" Target="../queryTables/queryTable518.xml"/><Relationship Id="rId116" Type="http://schemas.openxmlformats.org/officeDocument/2006/relationships/queryTable" Target="../queryTables/queryTable115.xml"/><Relationship Id="rId137" Type="http://schemas.openxmlformats.org/officeDocument/2006/relationships/queryTable" Target="../queryTables/queryTable136.xml"/><Relationship Id="rId158" Type="http://schemas.openxmlformats.org/officeDocument/2006/relationships/queryTable" Target="../queryTables/queryTable157.xml"/><Relationship Id="rId302" Type="http://schemas.openxmlformats.org/officeDocument/2006/relationships/queryTable" Target="../queryTables/queryTable301.xml"/><Relationship Id="rId323" Type="http://schemas.openxmlformats.org/officeDocument/2006/relationships/queryTable" Target="../queryTables/queryTable322.xml"/><Relationship Id="rId344" Type="http://schemas.openxmlformats.org/officeDocument/2006/relationships/queryTable" Target="../queryTables/queryTable343.xml"/><Relationship Id="rId530" Type="http://schemas.openxmlformats.org/officeDocument/2006/relationships/queryTable" Target="../queryTables/queryTable529.xml"/><Relationship Id="rId20" Type="http://schemas.openxmlformats.org/officeDocument/2006/relationships/queryTable" Target="../queryTables/queryTable19.xml"/><Relationship Id="rId41" Type="http://schemas.openxmlformats.org/officeDocument/2006/relationships/queryTable" Target="../queryTables/queryTable40.xml"/><Relationship Id="rId62" Type="http://schemas.openxmlformats.org/officeDocument/2006/relationships/queryTable" Target="../queryTables/queryTable61.xml"/><Relationship Id="rId83" Type="http://schemas.openxmlformats.org/officeDocument/2006/relationships/queryTable" Target="../queryTables/queryTable82.xml"/><Relationship Id="rId179" Type="http://schemas.openxmlformats.org/officeDocument/2006/relationships/queryTable" Target="../queryTables/queryTable178.xml"/><Relationship Id="rId365" Type="http://schemas.openxmlformats.org/officeDocument/2006/relationships/queryTable" Target="../queryTables/queryTable364.xml"/><Relationship Id="rId386" Type="http://schemas.openxmlformats.org/officeDocument/2006/relationships/queryTable" Target="../queryTables/queryTable385.xml"/><Relationship Id="rId551" Type="http://schemas.openxmlformats.org/officeDocument/2006/relationships/queryTable" Target="../queryTables/queryTable550.xml"/><Relationship Id="rId572" Type="http://schemas.openxmlformats.org/officeDocument/2006/relationships/queryTable" Target="../queryTables/queryTable571.xml"/><Relationship Id="rId593" Type="http://schemas.openxmlformats.org/officeDocument/2006/relationships/queryTable" Target="../queryTables/queryTable592.xml"/><Relationship Id="rId607" Type="http://schemas.openxmlformats.org/officeDocument/2006/relationships/queryTable" Target="../queryTables/queryTable606.xml"/><Relationship Id="rId628" Type="http://schemas.openxmlformats.org/officeDocument/2006/relationships/queryTable" Target="../queryTables/queryTable627.xml"/><Relationship Id="rId190" Type="http://schemas.openxmlformats.org/officeDocument/2006/relationships/queryTable" Target="../queryTables/queryTable189.xml"/><Relationship Id="rId204" Type="http://schemas.openxmlformats.org/officeDocument/2006/relationships/queryTable" Target="../queryTables/queryTable203.xml"/><Relationship Id="rId225" Type="http://schemas.openxmlformats.org/officeDocument/2006/relationships/queryTable" Target="../queryTables/queryTable224.xml"/><Relationship Id="rId246" Type="http://schemas.openxmlformats.org/officeDocument/2006/relationships/queryTable" Target="../queryTables/queryTable245.xml"/><Relationship Id="rId267" Type="http://schemas.openxmlformats.org/officeDocument/2006/relationships/queryTable" Target="../queryTables/queryTable266.xml"/><Relationship Id="rId288" Type="http://schemas.openxmlformats.org/officeDocument/2006/relationships/queryTable" Target="../queryTables/queryTable287.xml"/><Relationship Id="rId411" Type="http://schemas.openxmlformats.org/officeDocument/2006/relationships/queryTable" Target="../queryTables/queryTable410.xml"/><Relationship Id="rId432" Type="http://schemas.openxmlformats.org/officeDocument/2006/relationships/queryTable" Target="../queryTables/queryTable431.xml"/><Relationship Id="rId453" Type="http://schemas.openxmlformats.org/officeDocument/2006/relationships/queryTable" Target="../queryTables/queryTable452.xml"/><Relationship Id="rId474" Type="http://schemas.openxmlformats.org/officeDocument/2006/relationships/queryTable" Target="../queryTables/queryTable473.xml"/><Relationship Id="rId509" Type="http://schemas.openxmlformats.org/officeDocument/2006/relationships/queryTable" Target="../queryTables/queryTable508.xml"/><Relationship Id="rId106" Type="http://schemas.openxmlformats.org/officeDocument/2006/relationships/queryTable" Target="../queryTables/queryTable105.xml"/><Relationship Id="rId127" Type="http://schemas.openxmlformats.org/officeDocument/2006/relationships/queryTable" Target="../queryTables/queryTable126.xml"/><Relationship Id="rId313" Type="http://schemas.openxmlformats.org/officeDocument/2006/relationships/queryTable" Target="../queryTables/queryTable312.xml"/><Relationship Id="rId495" Type="http://schemas.openxmlformats.org/officeDocument/2006/relationships/queryTable" Target="../queryTables/queryTable494.xml"/><Relationship Id="rId10" Type="http://schemas.openxmlformats.org/officeDocument/2006/relationships/queryTable" Target="../queryTables/queryTable9.xml"/><Relationship Id="rId31" Type="http://schemas.openxmlformats.org/officeDocument/2006/relationships/queryTable" Target="../queryTables/queryTable30.xml"/><Relationship Id="rId52" Type="http://schemas.openxmlformats.org/officeDocument/2006/relationships/queryTable" Target="../queryTables/queryTable51.xml"/><Relationship Id="rId73" Type="http://schemas.openxmlformats.org/officeDocument/2006/relationships/queryTable" Target="../queryTables/queryTable72.xml"/><Relationship Id="rId94" Type="http://schemas.openxmlformats.org/officeDocument/2006/relationships/queryTable" Target="../queryTables/queryTable93.xml"/><Relationship Id="rId148" Type="http://schemas.openxmlformats.org/officeDocument/2006/relationships/queryTable" Target="../queryTables/queryTable147.xml"/><Relationship Id="rId169" Type="http://schemas.openxmlformats.org/officeDocument/2006/relationships/queryTable" Target="../queryTables/queryTable168.xml"/><Relationship Id="rId334" Type="http://schemas.openxmlformats.org/officeDocument/2006/relationships/queryTable" Target="../queryTables/queryTable333.xml"/><Relationship Id="rId355" Type="http://schemas.openxmlformats.org/officeDocument/2006/relationships/queryTable" Target="../queryTables/queryTable354.xml"/><Relationship Id="rId376" Type="http://schemas.openxmlformats.org/officeDocument/2006/relationships/queryTable" Target="../queryTables/queryTable375.xml"/><Relationship Id="rId397" Type="http://schemas.openxmlformats.org/officeDocument/2006/relationships/queryTable" Target="../queryTables/queryTable396.xml"/><Relationship Id="rId520" Type="http://schemas.openxmlformats.org/officeDocument/2006/relationships/queryTable" Target="../queryTables/queryTable519.xml"/><Relationship Id="rId541" Type="http://schemas.openxmlformats.org/officeDocument/2006/relationships/queryTable" Target="../queryTables/queryTable540.xml"/><Relationship Id="rId562" Type="http://schemas.openxmlformats.org/officeDocument/2006/relationships/queryTable" Target="../queryTables/queryTable561.xml"/><Relationship Id="rId583" Type="http://schemas.openxmlformats.org/officeDocument/2006/relationships/queryTable" Target="../queryTables/queryTable582.xml"/><Relationship Id="rId618" Type="http://schemas.openxmlformats.org/officeDocument/2006/relationships/queryTable" Target="../queryTables/queryTable617.xml"/><Relationship Id="rId4" Type="http://schemas.openxmlformats.org/officeDocument/2006/relationships/queryTable" Target="../queryTables/queryTable3.xml"/><Relationship Id="rId180" Type="http://schemas.openxmlformats.org/officeDocument/2006/relationships/queryTable" Target="../queryTables/queryTable179.xml"/><Relationship Id="rId215" Type="http://schemas.openxmlformats.org/officeDocument/2006/relationships/queryTable" Target="../queryTables/queryTable214.xml"/><Relationship Id="rId236" Type="http://schemas.openxmlformats.org/officeDocument/2006/relationships/queryTable" Target="../queryTables/queryTable235.xml"/><Relationship Id="rId257" Type="http://schemas.openxmlformats.org/officeDocument/2006/relationships/queryTable" Target="../queryTables/queryTable256.xml"/><Relationship Id="rId278" Type="http://schemas.openxmlformats.org/officeDocument/2006/relationships/queryTable" Target="../queryTables/queryTable277.xml"/><Relationship Id="rId401" Type="http://schemas.openxmlformats.org/officeDocument/2006/relationships/queryTable" Target="../queryTables/queryTable400.xml"/><Relationship Id="rId422" Type="http://schemas.openxmlformats.org/officeDocument/2006/relationships/queryTable" Target="../queryTables/queryTable421.xml"/><Relationship Id="rId443" Type="http://schemas.openxmlformats.org/officeDocument/2006/relationships/queryTable" Target="../queryTables/queryTable442.xml"/><Relationship Id="rId464" Type="http://schemas.openxmlformats.org/officeDocument/2006/relationships/queryTable" Target="../queryTables/queryTable463.xml"/><Relationship Id="rId303" Type="http://schemas.openxmlformats.org/officeDocument/2006/relationships/queryTable" Target="../queryTables/queryTable302.xml"/><Relationship Id="rId485" Type="http://schemas.openxmlformats.org/officeDocument/2006/relationships/queryTable" Target="../queryTables/queryTable484.xml"/><Relationship Id="rId42" Type="http://schemas.openxmlformats.org/officeDocument/2006/relationships/queryTable" Target="../queryTables/queryTable41.xml"/><Relationship Id="rId84" Type="http://schemas.openxmlformats.org/officeDocument/2006/relationships/queryTable" Target="../queryTables/queryTable83.xml"/><Relationship Id="rId138" Type="http://schemas.openxmlformats.org/officeDocument/2006/relationships/queryTable" Target="../queryTables/queryTable137.xml"/><Relationship Id="rId345" Type="http://schemas.openxmlformats.org/officeDocument/2006/relationships/queryTable" Target="../queryTables/queryTable344.xml"/><Relationship Id="rId387" Type="http://schemas.openxmlformats.org/officeDocument/2006/relationships/queryTable" Target="../queryTables/queryTable386.xml"/><Relationship Id="rId510" Type="http://schemas.openxmlformats.org/officeDocument/2006/relationships/queryTable" Target="../queryTables/queryTable509.xml"/><Relationship Id="rId552" Type="http://schemas.openxmlformats.org/officeDocument/2006/relationships/queryTable" Target="../queryTables/queryTable551.xml"/><Relationship Id="rId594" Type="http://schemas.openxmlformats.org/officeDocument/2006/relationships/queryTable" Target="../queryTables/queryTable593.xml"/><Relationship Id="rId608" Type="http://schemas.openxmlformats.org/officeDocument/2006/relationships/queryTable" Target="../queryTables/queryTable607.xml"/><Relationship Id="rId191" Type="http://schemas.openxmlformats.org/officeDocument/2006/relationships/queryTable" Target="../queryTables/queryTable190.xml"/><Relationship Id="rId205" Type="http://schemas.openxmlformats.org/officeDocument/2006/relationships/queryTable" Target="../queryTables/queryTable204.xml"/><Relationship Id="rId247" Type="http://schemas.openxmlformats.org/officeDocument/2006/relationships/queryTable" Target="../queryTables/queryTable246.xml"/><Relationship Id="rId412" Type="http://schemas.openxmlformats.org/officeDocument/2006/relationships/queryTable" Target="../queryTables/queryTable411.xml"/><Relationship Id="rId107" Type="http://schemas.openxmlformats.org/officeDocument/2006/relationships/queryTable" Target="../queryTables/queryTable106.xml"/><Relationship Id="rId289" Type="http://schemas.openxmlformats.org/officeDocument/2006/relationships/queryTable" Target="../queryTables/queryTable288.xml"/><Relationship Id="rId454" Type="http://schemas.openxmlformats.org/officeDocument/2006/relationships/queryTable" Target="../queryTables/queryTable453.xml"/><Relationship Id="rId496" Type="http://schemas.openxmlformats.org/officeDocument/2006/relationships/queryTable" Target="../queryTables/queryTable495.xml"/><Relationship Id="rId11" Type="http://schemas.openxmlformats.org/officeDocument/2006/relationships/queryTable" Target="../queryTables/queryTable10.xml"/><Relationship Id="rId53" Type="http://schemas.openxmlformats.org/officeDocument/2006/relationships/queryTable" Target="../queryTables/queryTable52.xml"/><Relationship Id="rId149" Type="http://schemas.openxmlformats.org/officeDocument/2006/relationships/queryTable" Target="../queryTables/queryTable148.xml"/><Relationship Id="rId314" Type="http://schemas.openxmlformats.org/officeDocument/2006/relationships/queryTable" Target="../queryTables/queryTable313.xml"/><Relationship Id="rId356" Type="http://schemas.openxmlformats.org/officeDocument/2006/relationships/queryTable" Target="../queryTables/queryTable355.xml"/><Relationship Id="rId398" Type="http://schemas.openxmlformats.org/officeDocument/2006/relationships/queryTable" Target="../queryTables/queryTable397.xml"/><Relationship Id="rId521" Type="http://schemas.openxmlformats.org/officeDocument/2006/relationships/queryTable" Target="../queryTables/queryTable520.xml"/><Relationship Id="rId563" Type="http://schemas.openxmlformats.org/officeDocument/2006/relationships/queryTable" Target="../queryTables/queryTable562.xml"/><Relationship Id="rId619" Type="http://schemas.openxmlformats.org/officeDocument/2006/relationships/queryTable" Target="../queryTables/queryTable618.xml"/><Relationship Id="rId95" Type="http://schemas.openxmlformats.org/officeDocument/2006/relationships/queryTable" Target="../queryTables/queryTable94.xml"/><Relationship Id="rId160" Type="http://schemas.openxmlformats.org/officeDocument/2006/relationships/queryTable" Target="../queryTables/queryTable159.xml"/><Relationship Id="rId216" Type="http://schemas.openxmlformats.org/officeDocument/2006/relationships/queryTable" Target="../queryTables/queryTable215.xml"/><Relationship Id="rId423" Type="http://schemas.openxmlformats.org/officeDocument/2006/relationships/queryTable" Target="../queryTables/queryTable422.xml"/><Relationship Id="rId258" Type="http://schemas.openxmlformats.org/officeDocument/2006/relationships/queryTable" Target="../queryTables/queryTable257.xml"/><Relationship Id="rId465" Type="http://schemas.openxmlformats.org/officeDocument/2006/relationships/queryTable" Target="../queryTables/queryTable464.xml"/><Relationship Id="rId22" Type="http://schemas.openxmlformats.org/officeDocument/2006/relationships/queryTable" Target="../queryTables/queryTable21.xml"/><Relationship Id="rId64" Type="http://schemas.openxmlformats.org/officeDocument/2006/relationships/queryTable" Target="../queryTables/queryTable63.xml"/><Relationship Id="rId118" Type="http://schemas.openxmlformats.org/officeDocument/2006/relationships/queryTable" Target="../queryTables/queryTable117.xml"/><Relationship Id="rId325" Type="http://schemas.openxmlformats.org/officeDocument/2006/relationships/queryTable" Target="../queryTables/queryTable324.xml"/><Relationship Id="rId367" Type="http://schemas.openxmlformats.org/officeDocument/2006/relationships/queryTable" Target="../queryTables/queryTable366.xml"/><Relationship Id="rId532" Type="http://schemas.openxmlformats.org/officeDocument/2006/relationships/queryTable" Target="../queryTables/queryTable531.xml"/><Relationship Id="rId574" Type="http://schemas.openxmlformats.org/officeDocument/2006/relationships/queryTable" Target="../queryTables/queryTable573.xml"/><Relationship Id="rId171" Type="http://schemas.openxmlformats.org/officeDocument/2006/relationships/queryTable" Target="../queryTables/queryTable170.xml"/><Relationship Id="rId227" Type="http://schemas.openxmlformats.org/officeDocument/2006/relationships/queryTable" Target="../queryTables/queryTable226.xml"/><Relationship Id="rId269" Type="http://schemas.openxmlformats.org/officeDocument/2006/relationships/queryTable" Target="../queryTables/queryTable268.xml"/><Relationship Id="rId434" Type="http://schemas.openxmlformats.org/officeDocument/2006/relationships/queryTable" Target="../queryTables/queryTable433.xml"/><Relationship Id="rId476" Type="http://schemas.openxmlformats.org/officeDocument/2006/relationships/queryTable" Target="../queryTables/queryTable475.xml"/><Relationship Id="rId33" Type="http://schemas.openxmlformats.org/officeDocument/2006/relationships/queryTable" Target="../queryTables/queryTable32.xml"/><Relationship Id="rId129" Type="http://schemas.openxmlformats.org/officeDocument/2006/relationships/queryTable" Target="../queryTables/queryTable128.xml"/><Relationship Id="rId280" Type="http://schemas.openxmlformats.org/officeDocument/2006/relationships/queryTable" Target="../queryTables/queryTable279.xml"/><Relationship Id="rId336" Type="http://schemas.openxmlformats.org/officeDocument/2006/relationships/queryTable" Target="../queryTables/queryTable335.xml"/><Relationship Id="rId501" Type="http://schemas.openxmlformats.org/officeDocument/2006/relationships/queryTable" Target="../queryTables/queryTable500.xml"/><Relationship Id="rId543" Type="http://schemas.openxmlformats.org/officeDocument/2006/relationships/queryTable" Target="../queryTables/queryTable542.xml"/><Relationship Id="rId75" Type="http://schemas.openxmlformats.org/officeDocument/2006/relationships/queryTable" Target="../queryTables/queryTable74.xml"/><Relationship Id="rId140" Type="http://schemas.openxmlformats.org/officeDocument/2006/relationships/queryTable" Target="../queryTables/queryTable139.xml"/><Relationship Id="rId182" Type="http://schemas.openxmlformats.org/officeDocument/2006/relationships/queryTable" Target="../queryTables/queryTable181.xml"/><Relationship Id="rId378" Type="http://schemas.openxmlformats.org/officeDocument/2006/relationships/queryTable" Target="../queryTables/queryTable377.xml"/><Relationship Id="rId403" Type="http://schemas.openxmlformats.org/officeDocument/2006/relationships/queryTable" Target="../queryTables/queryTable402.xml"/><Relationship Id="rId585" Type="http://schemas.openxmlformats.org/officeDocument/2006/relationships/queryTable" Target="../queryTables/queryTable584.xml"/><Relationship Id="rId6" Type="http://schemas.openxmlformats.org/officeDocument/2006/relationships/queryTable" Target="../queryTables/queryTable5.xml"/><Relationship Id="rId238" Type="http://schemas.openxmlformats.org/officeDocument/2006/relationships/queryTable" Target="../queryTables/queryTable237.xml"/><Relationship Id="rId445" Type="http://schemas.openxmlformats.org/officeDocument/2006/relationships/queryTable" Target="../queryTables/queryTable444.xml"/><Relationship Id="rId487" Type="http://schemas.openxmlformats.org/officeDocument/2006/relationships/queryTable" Target="../queryTables/queryTable486.xml"/><Relationship Id="rId610" Type="http://schemas.openxmlformats.org/officeDocument/2006/relationships/queryTable" Target="../queryTables/queryTable609.xml"/><Relationship Id="rId291" Type="http://schemas.openxmlformats.org/officeDocument/2006/relationships/queryTable" Target="../queryTables/queryTable290.xml"/><Relationship Id="rId305" Type="http://schemas.openxmlformats.org/officeDocument/2006/relationships/queryTable" Target="../queryTables/queryTable304.xml"/><Relationship Id="rId347" Type="http://schemas.openxmlformats.org/officeDocument/2006/relationships/queryTable" Target="../queryTables/queryTable346.xml"/><Relationship Id="rId512" Type="http://schemas.openxmlformats.org/officeDocument/2006/relationships/queryTable" Target="../queryTables/queryTable511.xml"/><Relationship Id="rId44" Type="http://schemas.openxmlformats.org/officeDocument/2006/relationships/queryTable" Target="../queryTables/queryTable43.xml"/><Relationship Id="rId86" Type="http://schemas.openxmlformats.org/officeDocument/2006/relationships/queryTable" Target="../queryTables/queryTable85.xml"/><Relationship Id="rId151" Type="http://schemas.openxmlformats.org/officeDocument/2006/relationships/queryTable" Target="../queryTables/queryTable150.xml"/><Relationship Id="rId389" Type="http://schemas.openxmlformats.org/officeDocument/2006/relationships/queryTable" Target="../queryTables/queryTable388.xml"/><Relationship Id="rId554" Type="http://schemas.openxmlformats.org/officeDocument/2006/relationships/queryTable" Target="../queryTables/queryTable553.xml"/><Relationship Id="rId596" Type="http://schemas.openxmlformats.org/officeDocument/2006/relationships/queryTable" Target="../queryTables/queryTable595.xml"/><Relationship Id="rId193" Type="http://schemas.openxmlformats.org/officeDocument/2006/relationships/queryTable" Target="../queryTables/queryTable192.xml"/><Relationship Id="rId207" Type="http://schemas.openxmlformats.org/officeDocument/2006/relationships/queryTable" Target="../queryTables/queryTable206.xml"/><Relationship Id="rId249" Type="http://schemas.openxmlformats.org/officeDocument/2006/relationships/queryTable" Target="../queryTables/queryTable248.xml"/><Relationship Id="rId414" Type="http://schemas.openxmlformats.org/officeDocument/2006/relationships/queryTable" Target="../queryTables/queryTable413.xml"/><Relationship Id="rId456" Type="http://schemas.openxmlformats.org/officeDocument/2006/relationships/queryTable" Target="../queryTables/queryTable455.xml"/><Relationship Id="rId498" Type="http://schemas.openxmlformats.org/officeDocument/2006/relationships/queryTable" Target="../queryTables/queryTable497.xml"/><Relationship Id="rId621" Type="http://schemas.openxmlformats.org/officeDocument/2006/relationships/queryTable" Target="../queryTables/queryTable620.xml"/><Relationship Id="rId13" Type="http://schemas.openxmlformats.org/officeDocument/2006/relationships/queryTable" Target="../queryTables/queryTable12.xml"/><Relationship Id="rId109" Type="http://schemas.openxmlformats.org/officeDocument/2006/relationships/queryTable" Target="../queryTables/queryTable108.xml"/><Relationship Id="rId260" Type="http://schemas.openxmlformats.org/officeDocument/2006/relationships/queryTable" Target="../queryTables/queryTable259.xml"/><Relationship Id="rId316" Type="http://schemas.openxmlformats.org/officeDocument/2006/relationships/queryTable" Target="../queryTables/queryTable315.xml"/><Relationship Id="rId523" Type="http://schemas.openxmlformats.org/officeDocument/2006/relationships/queryTable" Target="../queryTables/queryTable522.xml"/><Relationship Id="rId55" Type="http://schemas.openxmlformats.org/officeDocument/2006/relationships/queryTable" Target="../queryTables/queryTable54.xml"/><Relationship Id="rId97" Type="http://schemas.openxmlformats.org/officeDocument/2006/relationships/queryTable" Target="../queryTables/queryTable96.xml"/><Relationship Id="rId120" Type="http://schemas.openxmlformats.org/officeDocument/2006/relationships/queryTable" Target="../queryTables/queryTable119.xml"/><Relationship Id="rId358" Type="http://schemas.openxmlformats.org/officeDocument/2006/relationships/queryTable" Target="../queryTables/queryTable357.xml"/><Relationship Id="rId565" Type="http://schemas.openxmlformats.org/officeDocument/2006/relationships/queryTable" Target="../queryTables/queryTable564.xml"/><Relationship Id="rId162" Type="http://schemas.openxmlformats.org/officeDocument/2006/relationships/queryTable" Target="../queryTables/queryTable161.xml"/><Relationship Id="rId218" Type="http://schemas.openxmlformats.org/officeDocument/2006/relationships/queryTable" Target="../queryTables/queryTable217.xml"/><Relationship Id="rId425" Type="http://schemas.openxmlformats.org/officeDocument/2006/relationships/queryTable" Target="../queryTables/queryTable424.xml"/><Relationship Id="rId467" Type="http://schemas.openxmlformats.org/officeDocument/2006/relationships/queryTable" Target="../queryTables/queryTable466.xml"/><Relationship Id="rId271" Type="http://schemas.openxmlformats.org/officeDocument/2006/relationships/queryTable" Target="../queryTables/queryTable270.xml"/><Relationship Id="rId24" Type="http://schemas.openxmlformats.org/officeDocument/2006/relationships/queryTable" Target="../queryTables/queryTable23.xml"/><Relationship Id="rId66" Type="http://schemas.openxmlformats.org/officeDocument/2006/relationships/queryTable" Target="../queryTables/queryTable65.xml"/><Relationship Id="rId131" Type="http://schemas.openxmlformats.org/officeDocument/2006/relationships/queryTable" Target="../queryTables/queryTable130.xml"/><Relationship Id="rId327" Type="http://schemas.openxmlformats.org/officeDocument/2006/relationships/queryTable" Target="../queryTables/queryTable326.xml"/><Relationship Id="rId369" Type="http://schemas.openxmlformats.org/officeDocument/2006/relationships/queryTable" Target="../queryTables/queryTable368.xml"/><Relationship Id="rId534" Type="http://schemas.openxmlformats.org/officeDocument/2006/relationships/queryTable" Target="../queryTables/queryTable533.xml"/><Relationship Id="rId576" Type="http://schemas.openxmlformats.org/officeDocument/2006/relationships/queryTable" Target="../queryTables/queryTable575.xml"/><Relationship Id="rId173" Type="http://schemas.openxmlformats.org/officeDocument/2006/relationships/queryTable" Target="../queryTables/queryTable172.xml"/><Relationship Id="rId229" Type="http://schemas.openxmlformats.org/officeDocument/2006/relationships/queryTable" Target="../queryTables/queryTable228.xml"/><Relationship Id="rId380" Type="http://schemas.openxmlformats.org/officeDocument/2006/relationships/queryTable" Target="../queryTables/queryTable379.xml"/><Relationship Id="rId436" Type="http://schemas.openxmlformats.org/officeDocument/2006/relationships/queryTable" Target="../queryTables/queryTable435.xml"/><Relationship Id="rId601" Type="http://schemas.openxmlformats.org/officeDocument/2006/relationships/queryTable" Target="../queryTables/queryTable600.xml"/><Relationship Id="rId240" Type="http://schemas.openxmlformats.org/officeDocument/2006/relationships/queryTable" Target="../queryTables/queryTable239.xml"/><Relationship Id="rId478" Type="http://schemas.openxmlformats.org/officeDocument/2006/relationships/queryTable" Target="../queryTables/queryTable477.xml"/><Relationship Id="rId35" Type="http://schemas.openxmlformats.org/officeDocument/2006/relationships/queryTable" Target="../queryTables/queryTable34.xml"/><Relationship Id="rId77" Type="http://schemas.openxmlformats.org/officeDocument/2006/relationships/queryTable" Target="../queryTables/queryTable76.xml"/><Relationship Id="rId100" Type="http://schemas.openxmlformats.org/officeDocument/2006/relationships/queryTable" Target="../queryTables/queryTable99.xml"/><Relationship Id="rId282" Type="http://schemas.openxmlformats.org/officeDocument/2006/relationships/queryTable" Target="../queryTables/queryTable281.xml"/><Relationship Id="rId338" Type="http://schemas.openxmlformats.org/officeDocument/2006/relationships/queryTable" Target="../queryTables/queryTable337.xml"/><Relationship Id="rId503" Type="http://schemas.openxmlformats.org/officeDocument/2006/relationships/queryTable" Target="../queryTables/queryTable502.xml"/><Relationship Id="rId545" Type="http://schemas.openxmlformats.org/officeDocument/2006/relationships/queryTable" Target="../queryTables/queryTable544.xml"/><Relationship Id="rId587" Type="http://schemas.openxmlformats.org/officeDocument/2006/relationships/queryTable" Target="../queryTables/queryTable586.xml"/><Relationship Id="rId8" Type="http://schemas.openxmlformats.org/officeDocument/2006/relationships/queryTable" Target="../queryTables/queryTable7.xml"/><Relationship Id="rId142" Type="http://schemas.openxmlformats.org/officeDocument/2006/relationships/queryTable" Target="../queryTables/queryTable141.xml"/><Relationship Id="rId184" Type="http://schemas.openxmlformats.org/officeDocument/2006/relationships/queryTable" Target="../queryTables/queryTable183.xml"/><Relationship Id="rId391" Type="http://schemas.openxmlformats.org/officeDocument/2006/relationships/queryTable" Target="../queryTables/queryTable390.xml"/><Relationship Id="rId405" Type="http://schemas.openxmlformats.org/officeDocument/2006/relationships/queryTable" Target="../queryTables/queryTable404.xml"/><Relationship Id="rId447" Type="http://schemas.openxmlformats.org/officeDocument/2006/relationships/queryTable" Target="../queryTables/queryTable446.xml"/><Relationship Id="rId612" Type="http://schemas.openxmlformats.org/officeDocument/2006/relationships/queryTable" Target="../queryTables/queryTable611.xml"/><Relationship Id="rId251" Type="http://schemas.openxmlformats.org/officeDocument/2006/relationships/queryTable" Target="../queryTables/queryTable250.xml"/><Relationship Id="rId489" Type="http://schemas.openxmlformats.org/officeDocument/2006/relationships/queryTable" Target="../queryTables/queryTable488.xml"/><Relationship Id="rId46" Type="http://schemas.openxmlformats.org/officeDocument/2006/relationships/queryTable" Target="../queryTables/queryTable45.xml"/><Relationship Id="rId293" Type="http://schemas.openxmlformats.org/officeDocument/2006/relationships/queryTable" Target="../queryTables/queryTable292.xml"/><Relationship Id="rId307" Type="http://schemas.openxmlformats.org/officeDocument/2006/relationships/queryTable" Target="../queryTables/queryTable306.xml"/><Relationship Id="rId349" Type="http://schemas.openxmlformats.org/officeDocument/2006/relationships/queryTable" Target="../queryTables/queryTable348.xml"/><Relationship Id="rId514" Type="http://schemas.openxmlformats.org/officeDocument/2006/relationships/queryTable" Target="../queryTables/queryTable513.xml"/><Relationship Id="rId556" Type="http://schemas.openxmlformats.org/officeDocument/2006/relationships/queryTable" Target="../queryTables/queryTable555.xml"/><Relationship Id="rId88" Type="http://schemas.openxmlformats.org/officeDocument/2006/relationships/queryTable" Target="../queryTables/queryTable87.xml"/><Relationship Id="rId111" Type="http://schemas.openxmlformats.org/officeDocument/2006/relationships/queryTable" Target="../queryTables/queryTable110.xml"/><Relationship Id="rId153" Type="http://schemas.openxmlformats.org/officeDocument/2006/relationships/queryTable" Target="../queryTables/queryTable152.xml"/><Relationship Id="rId195" Type="http://schemas.openxmlformats.org/officeDocument/2006/relationships/queryTable" Target="../queryTables/queryTable194.xml"/><Relationship Id="rId209" Type="http://schemas.openxmlformats.org/officeDocument/2006/relationships/queryTable" Target="../queryTables/queryTable208.xml"/><Relationship Id="rId360" Type="http://schemas.openxmlformats.org/officeDocument/2006/relationships/queryTable" Target="../queryTables/queryTable359.xml"/><Relationship Id="rId416" Type="http://schemas.openxmlformats.org/officeDocument/2006/relationships/queryTable" Target="../queryTables/queryTable415.xml"/><Relationship Id="rId598" Type="http://schemas.openxmlformats.org/officeDocument/2006/relationships/queryTable" Target="../queryTables/queryTable597.xml"/><Relationship Id="rId220" Type="http://schemas.openxmlformats.org/officeDocument/2006/relationships/queryTable" Target="../queryTables/queryTable219.xml"/><Relationship Id="rId458" Type="http://schemas.openxmlformats.org/officeDocument/2006/relationships/queryTable" Target="../queryTables/queryTable457.xml"/><Relationship Id="rId623" Type="http://schemas.openxmlformats.org/officeDocument/2006/relationships/queryTable" Target="../queryTables/queryTable622.xml"/><Relationship Id="rId15" Type="http://schemas.openxmlformats.org/officeDocument/2006/relationships/queryTable" Target="../queryTables/queryTable14.xml"/><Relationship Id="rId57" Type="http://schemas.openxmlformats.org/officeDocument/2006/relationships/queryTable" Target="../queryTables/queryTable56.xml"/><Relationship Id="rId262" Type="http://schemas.openxmlformats.org/officeDocument/2006/relationships/queryTable" Target="../queryTables/queryTable261.xml"/><Relationship Id="rId318" Type="http://schemas.openxmlformats.org/officeDocument/2006/relationships/queryTable" Target="../queryTables/queryTable317.xml"/><Relationship Id="rId525" Type="http://schemas.openxmlformats.org/officeDocument/2006/relationships/queryTable" Target="../queryTables/queryTable524.xml"/><Relationship Id="rId567" Type="http://schemas.openxmlformats.org/officeDocument/2006/relationships/queryTable" Target="../queryTables/queryTable566.xml"/><Relationship Id="rId99" Type="http://schemas.openxmlformats.org/officeDocument/2006/relationships/queryTable" Target="../queryTables/queryTable98.xml"/><Relationship Id="rId122" Type="http://schemas.openxmlformats.org/officeDocument/2006/relationships/queryTable" Target="../queryTables/queryTable121.xml"/><Relationship Id="rId164" Type="http://schemas.openxmlformats.org/officeDocument/2006/relationships/queryTable" Target="../queryTables/queryTable163.xml"/><Relationship Id="rId371" Type="http://schemas.openxmlformats.org/officeDocument/2006/relationships/queryTable" Target="../queryTables/queryTable370.xml"/><Relationship Id="rId427" Type="http://schemas.openxmlformats.org/officeDocument/2006/relationships/queryTable" Target="../queryTables/queryTable426.xml"/><Relationship Id="rId469" Type="http://schemas.openxmlformats.org/officeDocument/2006/relationships/queryTable" Target="../queryTables/queryTable468.xml"/><Relationship Id="rId26" Type="http://schemas.openxmlformats.org/officeDocument/2006/relationships/queryTable" Target="../queryTables/queryTable25.xml"/><Relationship Id="rId231" Type="http://schemas.openxmlformats.org/officeDocument/2006/relationships/queryTable" Target="../queryTables/queryTable230.xml"/><Relationship Id="rId273" Type="http://schemas.openxmlformats.org/officeDocument/2006/relationships/queryTable" Target="../queryTables/queryTable272.xml"/><Relationship Id="rId329" Type="http://schemas.openxmlformats.org/officeDocument/2006/relationships/queryTable" Target="../queryTables/queryTable328.xml"/><Relationship Id="rId480" Type="http://schemas.openxmlformats.org/officeDocument/2006/relationships/queryTable" Target="../queryTables/queryTable479.xml"/><Relationship Id="rId536" Type="http://schemas.openxmlformats.org/officeDocument/2006/relationships/queryTable" Target="../queryTables/queryTable535.xml"/><Relationship Id="rId68" Type="http://schemas.openxmlformats.org/officeDocument/2006/relationships/queryTable" Target="../queryTables/queryTable67.xml"/><Relationship Id="rId133" Type="http://schemas.openxmlformats.org/officeDocument/2006/relationships/queryTable" Target="../queryTables/queryTable132.xml"/><Relationship Id="rId175" Type="http://schemas.openxmlformats.org/officeDocument/2006/relationships/queryTable" Target="../queryTables/queryTable174.xml"/><Relationship Id="rId340" Type="http://schemas.openxmlformats.org/officeDocument/2006/relationships/queryTable" Target="../queryTables/queryTable339.xml"/><Relationship Id="rId578" Type="http://schemas.openxmlformats.org/officeDocument/2006/relationships/queryTable" Target="../queryTables/queryTable577.xml"/><Relationship Id="rId200" Type="http://schemas.openxmlformats.org/officeDocument/2006/relationships/queryTable" Target="../queryTables/queryTable199.xml"/><Relationship Id="rId382" Type="http://schemas.openxmlformats.org/officeDocument/2006/relationships/queryTable" Target="../queryTables/queryTable381.xml"/><Relationship Id="rId438" Type="http://schemas.openxmlformats.org/officeDocument/2006/relationships/queryTable" Target="../queryTables/queryTable437.xml"/><Relationship Id="rId603" Type="http://schemas.openxmlformats.org/officeDocument/2006/relationships/queryTable" Target="../queryTables/queryTable602.xml"/><Relationship Id="rId242" Type="http://schemas.openxmlformats.org/officeDocument/2006/relationships/queryTable" Target="../queryTables/queryTable241.xml"/><Relationship Id="rId284" Type="http://schemas.openxmlformats.org/officeDocument/2006/relationships/queryTable" Target="../queryTables/queryTable283.xml"/><Relationship Id="rId491" Type="http://schemas.openxmlformats.org/officeDocument/2006/relationships/queryTable" Target="../queryTables/queryTable490.xml"/><Relationship Id="rId505" Type="http://schemas.openxmlformats.org/officeDocument/2006/relationships/queryTable" Target="../queryTables/queryTable504.xml"/><Relationship Id="rId37" Type="http://schemas.openxmlformats.org/officeDocument/2006/relationships/queryTable" Target="../queryTables/queryTable36.xml"/><Relationship Id="rId79" Type="http://schemas.openxmlformats.org/officeDocument/2006/relationships/queryTable" Target="../queryTables/queryTable78.xml"/><Relationship Id="rId102" Type="http://schemas.openxmlformats.org/officeDocument/2006/relationships/queryTable" Target="../queryTables/queryTable101.xml"/><Relationship Id="rId144" Type="http://schemas.openxmlformats.org/officeDocument/2006/relationships/queryTable" Target="../queryTables/queryTable143.xml"/><Relationship Id="rId547" Type="http://schemas.openxmlformats.org/officeDocument/2006/relationships/queryTable" Target="../queryTables/queryTable546.xml"/><Relationship Id="rId589" Type="http://schemas.openxmlformats.org/officeDocument/2006/relationships/queryTable" Target="../queryTables/queryTable588.xml"/><Relationship Id="rId90" Type="http://schemas.openxmlformats.org/officeDocument/2006/relationships/queryTable" Target="../queryTables/queryTable89.xml"/><Relationship Id="rId186" Type="http://schemas.openxmlformats.org/officeDocument/2006/relationships/queryTable" Target="../queryTables/queryTable185.xml"/><Relationship Id="rId351" Type="http://schemas.openxmlformats.org/officeDocument/2006/relationships/queryTable" Target="../queryTables/queryTable350.xml"/><Relationship Id="rId393" Type="http://schemas.openxmlformats.org/officeDocument/2006/relationships/queryTable" Target="../queryTables/queryTable392.xml"/><Relationship Id="rId407" Type="http://schemas.openxmlformats.org/officeDocument/2006/relationships/queryTable" Target="../queryTables/queryTable406.xml"/><Relationship Id="rId449" Type="http://schemas.openxmlformats.org/officeDocument/2006/relationships/queryTable" Target="../queryTables/queryTable448.xml"/><Relationship Id="rId614" Type="http://schemas.openxmlformats.org/officeDocument/2006/relationships/queryTable" Target="../queryTables/queryTable613.xml"/><Relationship Id="rId211" Type="http://schemas.openxmlformats.org/officeDocument/2006/relationships/queryTable" Target="../queryTables/queryTable210.xml"/><Relationship Id="rId253" Type="http://schemas.openxmlformats.org/officeDocument/2006/relationships/queryTable" Target="../queryTables/queryTable252.xml"/><Relationship Id="rId295" Type="http://schemas.openxmlformats.org/officeDocument/2006/relationships/queryTable" Target="../queryTables/queryTable294.xml"/><Relationship Id="rId309" Type="http://schemas.openxmlformats.org/officeDocument/2006/relationships/queryTable" Target="../queryTables/queryTable308.xml"/><Relationship Id="rId460" Type="http://schemas.openxmlformats.org/officeDocument/2006/relationships/queryTable" Target="../queryTables/queryTable459.xml"/><Relationship Id="rId516" Type="http://schemas.openxmlformats.org/officeDocument/2006/relationships/queryTable" Target="../queryTables/queryTable515.xml"/><Relationship Id="rId48" Type="http://schemas.openxmlformats.org/officeDocument/2006/relationships/queryTable" Target="../queryTables/queryTable47.xml"/><Relationship Id="rId113" Type="http://schemas.openxmlformats.org/officeDocument/2006/relationships/queryTable" Target="../queryTables/queryTable112.xml"/><Relationship Id="rId320" Type="http://schemas.openxmlformats.org/officeDocument/2006/relationships/queryTable" Target="../queryTables/queryTable319.xml"/><Relationship Id="rId558" Type="http://schemas.openxmlformats.org/officeDocument/2006/relationships/queryTable" Target="../queryTables/queryTable557.xml"/><Relationship Id="rId155" Type="http://schemas.openxmlformats.org/officeDocument/2006/relationships/queryTable" Target="../queryTables/queryTable154.xml"/><Relationship Id="rId197" Type="http://schemas.openxmlformats.org/officeDocument/2006/relationships/queryTable" Target="../queryTables/queryTable196.xml"/><Relationship Id="rId362" Type="http://schemas.openxmlformats.org/officeDocument/2006/relationships/queryTable" Target="../queryTables/queryTable361.xml"/><Relationship Id="rId418" Type="http://schemas.openxmlformats.org/officeDocument/2006/relationships/queryTable" Target="../queryTables/queryTable417.xml"/><Relationship Id="rId625" Type="http://schemas.openxmlformats.org/officeDocument/2006/relationships/queryTable" Target="../queryTables/queryTable62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3:F7"/>
  <sheetViews>
    <sheetView workbookViewId="0">
      <selection activeCell="H9" sqref="H9"/>
    </sheetView>
  </sheetViews>
  <sheetFormatPr defaultRowHeight="12.5" x14ac:dyDescent="0.25"/>
  <cols>
    <col min="1" max="1" width="8.453125" customWidth="1"/>
    <col min="2" max="2" width="12.1796875" bestFit="1" customWidth="1"/>
    <col min="4" max="4" width="10.1796875" bestFit="1" customWidth="1"/>
  </cols>
  <sheetData>
    <row r="3" spans="2:6" x14ac:dyDescent="0.25">
      <c r="C3" s="542" t="s">
        <v>58</v>
      </c>
      <c r="D3" s="542"/>
      <c r="E3" s="542"/>
      <c r="F3" s="542"/>
    </row>
    <row r="4" spans="2:6" x14ac:dyDescent="0.25">
      <c r="C4" s="542"/>
      <c r="D4" s="542"/>
      <c r="E4" s="542"/>
      <c r="F4" s="542"/>
    </row>
    <row r="6" spans="2:6" x14ac:dyDescent="0.25">
      <c r="B6" t="s">
        <v>51</v>
      </c>
      <c r="D6" s="1">
        <v>44568</v>
      </c>
      <c r="E6" t="s">
        <v>57</v>
      </c>
    </row>
    <row r="7" spans="2:6" x14ac:dyDescent="0.25">
      <c r="B7" t="s">
        <v>52</v>
      </c>
      <c r="D7" s="2" t="s">
        <v>241</v>
      </c>
      <c r="E7" t="s">
        <v>57</v>
      </c>
    </row>
  </sheetData>
  <mergeCells count="1">
    <mergeCell ref="C3:F4"/>
  </mergeCells>
  <phoneticPr fontId="14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UpdateMonthlyAvgReport">
                <anchor moveWithCells="1" sizeWithCells="1">
                  <from>
                    <xdr:col>2</xdr:col>
                    <xdr:colOff>146050</xdr:colOff>
                    <xdr:row>17</xdr:row>
                    <xdr:rowOff>95250</xdr:rowOff>
                  </from>
                  <to>
                    <xdr:col>5</xdr:col>
                    <xdr:colOff>298450</xdr:colOff>
                    <xdr:row>19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N68"/>
  <sheetViews>
    <sheetView topLeftCell="A55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0" max="10" width="10.81640625" customWidth="1"/>
    <col min="11" max="11" width="11.81640625" bestFit="1" customWidth="1"/>
  </cols>
  <sheetData>
    <row r="1" spans="1:14" x14ac:dyDescent="0.25">
      <c r="G1">
        <v>41000</v>
      </c>
    </row>
    <row r="3" spans="1:14" x14ac:dyDescent="0.25">
      <c r="B3" t="s">
        <v>86</v>
      </c>
      <c r="C3" s="542" t="s">
        <v>3</v>
      </c>
      <c r="D3" s="542"/>
      <c r="E3" t="s">
        <v>84</v>
      </c>
      <c r="F3">
        <f>Plants!$G$1</f>
        <v>41000</v>
      </c>
      <c r="J3" t="s">
        <v>86</v>
      </c>
      <c r="K3" s="542" t="s">
        <v>3</v>
      </c>
      <c r="L3" s="542"/>
      <c r="M3" t="s">
        <v>84</v>
      </c>
      <c r="N3">
        <f>Plants!$G$1</f>
        <v>41000</v>
      </c>
    </row>
    <row r="4" spans="1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1:14" x14ac:dyDescent="0.25">
      <c r="A5">
        <v>5</v>
      </c>
      <c r="B5" t="s">
        <v>10</v>
      </c>
      <c r="C5" t="s">
        <v>0</v>
      </c>
      <c r="D5" t="e">
        <v>#DIV/0!</v>
      </c>
      <c r="E5" t="e">
        <v>#DIV/0!</v>
      </c>
      <c r="F5" t="e">
        <v>#DIV/0!</v>
      </c>
      <c r="J5" t="s">
        <v>10</v>
      </c>
      <c r="K5" t="s">
        <v>1</v>
      </c>
      <c r="L5" t="e">
        <v>#DIV/0!</v>
      </c>
      <c r="M5" t="e">
        <v>#DIV/0!</v>
      </c>
      <c r="N5" t="e">
        <v>#DIV/0!</v>
      </c>
    </row>
    <row r="6" spans="1:14" x14ac:dyDescent="0.25">
      <c r="A6">
        <v>6</v>
      </c>
      <c r="B6" t="s">
        <v>11</v>
      </c>
      <c r="C6" t="s">
        <v>0</v>
      </c>
      <c r="D6">
        <v>0.88801276267104867</v>
      </c>
      <c r="E6">
        <v>0.35590260840104326</v>
      </c>
      <c r="F6">
        <v>1.1547690966884547</v>
      </c>
      <c r="J6" t="s">
        <v>11</v>
      </c>
      <c r="K6" t="s">
        <v>1</v>
      </c>
      <c r="L6">
        <v>2.7115847150083052</v>
      </c>
      <c r="M6">
        <v>0.62915286960589389</v>
      </c>
      <c r="N6">
        <v>0.8499803919307003</v>
      </c>
    </row>
    <row r="7" spans="1:14" x14ac:dyDescent="0.25">
      <c r="A7">
        <v>7</v>
      </c>
      <c r="B7" t="s">
        <v>9</v>
      </c>
      <c r="C7" t="s">
        <v>0</v>
      </c>
      <c r="D7" t="e">
        <v>#DIV/0!</v>
      </c>
      <c r="E7" t="e">
        <v>#DIV/0!</v>
      </c>
      <c r="F7" t="e">
        <v>#DIV/0!</v>
      </c>
      <c r="J7" t="s">
        <v>9</v>
      </c>
      <c r="K7" t="s">
        <v>1</v>
      </c>
      <c r="L7" t="e">
        <v>#DIV/0!</v>
      </c>
      <c r="M7" t="e">
        <v>#DIV/0!</v>
      </c>
      <c r="N7" t="e">
        <v>#DIV/0!</v>
      </c>
    </row>
    <row r="8" spans="1:14" x14ac:dyDescent="0.25">
      <c r="A8">
        <v>8</v>
      </c>
      <c r="B8" t="s">
        <v>31</v>
      </c>
      <c r="C8" t="s">
        <v>0</v>
      </c>
      <c r="D8" t="e">
        <v>#DIV/0!</v>
      </c>
      <c r="E8" t="e">
        <v>#DIV/0!</v>
      </c>
      <c r="F8" t="e">
        <v>#DIV/0!</v>
      </c>
      <c r="J8" t="s">
        <v>31</v>
      </c>
      <c r="K8" t="s">
        <v>1</v>
      </c>
      <c r="L8" t="e">
        <v>#DIV/0!</v>
      </c>
      <c r="M8" t="e">
        <v>#DIV/0!</v>
      </c>
      <c r="N8" t="e">
        <v>#DIV/0!</v>
      </c>
    </row>
    <row r="9" spans="1:14" x14ac:dyDescent="0.25">
      <c r="A9">
        <v>9</v>
      </c>
      <c r="B9" t="s">
        <v>27</v>
      </c>
      <c r="C9" t="s">
        <v>0</v>
      </c>
      <c r="D9">
        <v>1.3785215235567019</v>
      </c>
      <c r="E9">
        <v>0.81346388048178586</v>
      </c>
      <c r="F9">
        <v>1.2210097349027451</v>
      </c>
      <c r="J9" t="s">
        <v>27</v>
      </c>
      <c r="K9" t="s">
        <v>1</v>
      </c>
      <c r="L9">
        <v>0.83265254242706521</v>
      </c>
      <c r="M9">
        <v>0.64231153077311753</v>
      </c>
      <c r="N9">
        <v>0.7925439583555749</v>
      </c>
    </row>
    <row r="10" spans="1:14" x14ac:dyDescent="0.25">
      <c r="A10">
        <v>10</v>
      </c>
      <c r="B10" t="s">
        <v>2</v>
      </c>
      <c r="C10" t="s">
        <v>0</v>
      </c>
      <c r="D10">
        <v>1.9622259377122275</v>
      </c>
      <c r="E10">
        <v>1.6475662276444201</v>
      </c>
      <c r="F10">
        <v>1.5519497569341751</v>
      </c>
      <c r="J10" t="s">
        <v>2</v>
      </c>
      <c r="K10" t="s">
        <v>1</v>
      </c>
      <c r="L10">
        <v>1.1968929603856362</v>
      </c>
      <c r="M10">
        <v>1.010837822525587</v>
      </c>
      <c r="N10">
        <v>1.1316618336531079</v>
      </c>
    </row>
    <row r="11" spans="1:14" x14ac:dyDescent="0.25">
      <c r="A11">
        <v>11</v>
      </c>
      <c r="B11" t="s">
        <v>44</v>
      </c>
      <c r="C11" t="s">
        <v>0</v>
      </c>
      <c r="D11" t="e">
        <v>#DIV/0!</v>
      </c>
      <c r="E11" t="e">
        <v>#DIV/0!</v>
      </c>
      <c r="F11" t="e">
        <v>#DIV/0!</v>
      </c>
      <c r="J11" t="s">
        <v>44</v>
      </c>
      <c r="K11" t="s">
        <v>1</v>
      </c>
      <c r="L11" t="e">
        <v>#DIV/0!</v>
      </c>
      <c r="M11" t="e">
        <v>#DIV/0!</v>
      </c>
      <c r="N11" t="e">
        <v>#DIV/0!</v>
      </c>
    </row>
    <row r="12" spans="1:14" x14ac:dyDescent="0.25">
      <c r="B12" t="s">
        <v>85</v>
      </c>
      <c r="D12" t="e">
        <f>AVERAGE(D5:D11)</f>
        <v>#DIV/0!</v>
      </c>
      <c r="E12" t="e">
        <f>AVERAGE(E5:E11)</f>
        <v>#DIV/0!</v>
      </c>
      <c r="F12" t="e">
        <f>AVERAGE(F5:F11)</f>
        <v>#DIV/0!</v>
      </c>
      <c r="J12" t="s">
        <v>85</v>
      </c>
      <c r="L12" t="e">
        <f>AVERAGE(L5:L11)</f>
        <v>#DIV/0!</v>
      </c>
      <c r="M12" t="e">
        <f>AVERAGE(M5:M11)</f>
        <v>#DIV/0!</v>
      </c>
      <c r="N12" t="e">
        <f>AVERAGE(N5:N11)</f>
        <v>#DIV/0!</v>
      </c>
    </row>
    <row r="17" spans="2:14" x14ac:dyDescent="0.25">
      <c r="B17" t="s">
        <v>86</v>
      </c>
      <c r="C17" s="542" t="s">
        <v>60</v>
      </c>
      <c r="D17" s="542"/>
      <c r="E17" t="s">
        <v>84</v>
      </c>
      <c r="F17">
        <f>Plants!$G$1</f>
        <v>41000</v>
      </c>
      <c r="J17" t="s">
        <v>86</v>
      </c>
      <c r="K17" s="542" t="s">
        <v>60</v>
      </c>
      <c r="L17" s="542"/>
      <c r="M17" t="s">
        <v>84</v>
      </c>
      <c r="N17">
        <f>Plants!$G$1</f>
        <v>41000</v>
      </c>
    </row>
    <row r="18" spans="2:14" x14ac:dyDescent="0.25">
      <c r="B18" t="s">
        <v>56</v>
      </c>
      <c r="C18" t="s">
        <v>55</v>
      </c>
      <c r="D18" t="s">
        <v>32</v>
      </c>
      <c r="E18" t="s">
        <v>33</v>
      </c>
      <c r="F18" t="s">
        <v>34</v>
      </c>
      <c r="J18" t="s">
        <v>56</v>
      </c>
      <c r="K18" t="s">
        <v>55</v>
      </c>
      <c r="L18" t="s">
        <v>32</v>
      </c>
      <c r="M18" t="s">
        <v>33</v>
      </c>
      <c r="N18" t="s">
        <v>34</v>
      </c>
    </row>
    <row r="19" spans="2:14" x14ac:dyDescent="0.25">
      <c r="B19" t="s">
        <v>10</v>
      </c>
      <c r="C19" t="s">
        <v>0</v>
      </c>
      <c r="D19" t="e">
        <v>#DIV/0!</v>
      </c>
      <c r="E19" t="e">
        <v>#DIV/0!</v>
      </c>
      <c r="F19" t="e">
        <v>#DIV/0!</v>
      </c>
      <c r="J19" t="s">
        <v>10</v>
      </c>
      <c r="K19" t="s">
        <v>1</v>
      </c>
      <c r="L19" t="e">
        <v>#DIV/0!</v>
      </c>
      <c r="M19" t="e">
        <v>#DIV/0!</v>
      </c>
      <c r="N19" t="e">
        <v>#DIV/0!</v>
      </c>
    </row>
    <row r="20" spans="2:14" x14ac:dyDescent="0.25">
      <c r="B20" t="s">
        <v>11</v>
      </c>
      <c r="C20" t="s">
        <v>0</v>
      </c>
      <c r="D20" t="e">
        <v>#DIV/0!</v>
      </c>
      <c r="E20" t="e">
        <v>#DIV/0!</v>
      </c>
      <c r="F20" t="e">
        <v>#DIV/0!</v>
      </c>
      <c r="J20" t="s">
        <v>11</v>
      </c>
      <c r="K20" t="s">
        <v>1</v>
      </c>
      <c r="L20" t="e">
        <v>#DIV/0!</v>
      </c>
      <c r="M20" t="e">
        <v>#DIV/0!</v>
      </c>
      <c r="N20" t="e">
        <v>#DIV/0!</v>
      </c>
    </row>
    <row r="21" spans="2:14" x14ac:dyDescent="0.25">
      <c r="B21" t="s">
        <v>9</v>
      </c>
      <c r="C21" t="s">
        <v>0</v>
      </c>
      <c r="D21" t="e">
        <v>#DIV/0!</v>
      </c>
      <c r="E21" t="e">
        <v>#DIV/0!</v>
      </c>
      <c r="F21" t="e">
        <v>#DIV/0!</v>
      </c>
      <c r="J21" t="s">
        <v>9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31</v>
      </c>
      <c r="C22" t="s">
        <v>0</v>
      </c>
      <c r="D22" t="e">
        <v>#DIV/0!</v>
      </c>
      <c r="E22" t="e">
        <v>#DIV/0!</v>
      </c>
      <c r="F22" t="e">
        <v>#DIV/0!</v>
      </c>
      <c r="J22" t="s">
        <v>31</v>
      </c>
      <c r="K22" t="s">
        <v>1</v>
      </c>
      <c r="L22" t="e">
        <v>#DIV/0!</v>
      </c>
      <c r="M22" t="e">
        <v>#DIV/0!</v>
      </c>
      <c r="N22" t="e">
        <v>#DIV/0!</v>
      </c>
    </row>
    <row r="23" spans="2:14" x14ac:dyDescent="0.25">
      <c r="B23" t="s">
        <v>27</v>
      </c>
      <c r="C23" t="s">
        <v>0</v>
      </c>
      <c r="D23" t="e">
        <v>#DIV/0!</v>
      </c>
      <c r="E23" t="e">
        <v>#DIV/0!</v>
      </c>
      <c r="F23" t="e">
        <v>#DIV/0!</v>
      </c>
      <c r="J23" t="s">
        <v>27</v>
      </c>
      <c r="K23" t="s">
        <v>1</v>
      </c>
      <c r="L23" t="e">
        <v>#DIV/0!</v>
      </c>
      <c r="M23" t="e">
        <v>#DIV/0!</v>
      </c>
      <c r="N23" t="e">
        <v>#DIV/0!</v>
      </c>
    </row>
    <row r="24" spans="2:14" x14ac:dyDescent="0.25">
      <c r="B24" t="s">
        <v>2</v>
      </c>
      <c r="C24" t="s">
        <v>0</v>
      </c>
      <c r="D24" t="e">
        <v>#DIV/0!</v>
      </c>
      <c r="E24" t="e">
        <v>#DIV/0!</v>
      </c>
      <c r="F24" t="e">
        <v>#DIV/0!</v>
      </c>
      <c r="J24" t="s">
        <v>2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44</v>
      </c>
      <c r="C25" t="s">
        <v>0</v>
      </c>
      <c r="D25" t="e">
        <v>#DIV/0!</v>
      </c>
      <c r="E25" t="e">
        <v>#DIV/0!</v>
      </c>
      <c r="F25" t="e">
        <v>#DIV/0!</v>
      </c>
      <c r="J25" t="s">
        <v>44</v>
      </c>
      <c r="K25" t="s">
        <v>1</v>
      </c>
      <c r="L25" t="e">
        <v>#DIV/0!</v>
      </c>
      <c r="M25" t="e">
        <v>#DIV/0!</v>
      </c>
      <c r="N25" t="e">
        <v>#DIV/0!</v>
      </c>
    </row>
    <row r="26" spans="2:14" x14ac:dyDescent="0.25">
      <c r="B26" t="s">
        <v>85</v>
      </c>
      <c r="D26" t="e">
        <f>AVERAGE(D19:D25)</f>
        <v>#DIV/0!</v>
      </c>
      <c r="E26" t="e">
        <f>AVERAGE(E19:E25)</f>
        <v>#DIV/0!</v>
      </c>
      <c r="F26" t="e">
        <f>AVERAGE(F19:F25)</f>
        <v>#DIV/0!</v>
      </c>
      <c r="J26" t="s">
        <v>85</v>
      </c>
      <c r="L26" t="e">
        <f>AVERAGE(L19:L25)</f>
        <v>#DIV/0!</v>
      </c>
      <c r="M26" t="e">
        <f>AVERAGE(M19:M25)</f>
        <v>#DIV/0!</v>
      </c>
      <c r="N26" t="e">
        <f>AVERAGE(N19:N25)</f>
        <v>#DIV/0!</v>
      </c>
    </row>
    <row r="31" spans="2:14" x14ac:dyDescent="0.25">
      <c r="B31" t="s">
        <v>86</v>
      </c>
      <c r="C31" s="542" t="s">
        <v>4</v>
      </c>
      <c r="D31" s="542"/>
      <c r="E31" t="s">
        <v>84</v>
      </c>
      <c r="F31">
        <f>Plants!$G$1</f>
        <v>41000</v>
      </c>
      <c r="J31" t="s">
        <v>86</v>
      </c>
      <c r="K31" s="542" t="s">
        <v>4</v>
      </c>
      <c r="L31" s="542"/>
      <c r="M31" t="s">
        <v>84</v>
      </c>
      <c r="N31">
        <f>Plants!$G$1</f>
        <v>41000</v>
      </c>
    </row>
    <row r="32" spans="2:14" x14ac:dyDescent="0.25">
      <c r="B32" t="s">
        <v>56</v>
      </c>
      <c r="C32" t="s">
        <v>55</v>
      </c>
      <c r="D32" t="s">
        <v>32</v>
      </c>
      <c r="E32" t="s">
        <v>33</v>
      </c>
      <c r="F32" t="s">
        <v>34</v>
      </c>
      <c r="J32" t="s">
        <v>56</v>
      </c>
      <c r="K32" t="s">
        <v>55</v>
      </c>
      <c r="L32" t="s">
        <v>32</v>
      </c>
      <c r="M32" t="s">
        <v>33</v>
      </c>
      <c r="N32" t="s">
        <v>34</v>
      </c>
    </row>
    <row r="33" spans="2:14" x14ac:dyDescent="0.25">
      <c r="B33" t="s">
        <v>10</v>
      </c>
      <c r="C33" t="s">
        <v>0</v>
      </c>
      <c r="D33" t="e">
        <v>#DIV/0!</v>
      </c>
      <c r="E33" t="e">
        <v>#DIV/0!</v>
      </c>
      <c r="F33" t="e">
        <v>#DIV/0!</v>
      </c>
      <c r="J33" t="s">
        <v>10</v>
      </c>
      <c r="K33" t="s">
        <v>1</v>
      </c>
      <c r="L33" t="e">
        <v>#DIV/0!</v>
      </c>
      <c r="M33" t="e">
        <v>#DIV/0!</v>
      </c>
      <c r="N33" t="e">
        <v>#DIV/0!</v>
      </c>
    </row>
    <row r="34" spans="2:14" x14ac:dyDescent="0.25">
      <c r="B34" t="s">
        <v>11</v>
      </c>
      <c r="C34" t="s">
        <v>0</v>
      </c>
      <c r="D34">
        <v>0.99347873656158225</v>
      </c>
      <c r="E34">
        <v>0.19663841605003413</v>
      </c>
      <c r="F34">
        <v>0.59665735560704969</v>
      </c>
      <c r="J34" t="s">
        <v>11</v>
      </c>
      <c r="K34" t="s">
        <v>1</v>
      </c>
      <c r="L34">
        <v>1.1182826970297768</v>
      </c>
      <c r="M34">
        <v>0.53256566775956482</v>
      </c>
      <c r="N34">
        <v>0.68517255386612197</v>
      </c>
    </row>
    <row r="35" spans="2:14" x14ac:dyDescent="0.25">
      <c r="B35" t="s">
        <v>9</v>
      </c>
      <c r="C35" t="s">
        <v>0</v>
      </c>
      <c r="D35" t="e">
        <v>#DIV/0!</v>
      </c>
      <c r="E35" t="e">
        <v>#DIV/0!</v>
      </c>
      <c r="F35" t="e">
        <v>#DIV/0!</v>
      </c>
      <c r="J35" t="s">
        <v>9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31</v>
      </c>
      <c r="C36" t="s">
        <v>0</v>
      </c>
      <c r="D36" t="e">
        <v>#DIV/0!</v>
      </c>
      <c r="E36" t="e">
        <v>#DIV/0!</v>
      </c>
      <c r="F36" t="e">
        <v>#DIV/0!</v>
      </c>
      <c r="J36" t="s">
        <v>31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27</v>
      </c>
      <c r="C37" t="s">
        <v>0</v>
      </c>
      <c r="D37" t="e">
        <v>#DIV/0!</v>
      </c>
      <c r="E37" t="e">
        <v>#DIV/0!</v>
      </c>
      <c r="F37" t="e">
        <v>#DIV/0!</v>
      </c>
      <c r="J37" t="s">
        <v>27</v>
      </c>
      <c r="K37" t="s">
        <v>1</v>
      </c>
      <c r="L37">
        <v>0.9690701572626047</v>
      </c>
      <c r="M37">
        <v>0.8993478276793212</v>
      </c>
      <c r="N37">
        <v>0.40148493311100508</v>
      </c>
    </row>
    <row r="38" spans="2:14" x14ac:dyDescent="0.25">
      <c r="B38" t="s">
        <v>2</v>
      </c>
      <c r="C38" t="s">
        <v>0</v>
      </c>
      <c r="D38">
        <v>1.5286159317064134</v>
      </c>
      <c r="E38">
        <v>0.7371114795832</v>
      </c>
      <c r="F38">
        <v>0.96555251885470805</v>
      </c>
      <c r="J38" t="s">
        <v>2</v>
      </c>
      <c r="K38" t="s">
        <v>1</v>
      </c>
      <c r="L38">
        <v>1.3100572506573902</v>
      </c>
      <c r="M38">
        <v>1.0744207741848644</v>
      </c>
      <c r="N38">
        <v>0.49181297258205975</v>
      </c>
    </row>
    <row r="39" spans="2:14" x14ac:dyDescent="0.25">
      <c r="B39" t="s">
        <v>44</v>
      </c>
      <c r="C39" t="s">
        <v>0</v>
      </c>
      <c r="D39" t="e">
        <v>#DIV/0!</v>
      </c>
      <c r="E39" t="e">
        <v>#DIV/0!</v>
      </c>
      <c r="F39" t="e">
        <v>#DIV/0!</v>
      </c>
      <c r="J39" t="s">
        <v>44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85</v>
      </c>
      <c r="D40" t="e">
        <f>AVERAGE(D33:D39)</f>
        <v>#DIV/0!</v>
      </c>
      <c r="E40" t="e">
        <f>AVERAGE(E33:E39)</f>
        <v>#DIV/0!</v>
      </c>
      <c r="F40" t="e">
        <f>AVERAGE(F33:F39)</f>
        <v>#DIV/0!</v>
      </c>
      <c r="J40" t="s">
        <v>85</v>
      </c>
      <c r="L40" t="e">
        <f>AVERAGE(L33:L39)</f>
        <v>#DIV/0!</v>
      </c>
      <c r="M40" t="e">
        <f>AVERAGE(M33:M39)</f>
        <v>#DIV/0!</v>
      </c>
      <c r="N40" t="e">
        <f>AVERAGE(N33:N39)</f>
        <v>#DIV/0!</v>
      </c>
    </row>
    <row r="45" spans="2:14" x14ac:dyDescent="0.25">
      <c r="B45" t="s">
        <v>86</v>
      </c>
      <c r="C45" s="542" t="s">
        <v>5</v>
      </c>
      <c r="D45" s="542"/>
      <c r="E45" t="s">
        <v>84</v>
      </c>
      <c r="F45">
        <f>Plants!$G$1</f>
        <v>41000</v>
      </c>
      <c r="J45" t="s">
        <v>86</v>
      </c>
      <c r="K45" s="542" t="s">
        <v>5</v>
      </c>
      <c r="L45" s="542"/>
      <c r="M45" t="s">
        <v>84</v>
      </c>
      <c r="N45">
        <f>Plants!$G$1</f>
        <v>41000</v>
      </c>
    </row>
    <row r="46" spans="2:14" x14ac:dyDescent="0.25">
      <c r="B46" t="s">
        <v>56</v>
      </c>
      <c r="C46" t="s">
        <v>55</v>
      </c>
      <c r="D46" t="s">
        <v>32</v>
      </c>
      <c r="E46" t="s">
        <v>33</v>
      </c>
      <c r="F46" t="s">
        <v>34</v>
      </c>
      <c r="J46" t="s">
        <v>56</v>
      </c>
      <c r="K46" t="s">
        <v>55</v>
      </c>
      <c r="L46" t="s">
        <v>32</v>
      </c>
      <c r="M46" t="s">
        <v>33</v>
      </c>
      <c r="N46" t="s">
        <v>34</v>
      </c>
    </row>
    <row r="47" spans="2:14" x14ac:dyDescent="0.25">
      <c r="B47" t="s">
        <v>10</v>
      </c>
      <c r="C47" t="s">
        <v>0</v>
      </c>
      <c r="D47">
        <v>0.51433982399329603</v>
      </c>
      <c r="E47">
        <v>0.65643666176493465</v>
      </c>
      <c r="F47">
        <v>0.25725827135744306</v>
      </c>
      <c r="J47" t="s">
        <v>10</v>
      </c>
      <c r="K47" t="s">
        <v>1</v>
      </c>
      <c r="L47">
        <v>0.71113591226592376</v>
      </c>
      <c r="M47">
        <v>0.36839419880650898</v>
      </c>
      <c r="N47">
        <v>0.75813053279887466</v>
      </c>
    </row>
    <row r="48" spans="2:14" x14ac:dyDescent="0.25">
      <c r="B48" t="s">
        <v>11</v>
      </c>
      <c r="C48" t="s">
        <v>0</v>
      </c>
      <c r="D48">
        <v>0.28867513459481126</v>
      </c>
      <c r="E48">
        <v>0.36968455021364571</v>
      </c>
      <c r="F48">
        <v>0.21602468994692867</v>
      </c>
      <c r="J48" t="s">
        <v>11</v>
      </c>
      <c r="K48" t="s">
        <v>1</v>
      </c>
      <c r="L48">
        <v>0.12909944487357966</v>
      </c>
      <c r="M48">
        <v>9.5742710775633899E-2</v>
      </c>
      <c r="N48">
        <v>0.14142135623730942</v>
      </c>
    </row>
    <row r="49" spans="2:14" x14ac:dyDescent="0.25">
      <c r="B49" t="s">
        <v>9</v>
      </c>
      <c r="C49" t="s">
        <v>0</v>
      </c>
      <c r="D49" t="e">
        <v>#DIV/0!</v>
      </c>
      <c r="E49" t="e">
        <v>#DIV/0!</v>
      </c>
      <c r="F49" t="e">
        <v>#DIV/0!</v>
      </c>
      <c r="J49" t="s">
        <v>9</v>
      </c>
      <c r="K49" t="s">
        <v>1</v>
      </c>
      <c r="L49" t="e">
        <v>#DIV/0!</v>
      </c>
      <c r="M49" t="e">
        <v>#DIV/0!</v>
      </c>
      <c r="N49" t="e">
        <v>#DIV/0!</v>
      </c>
    </row>
    <row r="50" spans="2:14" x14ac:dyDescent="0.25">
      <c r="B50" t="s">
        <v>31</v>
      </c>
      <c r="C50" t="s">
        <v>0</v>
      </c>
      <c r="D50">
        <v>0.34876405152533074</v>
      </c>
      <c r="E50">
        <v>0.31449815724275904</v>
      </c>
      <c r="F50">
        <v>0.17215215257545766</v>
      </c>
      <c r="J50" t="s">
        <v>31</v>
      </c>
      <c r="K50" t="s">
        <v>1</v>
      </c>
      <c r="L50">
        <v>0.556776436283003</v>
      </c>
      <c r="M50">
        <v>0.61101009266077699</v>
      </c>
      <c r="N50">
        <v>0.35118845842842428</v>
      </c>
    </row>
    <row r="51" spans="2:14" x14ac:dyDescent="0.25">
      <c r="B51" t="s">
        <v>27</v>
      </c>
      <c r="C51" t="s">
        <v>0</v>
      </c>
      <c r="D51" t="e">
        <v>#DIV/0!</v>
      </c>
      <c r="E51" t="e">
        <v>#DIV/0!</v>
      </c>
      <c r="F51" t="e">
        <v>#DIV/0!</v>
      </c>
      <c r="J51" t="s">
        <v>27</v>
      </c>
      <c r="K51" t="s">
        <v>1</v>
      </c>
      <c r="L51">
        <v>0.18618986725025316</v>
      </c>
      <c r="M51">
        <v>0.38166302763912874</v>
      </c>
      <c r="N51">
        <v>0.17511900715418255</v>
      </c>
    </row>
    <row r="52" spans="2:14" x14ac:dyDescent="0.25">
      <c r="B52" t="s">
        <v>2</v>
      </c>
      <c r="C52" t="s">
        <v>0</v>
      </c>
      <c r="D52" t="e">
        <v>#DIV/0!</v>
      </c>
      <c r="E52" t="e">
        <v>#DIV/0!</v>
      </c>
      <c r="F52" t="e">
        <v>#DIV/0!</v>
      </c>
      <c r="J52" t="s">
        <v>2</v>
      </c>
      <c r="K52" t="s">
        <v>1</v>
      </c>
      <c r="L52">
        <v>0.47097047339847892</v>
      </c>
      <c r="M52">
        <v>0.52035490847039345</v>
      </c>
      <c r="N52">
        <v>0.44059151049569373</v>
      </c>
    </row>
    <row r="53" spans="2:14" x14ac:dyDescent="0.25">
      <c r="B53" t="s">
        <v>44</v>
      </c>
      <c r="C53" t="s">
        <v>0</v>
      </c>
      <c r="D53">
        <v>0.32145502536642978</v>
      </c>
      <c r="E53">
        <v>5.7735026918962505E-2</v>
      </c>
      <c r="F53">
        <v>0.37859388972001967</v>
      </c>
      <c r="J53" t="s">
        <v>44</v>
      </c>
      <c r="K53" t="s">
        <v>1</v>
      </c>
      <c r="L53" t="e">
        <v>#DIV/0!</v>
      </c>
      <c r="M53" t="e">
        <v>#DIV/0!</v>
      </c>
      <c r="N53" t="e">
        <v>#DIV/0!</v>
      </c>
    </row>
    <row r="54" spans="2:14" x14ac:dyDescent="0.25">
      <c r="B54" t="s">
        <v>85</v>
      </c>
      <c r="D54" t="e">
        <f>AVERAGE(D47:D53)</f>
        <v>#DIV/0!</v>
      </c>
      <c r="E54" t="e">
        <f>AVERAGE(E47:E53)</f>
        <v>#DIV/0!</v>
      </c>
      <c r="F54" t="e">
        <f>AVERAGE(F47:F53)</f>
        <v>#DIV/0!</v>
      </c>
      <c r="J54" t="s">
        <v>85</v>
      </c>
      <c r="L54" t="e">
        <f>AVERAGE(L47:L53)</f>
        <v>#DIV/0!</v>
      </c>
      <c r="M54" t="e">
        <f>AVERAGE(M47:M53)</f>
        <v>#DIV/0!</v>
      </c>
      <c r="N54" t="e">
        <f>AVERAGE(N47:N53)</f>
        <v>#DIV/0!</v>
      </c>
    </row>
    <row r="59" spans="2:14" x14ac:dyDescent="0.25">
      <c r="B59" t="s">
        <v>86</v>
      </c>
      <c r="C59" s="542" t="s">
        <v>30</v>
      </c>
      <c r="D59" s="542"/>
      <c r="E59" t="s">
        <v>84</v>
      </c>
      <c r="F59">
        <f>Plants!$G$1</f>
        <v>41000</v>
      </c>
      <c r="J59" t="s">
        <v>86</v>
      </c>
      <c r="K59" s="542" t="s">
        <v>30</v>
      </c>
      <c r="L59" s="542"/>
      <c r="M59" t="s">
        <v>84</v>
      </c>
      <c r="N59">
        <f>Plants!$G$1</f>
        <v>41000</v>
      </c>
    </row>
    <row r="60" spans="2:14" x14ac:dyDescent="0.25">
      <c r="B60" t="s">
        <v>56</v>
      </c>
      <c r="C60" t="s">
        <v>55</v>
      </c>
      <c r="D60" t="s">
        <v>32</v>
      </c>
      <c r="E60" t="s">
        <v>33</v>
      </c>
      <c r="F60" t="s">
        <v>34</v>
      </c>
      <c r="J60" t="s">
        <v>56</v>
      </c>
      <c r="K60" t="s">
        <v>55</v>
      </c>
      <c r="L60" t="s">
        <v>32</v>
      </c>
      <c r="M60" t="s">
        <v>33</v>
      </c>
      <c r="N60" t="s">
        <v>34</v>
      </c>
    </row>
    <row r="61" spans="2:14" x14ac:dyDescent="0.25">
      <c r="B61" t="s">
        <v>10</v>
      </c>
      <c r="C61" t="s">
        <v>0</v>
      </c>
      <c r="D61" t="e">
        <v>#DIV/0!</v>
      </c>
      <c r="E61" t="e">
        <v>#DIV/0!</v>
      </c>
      <c r="F61" t="e">
        <v>#DIV/0!</v>
      </c>
      <c r="J61" t="s">
        <v>10</v>
      </c>
      <c r="K61" t="s">
        <v>1</v>
      </c>
      <c r="L61" t="e">
        <v>#DIV/0!</v>
      </c>
      <c r="M61" t="e">
        <v>#DIV/0!</v>
      </c>
      <c r="N61" t="e">
        <v>#DIV/0!</v>
      </c>
    </row>
    <row r="62" spans="2:14" x14ac:dyDescent="0.25">
      <c r="B62" t="s">
        <v>11</v>
      </c>
      <c r="C62" t="s">
        <v>0</v>
      </c>
      <c r="D62">
        <v>0.23094010767584949</v>
      </c>
      <c r="E62">
        <v>0.11547005383792526</v>
      </c>
      <c r="F62">
        <v>0.10000000000000009</v>
      </c>
      <c r="J62" t="s">
        <v>11</v>
      </c>
      <c r="K62" t="s">
        <v>1</v>
      </c>
      <c r="L62" t="e">
        <v>#DIV/0!</v>
      </c>
      <c r="M62" t="e">
        <v>#DIV/0!</v>
      </c>
      <c r="N62" t="e">
        <v>#DIV/0!</v>
      </c>
    </row>
    <row r="63" spans="2:14" x14ac:dyDescent="0.25">
      <c r="B63" t="s">
        <v>9</v>
      </c>
      <c r="C63" t="s">
        <v>0</v>
      </c>
      <c r="D63" t="e">
        <v>#DIV/0!</v>
      </c>
      <c r="E63" t="e">
        <v>#DIV/0!</v>
      </c>
      <c r="F63" t="e">
        <v>#DIV/0!</v>
      </c>
      <c r="J63" t="s">
        <v>9</v>
      </c>
      <c r="K63" t="s">
        <v>1</v>
      </c>
      <c r="L63" t="e">
        <v>#DIV/0!</v>
      </c>
      <c r="M63" t="e">
        <v>#DIV/0!</v>
      </c>
      <c r="N63" t="e">
        <v>#DIV/0!</v>
      </c>
    </row>
    <row r="64" spans="2:14" x14ac:dyDescent="0.25">
      <c r="B64" t="s">
        <v>31</v>
      </c>
      <c r="C64" t="s">
        <v>0</v>
      </c>
      <c r="D64">
        <v>0.25819888974715932</v>
      </c>
      <c r="E64">
        <v>9.5742710775633788E-2</v>
      </c>
      <c r="F64">
        <v>8.1649658092772678E-2</v>
      </c>
      <c r="J64" t="s">
        <v>31</v>
      </c>
      <c r="K64" t="s">
        <v>1</v>
      </c>
      <c r="L64" t="e">
        <v>#DIV/0!</v>
      </c>
      <c r="M64" t="e">
        <v>#DIV/0!</v>
      </c>
      <c r="N64" t="e">
        <v>#DIV/0!</v>
      </c>
    </row>
    <row r="65" spans="2:14" x14ac:dyDescent="0.25">
      <c r="B65" t="s">
        <v>27</v>
      </c>
      <c r="C65" t="s">
        <v>0</v>
      </c>
      <c r="D65" t="e">
        <v>#DIV/0!</v>
      </c>
      <c r="E65" t="e">
        <v>#DIV/0!</v>
      </c>
      <c r="F65" t="e">
        <v>#DIV/0!</v>
      </c>
      <c r="J65" t="s">
        <v>27</v>
      </c>
      <c r="K65" t="s">
        <v>1</v>
      </c>
      <c r="L65" t="e">
        <v>#DIV/0!</v>
      </c>
      <c r="M65" t="e">
        <v>#DIV/0!</v>
      </c>
      <c r="N65" t="e">
        <v>#DIV/0!</v>
      </c>
    </row>
    <row r="66" spans="2:14" x14ac:dyDescent="0.25">
      <c r="B66" t="s">
        <v>2</v>
      </c>
      <c r="C66" t="s">
        <v>0</v>
      </c>
      <c r="D66" t="e">
        <v>#DIV/0!</v>
      </c>
      <c r="E66" t="e">
        <v>#DIV/0!</v>
      </c>
      <c r="F66" t="e">
        <v>#DIV/0!</v>
      </c>
      <c r="J66" t="s">
        <v>2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44</v>
      </c>
      <c r="C67" t="s">
        <v>0</v>
      </c>
      <c r="D67">
        <v>0</v>
      </c>
      <c r="E67">
        <v>7.0710678118654821E-2</v>
      </c>
      <c r="F67">
        <v>7.0710678118654821E-2</v>
      </c>
      <c r="J67" t="s">
        <v>44</v>
      </c>
      <c r="K67" t="s">
        <v>1</v>
      </c>
      <c r="L67" t="e">
        <v>#DIV/0!</v>
      </c>
      <c r="M67" t="e">
        <v>#DIV/0!</v>
      </c>
      <c r="N67" t="e">
        <v>#DIV/0!</v>
      </c>
    </row>
    <row r="68" spans="2:14" x14ac:dyDescent="0.25">
      <c r="B68" t="s">
        <v>85</v>
      </c>
      <c r="D68" t="e">
        <f>AVERAGE(D61:D67)</f>
        <v>#DIV/0!</v>
      </c>
      <c r="E68" t="e">
        <f>AVERAGE(E61:E67)</f>
        <v>#DIV/0!</v>
      </c>
      <c r="F68" t="e">
        <f>AVERAGE(F61:F67)</f>
        <v>#DIV/0!</v>
      </c>
      <c r="J68" t="s">
        <v>85</v>
      </c>
      <c r="L68" t="e">
        <f>AVERAGE(L61:L67)</f>
        <v>#DIV/0!</v>
      </c>
      <c r="M68" t="e">
        <f>AVERAGE(M61:M67)</f>
        <v>#DIV/0!</v>
      </c>
      <c r="N68" t="e">
        <f>AVERAGE(N61:N67)</f>
        <v>#DIV/0!</v>
      </c>
    </row>
  </sheetData>
  <mergeCells count="10">
    <mergeCell ref="C45:D45"/>
    <mergeCell ref="K45:L45"/>
    <mergeCell ref="C59:D59"/>
    <mergeCell ref="K59:L59"/>
    <mergeCell ref="C3:D3"/>
    <mergeCell ref="K3:L3"/>
    <mergeCell ref="K17:L17"/>
    <mergeCell ref="C17:D17"/>
    <mergeCell ref="C31:D31"/>
    <mergeCell ref="K31:L3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1:N103"/>
  <sheetViews>
    <sheetView topLeftCell="A28" workbookViewId="0">
      <selection activeCell="B73" sqref="B73"/>
    </sheetView>
  </sheetViews>
  <sheetFormatPr defaultRowHeight="12.5" x14ac:dyDescent="0.25"/>
  <cols>
    <col min="3" max="3" width="11.81640625" bestFit="1" customWidth="1"/>
    <col min="7" max="7" width="10.1796875" bestFit="1" customWidth="1"/>
    <col min="11" max="11" width="11.81640625" bestFit="1" customWidth="1"/>
  </cols>
  <sheetData>
    <row r="1" spans="2:14" x14ac:dyDescent="0.25">
      <c r="G1">
        <v>41039</v>
      </c>
    </row>
    <row r="3" spans="2:14" x14ac:dyDescent="0.25">
      <c r="B3" t="s">
        <v>86</v>
      </c>
      <c r="C3" s="542" t="s">
        <v>87</v>
      </c>
      <c r="D3" s="542"/>
      <c r="E3" t="s">
        <v>84</v>
      </c>
      <c r="F3">
        <f>Plants!$G$1</f>
        <v>41000</v>
      </c>
      <c r="J3" t="s">
        <v>86</v>
      </c>
      <c r="K3" s="542" t="s">
        <v>10</v>
      </c>
      <c r="L3" s="542"/>
      <c r="M3" t="s">
        <v>84</v>
      </c>
      <c r="N3">
        <f>Plants!$G$1</f>
        <v>41000</v>
      </c>
    </row>
    <row r="4" spans="2:14" x14ac:dyDescent="0.25">
      <c r="B4" t="s">
        <v>56</v>
      </c>
      <c r="C4" t="s">
        <v>55</v>
      </c>
      <c r="D4" t="s">
        <v>32</v>
      </c>
      <c r="E4" t="s">
        <v>33</v>
      </c>
      <c r="F4" t="s">
        <v>34</v>
      </c>
      <c r="J4" t="s">
        <v>56</v>
      </c>
      <c r="K4" t="s">
        <v>55</v>
      </c>
      <c r="L4" t="s">
        <v>32</v>
      </c>
      <c r="M4" t="s">
        <v>33</v>
      </c>
      <c r="N4" t="s">
        <v>34</v>
      </c>
    </row>
    <row r="5" spans="2:14" x14ac:dyDescent="0.25">
      <c r="B5" t="s">
        <v>3</v>
      </c>
      <c r="C5" t="s">
        <v>0</v>
      </c>
      <c r="D5" t="e">
        <v>#DIV/0!</v>
      </c>
      <c r="E5" t="e">
        <v>#DIV/0!</v>
      </c>
      <c r="F5" t="e">
        <v>#DIV/0!</v>
      </c>
      <c r="J5" t="s">
        <v>3</v>
      </c>
      <c r="K5" t="s">
        <v>1</v>
      </c>
      <c r="L5" t="e">
        <v>#DIV/0!</v>
      </c>
      <c r="M5" t="e">
        <v>#DIV/0!</v>
      </c>
      <c r="N5" t="e">
        <v>#DIV/0!</v>
      </c>
    </row>
    <row r="6" spans="2:14" x14ac:dyDescent="0.25">
      <c r="B6" t="s">
        <v>60</v>
      </c>
      <c r="C6" t="s">
        <v>0</v>
      </c>
      <c r="D6" t="e">
        <v>#DIV/0!</v>
      </c>
      <c r="E6" t="e">
        <v>#DIV/0!</v>
      </c>
      <c r="F6" t="e">
        <v>#DIV/0!</v>
      </c>
      <c r="J6" t="s">
        <v>60</v>
      </c>
      <c r="K6" t="s">
        <v>1</v>
      </c>
      <c r="L6" t="e">
        <v>#DIV/0!</v>
      </c>
      <c r="M6" t="e">
        <v>#DIV/0!</v>
      </c>
      <c r="N6" t="e">
        <v>#DIV/0!</v>
      </c>
    </row>
    <row r="7" spans="2:14" x14ac:dyDescent="0.25">
      <c r="B7" t="s">
        <v>4</v>
      </c>
      <c r="C7" t="s">
        <v>0</v>
      </c>
      <c r="D7" t="e">
        <v>#DIV/0!</v>
      </c>
      <c r="E7" t="e">
        <v>#DIV/0!</v>
      </c>
      <c r="F7" t="e">
        <v>#DIV/0!</v>
      </c>
      <c r="J7" t="s">
        <v>4</v>
      </c>
      <c r="K7" t="s">
        <v>1</v>
      </c>
      <c r="L7" t="e">
        <v>#DIV/0!</v>
      </c>
      <c r="M7" t="e">
        <v>#DIV/0!</v>
      </c>
      <c r="N7" t="e">
        <v>#DIV/0!</v>
      </c>
    </row>
    <row r="8" spans="2:14" x14ac:dyDescent="0.25">
      <c r="B8" t="s">
        <v>5</v>
      </c>
      <c r="C8" t="s">
        <v>0</v>
      </c>
      <c r="D8">
        <v>0.51433982399329603</v>
      </c>
      <c r="E8">
        <v>0.65643666176493465</v>
      </c>
      <c r="F8">
        <v>0.25725827135744306</v>
      </c>
      <c r="J8" t="s">
        <v>5</v>
      </c>
      <c r="K8" t="s">
        <v>1</v>
      </c>
      <c r="L8">
        <v>0.71113591226592376</v>
      </c>
      <c r="M8">
        <v>0.36839419880650898</v>
      </c>
      <c r="N8">
        <v>0.75813053279887466</v>
      </c>
    </row>
    <row r="9" spans="2:14" x14ac:dyDescent="0.25">
      <c r="B9" t="s">
        <v>30</v>
      </c>
      <c r="C9" t="s">
        <v>0</v>
      </c>
      <c r="D9" t="e">
        <v>#DIV/0!</v>
      </c>
      <c r="E9" t="e">
        <v>#DIV/0!</v>
      </c>
      <c r="F9" t="e">
        <v>#DIV/0!</v>
      </c>
      <c r="J9" t="s">
        <v>30</v>
      </c>
      <c r="K9" t="s">
        <v>1</v>
      </c>
      <c r="L9" t="e">
        <v>#DIV/0!</v>
      </c>
      <c r="M9" t="e">
        <v>#DIV/0!</v>
      </c>
      <c r="N9" t="e">
        <v>#DIV/0!</v>
      </c>
    </row>
    <row r="10" spans="2:14" x14ac:dyDescent="0.25">
      <c r="B10" t="s">
        <v>61</v>
      </c>
      <c r="C10" t="s">
        <v>0</v>
      </c>
      <c r="J10" t="s">
        <v>61</v>
      </c>
      <c r="K10" t="s">
        <v>1</v>
      </c>
    </row>
    <row r="11" spans="2:14" x14ac:dyDescent="0.25">
      <c r="B11" t="s">
        <v>62</v>
      </c>
      <c r="C11" t="s">
        <v>0</v>
      </c>
      <c r="J11" t="s">
        <v>62</v>
      </c>
      <c r="K11" t="s">
        <v>1</v>
      </c>
    </row>
    <row r="12" spans="2:14" x14ac:dyDescent="0.25">
      <c r="B12" t="s">
        <v>63</v>
      </c>
      <c r="C12" t="s">
        <v>0</v>
      </c>
      <c r="J12" t="s">
        <v>63</v>
      </c>
      <c r="K12" t="s">
        <v>1</v>
      </c>
    </row>
    <row r="13" spans="2:14" x14ac:dyDescent="0.25">
      <c r="B13" t="s">
        <v>85</v>
      </c>
      <c r="D13" t="e">
        <f>AVERAGE(D5:D12)</f>
        <v>#DIV/0!</v>
      </c>
      <c r="E13" t="e">
        <f>AVERAGE(E5:E12)</f>
        <v>#DIV/0!</v>
      </c>
      <c r="F13" t="e">
        <f>AVERAGE(F5:F12)</f>
        <v>#DIV/0!</v>
      </c>
      <c r="J13" t="s">
        <v>85</v>
      </c>
      <c r="L13" t="e">
        <f>AVERAGE(L5:L12)</f>
        <v>#DIV/0!</v>
      </c>
      <c r="M13" t="e">
        <f>AVERAGE(M5:M12)</f>
        <v>#DIV/0!</v>
      </c>
      <c r="N13" t="e">
        <f>AVERAGE(N5:N12)</f>
        <v>#DIV/0!</v>
      </c>
    </row>
    <row r="18" spans="2:14" x14ac:dyDescent="0.25">
      <c r="B18" t="s">
        <v>86</v>
      </c>
      <c r="C18" s="542" t="s">
        <v>11</v>
      </c>
      <c r="D18" s="542"/>
      <c r="E18" t="s">
        <v>84</v>
      </c>
      <c r="F18">
        <f>Plants!$G$1</f>
        <v>41000</v>
      </c>
      <c r="J18" t="s">
        <v>86</v>
      </c>
      <c r="K18" s="542" t="s">
        <v>11</v>
      </c>
      <c r="L18" s="542"/>
      <c r="M18" t="s">
        <v>84</v>
      </c>
      <c r="N18">
        <f>Plants!$G$1</f>
        <v>41000</v>
      </c>
    </row>
    <row r="19" spans="2:14" x14ac:dyDescent="0.25">
      <c r="B19" t="s">
        <v>56</v>
      </c>
      <c r="C19" t="s">
        <v>55</v>
      </c>
      <c r="D19" t="s">
        <v>32</v>
      </c>
      <c r="E19" t="s">
        <v>33</v>
      </c>
      <c r="F19" t="s">
        <v>34</v>
      </c>
      <c r="J19" t="s">
        <v>56</v>
      </c>
      <c r="K19" t="s">
        <v>55</v>
      </c>
      <c r="L19" t="s">
        <v>32</v>
      </c>
      <c r="M19" t="s">
        <v>33</v>
      </c>
      <c r="N19" t="s">
        <v>34</v>
      </c>
    </row>
    <row r="20" spans="2:14" x14ac:dyDescent="0.25">
      <c r="B20" t="s">
        <v>3</v>
      </c>
      <c r="C20" t="s">
        <v>0</v>
      </c>
      <c r="D20">
        <v>0.88801276267104867</v>
      </c>
      <c r="E20">
        <v>0.35590260840104326</v>
      </c>
      <c r="F20">
        <v>1.1547690966884547</v>
      </c>
      <c r="J20" t="s">
        <v>3</v>
      </c>
      <c r="K20" t="s">
        <v>1</v>
      </c>
      <c r="L20">
        <v>2.7115847150083052</v>
      </c>
      <c r="M20">
        <v>0.62915286960589389</v>
      </c>
      <c r="N20">
        <v>0.8499803919307003</v>
      </c>
    </row>
    <row r="21" spans="2:14" x14ac:dyDescent="0.25">
      <c r="B21" t="s">
        <v>60</v>
      </c>
      <c r="C21" t="s">
        <v>0</v>
      </c>
      <c r="D21" t="e">
        <v>#DIV/0!</v>
      </c>
      <c r="E21" t="e">
        <v>#DIV/0!</v>
      </c>
      <c r="F21" t="e">
        <v>#DIV/0!</v>
      </c>
      <c r="J21" t="s">
        <v>60</v>
      </c>
      <c r="K21" t="s">
        <v>1</v>
      </c>
      <c r="L21" t="e">
        <v>#DIV/0!</v>
      </c>
      <c r="M21" t="e">
        <v>#DIV/0!</v>
      </c>
      <c r="N21" t="e">
        <v>#DIV/0!</v>
      </c>
    </row>
    <row r="22" spans="2:14" x14ac:dyDescent="0.25">
      <c r="B22" t="s">
        <v>4</v>
      </c>
      <c r="C22" t="s">
        <v>0</v>
      </c>
      <c r="D22">
        <v>0.99347873656158225</v>
      </c>
      <c r="E22">
        <v>0.19663841605003413</v>
      </c>
      <c r="F22">
        <v>0.59665735560704969</v>
      </c>
      <c r="J22" t="s">
        <v>4</v>
      </c>
      <c r="K22" t="s">
        <v>1</v>
      </c>
      <c r="L22">
        <v>1.1182826970297768</v>
      </c>
      <c r="M22">
        <v>0.53256566775956482</v>
      </c>
      <c r="N22">
        <v>0.68517255386612197</v>
      </c>
    </row>
    <row r="23" spans="2:14" x14ac:dyDescent="0.25">
      <c r="B23" t="s">
        <v>5</v>
      </c>
      <c r="C23" t="s">
        <v>0</v>
      </c>
      <c r="D23">
        <v>0.28867513459481126</v>
      </c>
      <c r="E23">
        <v>0.36968455021364571</v>
      </c>
      <c r="F23">
        <v>0.21602468994692867</v>
      </c>
      <c r="J23" t="s">
        <v>5</v>
      </c>
      <c r="K23" t="s">
        <v>1</v>
      </c>
      <c r="L23">
        <v>0.12909944487357966</v>
      </c>
      <c r="M23">
        <v>9.5742710775633899E-2</v>
      </c>
      <c r="N23">
        <v>0.14142135623730942</v>
      </c>
    </row>
    <row r="24" spans="2:14" x14ac:dyDescent="0.25">
      <c r="B24" t="s">
        <v>30</v>
      </c>
      <c r="C24" t="s">
        <v>0</v>
      </c>
      <c r="D24">
        <v>0.23094010767584949</v>
      </c>
      <c r="E24">
        <v>0.11547005383792526</v>
      </c>
      <c r="F24">
        <v>0.10000000000000009</v>
      </c>
      <c r="J24" t="s">
        <v>30</v>
      </c>
      <c r="K24" t="s">
        <v>1</v>
      </c>
      <c r="L24" t="e">
        <v>#DIV/0!</v>
      </c>
      <c r="M24" t="e">
        <v>#DIV/0!</v>
      </c>
      <c r="N24" t="e">
        <v>#DIV/0!</v>
      </c>
    </row>
    <row r="25" spans="2:14" x14ac:dyDescent="0.25">
      <c r="B25" t="s">
        <v>61</v>
      </c>
      <c r="C25" t="s">
        <v>0</v>
      </c>
      <c r="J25" t="s">
        <v>61</v>
      </c>
      <c r="K25" t="s">
        <v>1</v>
      </c>
    </row>
    <row r="26" spans="2:14" x14ac:dyDescent="0.25">
      <c r="B26" t="s">
        <v>62</v>
      </c>
      <c r="C26" t="s">
        <v>0</v>
      </c>
      <c r="J26" t="s">
        <v>62</v>
      </c>
      <c r="K26" t="s">
        <v>1</v>
      </c>
    </row>
    <row r="27" spans="2:14" x14ac:dyDescent="0.25">
      <c r="B27" t="s">
        <v>63</v>
      </c>
      <c r="C27" t="s">
        <v>0</v>
      </c>
      <c r="J27" t="s">
        <v>63</v>
      </c>
      <c r="K27" t="s">
        <v>1</v>
      </c>
    </row>
    <row r="28" spans="2:14" x14ac:dyDescent="0.25">
      <c r="B28" t="s">
        <v>85</v>
      </c>
      <c r="D28" t="e">
        <f>AVERAGE(D20:D27)</f>
        <v>#DIV/0!</v>
      </c>
      <c r="E28" t="e">
        <f>AVERAGE(E20:E27)</f>
        <v>#DIV/0!</v>
      </c>
      <c r="F28" t="e">
        <f>AVERAGE(F20:F27)</f>
        <v>#DIV/0!</v>
      </c>
      <c r="J28" t="s">
        <v>85</v>
      </c>
      <c r="L28" t="e">
        <f>AVERAGE(L20:L27)</f>
        <v>#DIV/0!</v>
      </c>
      <c r="M28" t="e">
        <f>AVERAGE(M20:M27)</f>
        <v>#DIV/0!</v>
      </c>
      <c r="N28" t="e">
        <f>AVERAGE(N20:N27)</f>
        <v>#DIV/0!</v>
      </c>
    </row>
    <row r="33" spans="2:14" x14ac:dyDescent="0.25">
      <c r="B33" t="s">
        <v>86</v>
      </c>
      <c r="C33" s="542" t="s">
        <v>9</v>
      </c>
      <c r="D33" s="542"/>
      <c r="E33" t="s">
        <v>84</v>
      </c>
      <c r="F33">
        <f>Plants!$G$1</f>
        <v>41000</v>
      </c>
      <c r="J33" t="s">
        <v>86</v>
      </c>
      <c r="K33" s="542" t="s">
        <v>9</v>
      </c>
      <c r="L33" s="542"/>
      <c r="M33" t="s">
        <v>84</v>
      </c>
      <c r="N33">
        <f>Plants!$G$1</f>
        <v>41000</v>
      </c>
    </row>
    <row r="34" spans="2:14" x14ac:dyDescent="0.25">
      <c r="B34" t="s">
        <v>56</v>
      </c>
      <c r="C34" t="s">
        <v>55</v>
      </c>
      <c r="D34" t="s">
        <v>32</v>
      </c>
      <c r="E34" t="s">
        <v>33</v>
      </c>
      <c r="F34" t="s">
        <v>34</v>
      </c>
      <c r="J34" t="s">
        <v>56</v>
      </c>
      <c r="K34" t="s">
        <v>55</v>
      </c>
      <c r="L34" t="s">
        <v>32</v>
      </c>
      <c r="M34" t="s">
        <v>33</v>
      </c>
      <c r="N34" t="s">
        <v>34</v>
      </c>
    </row>
    <row r="35" spans="2:14" x14ac:dyDescent="0.25">
      <c r="B35" t="s">
        <v>3</v>
      </c>
      <c r="C35" t="s">
        <v>0</v>
      </c>
      <c r="D35" t="e">
        <v>#DIV/0!</v>
      </c>
      <c r="E35" t="e">
        <v>#DIV/0!</v>
      </c>
      <c r="F35" t="e">
        <v>#DIV/0!</v>
      </c>
      <c r="J35" t="s">
        <v>3</v>
      </c>
      <c r="K35" t="s">
        <v>1</v>
      </c>
      <c r="L35" t="e">
        <v>#DIV/0!</v>
      </c>
      <c r="M35" t="e">
        <v>#DIV/0!</v>
      </c>
      <c r="N35" t="e">
        <v>#DIV/0!</v>
      </c>
    </row>
    <row r="36" spans="2:14" x14ac:dyDescent="0.25">
      <c r="B36" t="s">
        <v>60</v>
      </c>
      <c r="C36" t="s">
        <v>0</v>
      </c>
      <c r="D36" t="e">
        <v>#DIV/0!</v>
      </c>
      <c r="E36" t="e">
        <v>#DIV/0!</v>
      </c>
      <c r="F36" t="e">
        <v>#DIV/0!</v>
      </c>
      <c r="J36" t="s">
        <v>60</v>
      </c>
      <c r="K36" t="s">
        <v>1</v>
      </c>
      <c r="L36" t="e">
        <v>#DIV/0!</v>
      </c>
      <c r="M36" t="e">
        <v>#DIV/0!</v>
      </c>
      <c r="N36" t="e">
        <v>#DIV/0!</v>
      </c>
    </row>
    <row r="37" spans="2:14" x14ac:dyDescent="0.25">
      <c r="B37" t="s">
        <v>4</v>
      </c>
      <c r="C37" t="s">
        <v>0</v>
      </c>
      <c r="D37" t="e">
        <v>#DIV/0!</v>
      </c>
      <c r="E37" t="e">
        <v>#DIV/0!</v>
      </c>
      <c r="F37" t="e">
        <v>#DIV/0!</v>
      </c>
      <c r="J37" t="s">
        <v>4</v>
      </c>
      <c r="K37" t="s">
        <v>1</v>
      </c>
      <c r="L37" t="e">
        <v>#DIV/0!</v>
      </c>
      <c r="M37" t="e">
        <v>#DIV/0!</v>
      </c>
      <c r="N37" t="e">
        <v>#DIV/0!</v>
      </c>
    </row>
    <row r="38" spans="2:14" x14ac:dyDescent="0.25">
      <c r="B38" t="s">
        <v>5</v>
      </c>
      <c r="C38" t="s">
        <v>0</v>
      </c>
      <c r="D38" t="e">
        <v>#DIV/0!</v>
      </c>
      <c r="E38" t="e">
        <v>#DIV/0!</v>
      </c>
      <c r="F38" t="e">
        <v>#DIV/0!</v>
      </c>
      <c r="J38" t="s">
        <v>5</v>
      </c>
      <c r="K38" t="s">
        <v>1</v>
      </c>
      <c r="L38" t="e">
        <v>#DIV/0!</v>
      </c>
      <c r="M38" t="e">
        <v>#DIV/0!</v>
      </c>
      <c r="N38" t="e">
        <v>#DIV/0!</v>
      </c>
    </row>
    <row r="39" spans="2:14" x14ac:dyDescent="0.25">
      <c r="B39" t="s">
        <v>30</v>
      </c>
      <c r="C39" t="s">
        <v>0</v>
      </c>
      <c r="D39" t="e">
        <v>#DIV/0!</v>
      </c>
      <c r="E39" t="e">
        <v>#DIV/0!</v>
      </c>
      <c r="F39" t="e">
        <v>#DIV/0!</v>
      </c>
      <c r="J39" t="s">
        <v>30</v>
      </c>
      <c r="K39" t="s">
        <v>1</v>
      </c>
      <c r="L39" t="e">
        <v>#DIV/0!</v>
      </c>
      <c r="M39" t="e">
        <v>#DIV/0!</v>
      </c>
      <c r="N39" t="e">
        <v>#DIV/0!</v>
      </c>
    </row>
    <row r="40" spans="2:14" x14ac:dyDescent="0.25">
      <c r="B40" t="s">
        <v>61</v>
      </c>
      <c r="C40" t="s">
        <v>0</v>
      </c>
      <c r="J40" t="s">
        <v>61</v>
      </c>
      <c r="K40" t="s">
        <v>1</v>
      </c>
    </row>
    <row r="41" spans="2:14" x14ac:dyDescent="0.25">
      <c r="B41" t="s">
        <v>62</v>
      </c>
      <c r="C41" t="s">
        <v>0</v>
      </c>
      <c r="J41" t="s">
        <v>62</v>
      </c>
      <c r="K41" t="s">
        <v>1</v>
      </c>
    </row>
    <row r="42" spans="2:14" x14ac:dyDescent="0.25">
      <c r="B42" t="s">
        <v>63</v>
      </c>
      <c r="C42" t="s">
        <v>0</v>
      </c>
      <c r="J42" t="s">
        <v>63</v>
      </c>
      <c r="K42" t="s">
        <v>1</v>
      </c>
    </row>
    <row r="43" spans="2:14" x14ac:dyDescent="0.25">
      <c r="B43" t="s">
        <v>85</v>
      </c>
      <c r="D43" t="e">
        <f>AVERAGE(D35:D42)</f>
        <v>#DIV/0!</v>
      </c>
      <c r="E43" t="e">
        <f>AVERAGE(E35:E42)</f>
        <v>#DIV/0!</v>
      </c>
      <c r="F43" t="e">
        <f>AVERAGE(F35:F42)</f>
        <v>#DIV/0!</v>
      </c>
      <c r="J43" t="s">
        <v>85</v>
      </c>
      <c r="L43" t="e">
        <f>AVERAGE(L35:L42)</f>
        <v>#DIV/0!</v>
      </c>
      <c r="M43" t="e">
        <f>AVERAGE(M35:M42)</f>
        <v>#DIV/0!</v>
      </c>
      <c r="N43" t="e">
        <f>AVERAGE(N35:N42)</f>
        <v>#DIV/0!</v>
      </c>
    </row>
    <row r="48" spans="2:14" x14ac:dyDescent="0.25">
      <c r="B48" t="s">
        <v>86</v>
      </c>
      <c r="C48" s="542" t="s">
        <v>31</v>
      </c>
      <c r="D48" s="542"/>
      <c r="E48" t="s">
        <v>84</v>
      </c>
      <c r="F48">
        <f>Plants!$G$1</f>
        <v>41000</v>
      </c>
      <c r="J48" t="s">
        <v>86</v>
      </c>
      <c r="K48" s="542" t="s">
        <v>31</v>
      </c>
      <c r="L48" s="542"/>
      <c r="M48" t="s">
        <v>84</v>
      </c>
      <c r="N48">
        <f>Plants!$G$1</f>
        <v>41000</v>
      </c>
    </row>
    <row r="49" spans="2:14" x14ac:dyDescent="0.25">
      <c r="B49" t="s">
        <v>56</v>
      </c>
      <c r="C49" t="s">
        <v>55</v>
      </c>
      <c r="D49" t="s">
        <v>32</v>
      </c>
      <c r="E49" t="s">
        <v>33</v>
      </c>
      <c r="F49" t="s">
        <v>34</v>
      </c>
      <c r="J49" t="s">
        <v>56</v>
      </c>
      <c r="K49" t="s">
        <v>55</v>
      </c>
      <c r="L49" t="s">
        <v>32</v>
      </c>
      <c r="M49" t="s">
        <v>33</v>
      </c>
      <c r="N49" t="s">
        <v>34</v>
      </c>
    </row>
    <row r="50" spans="2:14" x14ac:dyDescent="0.25">
      <c r="B50" t="s">
        <v>3</v>
      </c>
      <c r="C50" t="s">
        <v>0</v>
      </c>
      <c r="D50" t="e">
        <v>#DIV/0!</v>
      </c>
      <c r="E50" t="e">
        <v>#DIV/0!</v>
      </c>
      <c r="F50" t="e">
        <v>#DIV/0!</v>
      </c>
      <c r="J50" t="s">
        <v>3</v>
      </c>
      <c r="K50" t="s">
        <v>1</v>
      </c>
      <c r="L50" t="e">
        <v>#DIV/0!</v>
      </c>
      <c r="M50" t="e">
        <v>#DIV/0!</v>
      </c>
      <c r="N50" t="e">
        <v>#DIV/0!</v>
      </c>
    </row>
    <row r="51" spans="2:14" x14ac:dyDescent="0.25">
      <c r="B51" t="s">
        <v>60</v>
      </c>
      <c r="C51" t="s">
        <v>0</v>
      </c>
      <c r="D51" t="e">
        <v>#DIV/0!</v>
      </c>
      <c r="E51" t="e">
        <v>#DIV/0!</v>
      </c>
      <c r="F51" t="e">
        <v>#DIV/0!</v>
      </c>
      <c r="J51" t="s">
        <v>60</v>
      </c>
      <c r="K51" t="s">
        <v>1</v>
      </c>
      <c r="L51" t="e">
        <v>#DIV/0!</v>
      </c>
      <c r="M51" t="e">
        <v>#DIV/0!</v>
      </c>
      <c r="N51" t="e">
        <v>#DIV/0!</v>
      </c>
    </row>
    <row r="52" spans="2:14" x14ac:dyDescent="0.25">
      <c r="B52" t="s">
        <v>4</v>
      </c>
      <c r="C52" t="s">
        <v>0</v>
      </c>
      <c r="D52" t="e">
        <v>#DIV/0!</v>
      </c>
      <c r="E52" t="e">
        <v>#DIV/0!</v>
      </c>
      <c r="F52" t="e">
        <v>#DIV/0!</v>
      </c>
      <c r="J52" t="s">
        <v>4</v>
      </c>
      <c r="K52" t="s">
        <v>1</v>
      </c>
      <c r="L52" t="e">
        <v>#DIV/0!</v>
      </c>
      <c r="M52" t="e">
        <v>#DIV/0!</v>
      </c>
      <c r="N52" t="e">
        <v>#DIV/0!</v>
      </c>
    </row>
    <row r="53" spans="2:14" x14ac:dyDescent="0.25">
      <c r="B53" t="s">
        <v>5</v>
      </c>
      <c r="C53" t="s">
        <v>0</v>
      </c>
      <c r="D53">
        <v>0.34876405152533074</v>
      </c>
      <c r="E53">
        <v>0.31449815724275904</v>
      </c>
      <c r="F53">
        <v>0.17215215257545766</v>
      </c>
      <c r="J53" t="s">
        <v>5</v>
      </c>
      <c r="K53" t="s">
        <v>1</v>
      </c>
      <c r="L53">
        <v>0.556776436283003</v>
      </c>
      <c r="M53">
        <v>0.61101009266077699</v>
      </c>
      <c r="N53">
        <v>0.35118845842842428</v>
      </c>
    </row>
    <row r="54" spans="2:14" x14ac:dyDescent="0.25">
      <c r="B54" t="s">
        <v>30</v>
      </c>
      <c r="C54" t="s">
        <v>0</v>
      </c>
      <c r="D54">
        <v>0.25819888974715932</v>
      </c>
      <c r="E54">
        <v>9.5742710775633788E-2</v>
      </c>
      <c r="F54">
        <v>8.1649658092772678E-2</v>
      </c>
      <c r="J54" t="s">
        <v>30</v>
      </c>
      <c r="K54" t="s">
        <v>1</v>
      </c>
      <c r="L54" t="e">
        <v>#DIV/0!</v>
      </c>
      <c r="M54" t="e">
        <v>#DIV/0!</v>
      </c>
      <c r="N54" t="e">
        <v>#DIV/0!</v>
      </c>
    </row>
    <row r="55" spans="2:14" x14ac:dyDescent="0.25">
      <c r="B55" t="s">
        <v>61</v>
      </c>
      <c r="C55" t="s">
        <v>0</v>
      </c>
      <c r="J55" t="s">
        <v>61</v>
      </c>
      <c r="K55" t="s">
        <v>1</v>
      </c>
    </row>
    <row r="56" spans="2:14" x14ac:dyDescent="0.25">
      <c r="B56" t="s">
        <v>62</v>
      </c>
      <c r="C56" t="s">
        <v>0</v>
      </c>
      <c r="J56" t="s">
        <v>62</v>
      </c>
      <c r="K56" t="s">
        <v>1</v>
      </c>
    </row>
    <row r="57" spans="2:14" x14ac:dyDescent="0.25">
      <c r="B57" t="s">
        <v>63</v>
      </c>
      <c r="C57" t="s">
        <v>0</v>
      </c>
      <c r="J57" t="s">
        <v>63</v>
      </c>
      <c r="K57" t="s">
        <v>1</v>
      </c>
    </row>
    <row r="58" spans="2:14" x14ac:dyDescent="0.25">
      <c r="B58" t="s">
        <v>85</v>
      </c>
      <c r="D58" t="e">
        <f>AVERAGE(D50:D57)</f>
        <v>#DIV/0!</v>
      </c>
      <c r="E58" t="e">
        <f>AVERAGE(E50:E57)</f>
        <v>#DIV/0!</v>
      </c>
      <c r="F58" t="e">
        <f>AVERAGE(F50:F57)</f>
        <v>#DIV/0!</v>
      </c>
      <c r="J58" t="s">
        <v>85</v>
      </c>
      <c r="L58" t="e">
        <f>AVERAGE(L50:L57)</f>
        <v>#DIV/0!</v>
      </c>
      <c r="M58" t="e">
        <f>AVERAGE(M50:M57)</f>
        <v>#DIV/0!</v>
      </c>
      <c r="N58" t="e">
        <f>AVERAGE(N50:N57)</f>
        <v>#DIV/0!</v>
      </c>
    </row>
    <row r="63" spans="2:14" x14ac:dyDescent="0.25">
      <c r="B63" t="s">
        <v>86</v>
      </c>
      <c r="C63" s="542" t="s">
        <v>88</v>
      </c>
      <c r="D63" s="542"/>
      <c r="E63" t="s">
        <v>84</v>
      </c>
      <c r="F63">
        <f>Plants!$G$1</f>
        <v>41000</v>
      </c>
      <c r="J63" t="s">
        <v>86</v>
      </c>
      <c r="K63" s="542" t="s">
        <v>27</v>
      </c>
      <c r="L63" s="542"/>
      <c r="M63" t="s">
        <v>84</v>
      </c>
      <c r="N63">
        <f>Plants!$G$1</f>
        <v>41000</v>
      </c>
    </row>
    <row r="64" spans="2:14" x14ac:dyDescent="0.25">
      <c r="B64" t="s">
        <v>56</v>
      </c>
      <c r="C64" t="s">
        <v>55</v>
      </c>
      <c r="D64" t="s">
        <v>32</v>
      </c>
      <c r="E64" t="s">
        <v>33</v>
      </c>
      <c r="F64" t="s">
        <v>34</v>
      </c>
      <c r="J64" t="s">
        <v>56</v>
      </c>
      <c r="K64" t="s">
        <v>55</v>
      </c>
      <c r="L64" t="s">
        <v>32</v>
      </c>
      <c r="M64" t="s">
        <v>33</v>
      </c>
      <c r="N64" t="s">
        <v>34</v>
      </c>
    </row>
    <row r="65" spans="2:14" x14ac:dyDescent="0.25">
      <c r="B65" t="s">
        <v>3</v>
      </c>
      <c r="C65" t="s">
        <v>0</v>
      </c>
      <c r="D65">
        <v>1.3785215235567019</v>
      </c>
      <c r="E65">
        <v>0.81346388048178586</v>
      </c>
      <c r="F65">
        <v>1.2210097349027451</v>
      </c>
      <c r="J65" t="s">
        <v>3</v>
      </c>
      <c r="K65" t="s">
        <v>1</v>
      </c>
      <c r="L65">
        <v>0.83265254242706521</v>
      </c>
      <c r="M65">
        <v>0.64231153077311753</v>
      </c>
      <c r="N65">
        <v>0.7925439583555749</v>
      </c>
    </row>
    <row r="66" spans="2:14" x14ac:dyDescent="0.25">
      <c r="B66" t="s">
        <v>60</v>
      </c>
      <c r="C66" t="s">
        <v>0</v>
      </c>
      <c r="D66" t="e">
        <v>#DIV/0!</v>
      </c>
      <c r="E66" t="e">
        <v>#DIV/0!</v>
      </c>
      <c r="F66" t="e">
        <v>#DIV/0!</v>
      </c>
      <c r="J66" t="s">
        <v>60</v>
      </c>
      <c r="K66" t="s">
        <v>1</v>
      </c>
      <c r="L66" t="e">
        <v>#DIV/0!</v>
      </c>
      <c r="M66" t="e">
        <v>#DIV/0!</v>
      </c>
      <c r="N66" t="e">
        <v>#DIV/0!</v>
      </c>
    </row>
    <row r="67" spans="2:14" x14ac:dyDescent="0.25">
      <c r="B67" t="s">
        <v>4</v>
      </c>
      <c r="C67" t="s">
        <v>0</v>
      </c>
      <c r="D67" t="e">
        <v>#DIV/0!</v>
      </c>
      <c r="E67" t="e">
        <v>#DIV/0!</v>
      </c>
      <c r="F67" t="e">
        <v>#DIV/0!</v>
      </c>
      <c r="J67" t="s">
        <v>4</v>
      </c>
      <c r="K67" t="s">
        <v>1</v>
      </c>
      <c r="L67">
        <v>0.9690701572626047</v>
      </c>
      <c r="M67">
        <v>0.8993478276793212</v>
      </c>
      <c r="N67">
        <v>0.40148493311100508</v>
      </c>
    </row>
    <row r="68" spans="2:14" x14ac:dyDescent="0.25">
      <c r="B68" t="s">
        <v>5</v>
      </c>
      <c r="C68" t="s">
        <v>0</v>
      </c>
      <c r="D68" t="e">
        <v>#DIV/0!</v>
      </c>
      <c r="E68" t="e">
        <v>#DIV/0!</v>
      </c>
      <c r="F68" t="e">
        <v>#DIV/0!</v>
      </c>
      <c r="J68" t="s">
        <v>5</v>
      </c>
      <c r="K68" t="s">
        <v>1</v>
      </c>
      <c r="L68">
        <v>0.18618986725025316</v>
      </c>
      <c r="M68">
        <v>0.38166302763912874</v>
      </c>
      <c r="N68">
        <v>0.17511900715418255</v>
      </c>
    </row>
    <row r="69" spans="2:14" x14ac:dyDescent="0.25">
      <c r="B69" t="s">
        <v>30</v>
      </c>
      <c r="C69" t="s">
        <v>0</v>
      </c>
      <c r="D69" t="e">
        <v>#DIV/0!</v>
      </c>
      <c r="E69" t="e">
        <v>#DIV/0!</v>
      </c>
      <c r="F69" t="e">
        <v>#DIV/0!</v>
      </c>
      <c r="J69" t="s">
        <v>30</v>
      </c>
      <c r="K69" t="s">
        <v>1</v>
      </c>
      <c r="L69" t="e">
        <v>#DIV/0!</v>
      </c>
      <c r="M69" t="e">
        <v>#DIV/0!</v>
      </c>
      <c r="N69" t="e">
        <v>#DIV/0!</v>
      </c>
    </row>
    <row r="70" spans="2:14" x14ac:dyDescent="0.25">
      <c r="B70" t="s">
        <v>61</v>
      </c>
      <c r="C70" t="s">
        <v>0</v>
      </c>
      <c r="J70" t="s">
        <v>61</v>
      </c>
      <c r="K70" t="s">
        <v>1</v>
      </c>
    </row>
    <row r="71" spans="2:14" x14ac:dyDescent="0.25">
      <c r="B71" t="s">
        <v>62</v>
      </c>
      <c r="C71" t="s">
        <v>0</v>
      </c>
      <c r="J71" t="s">
        <v>62</v>
      </c>
      <c r="K71" t="s">
        <v>1</v>
      </c>
    </row>
    <row r="72" spans="2:14" x14ac:dyDescent="0.25">
      <c r="B72" t="s">
        <v>63</v>
      </c>
      <c r="C72" t="s">
        <v>0</v>
      </c>
      <c r="J72" t="s">
        <v>63</v>
      </c>
      <c r="K72" t="s">
        <v>1</v>
      </c>
    </row>
    <row r="73" spans="2:14" x14ac:dyDescent="0.25">
      <c r="B73" t="s">
        <v>85</v>
      </c>
      <c r="D73" t="e">
        <f>AVERAGE(D65:D72)</f>
        <v>#DIV/0!</v>
      </c>
      <c r="E73" t="e">
        <f>AVERAGE(E65:E72)</f>
        <v>#DIV/0!</v>
      </c>
      <c r="F73" t="e">
        <f>AVERAGE(F65:F72)</f>
        <v>#DIV/0!</v>
      </c>
      <c r="J73" t="s">
        <v>85</v>
      </c>
      <c r="L73" t="e">
        <f>AVERAGE(L65:L72)</f>
        <v>#DIV/0!</v>
      </c>
      <c r="M73" t="e">
        <f>AVERAGE(M65:M72)</f>
        <v>#DIV/0!</v>
      </c>
      <c r="N73" t="e">
        <f>AVERAGE(N65:N72)</f>
        <v>#DIV/0!</v>
      </c>
    </row>
    <row r="78" spans="2:14" x14ac:dyDescent="0.25">
      <c r="B78" t="s">
        <v>86</v>
      </c>
      <c r="C78" s="542" t="s">
        <v>2</v>
      </c>
      <c r="D78" s="542"/>
      <c r="E78" t="s">
        <v>84</v>
      </c>
      <c r="F78">
        <f>Plants!$G$1</f>
        <v>41000</v>
      </c>
      <c r="J78" t="s">
        <v>86</v>
      </c>
      <c r="K78" s="542" t="s">
        <v>2</v>
      </c>
      <c r="L78" s="542"/>
      <c r="M78" t="s">
        <v>84</v>
      </c>
      <c r="N78">
        <f>Plants!$G$1</f>
        <v>41000</v>
      </c>
    </row>
    <row r="79" spans="2:14" x14ac:dyDescent="0.25">
      <c r="B79" t="s">
        <v>56</v>
      </c>
      <c r="C79" t="s">
        <v>55</v>
      </c>
      <c r="D79" t="s">
        <v>32</v>
      </c>
      <c r="E79" t="s">
        <v>33</v>
      </c>
      <c r="F79" t="s">
        <v>34</v>
      </c>
      <c r="J79" t="s">
        <v>56</v>
      </c>
      <c r="K79" t="s">
        <v>55</v>
      </c>
      <c r="L79" t="s">
        <v>32</v>
      </c>
      <c r="M79" t="s">
        <v>33</v>
      </c>
      <c r="N79" t="s">
        <v>34</v>
      </c>
    </row>
    <row r="80" spans="2:14" x14ac:dyDescent="0.25">
      <c r="B80" t="s">
        <v>3</v>
      </c>
      <c r="C80" t="s">
        <v>0</v>
      </c>
      <c r="D80">
        <v>1.9622259377122275</v>
      </c>
      <c r="E80">
        <v>1.6475662276444201</v>
      </c>
      <c r="F80">
        <v>1.5519497569341751</v>
      </c>
      <c r="J80" t="s">
        <v>3</v>
      </c>
      <c r="K80" t="s">
        <v>1</v>
      </c>
      <c r="L80">
        <v>1.1968929603856362</v>
      </c>
      <c r="M80">
        <v>1.010837822525587</v>
      </c>
      <c r="N80">
        <v>1.1316618336531079</v>
      </c>
    </row>
    <row r="81" spans="2:14" x14ac:dyDescent="0.25">
      <c r="B81" t="s">
        <v>60</v>
      </c>
      <c r="C81" t="s">
        <v>0</v>
      </c>
      <c r="D81" t="e">
        <v>#DIV/0!</v>
      </c>
      <c r="E81" t="e">
        <v>#DIV/0!</v>
      </c>
      <c r="F81" t="e">
        <v>#DIV/0!</v>
      </c>
      <c r="J81" t="s">
        <v>60</v>
      </c>
      <c r="K81" t="s">
        <v>1</v>
      </c>
      <c r="L81" t="e">
        <v>#DIV/0!</v>
      </c>
      <c r="M81" t="e">
        <v>#DIV/0!</v>
      </c>
      <c r="N81" t="e">
        <v>#DIV/0!</v>
      </c>
    </row>
    <row r="82" spans="2:14" x14ac:dyDescent="0.25">
      <c r="B82" t="s">
        <v>4</v>
      </c>
      <c r="C82" t="s">
        <v>0</v>
      </c>
      <c r="D82">
        <v>1.5286159317064134</v>
      </c>
      <c r="E82">
        <v>0.7371114795832</v>
      </c>
      <c r="F82">
        <v>0.96555251885470805</v>
      </c>
      <c r="J82" t="s">
        <v>4</v>
      </c>
      <c r="K82" t="s">
        <v>1</v>
      </c>
      <c r="L82">
        <v>1.3100572506573902</v>
      </c>
      <c r="M82">
        <v>1.0744207741848644</v>
      </c>
      <c r="N82">
        <v>0.49181297258205975</v>
      </c>
    </row>
    <row r="83" spans="2:14" x14ac:dyDescent="0.25">
      <c r="B83" t="s">
        <v>5</v>
      </c>
      <c r="C83" t="s">
        <v>0</v>
      </c>
      <c r="D83" t="e">
        <v>#DIV/0!</v>
      </c>
      <c r="E83" t="e">
        <v>#DIV/0!</v>
      </c>
      <c r="F83" t="e">
        <v>#DIV/0!</v>
      </c>
      <c r="J83" t="s">
        <v>5</v>
      </c>
      <c r="K83" t="s">
        <v>1</v>
      </c>
      <c r="L83">
        <v>0.47097047339847892</v>
      </c>
      <c r="M83">
        <v>0.52035490847039345</v>
      </c>
      <c r="N83">
        <v>0.44059151049569373</v>
      </c>
    </row>
    <row r="84" spans="2:14" x14ac:dyDescent="0.25">
      <c r="B84" t="s">
        <v>30</v>
      </c>
      <c r="C84" t="s">
        <v>0</v>
      </c>
      <c r="D84" t="e">
        <v>#DIV/0!</v>
      </c>
      <c r="E84" t="e">
        <v>#DIV/0!</v>
      </c>
      <c r="F84" t="e">
        <v>#DIV/0!</v>
      </c>
      <c r="J84" t="s">
        <v>30</v>
      </c>
      <c r="K84" t="s">
        <v>1</v>
      </c>
      <c r="L84" t="e">
        <v>#DIV/0!</v>
      </c>
      <c r="M84" t="e">
        <v>#DIV/0!</v>
      </c>
      <c r="N84" t="e">
        <v>#DIV/0!</v>
      </c>
    </row>
    <row r="85" spans="2:14" x14ac:dyDescent="0.25">
      <c r="B85" t="s">
        <v>61</v>
      </c>
      <c r="C85" t="s">
        <v>0</v>
      </c>
      <c r="J85" t="s">
        <v>61</v>
      </c>
      <c r="K85" t="s">
        <v>1</v>
      </c>
    </row>
    <row r="86" spans="2:14" x14ac:dyDescent="0.25">
      <c r="B86" t="s">
        <v>62</v>
      </c>
      <c r="C86" t="s">
        <v>0</v>
      </c>
      <c r="J86" t="s">
        <v>62</v>
      </c>
      <c r="K86" t="s">
        <v>1</v>
      </c>
    </row>
    <row r="87" spans="2:14" x14ac:dyDescent="0.25">
      <c r="B87" t="s">
        <v>63</v>
      </c>
      <c r="C87" t="s">
        <v>0</v>
      </c>
      <c r="J87" t="s">
        <v>63</v>
      </c>
      <c r="K87" t="s">
        <v>1</v>
      </c>
    </row>
    <row r="88" spans="2:14" x14ac:dyDescent="0.25">
      <c r="B88" t="s">
        <v>85</v>
      </c>
      <c r="D88" t="e">
        <f>AVERAGE(D80:D87)</f>
        <v>#DIV/0!</v>
      </c>
      <c r="E88" t="e">
        <f>AVERAGE(E80:E87)</f>
        <v>#DIV/0!</v>
      </c>
      <c r="F88" t="e">
        <f>AVERAGE(F80:F87)</f>
        <v>#DIV/0!</v>
      </c>
      <c r="J88" t="s">
        <v>85</v>
      </c>
      <c r="L88" t="e">
        <f>AVERAGE(L80:L87)</f>
        <v>#DIV/0!</v>
      </c>
      <c r="M88" t="e">
        <f>AVERAGE(M80:M87)</f>
        <v>#DIV/0!</v>
      </c>
      <c r="N88" t="e">
        <f>AVERAGE(N80:N87)</f>
        <v>#DIV/0!</v>
      </c>
    </row>
    <row r="93" spans="2:14" x14ac:dyDescent="0.25">
      <c r="B93" t="s">
        <v>86</v>
      </c>
      <c r="C93" s="542" t="s">
        <v>44</v>
      </c>
      <c r="D93" s="542"/>
      <c r="E93" t="s">
        <v>84</v>
      </c>
      <c r="F93">
        <f>Plants!$G$1</f>
        <v>41000</v>
      </c>
      <c r="J93" t="s">
        <v>86</v>
      </c>
      <c r="K93" s="542" t="s">
        <v>89</v>
      </c>
      <c r="L93" s="542"/>
      <c r="M93" t="s">
        <v>84</v>
      </c>
      <c r="N93">
        <f>Plants!$G$1</f>
        <v>41000</v>
      </c>
    </row>
    <row r="94" spans="2:14" x14ac:dyDescent="0.25">
      <c r="B94" t="s">
        <v>56</v>
      </c>
      <c r="C94" t="s">
        <v>55</v>
      </c>
      <c r="D94" t="s">
        <v>32</v>
      </c>
      <c r="E94" t="s">
        <v>33</v>
      </c>
      <c r="F94" t="s">
        <v>34</v>
      </c>
      <c r="J94" t="s">
        <v>56</v>
      </c>
      <c r="K94" t="s">
        <v>55</v>
      </c>
      <c r="L94" t="s">
        <v>32</v>
      </c>
      <c r="M94" t="s">
        <v>33</v>
      </c>
      <c r="N94" t="s">
        <v>34</v>
      </c>
    </row>
    <row r="95" spans="2:14" x14ac:dyDescent="0.25">
      <c r="B95" t="s">
        <v>3</v>
      </c>
      <c r="C95" t="s">
        <v>0</v>
      </c>
      <c r="D95" t="e">
        <v>#DIV/0!</v>
      </c>
      <c r="E95" t="e">
        <v>#DIV/0!</v>
      </c>
      <c r="F95" t="e">
        <v>#DIV/0!</v>
      </c>
      <c r="J95" t="s">
        <v>3</v>
      </c>
      <c r="K95" t="s">
        <v>1</v>
      </c>
      <c r="L95" t="e">
        <v>#DIV/0!</v>
      </c>
      <c r="M95" t="e">
        <v>#DIV/0!</v>
      </c>
      <c r="N95" t="e">
        <v>#DIV/0!</v>
      </c>
    </row>
    <row r="96" spans="2:14" x14ac:dyDescent="0.25">
      <c r="B96" t="s">
        <v>60</v>
      </c>
      <c r="C96" t="s">
        <v>0</v>
      </c>
      <c r="D96" t="e">
        <v>#DIV/0!</v>
      </c>
      <c r="E96" t="e">
        <v>#DIV/0!</v>
      </c>
      <c r="F96" t="e">
        <v>#DIV/0!</v>
      </c>
      <c r="J96" t="s">
        <v>60</v>
      </c>
      <c r="K96" t="s">
        <v>1</v>
      </c>
      <c r="L96" t="e">
        <v>#DIV/0!</v>
      </c>
      <c r="M96" t="e">
        <v>#DIV/0!</v>
      </c>
      <c r="N96" t="e">
        <v>#DIV/0!</v>
      </c>
    </row>
    <row r="97" spans="2:14" x14ac:dyDescent="0.25">
      <c r="B97" t="s">
        <v>4</v>
      </c>
      <c r="C97" t="s">
        <v>0</v>
      </c>
      <c r="D97" t="e">
        <v>#DIV/0!</v>
      </c>
      <c r="E97" t="e">
        <v>#DIV/0!</v>
      </c>
      <c r="F97" t="e">
        <v>#DIV/0!</v>
      </c>
      <c r="J97" t="s">
        <v>4</v>
      </c>
      <c r="K97" t="s">
        <v>1</v>
      </c>
      <c r="L97" t="e">
        <v>#DIV/0!</v>
      </c>
      <c r="M97" t="e">
        <v>#DIV/0!</v>
      </c>
      <c r="N97" t="e">
        <v>#DIV/0!</v>
      </c>
    </row>
    <row r="98" spans="2:14" x14ac:dyDescent="0.25">
      <c r="B98" t="s">
        <v>5</v>
      </c>
      <c r="C98" t="s">
        <v>0</v>
      </c>
      <c r="D98">
        <v>0.32145502536642978</v>
      </c>
      <c r="E98">
        <v>5.7735026918962505E-2</v>
      </c>
      <c r="F98">
        <v>0.37859388972001967</v>
      </c>
      <c r="J98" t="s">
        <v>5</v>
      </c>
      <c r="K98" t="s">
        <v>1</v>
      </c>
      <c r="L98" t="e">
        <v>#DIV/0!</v>
      </c>
      <c r="M98" t="e">
        <v>#DIV/0!</v>
      </c>
      <c r="N98" t="e">
        <v>#DIV/0!</v>
      </c>
    </row>
    <row r="99" spans="2:14" x14ac:dyDescent="0.25">
      <c r="B99" t="s">
        <v>30</v>
      </c>
      <c r="C99" t="s">
        <v>0</v>
      </c>
      <c r="D99">
        <v>0</v>
      </c>
      <c r="E99">
        <v>7.0710678118654821E-2</v>
      </c>
      <c r="F99">
        <v>7.0710678118654821E-2</v>
      </c>
      <c r="J99" t="s">
        <v>30</v>
      </c>
      <c r="K99" t="s">
        <v>1</v>
      </c>
      <c r="L99" t="e">
        <v>#DIV/0!</v>
      </c>
      <c r="M99" t="e">
        <v>#DIV/0!</v>
      </c>
      <c r="N99" t="e">
        <v>#DIV/0!</v>
      </c>
    </row>
    <row r="100" spans="2:14" x14ac:dyDescent="0.25">
      <c r="B100" t="s">
        <v>61</v>
      </c>
      <c r="C100" t="s">
        <v>0</v>
      </c>
      <c r="J100" t="s">
        <v>61</v>
      </c>
      <c r="K100" t="s">
        <v>1</v>
      </c>
    </row>
    <row r="101" spans="2:14" x14ac:dyDescent="0.25">
      <c r="B101" t="s">
        <v>62</v>
      </c>
      <c r="C101" t="s">
        <v>0</v>
      </c>
      <c r="J101" t="s">
        <v>62</v>
      </c>
      <c r="K101" t="s">
        <v>1</v>
      </c>
    </row>
    <row r="102" spans="2:14" x14ac:dyDescent="0.25">
      <c r="B102" t="s">
        <v>63</v>
      </c>
      <c r="C102" t="s">
        <v>0</v>
      </c>
      <c r="J102" t="s">
        <v>63</v>
      </c>
      <c r="K102" t="s">
        <v>1</v>
      </c>
    </row>
    <row r="103" spans="2:14" x14ac:dyDescent="0.25">
      <c r="B103" t="s">
        <v>85</v>
      </c>
      <c r="D103" t="e">
        <f>AVERAGE(D95:D102)</f>
        <v>#DIV/0!</v>
      </c>
      <c r="E103" t="e">
        <f>AVERAGE(E95:E102)</f>
        <v>#DIV/0!</v>
      </c>
      <c r="F103" t="e">
        <f>AVERAGE(F95:F102)</f>
        <v>#DIV/0!</v>
      </c>
      <c r="J103" t="s">
        <v>85</v>
      </c>
      <c r="L103" t="e">
        <f>AVERAGE(L95:L102)</f>
        <v>#DIV/0!</v>
      </c>
      <c r="M103" t="e">
        <f>AVERAGE(M95:M102)</f>
        <v>#DIV/0!</v>
      </c>
      <c r="N103" t="e">
        <f>AVERAGE(N95:N102)</f>
        <v>#DIV/0!</v>
      </c>
    </row>
  </sheetData>
  <mergeCells count="14">
    <mergeCell ref="C3:D3"/>
    <mergeCell ref="K3:L3"/>
    <mergeCell ref="C18:D18"/>
    <mergeCell ref="K18:L18"/>
    <mergeCell ref="C33:D33"/>
    <mergeCell ref="K33:L33"/>
    <mergeCell ref="C93:D93"/>
    <mergeCell ref="K93:L93"/>
    <mergeCell ref="C48:D48"/>
    <mergeCell ref="K48:L48"/>
    <mergeCell ref="C63:D63"/>
    <mergeCell ref="K63:L63"/>
    <mergeCell ref="C78:D78"/>
    <mergeCell ref="K78:L78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AB2326"/>
  <sheetViews>
    <sheetView topLeftCell="M1" zoomScale="205" zoomScaleNormal="205" workbookViewId="0">
      <selection activeCell="Q5" sqref="Q5:Z340"/>
    </sheetView>
  </sheetViews>
  <sheetFormatPr defaultRowHeight="12.5" x14ac:dyDescent="0.25"/>
  <cols>
    <col min="1" max="1" width="5.90625" bestFit="1" customWidth="1"/>
    <col min="2" max="2" width="10.90625" bestFit="1" customWidth="1"/>
    <col min="3" max="3" width="5.90625" bestFit="1" customWidth="1"/>
    <col min="4" max="4" width="5.1796875" bestFit="1" customWidth="1"/>
    <col min="5" max="5" width="11.6328125" bestFit="1" customWidth="1"/>
    <col min="6" max="6" width="6.6328125" bestFit="1" customWidth="1"/>
    <col min="7" max="7" width="6" customWidth="1"/>
    <col min="8" max="8" width="6" bestFit="1" customWidth="1"/>
    <col min="9" max="9" width="6.81640625" customWidth="1"/>
    <col min="10" max="10" width="5.453125" bestFit="1" customWidth="1"/>
    <col min="11" max="11" width="6" customWidth="1"/>
    <col min="12" max="12" width="10.08984375" bestFit="1" customWidth="1"/>
    <col min="13" max="13" width="8.1796875" bestFit="1" customWidth="1"/>
    <col min="14" max="14" width="10.36328125" bestFit="1" customWidth="1"/>
    <col min="16" max="16" width="5.90625" bestFit="1" customWidth="1"/>
    <col min="17" max="17" width="10.36328125" bestFit="1" customWidth="1"/>
    <col min="18" max="18" width="11.6328125" bestFit="1" customWidth="1"/>
    <col min="19" max="19" width="6.6328125" bestFit="1" customWidth="1"/>
    <col min="20" max="20" width="11.6328125" bestFit="1" customWidth="1"/>
    <col min="21" max="21" width="6.6328125" bestFit="1" customWidth="1"/>
    <col min="22" max="22" width="7.08984375" bestFit="1" customWidth="1"/>
    <col min="23" max="23" width="5" bestFit="1" customWidth="1"/>
    <col min="24" max="24" width="6.81640625" bestFit="1" customWidth="1"/>
    <col min="25" max="26" width="12.1796875" bestFit="1" customWidth="1"/>
    <col min="27" max="27" width="10.08984375" bestFit="1" customWidth="1"/>
    <col min="28" max="28" width="7.08984375" bestFit="1" customWidth="1"/>
  </cols>
  <sheetData>
    <row r="2" spans="1:28" x14ac:dyDescent="0.25">
      <c r="A2" t="s">
        <v>15</v>
      </c>
      <c r="B2" t="s">
        <v>6</v>
      </c>
      <c r="C2" t="s">
        <v>16</v>
      </c>
      <c r="D2" t="s">
        <v>7</v>
      </c>
      <c r="E2" t="s">
        <v>17</v>
      </c>
      <c r="F2" t="s">
        <v>8</v>
      </c>
      <c r="G2" t="s">
        <v>18</v>
      </c>
      <c r="H2" t="s">
        <v>19</v>
      </c>
      <c r="I2" t="s">
        <v>20</v>
      </c>
      <c r="J2" t="s">
        <v>21</v>
      </c>
      <c r="K2" t="s">
        <v>22</v>
      </c>
      <c r="L2" t="s">
        <v>23</v>
      </c>
      <c r="M2" t="s">
        <v>24</v>
      </c>
      <c r="P2" t="s">
        <v>7</v>
      </c>
      <c r="Q2" t="s">
        <v>16</v>
      </c>
      <c r="R2" t="s">
        <v>17</v>
      </c>
      <c r="S2" t="s">
        <v>8</v>
      </c>
    </row>
    <row r="3" spans="1:28" ht="15.5" x14ac:dyDescent="0.25">
      <c r="B3" s="311">
        <v>44744</v>
      </c>
      <c r="C3" s="2" t="s">
        <v>3</v>
      </c>
      <c r="D3" s="35" t="s">
        <v>27</v>
      </c>
      <c r="E3" s="2" t="s">
        <v>26</v>
      </c>
      <c r="F3" s="4" t="s">
        <v>0</v>
      </c>
      <c r="G3" s="247">
        <v>59.77</v>
      </c>
      <c r="H3" s="219">
        <v>7.69</v>
      </c>
      <c r="I3" s="220">
        <v>2.99</v>
      </c>
      <c r="J3" s="257">
        <v>16.3</v>
      </c>
      <c r="K3" s="265">
        <v>24.2</v>
      </c>
      <c r="L3" s="212">
        <v>857</v>
      </c>
      <c r="R3" t="s">
        <v>26</v>
      </c>
      <c r="S3" t="s">
        <v>1</v>
      </c>
    </row>
    <row r="4" spans="1:28" ht="15.5" x14ac:dyDescent="0.25">
      <c r="B4" s="311">
        <v>44745</v>
      </c>
      <c r="C4" s="2" t="s">
        <v>3</v>
      </c>
      <c r="D4" s="35" t="s">
        <v>27</v>
      </c>
      <c r="E4" s="2" t="s">
        <v>26</v>
      </c>
      <c r="F4" s="4" t="s">
        <v>0</v>
      </c>
      <c r="G4" s="247">
        <v>62.33</v>
      </c>
      <c r="H4" s="219">
        <v>3.89</v>
      </c>
      <c r="I4" s="220">
        <v>3.16</v>
      </c>
      <c r="J4" s="257">
        <v>20.5</v>
      </c>
      <c r="K4" s="265">
        <v>18.600000000000001</v>
      </c>
      <c r="L4" s="212">
        <v>704</v>
      </c>
      <c r="P4" t="s">
        <v>15</v>
      </c>
      <c r="Q4" t="s">
        <v>6</v>
      </c>
      <c r="R4" t="s">
        <v>16</v>
      </c>
      <c r="S4" t="s">
        <v>7</v>
      </c>
      <c r="T4" t="s">
        <v>17</v>
      </c>
      <c r="U4" t="s">
        <v>8</v>
      </c>
      <c r="V4" t="s">
        <v>18</v>
      </c>
      <c r="W4" t="s">
        <v>19</v>
      </c>
      <c r="X4" t="s">
        <v>20</v>
      </c>
      <c r="Y4" t="s">
        <v>21</v>
      </c>
      <c r="Z4" t="s">
        <v>22</v>
      </c>
      <c r="AA4" t="s">
        <v>23</v>
      </c>
      <c r="AB4" t="s">
        <v>24</v>
      </c>
    </row>
    <row r="5" spans="1:28" ht="15.5" x14ac:dyDescent="0.25">
      <c r="B5" s="311">
        <v>44747</v>
      </c>
      <c r="C5" s="2" t="s">
        <v>3</v>
      </c>
      <c r="D5" s="35" t="s">
        <v>27</v>
      </c>
      <c r="E5" s="2" t="s">
        <v>26</v>
      </c>
      <c r="F5" s="4" t="s">
        <v>0</v>
      </c>
      <c r="G5" s="247">
        <v>61.23</v>
      </c>
      <c r="H5" s="219">
        <v>6.54</v>
      </c>
      <c r="I5" s="220">
        <v>2.25</v>
      </c>
      <c r="J5" s="257">
        <v>16.8</v>
      </c>
      <c r="K5" s="265">
        <v>24</v>
      </c>
      <c r="L5" s="213">
        <v>710</v>
      </c>
      <c r="P5" s="533"/>
      <c r="Q5" s="314">
        <v>44743</v>
      </c>
      <c r="R5" s="2" t="s">
        <v>3</v>
      </c>
      <c r="S5" s="35" t="s">
        <v>27</v>
      </c>
      <c r="T5" s="2" t="s">
        <v>26</v>
      </c>
      <c r="U5" s="4" t="s">
        <v>1</v>
      </c>
      <c r="V5" s="266">
        <v>60.29</v>
      </c>
      <c r="W5" s="265">
        <v>7.1</v>
      </c>
      <c r="X5" s="307">
        <v>3.02</v>
      </c>
      <c r="Y5" s="265">
        <v>4.7</v>
      </c>
      <c r="Z5" s="266">
        <v>46.4</v>
      </c>
      <c r="AA5" s="312">
        <v>854</v>
      </c>
      <c r="AB5" s="533"/>
    </row>
    <row r="6" spans="1:28" ht="15.5" x14ac:dyDescent="0.25">
      <c r="B6" s="311">
        <v>44749</v>
      </c>
      <c r="C6" s="2" t="s">
        <v>3</v>
      </c>
      <c r="D6" s="35" t="s">
        <v>27</v>
      </c>
      <c r="E6" s="2" t="s">
        <v>26</v>
      </c>
      <c r="F6" s="4" t="s">
        <v>0</v>
      </c>
      <c r="G6" s="247">
        <v>60.59</v>
      </c>
      <c r="H6" s="222">
        <v>7.24</v>
      </c>
      <c r="I6" s="220">
        <v>2.37</v>
      </c>
      <c r="J6" s="257">
        <v>11.3</v>
      </c>
      <c r="K6" s="267">
        <v>27.2</v>
      </c>
      <c r="L6" s="213">
        <v>719</v>
      </c>
      <c r="P6" s="533"/>
      <c r="Q6" s="314">
        <v>44748</v>
      </c>
      <c r="R6" s="2" t="s">
        <v>3</v>
      </c>
      <c r="S6" s="35" t="s">
        <v>27</v>
      </c>
      <c r="T6" s="2" t="s">
        <v>26</v>
      </c>
      <c r="U6" s="4" t="s">
        <v>1</v>
      </c>
      <c r="V6" s="266">
        <v>61.43</v>
      </c>
      <c r="W6" s="267">
        <v>5.54</v>
      </c>
      <c r="X6" s="293">
        <v>2.96</v>
      </c>
      <c r="Y6" s="265"/>
      <c r="Z6" s="266"/>
      <c r="AA6" s="312">
        <v>716</v>
      </c>
      <c r="AB6" s="533"/>
    </row>
    <row r="7" spans="1:28" ht="15.5" x14ac:dyDescent="0.25">
      <c r="B7" s="311">
        <v>44751</v>
      </c>
      <c r="C7" s="2" t="s">
        <v>3</v>
      </c>
      <c r="D7" s="35" t="s">
        <v>27</v>
      </c>
      <c r="E7" s="2" t="s">
        <v>26</v>
      </c>
      <c r="F7" s="4" t="s">
        <v>0</v>
      </c>
      <c r="G7" s="247">
        <v>59.59</v>
      </c>
      <c r="H7" s="219">
        <v>8.52</v>
      </c>
      <c r="I7" s="220">
        <v>2.3199999999999998</v>
      </c>
      <c r="J7" s="257">
        <v>13.4</v>
      </c>
      <c r="K7" s="265">
        <v>26.6</v>
      </c>
      <c r="L7" s="213">
        <v>727</v>
      </c>
      <c r="P7" s="533"/>
      <c r="Q7" s="314">
        <v>44752</v>
      </c>
      <c r="R7" s="2" t="s">
        <v>3</v>
      </c>
      <c r="S7" s="35" t="s">
        <v>27</v>
      </c>
      <c r="T7" s="2" t="s">
        <v>26</v>
      </c>
      <c r="U7" s="4" t="s">
        <v>1</v>
      </c>
      <c r="V7" s="266">
        <v>61.65</v>
      </c>
      <c r="W7" s="267">
        <v>5.94</v>
      </c>
      <c r="X7" s="293">
        <v>2.34</v>
      </c>
      <c r="Y7" s="265">
        <v>4.7</v>
      </c>
      <c r="Z7" s="266">
        <v>45.4</v>
      </c>
      <c r="AA7" s="312">
        <v>729</v>
      </c>
      <c r="AB7" s="533"/>
    </row>
    <row r="8" spans="1:28" ht="15.5" x14ac:dyDescent="0.25">
      <c r="B8" s="311">
        <v>44751</v>
      </c>
      <c r="C8" s="2" t="s">
        <v>3</v>
      </c>
      <c r="D8" s="35" t="s">
        <v>27</v>
      </c>
      <c r="E8" s="2" t="s">
        <v>26</v>
      </c>
      <c r="F8" s="4" t="s">
        <v>0</v>
      </c>
      <c r="G8" s="249">
        <v>61.51</v>
      </c>
      <c r="H8" s="224">
        <v>6.13</v>
      </c>
      <c r="I8" s="221">
        <v>2.2599999999999998</v>
      </c>
      <c r="J8" s="257">
        <v>10.8</v>
      </c>
      <c r="K8" s="265">
        <v>28.4</v>
      </c>
      <c r="L8" s="213">
        <v>731</v>
      </c>
      <c r="P8" s="533"/>
      <c r="Q8" s="314">
        <v>44752</v>
      </c>
      <c r="R8" s="2" t="s">
        <v>3</v>
      </c>
      <c r="S8" s="35" t="s">
        <v>27</v>
      </c>
      <c r="T8" s="2" t="s">
        <v>26</v>
      </c>
      <c r="U8" s="4" t="s">
        <v>1</v>
      </c>
      <c r="V8" s="266">
        <v>61.9</v>
      </c>
      <c r="W8" s="265">
        <v>4.87</v>
      </c>
      <c r="X8" s="307">
        <v>2.86</v>
      </c>
      <c r="Y8" s="265">
        <v>6.1</v>
      </c>
      <c r="Z8" s="266">
        <v>43.3</v>
      </c>
      <c r="AA8" s="312">
        <v>733</v>
      </c>
      <c r="AB8" s="533"/>
    </row>
    <row r="9" spans="1:28" ht="15.5" x14ac:dyDescent="0.25">
      <c r="B9" s="311">
        <v>44752</v>
      </c>
      <c r="C9" s="2" t="s">
        <v>3</v>
      </c>
      <c r="D9" s="35" t="s">
        <v>27</v>
      </c>
      <c r="E9" s="2" t="s">
        <v>26</v>
      </c>
      <c r="F9" s="4" t="s">
        <v>0</v>
      </c>
      <c r="G9" s="247">
        <v>62.17</v>
      </c>
      <c r="H9" s="219">
        <v>3.96</v>
      </c>
      <c r="I9" s="226">
        <v>3.18</v>
      </c>
      <c r="J9" s="257">
        <v>12.4</v>
      </c>
      <c r="K9" s="265">
        <v>29.3</v>
      </c>
      <c r="L9" s="213">
        <v>734</v>
      </c>
      <c r="P9" s="533"/>
      <c r="Q9" s="314">
        <v>44753</v>
      </c>
      <c r="R9" s="2" t="s">
        <v>3</v>
      </c>
      <c r="S9" s="35" t="s">
        <v>27</v>
      </c>
      <c r="T9" s="2" t="s">
        <v>26</v>
      </c>
      <c r="U9" s="4" t="s">
        <v>1</v>
      </c>
      <c r="V9" s="266">
        <v>61.33</v>
      </c>
      <c r="W9" s="265">
        <v>5.84</v>
      </c>
      <c r="X9" s="307">
        <v>2.79</v>
      </c>
      <c r="Y9" s="265"/>
      <c r="Z9" s="266"/>
      <c r="AA9" s="312">
        <v>736</v>
      </c>
      <c r="AB9" s="533"/>
    </row>
    <row r="10" spans="1:28" ht="15.5" x14ac:dyDescent="0.25">
      <c r="B10" s="311">
        <v>44753</v>
      </c>
      <c r="C10" s="2" t="s">
        <v>3</v>
      </c>
      <c r="D10" s="35" t="s">
        <v>27</v>
      </c>
      <c r="E10" s="2" t="s">
        <v>26</v>
      </c>
      <c r="F10" s="4" t="s">
        <v>0</v>
      </c>
      <c r="G10" s="247">
        <v>61.43</v>
      </c>
      <c r="H10" s="219">
        <v>6.01</v>
      </c>
      <c r="I10" s="226">
        <v>2.4900000000000002</v>
      </c>
      <c r="J10" s="257">
        <v>12.6</v>
      </c>
      <c r="K10" s="265">
        <v>26.3</v>
      </c>
      <c r="L10" s="213">
        <v>739</v>
      </c>
      <c r="P10" s="533"/>
      <c r="Q10" s="314">
        <v>44754</v>
      </c>
      <c r="R10" s="2" t="s">
        <v>3</v>
      </c>
      <c r="S10" s="35" t="s">
        <v>27</v>
      </c>
      <c r="T10" s="2" t="s">
        <v>26</v>
      </c>
      <c r="U10" s="4" t="s">
        <v>1</v>
      </c>
      <c r="V10" s="269">
        <v>60.37</v>
      </c>
      <c r="W10" s="259">
        <v>7.71</v>
      </c>
      <c r="X10" s="308">
        <v>2.41</v>
      </c>
      <c r="Y10" s="259">
        <v>5.0999999999999996</v>
      </c>
      <c r="Z10" s="269">
        <v>40.5</v>
      </c>
      <c r="AA10" s="304">
        <v>741</v>
      </c>
      <c r="AB10" s="533"/>
    </row>
    <row r="11" spans="1:28" ht="15.5" x14ac:dyDescent="0.25">
      <c r="B11" s="311">
        <v>44754</v>
      </c>
      <c r="C11" s="2" t="s">
        <v>3</v>
      </c>
      <c r="D11" s="35" t="s">
        <v>27</v>
      </c>
      <c r="E11" s="2" t="s">
        <v>26</v>
      </c>
      <c r="F11" s="4" t="s">
        <v>0</v>
      </c>
      <c r="G11" s="250">
        <v>61.96</v>
      </c>
      <c r="H11" s="229">
        <v>5.34</v>
      </c>
      <c r="I11" s="228">
        <v>2.41</v>
      </c>
      <c r="J11" s="260">
        <v>10.5</v>
      </c>
      <c r="K11" s="268">
        <v>27.3</v>
      </c>
      <c r="L11" s="213">
        <v>744</v>
      </c>
      <c r="P11" s="533"/>
      <c r="Q11" s="311">
        <v>44755</v>
      </c>
      <c r="R11" s="2" t="s">
        <v>3</v>
      </c>
      <c r="S11" s="35" t="s">
        <v>27</v>
      </c>
      <c r="T11" s="2" t="s">
        <v>26</v>
      </c>
      <c r="U11" s="4" t="s">
        <v>1</v>
      </c>
      <c r="V11" s="266">
        <v>61.64</v>
      </c>
      <c r="W11" s="265">
        <v>6.01</v>
      </c>
      <c r="X11" s="307">
        <v>2.2799999999999998</v>
      </c>
      <c r="Y11" s="265">
        <v>4.5</v>
      </c>
      <c r="Z11" s="266">
        <v>43.2</v>
      </c>
      <c r="AA11" s="312">
        <v>743</v>
      </c>
      <c r="AB11" s="533"/>
    </row>
    <row r="12" spans="1:28" ht="15.5" x14ac:dyDescent="0.25">
      <c r="B12" s="311">
        <v>44756</v>
      </c>
      <c r="C12" s="2" t="s">
        <v>3</v>
      </c>
      <c r="D12" s="35" t="s">
        <v>27</v>
      </c>
      <c r="E12" s="2" t="s">
        <v>26</v>
      </c>
      <c r="F12" s="4" t="s">
        <v>0</v>
      </c>
      <c r="G12" s="247">
        <v>60.46</v>
      </c>
      <c r="H12" s="219">
        <v>7.48</v>
      </c>
      <c r="I12" s="230">
        <v>2.31</v>
      </c>
      <c r="J12" s="257">
        <v>15.2</v>
      </c>
      <c r="K12" s="265">
        <v>25.5</v>
      </c>
      <c r="L12" s="213">
        <v>751</v>
      </c>
      <c r="P12" s="533"/>
      <c r="Q12" s="311">
        <v>44756</v>
      </c>
      <c r="R12" s="2" t="s">
        <v>3</v>
      </c>
      <c r="S12" s="35" t="s">
        <v>27</v>
      </c>
      <c r="T12" s="2" t="s">
        <v>26</v>
      </c>
      <c r="U12" s="4" t="s">
        <v>1</v>
      </c>
      <c r="V12" s="266">
        <v>61.24</v>
      </c>
      <c r="W12" s="265">
        <v>5.86</v>
      </c>
      <c r="X12" s="307">
        <v>2.9</v>
      </c>
      <c r="Y12" s="265">
        <v>4.3</v>
      </c>
      <c r="Z12" s="266">
        <v>43.4</v>
      </c>
      <c r="AA12" s="312">
        <v>746</v>
      </c>
      <c r="AB12" s="533"/>
    </row>
    <row r="13" spans="1:28" ht="15.5" x14ac:dyDescent="0.25">
      <c r="B13" s="311">
        <v>44758</v>
      </c>
      <c r="C13" s="2" t="s">
        <v>3</v>
      </c>
      <c r="D13" s="35" t="s">
        <v>27</v>
      </c>
      <c r="E13" s="2" t="s">
        <v>26</v>
      </c>
      <c r="F13" s="4" t="s">
        <v>0</v>
      </c>
      <c r="G13" s="247">
        <v>61.06</v>
      </c>
      <c r="H13" s="219">
        <v>6.81</v>
      </c>
      <c r="I13" s="230">
        <v>2.23</v>
      </c>
      <c r="J13" s="257">
        <v>34.5</v>
      </c>
      <c r="K13" s="265">
        <v>17.3</v>
      </c>
      <c r="L13" s="213">
        <v>756</v>
      </c>
      <c r="P13" s="533"/>
      <c r="Q13" s="314">
        <v>44757</v>
      </c>
      <c r="R13" s="2" t="s">
        <v>3</v>
      </c>
      <c r="S13" s="35" t="s">
        <v>27</v>
      </c>
      <c r="T13" s="2" t="s">
        <v>26</v>
      </c>
      <c r="U13" s="4" t="s">
        <v>1</v>
      </c>
      <c r="V13" s="269">
        <v>61.2</v>
      </c>
      <c r="W13" s="236">
        <v>6.31</v>
      </c>
      <c r="X13" s="299">
        <v>2.6</v>
      </c>
      <c r="Y13" s="259">
        <v>6.1</v>
      </c>
      <c r="Z13" s="269">
        <v>42.3</v>
      </c>
      <c r="AA13" s="304">
        <v>750</v>
      </c>
      <c r="AB13" s="533"/>
    </row>
    <row r="14" spans="1:28" ht="15.5" x14ac:dyDescent="0.25">
      <c r="B14" s="311">
        <v>44759</v>
      </c>
      <c r="C14" s="2" t="s">
        <v>3</v>
      </c>
      <c r="D14" s="35" t="s">
        <v>27</v>
      </c>
      <c r="E14" s="2" t="s">
        <v>26</v>
      </c>
      <c r="F14" s="4" t="s">
        <v>0</v>
      </c>
      <c r="G14" s="250">
        <v>62.63</v>
      </c>
      <c r="H14" s="227">
        <v>3.76</v>
      </c>
      <c r="I14" s="231">
        <v>2.73</v>
      </c>
      <c r="J14" s="260">
        <v>27.3</v>
      </c>
      <c r="K14" s="268">
        <v>21.2</v>
      </c>
      <c r="L14" s="213">
        <v>761</v>
      </c>
      <c r="P14" s="533"/>
      <c r="Q14" s="311">
        <v>44757</v>
      </c>
      <c r="R14" s="2" t="s">
        <v>3</v>
      </c>
      <c r="S14" s="35" t="s">
        <v>27</v>
      </c>
      <c r="T14" s="2" t="s">
        <v>26</v>
      </c>
      <c r="U14" s="4" t="s">
        <v>1</v>
      </c>
      <c r="V14" s="266">
        <v>60.67</v>
      </c>
      <c r="W14" s="265">
        <v>6.51</v>
      </c>
      <c r="X14" s="307">
        <v>3.06</v>
      </c>
      <c r="Y14" s="265"/>
      <c r="Z14" s="266"/>
      <c r="AA14" s="312">
        <v>754</v>
      </c>
      <c r="AB14" s="533"/>
    </row>
    <row r="15" spans="1:28" ht="15.5" x14ac:dyDescent="0.25">
      <c r="B15" s="311">
        <v>44759</v>
      </c>
      <c r="C15" s="2" t="s">
        <v>3</v>
      </c>
      <c r="D15" s="35" t="s">
        <v>27</v>
      </c>
      <c r="E15" s="2" t="s">
        <v>26</v>
      </c>
      <c r="F15" s="4" t="s">
        <v>0</v>
      </c>
      <c r="G15" s="247">
        <v>61.53</v>
      </c>
      <c r="H15" s="219">
        <v>5.65</v>
      </c>
      <c r="I15" s="225">
        <v>2.61</v>
      </c>
      <c r="J15" s="257">
        <v>15.3</v>
      </c>
      <c r="K15" s="265">
        <v>28.2</v>
      </c>
      <c r="L15" s="213">
        <v>711</v>
      </c>
      <c r="P15" s="533"/>
      <c r="Q15" s="311">
        <v>44758</v>
      </c>
      <c r="R15" s="2" t="s">
        <v>3</v>
      </c>
      <c r="S15" s="35" t="s">
        <v>27</v>
      </c>
      <c r="T15" s="2" t="s">
        <v>26</v>
      </c>
      <c r="U15" s="4" t="s">
        <v>1</v>
      </c>
      <c r="V15" s="266">
        <v>60.4</v>
      </c>
      <c r="W15" s="265">
        <v>7.48</v>
      </c>
      <c r="X15" s="307">
        <v>2.4900000000000002</v>
      </c>
      <c r="Y15" s="265"/>
      <c r="Z15" s="266"/>
      <c r="AA15" s="312">
        <v>758</v>
      </c>
      <c r="AB15" s="533"/>
    </row>
    <row r="16" spans="1:28" ht="15.5" x14ac:dyDescent="0.25">
      <c r="B16" s="311">
        <v>44759</v>
      </c>
      <c r="C16" s="2" t="s">
        <v>3</v>
      </c>
      <c r="D16" s="35" t="s">
        <v>27</v>
      </c>
      <c r="E16" s="2" t="s">
        <v>26</v>
      </c>
      <c r="F16" s="4" t="s">
        <v>0</v>
      </c>
      <c r="G16" s="248">
        <v>60.97</v>
      </c>
      <c r="H16" s="219">
        <v>6.63</v>
      </c>
      <c r="I16" s="225">
        <v>2.62</v>
      </c>
      <c r="J16" s="257">
        <v>7.3</v>
      </c>
      <c r="K16" s="265">
        <v>40.5</v>
      </c>
      <c r="L16" s="213">
        <v>763</v>
      </c>
      <c r="P16" s="533"/>
      <c r="Q16" s="314">
        <v>44759</v>
      </c>
      <c r="R16" s="2" t="s">
        <v>3</v>
      </c>
      <c r="S16" s="35" t="s">
        <v>27</v>
      </c>
      <c r="T16" s="2" t="s">
        <v>26</v>
      </c>
      <c r="U16" s="4" t="s">
        <v>1</v>
      </c>
      <c r="V16" s="269">
        <v>60.97</v>
      </c>
      <c r="W16" s="269">
        <v>6.63</v>
      </c>
      <c r="X16" s="308">
        <v>2.62</v>
      </c>
      <c r="Y16" s="259">
        <v>7.3</v>
      </c>
      <c r="Z16" s="269">
        <v>40.5</v>
      </c>
      <c r="AA16" s="304">
        <v>763</v>
      </c>
      <c r="AB16" s="533"/>
    </row>
    <row r="17" spans="2:28" ht="15.5" x14ac:dyDescent="0.25">
      <c r="B17" s="311">
        <v>44760</v>
      </c>
      <c r="C17" s="2" t="s">
        <v>3</v>
      </c>
      <c r="D17" s="35" t="s">
        <v>27</v>
      </c>
      <c r="E17" s="2" t="s">
        <v>26</v>
      </c>
      <c r="F17" s="4" t="s">
        <v>0</v>
      </c>
      <c r="G17" s="248">
        <v>60.2</v>
      </c>
      <c r="H17" s="224">
        <v>8.15</v>
      </c>
      <c r="I17" s="226">
        <v>2.12</v>
      </c>
      <c r="J17" s="257">
        <v>30.2</v>
      </c>
      <c r="K17" s="265">
        <v>13.4</v>
      </c>
      <c r="L17" s="213">
        <v>771</v>
      </c>
      <c r="P17" s="533"/>
      <c r="Q17" s="311">
        <v>44760</v>
      </c>
      <c r="R17" s="2" t="s">
        <v>3</v>
      </c>
      <c r="S17" s="35" t="s">
        <v>27</v>
      </c>
      <c r="T17" s="2" t="s">
        <v>26</v>
      </c>
      <c r="U17" s="4" t="s">
        <v>1</v>
      </c>
      <c r="V17" s="266">
        <v>61.4</v>
      </c>
      <c r="W17" s="253">
        <v>5.78</v>
      </c>
      <c r="X17" s="293">
        <v>2.65</v>
      </c>
      <c r="Y17" s="265"/>
      <c r="Z17" s="266"/>
      <c r="AA17" s="312">
        <v>766</v>
      </c>
      <c r="AB17" s="533"/>
    </row>
    <row r="18" spans="2:28" ht="15.5" x14ac:dyDescent="0.25">
      <c r="B18" s="311">
        <v>44761</v>
      </c>
      <c r="C18" s="2" t="s">
        <v>3</v>
      </c>
      <c r="D18" s="35" t="s">
        <v>27</v>
      </c>
      <c r="E18" s="2" t="s">
        <v>26</v>
      </c>
      <c r="F18" s="4" t="s">
        <v>0</v>
      </c>
      <c r="G18" s="253">
        <v>59.3</v>
      </c>
      <c r="H18" s="224">
        <v>9.5500000000000007</v>
      </c>
      <c r="I18" s="226">
        <v>2.1</v>
      </c>
      <c r="J18" s="257">
        <v>25.6</v>
      </c>
      <c r="K18" s="265">
        <v>17.3</v>
      </c>
      <c r="L18" s="213">
        <v>769</v>
      </c>
      <c r="P18" s="533"/>
      <c r="Q18" s="311">
        <v>44760</v>
      </c>
      <c r="R18" s="2" t="s">
        <v>3</v>
      </c>
      <c r="S18" s="35" t="s">
        <v>27</v>
      </c>
      <c r="T18" s="2" t="s">
        <v>26</v>
      </c>
      <c r="U18" s="4" t="s">
        <v>1</v>
      </c>
      <c r="V18" s="266">
        <v>60.9</v>
      </c>
      <c r="W18" s="266">
        <v>6.46</v>
      </c>
      <c r="X18" s="307">
        <v>2.59</v>
      </c>
      <c r="Y18" s="266"/>
      <c r="Z18" s="266"/>
      <c r="AA18" s="312">
        <v>768</v>
      </c>
      <c r="AB18" s="533"/>
    </row>
    <row r="19" spans="2:28" ht="15.5" x14ac:dyDescent="0.25">
      <c r="B19" s="311">
        <v>44761</v>
      </c>
      <c r="C19" s="2" t="s">
        <v>3</v>
      </c>
      <c r="D19" s="35" t="s">
        <v>27</v>
      </c>
      <c r="E19" s="2" t="s">
        <v>26</v>
      </c>
      <c r="F19" s="4" t="s">
        <v>0</v>
      </c>
      <c r="G19" s="253">
        <v>59.01</v>
      </c>
      <c r="H19" s="235">
        <v>10.039999999999999</v>
      </c>
      <c r="I19" s="226">
        <v>1.94</v>
      </c>
      <c r="J19" s="257">
        <v>13.4</v>
      </c>
      <c r="K19" s="265">
        <v>22.5</v>
      </c>
      <c r="L19" s="213">
        <v>773</v>
      </c>
      <c r="P19" s="533"/>
      <c r="Q19" s="311">
        <v>44762</v>
      </c>
      <c r="R19" s="2" t="s">
        <v>3</v>
      </c>
      <c r="S19" s="35" t="s">
        <v>27</v>
      </c>
      <c r="T19" s="2" t="s">
        <v>26</v>
      </c>
      <c r="U19" s="4" t="s">
        <v>1</v>
      </c>
      <c r="V19" s="266">
        <v>61.43</v>
      </c>
      <c r="W19" s="266">
        <v>6.07</v>
      </c>
      <c r="X19" s="307">
        <v>2.4300000000000002</v>
      </c>
      <c r="Y19" s="265">
        <v>6.5</v>
      </c>
      <c r="Z19" s="266">
        <v>42.3</v>
      </c>
      <c r="AA19" s="312">
        <v>775</v>
      </c>
      <c r="AB19" s="533"/>
    </row>
    <row r="20" spans="2:28" ht="15.5" x14ac:dyDescent="0.25">
      <c r="B20" s="314">
        <v>44763</v>
      </c>
      <c r="C20" s="2" t="s">
        <v>3</v>
      </c>
      <c r="D20" s="35" t="s">
        <v>27</v>
      </c>
      <c r="E20" s="2" t="s">
        <v>26</v>
      </c>
      <c r="F20" s="4" t="s">
        <v>0</v>
      </c>
      <c r="G20" s="248">
        <v>60.57</v>
      </c>
      <c r="H20" s="219">
        <v>7.27</v>
      </c>
      <c r="I20" s="225">
        <v>2.58</v>
      </c>
      <c r="J20" s="257">
        <v>12.2</v>
      </c>
      <c r="K20" s="266">
        <v>29.3</v>
      </c>
      <c r="L20" s="213">
        <v>776</v>
      </c>
      <c r="P20" s="533"/>
      <c r="Q20" s="314">
        <v>44763</v>
      </c>
      <c r="R20" s="2" t="s">
        <v>3</v>
      </c>
      <c r="S20" s="35" t="s">
        <v>27</v>
      </c>
      <c r="T20" s="2" t="s">
        <v>26</v>
      </c>
      <c r="U20" s="4" t="s">
        <v>1</v>
      </c>
      <c r="V20" s="269">
        <v>60.66</v>
      </c>
      <c r="W20" s="269">
        <v>7.29</v>
      </c>
      <c r="X20" s="308">
        <v>2.5099999999999998</v>
      </c>
      <c r="Y20" s="259"/>
      <c r="Z20" s="269"/>
      <c r="AA20" s="304">
        <v>778</v>
      </c>
      <c r="AB20" s="533"/>
    </row>
    <row r="21" spans="2:28" ht="15.5" x14ac:dyDescent="0.25">
      <c r="B21" s="314">
        <v>44743</v>
      </c>
      <c r="C21" s="2" t="s">
        <v>3</v>
      </c>
      <c r="D21" s="35" t="s">
        <v>27</v>
      </c>
      <c r="E21" s="2" t="s">
        <v>26</v>
      </c>
      <c r="F21" s="4" t="s">
        <v>1</v>
      </c>
      <c r="G21" s="248">
        <v>60.29</v>
      </c>
      <c r="H21" s="219">
        <v>7.1</v>
      </c>
      <c r="I21" s="225">
        <v>3.02</v>
      </c>
      <c r="J21" s="257">
        <v>4.7</v>
      </c>
      <c r="K21" s="266">
        <v>46.4</v>
      </c>
      <c r="L21" s="213">
        <v>854</v>
      </c>
      <c r="P21" s="533"/>
      <c r="Q21" s="311">
        <v>44764</v>
      </c>
      <c r="R21" s="2" t="s">
        <v>3</v>
      </c>
      <c r="S21" s="35" t="s">
        <v>27</v>
      </c>
      <c r="T21" s="2" t="s">
        <v>26</v>
      </c>
      <c r="U21" s="4" t="s">
        <v>1</v>
      </c>
      <c r="V21" s="266">
        <v>60.46</v>
      </c>
      <c r="W21" s="266">
        <v>7.4</v>
      </c>
      <c r="X21" s="307">
        <v>2.4900000000000002</v>
      </c>
      <c r="Y21" s="265">
        <v>3.5</v>
      </c>
      <c r="Z21" s="266">
        <v>38.200000000000003</v>
      </c>
      <c r="AA21" s="312">
        <v>780</v>
      </c>
      <c r="AB21" s="533"/>
    </row>
    <row r="22" spans="2:28" ht="15.5" x14ac:dyDescent="0.25">
      <c r="B22" s="314">
        <v>44748</v>
      </c>
      <c r="C22" s="2" t="s">
        <v>3</v>
      </c>
      <c r="D22" s="35" t="s">
        <v>27</v>
      </c>
      <c r="E22" s="2" t="s">
        <v>26</v>
      </c>
      <c r="F22" s="4" t="s">
        <v>1</v>
      </c>
      <c r="G22" s="248">
        <v>61.43</v>
      </c>
      <c r="H22" s="224">
        <v>5.54</v>
      </c>
      <c r="I22" s="226">
        <v>2.96</v>
      </c>
      <c r="J22" s="257"/>
      <c r="K22" s="266"/>
      <c r="L22" s="213">
        <v>716</v>
      </c>
      <c r="P22" s="533"/>
      <c r="Q22" s="311">
        <v>44764</v>
      </c>
      <c r="R22" s="2" t="s">
        <v>3</v>
      </c>
      <c r="S22" s="35" t="s">
        <v>27</v>
      </c>
      <c r="T22" s="2" t="s">
        <v>26</v>
      </c>
      <c r="U22" s="4" t="s">
        <v>1</v>
      </c>
      <c r="V22" s="266">
        <v>61.3</v>
      </c>
      <c r="W22" s="266">
        <v>5.77</v>
      </c>
      <c r="X22" s="307">
        <v>2.71</v>
      </c>
      <c r="Y22" s="265"/>
      <c r="Z22" s="266"/>
      <c r="AA22" s="312">
        <v>783</v>
      </c>
      <c r="AB22" s="533"/>
    </row>
    <row r="23" spans="2:28" ht="15.5" x14ac:dyDescent="0.25">
      <c r="B23" s="314">
        <v>44752</v>
      </c>
      <c r="C23" s="2" t="s">
        <v>3</v>
      </c>
      <c r="D23" s="35" t="s">
        <v>27</v>
      </c>
      <c r="E23" s="2" t="s">
        <v>26</v>
      </c>
      <c r="F23" s="4" t="s">
        <v>1</v>
      </c>
      <c r="G23" s="248">
        <v>61.65</v>
      </c>
      <c r="H23" s="224">
        <v>5.94</v>
      </c>
      <c r="I23" s="226">
        <v>2.34</v>
      </c>
      <c r="J23" s="257">
        <v>4.7</v>
      </c>
      <c r="K23" s="266">
        <v>45.4</v>
      </c>
      <c r="L23" s="213">
        <v>729</v>
      </c>
      <c r="P23" s="533"/>
      <c r="Q23" s="315">
        <v>44744</v>
      </c>
      <c r="R23" s="2" t="s">
        <v>3</v>
      </c>
      <c r="S23" s="35" t="s">
        <v>44</v>
      </c>
      <c r="T23" s="2" t="s">
        <v>26</v>
      </c>
      <c r="U23" s="4" t="s">
        <v>1</v>
      </c>
      <c r="V23" s="252">
        <v>63.11</v>
      </c>
      <c r="W23" s="238">
        <v>3.1</v>
      </c>
      <c r="X23" s="309">
        <v>2.59</v>
      </c>
      <c r="Y23" s="261">
        <v>3.7</v>
      </c>
      <c r="Z23" s="269">
        <v>32.200000000000003</v>
      </c>
      <c r="AA23" s="313" t="s">
        <v>227</v>
      </c>
      <c r="AB23" s="533"/>
    </row>
    <row r="24" spans="2:28" ht="16" thickBot="1" x14ac:dyDescent="0.3">
      <c r="B24" s="314">
        <v>44752</v>
      </c>
      <c r="C24" s="2" t="s">
        <v>3</v>
      </c>
      <c r="D24" s="35" t="s">
        <v>27</v>
      </c>
      <c r="E24" s="2" t="s">
        <v>26</v>
      </c>
      <c r="F24" s="4" t="s">
        <v>1</v>
      </c>
      <c r="G24" s="248">
        <v>61.9</v>
      </c>
      <c r="H24" s="219">
        <v>4.87</v>
      </c>
      <c r="I24" s="225">
        <v>2.86</v>
      </c>
      <c r="J24" s="257">
        <v>6.1</v>
      </c>
      <c r="K24" s="266">
        <v>43.3</v>
      </c>
      <c r="L24" s="213">
        <v>733</v>
      </c>
      <c r="P24" s="533"/>
      <c r="Q24" s="311">
        <v>44750</v>
      </c>
      <c r="R24" s="2" t="s">
        <v>3</v>
      </c>
      <c r="S24" s="35" t="s">
        <v>44</v>
      </c>
      <c r="T24" s="2" t="s">
        <v>26</v>
      </c>
      <c r="U24" s="4" t="s">
        <v>1</v>
      </c>
      <c r="V24" s="266">
        <v>63.15</v>
      </c>
      <c r="W24" s="253">
        <v>3.22</v>
      </c>
      <c r="X24" s="307">
        <v>2.4</v>
      </c>
      <c r="Y24" s="265">
        <v>3.1</v>
      </c>
      <c r="Z24" s="266">
        <v>33.4</v>
      </c>
      <c r="AA24" s="312" t="s">
        <v>228</v>
      </c>
      <c r="AB24" s="533"/>
    </row>
    <row r="25" spans="2:28" ht="16" thickBot="1" x14ac:dyDescent="0.3">
      <c r="B25" s="314">
        <v>44753</v>
      </c>
      <c r="C25" s="2" t="s">
        <v>3</v>
      </c>
      <c r="D25" s="35" t="s">
        <v>27</v>
      </c>
      <c r="E25" s="2" t="s">
        <v>26</v>
      </c>
      <c r="F25" s="4" t="s">
        <v>1</v>
      </c>
      <c r="G25" s="248">
        <v>61.33</v>
      </c>
      <c r="H25" s="219">
        <v>5.84</v>
      </c>
      <c r="I25" s="225">
        <v>2.79</v>
      </c>
      <c r="J25" s="257"/>
      <c r="K25" s="266"/>
      <c r="L25" s="213">
        <v>736</v>
      </c>
      <c r="P25" s="533"/>
      <c r="Q25" s="316">
        <v>44757</v>
      </c>
      <c r="R25" s="2" t="s">
        <v>3</v>
      </c>
      <c r="S25" s="35" t="s">
        <v>44</v>
      </c>
      <c r="T25" s="2" t="s">
        <v>26</v>
      </c>
      <c r="U25" s="4" t="s">
        <v>1</v>
      </c>
      <c r="V25" s="270">
        <v>63.22</v>
      </c>
      <c r="W25" s="270">
        <v>3.36</v>
      </c>
      <c r="X25" s="240">
        <v>2.2799999999999998</v>
      </c>
      <c r="Y25" s="270">
        <v>4.2</v>
      </c>
      <c r="Z25" s="270">
        <v>34.6</v>
      </c>
      <c r="AA25" s="240" t="s">
        <v>229</v>
      </c>
      <c r="AB25" s="533"/>
    </row>
    <row r="26" spans="2:28" ht="16" thickBot="1" x14ac:dyDescent="0.3">
      <c r="B26" s="314">
        <v>44754</v>
      </c>
      <c r="C26" s="2" t="s">
        <v>3</v>
      </c>
      <c r="D26" s="35" t="s">
        <v>27</v>
      </c>
      <c r="E26" s="2" t="s">
        <v>26</v>
      </c>
      <c r="F26" s="4" t="s">
        <v>1</v>
      </c>
      <c r="G26" s="251">
        <v>60.37</v>
      </c>
      <c r="H26" s="223">
        <v>7.71</v>
      </c>
      <c r="I26" s="232">
        <v>2.41</v>
      </c>
      <c r="J26" s="259">
        <v>5.0999999999999996</v>
      </c>
      <c r="K26" s="269">
        <v>40.5</v>
      </c>
      <c r="L26" s="214">
        <v>741</v>
      </c>
      <c r="P26" s="533"/>
      <c r="Q26" s="317">
        <v>44761</v>
      </c>
      <c r="R26" s="2" t="s">
        <v>3</v>
      </c>
      <c r="S26" s="35" t="s">
        <v>44</v>
      </c>
      <c r="T26" s="2" t="s">
        <v>26</v>
      </c>
      <c r="U26" s="4" t="s">
        <v>1</v>
      </c>
      <c r="V26" s="271">
        <v>63.16</v>
      </c>
      <c r="W26" s="271">
        <v>3.22</v>
      </c>
      <c r="X26" s="242">
        <v>2.31</v>
      </c>
      <c r="Y26" s="271"/>
      <c r="Z26" s="271"/>
      <c r="AA26" s="242" t="s">
        <v>230</v>
      </c>
      <c r="AB26" s="533"/>
    </row>
    <row r="27" spans="2:28" ht="16" thickBot="1" x14ac:dyDescent="0.3">
      <c r="B27" s="311">
        <v>44755</v>
      </c>
      <c r="C27" s="2" t="s">
        <v>3</v>
      </c>
      <c r="D27" s="35" t="s">
        <v>27</v>
      </c>
      <c r="E27" s="2" t="s">
        <v>26</v>
      </c>
      <c r="F27" s="4" t="s">
        <v>1</v>
      </c>
      <c r="G27" s="248">
        <v>61.64</v>
      </c>
      <c r="H27" s="219">
        <v>6.01</v>
      </c>
      <c r="I27" s="225">
        <v>2.2799999999999998</v>
      </c>
      <c r="J27" s="257">
        <v>4.5</v>
      </c>
      <c r="K27" s="266">
        <v>43.2</v>
      </c>
      <c r="L27" s="213">
        <v>743</v>
      </c>
      <c r="P27" s="533"/>
      <c r="Q27" s="317">
        <v>44761</v>
      </c>
      <c r="R27" s="2" t="s">
        <v>3</v>
      </c>
      <c r="S27" s="35" t="s">
        <v>44</v>
      </c>
      <c r="T27" s="2" t="s">
        <v>26</v>
      </c>
      <c r="U27" s="4" t="s">
        <v>1</v>
      </c>
      <c r="V27" s="271">
        <v>63.1</v>
      </c>
      <c r="W27" s="271">
        <v>3.34</v>
      </c>
      <c r="X27" s="242">
        <v>2.25</v>
      </c>
      <c r="Y27" s="271">
        <v>4.4000000000000004</v>
      </c>
      <c r="Z27" s="271">
        <v>31.3</v>
      </c>
      <c r="AA27" s="242" t="s">
        <v>231</v>
      </c>
      <c r="AB27" s="533"/>
    </row>
    <row r="28" spans="2:28" ht="16" thickBot="1" x14ac:dyDescent="0.3">
      <c r="B28" s="311">
        <v>44756</v>
      </c>
      <c r="C28" s="2" t="s">
        <v>3</v>
      </c>
      <c r="D28" s="35" t="s">
        <v>27</v>
      </c>
      <c r="E28" s="2" t="s">
        <v>26</v>
      </c>
      <c r="F28" s="4" t="s">
        <v>1</v>
      </c>
      <c r="G28" s="248">
        <v>61.24</v>
      </c>
      <c r="H28" s="219">
        <v>5.86</v>
      </c>
      <c r="I28" s="225">
        <v>2.9</v>
      </c>
      <c r="J28" s="257">
        <v>4.3</v>
      </c>
      <c r="K28" s="266">
        <v>43.4</v>
      </c>
      <c r="L28" s="213">
        <v>746</v>
      </c>
      <c r="P28" s="533"/>
      <c r="Q28" s="317">
        <v>44743</v>
      </c>
      <c r="R28" s="2" t="s">
        <v>3</v>
      </c>
      <c r="S28" s="35" t="s">
        <v>2</v>
      </c>
      <c r="T28" s="2" t="s">
        <v>26</v>
      </c>
      <c r="U28" s="4" t="s">
        <v>1</v>
      </c>
      <c r="V28" s="271">
        <v>60.28</v>
      </c>
      <c r="W28" s="271">
        <v>7.19</v>
      </c>
      <c r="X28" s="242">
        <v>2.96</v>
      </c>
      <c r="Y28" s="271">
        <v>4.5999999999999996</v>
      </c>
      <c r="Z28" s="271">
        <v>43.5</v>
      </c>
      <c r="AA28" s="242">
        <v>855</v>
      </c>
      <c r="AB28" s="533"/>
    </row>
    <row r="29" spans="2:28" ht="16" thickBot="1" x14ac:dyDescent="0.3">
      <c r="B29" s="314">
        <v>44757</v>
      </c>
      <c r="C29" s="2" t="s">
        <v>3</v>
      </c>
      <c r="D29" s="35" t="s">
        <v>27</v>
      </c>
      <c r="E29" s="2" t="s">
        <v>26</v>
      </c>
      <c r="F29" s="4" t="s">
        <v>1</v>
      </c>
      <c r="G29" s="251">
        <v>61.2</v>
      </c>
      <c r="H29" s="236">
        <v>6.31</v>
      </c>
      <c r="I29" s="237">
        <v>2.6</v>
      </c>
      <c r="J29" s="259">
        <v>6.1</v>
      </c>
      <c r="K29" s="269">
        <v>42.3</v>
      </c>
      <c r="L29" s="214">
        <v>750</v>
      </c>
      <c r="P29" s="533"/>
      <c r="Q29" s="317">
        <v>44745</v>
      </c>
      <c r="R29" s="2" t="s">
        <v>3</v>
      </c>
      <c r="S29" s="35" t="s">
        <v>2</v>
      </c>
      <c r="T29" s="2" t="s">
        <v>26</v>
      </c>
      <c r="U29" s="4" t="s">
        <v>1</v>
      </c>
      <c r="V29" s="271">
        <v>60.22</v>
      </c>
      <c r="W29" s="271">
        <v>7.25</v>
      </c>
      <c r="X29" s="242">
        <v>3.08</v>
      </c>
      <c r="Y29" s="271">
        <v>5.7</v>
      </c>
      <c r="Z29" s="271">
        <v>41.8</v>
      </c>
      <c r="AA29" s="242">
        <v>702</v>
      </c>
      <c r="AB29" s="533"/>
    </row>
    <row r="30" spans="2:28" ht="16" thickBot="1" x14ac:dyDescent="0.3">
      <c r="B30" s="311">
        <v>44757</v>
      </c>
      <c r="C30" s="2" t="s">
        <v>3</v>
      </c>
      <c r="D30" s="35" t="s">
        <v>27</v>
      </c>
      <c r="E30" s="2" t="s">
        <v>26</v>
      </c>
      <c r="F30" s="4" t="s">
        <v>1</v>
      </c>
      <c r="G30" s="248">
        <v>60.67</v>
      </c>
      <c r="H30" s="219">
        <v>6.51</v>
      </c>
      <c r="I30" s="225">
        <v>3.06</v>
      </c>
      <c r="J30" s="257"/>
      <c r="K30" s="266"/>
      <c r="L30" s="213">
        <v>754</v>
      </c>
      <c r="P30" s="533"/>
      <c r="Q30" s="317">
        <v>44745</v>
      </c>
      <c r="R30" s="2" t="s">
        <v>3</v>
      </c>
      <c r="S30" s="35" t="s">
        <v>2</v>
      </c>
      <c r="T30" s="2" t="s">
        <v>26</v>
      </c>
      <c r="U30" s="4" t="s">
        <v>1</v>
      </c>
      <c r="V30" s="271">
        <v>61.81</v>
      </c>
      <c r="W30" s="245">
        <v>5.17</v>
      </c>
      <c r="X30" s="246">
        <v>2.77</v>
      </c>
      <c r="Y30" s="271"/>
      <c r="Z30" s="271"/>
      <c r="AA30" s="242">
        <v>706</v>
      </c>
      <c r="AB30" s="533"/>
    </row>
    <row r="31" spans="2:28" ht="15.5" x14ac:dyDescent="0.35">
      <c r="B31" s="311">
        <v>44758</v>
      </c>
      <c r="C31" s="2" t="s">
        <v>3</v>
      </c>
      <c r="D31" s="35" t="s">
        <v>27</v>
      </c>
      <c r="E31" s="2" t="s">
        <v>26</v>
      </c>
      <c r="F31" s="4" t="s">
        <v>1</v>
      </c>
      <c r="G31" s="248">
        <v>60.4</v>
      </c>
      <c r="H31" s="219">
        <v>7.48</v>
      </c>
      <c r="I31" s="225">
        <v>2.4900000000000002</v>
      </c>
      <c r="J31" s="257"/>
      <c r="K31" s="266"/>
      <c r="L31" s="213">
        <v>758</v>
      </c>
      <c r="P31" s="533"/>
      <c r="Q31" s="319">
        <v>44746</v>
      </c>
      <c r="R31" s="2" t="s">
        <v>3</v>
      </c>
      <c r="S31" s="35" t="s">
        <v>2</v>
      </c>
      <c r="T31" s="2" t="s">
        <v>26</v>
      </c>
      <c r="U31" s="4" t="s">
        <v>1</v>
      </c>
      <c r="V31" s="302">
        <v>61.14</v>
      </c>
      <c r="W31" s="302">
        <v>6.59</v>
      </c>
      <c r="X31" s="302">
        <v>2.42</v>
      </c>
      <c r="Y31" s="302"/>
      <c r="Z31" s="302"/>
      <c r="AA31" s="283">
        <v>707</v>
      </c>
      <c r="AB31" s="533"/>
    </row>
    <row r="32" spans="2:28" ht="15.5" x14ac:dyDescent="0.25">
      <c r="B32" s="314">
        <v>44759</v>
      </c>
      <c r="C32" s="2" t="s">
        <v>3</v>
      </c>
      <c r="D32" s="35" t="s">
        <v>27</v>
      </c>
      <c r="E32" s="2" t="s">
        <v>26</v>
      </c>
      <c r="F32" s="4" t="s">
        <v>1</v>
      </c>
      <c r="G32" s="251">
        <v>60.97</v>
      </c>
      <c r="H32" s="233">
        <v>6.63</v>
      </c>
      <c r="I32" s="232">
        <v>2.62</v>
      </c>
      <c r="J32" s="259">
        <v>7.3</v>
      </c>
      <c r="K32" s="269">
        <v>40.5</v>
      </c>
      <c r="L32" s="214">
        <v>763</v>
      </c>
      <c r="P32" s="533"/>
      <c r="Q32" s="311">
        <v>44747</v>
      </c>
      <c r="R32" s="2" t="s">
        <v>3</v>
      </c>
      <c r="S32" s="35" t="s">
        <v>2</v>
      </c>
      <c r="T32" s="2" t="s">
        <v>26</v>
      </c>
      <c r="U32" s="4" t="s">
        <v>1</v>
      </c>
      <c r="V32" s="312">
        <v>60.94</v>
      </c>
      <c r="W32" s="303">
        <v>6.48</v>
      </c>
      <c r="X32" s="312">
        <v>2.71</v>
      </c>
      <c r="Y32" s="312">
        <v>5.0999999999999996</v>
      </c>
      <c r="Z32" s="312">
        <v>41.3</v>
      </c>
      <c r="AA32" s="312">
        <v>712</v>
      </c>
      <c r="AB32" s="533"/>
    </row>
    <row r="33" spans="2:28" ht="15.5" x14ac:dyDescent="0.25">
      <c r="B33" s="311">
        <v>44760</v>
      </c>
      <c r="C33" s="2" t="s">
        <v>3</v>
      </c>
      <c r="D33" s="35" t="s">
        <v>27</v>
      </c>
      <c r="E33" s="2" t="s">
        <v>26</v>
      </c>
      <c r="F33" s="4" t="s">
        <v>1</v>
      </c>
      <c r="G33" s="248">
        <v>61.4</v>
      </c>
      <c r="H33" s="235">
        <v>5.78</v>
      </c>
      <c r="I33" s="226">
        <v>2.65</v>
      </c>
      <c r="J33" s="257"/>
      <c r="K33" s="266"/>
      <c r="L33" s="213">
        <v>766</v>
      </c>
      <c r="P33" s="533"/>
      <c r="Q33" s="311">
        <v>44749</v>
      </c>
      <c r="R33" s="2" t="s">
        <v>3</v>
      </c>
      <c r="S33" s="35" t="s">
        <v>2</v>
      </c>
      <c r="T33" s="2" t="s">
        <v>26</v>
      </c>
      <c r="U33" s="4" t="s">
        <v>1</v>
      </c>
      <c r="V33" s="312">
        <v>60.97</v>
      </c>
      <c r="W33" s="312">
        <v>6.24</v>
      </c>
      <c r="X33" s="303">
        <v>2.9</v>
      </c>
      <c r="Y33" s="312">
        <v>4.5</v>
      </c>
      <c r="Z33" s="312">
        <v>45.2</v>
      </c>
      <c r="AA33" s="312">
        <v>717</v>
      </c>
      <c r="AB33" s="533"/>
    </row>
    <row r="34" spans="2:28" ht="15.5" x14ac:dyDescent="0.25">
      <c r="B34" s="311">
        <v>44760</v>
      </c>
      <c r="C34" s="2" t="s">
        <v>3</v>
      </c>
      <c r="D34" s="35" t="s">
        <v>27</v>
      </c>
      <c r="E34" s="2" t="s">
        <v>26</v>
      </c>
      <c r="F34" s="4" t="s">
        <v>1</v>
      </c>
      <c r="G34" s="248">
        <v>60.9</v>
      </c>
      <c r="H34" s="222">
        <v>6.46</v>
      </c>
      <c r="I34" s="225">
        <v>2.59</v>
      </c>
      <c r="J34" s="258"/>
      <c r="K34" s="266"/>
      <c r="L34" s="213">
        <v>768</v>
      </c>
      <c r="P34" s="533"/>
      <c r="Q34" s="311">
        <v>44749</v>
      </c>
      <c r="R34" s="2" t="s">
        <v>3</v>
      </c>
      <c r="S34" s="35" t="s">
        <v>2</v>
      </c>
      <c r="T34" s="2" t="s">
        <v>26</v>
      </c>
      <c r="U34" s="4" t="s">
        <v>1</v>
      </c>
      <c r="V34" s="312">
        <v>61.02</v>
      </c>
      <c r="W34" s="312">
        <v>6.11</v>
      </c>
      <c r="X34" s="312">
        <v>3.07</v>
      </c>
      <c r="Y34" s="312"/>
      <c r="Z34" s="312"/>
      <c r="AA34" s="312">
        <v>718</v>
      </c>
      <c r="AB34" s="533"/>
    </row>
    <row r="35" spans="2:28" ht="15.5" x14ac:dyDescent="0.25">
      <c r="B35" s="311">
        <v>44762</v>
      </c>
      <c r="C35" s="2" t="s">
        <v>3</v>
      </c>
      <c r="D35" s="35" t="s">
        <v>27</v>
      </c>
      <c r="E35" s="2" t="s">
        <v>26</v>
      </c>
      <c r="F35" s="4" t="s">
        <v>1</v>
      </c>
      <c r="G35" s="248">
        <v>61.43</v>
      </c>
      <c r="H35" s="222">
        <v>6.07</v>
      </c>
      <c r="I35" s="225">
        <v>2.4300000000000002</v>
      </c>
      <c r="J35" s="257">
        <v>6.5</v>
      </c>
      <c r="K35" s="266">
        <v>42.3</v>
      </c>
      <c r="L35" s="213">
        <v>775</v>
      </c>
      <c r="P35" s="533"/>
      <c r="Q35" s="311">
        <v>44750</v>
      </c>
      <c r="R35" s="2" t="s">
        <v>3</v>
      </c>
      <c r="S35" s="35" t="s">
        <v>2</v>
      </c>
      <c r="T35" s="2" t="s">
        <v>26</v>
      </c>
      <c r="U35" s="4" t="s">
        <v>1</v>
      </c>
      <c r="V35" s="312">
        <v>61.34</v>
      </c>
      <c r="W35" s="303">
        <v>5.95</v>
      </c>
      <c r="X35" s="303">
        <v>2.68</v>
      </c>
      <c r="Y35" s="312">
        <v>5.3</v>
      </c>
      <c r="Z35" s="312">
        <v>42.1</v>
      </c>
      <c r="AA35" s="312">
        <v>722</v>
      </c>
      <c r="AB35" s="533"/>
    </row>
    <row r="36" spans="2:28" ht="15.5" x14ac:dyDescent="0.25">
      <c r="B36" s="314">
        <v>44763</v>
      </c>
      <c r="C36" s="2" t="s">
        <v>3</v>
      </c>
      <c r="D36" s="35" t="s">
        <v>27</v>
      </c>
      <c r="E36" s="2" t="s">
        <v>26</v>
      </c>
      <c r="F36" s="4" t="s">
        <v>1</v>
      </c>
      <c r="G36" s="251">
        <v>60.66</v>
      </c>
      <c r="H36" s="233">
        <v>7.29</v>
      </c>
      <c r="I36" s="232">
        <v>2.5099999999999998</v>
      </c>
      <c r="J36" s="259"/>
      <c r="K36" s="269"/>
      <c r="L36" s="214">
        <v>778</v>
      </c>
      <c r="P36" s="533"/>
      <c r="Q36" s="311">
        <v>44751</v>
      </c>
      <c r="R36" s="2" t="s">
        <v>3</v>
      </c>
      <c r="S36" s="35" t="s">
        <v>2</v>
      </c>
      <c r="T36" s="2" t="s">
        <v>26</v>
      </c>
      <c r="U36" s="4" t="s">
        <v>1</v>
      </c>
      <c r="V36" s="312">
        <v>61.15</v>
      </c>
      <c r="W36" s="292">
        <v>5.9</v>
      </c>
      <c r="X36" s="292">
        <v>3.1</v>
      </c>
      <c r="Y36" s="307">
        <v>4.8</v>
      </c>
      <c r="Z36" s="312">
        <v>43.5</v>
      </c>
      <c r="AA36" s="312">
        <v>725</v>
      </c>
      <c r="AB36" s="533"/>
    </row>
    <row r="37" spans="2:28" ht="15.5" x14ac:dyDescent="0.25">
      <c r="B37" s="311">
        <v>44764</v>
      </c>
      <c r="C37" s="2" t="s">
        <v>3</v>
      </c>
      <c r="D37" s="35" t="s">
        <v>27</v>
      </c>
      <c r="E37" s="2" t="s">
        <v>26</v>
      </c>
      <c r="F37" s="4" t="s">
        <v>1</v>
      </c>
      <c r="G37" s="248">
        <v>60.46</v>
      </c>
      <c r="H37" s="222">
        <v>7.4</v>
      </c>
      <c r="I37" s="225">
        <v>2.4900000000000002</v>
      </c>
      <c r="J37" s="257">
        <v>3.5</v>
      </c>
      <c r="K37" s="266">
        <v>38.200000000000003</v>
      </c>
      <c r="L37" s="213">
        <v>780</v>
      </c>
      <c r="P37" s="533"/>
      <c r="Q37" s="311">
        <v>44751</v>
      </c>
      <c r="R37" s="2" t="s">
        <v>3</v>
      </c>
      <c r="S37" s="35" t="s">
        <v>2</v>
      </c>
      <c r="T37" s="2" t="s">
        <v>26</v>
      </c>
      <c r="U37" s="4" t="s">
        <v>1</v>
      </c>
      <c r="V37" s="312">
        <v>61.4</v>
      </c>
      <c r="W37" s="292">
        <v>5.82</v>
      </c>
      <c r="X37" s="292">
        <v>2.63</v>
      </c>
      <c r="Y37" s="312">
        <v>6.4</v>
      </c>
      <c r="Z37" s="312">
        <v>37.299999999999997</v>
      </c>
      <c r="AA37" s="312">
        <v>728</v>
      </c>
      <c r="AB37" s="533"/>
    </row>
    <row r="38" spans="2:28" ht="15.5" x14ac:dyDescent="0.25">
      <c r="B38" s="311">
        <v>44764</v>
      </c>
      <c r="C38" s="2" t="s">
        <v>3</v>
      </c>
      <c r="D38" s="35" t="s">
        <v>27</v>
      </c>
      <c r="E38" s="2" t="s">
        <v>26</v>
      </c>
      <c r="F38" s="4" t="s">
        <v>1</v>
      </c>
      <c r="G38" s="248">
        <v>61.3</v>
      </c>
      <c r="H38" s="222">
        <v>5.77</v>
      </c>
      <c r="I38" s="225">
        <v>2.71</v>
      </c>
      <c r="J38" s="257"/>
      <c r="K38" s="266"/>
      <c r="L38" s="213">
        <v>783</v>
      </c>
      <c r="P38" s="533"/>
      <c r="Q38" s="311">
        <v>44752</v>
      </c>
      <c r="R38" s="2" t="s">
        <v>3</v>
      </c>
      <c r="S38" s="35" t="s">
        <v>2</v>
      </c>
      <c r="T38" s="2" t="s">
        <v>26</v>
      </c>
      <c r="U38" s="4" t="s">
        <v>1</v>
      </c>
      <c r="V38" s="303">
        <v>61.45</v>
      </c>
      <c r="W38" s="293">
        <v>6.12</v>
      </c>
      <c r="X38" s="303">
        <v>2.44</v>
      </c>
      <c r="Y38" s="312">
        <v>4.3</v>
      </c>
      <c r="Z38" s="312">
        <v>39.4</v>
      </c>
      <c r="AA38" s="312">
        <v>732</v>
      </c>
      <c r="AB38" s="533"/>
    </row>
    <row r="39" spans="2:28" ht="15.5" x14ac:dyDescent="0.25">
      <c r="B39" s="315">
        <v>44744</v>
      </c>
      <c r="C39" s="2" t="s">
        <v>3</v>
      </c>
      <c r="D39" s="35" t="s">
        <v>44</v>
      </c>
      <c r="E39" s="2" t="s">
        <v>26</v>
      </c>
      <c r="F39" s="4" t="s">
        <v>1</v>
      </c>
      <c r="G39" s="252">
        <v>63.11</v>
      </c>
      <c r="H39" s="238">
        <v>3.1</v>
      </c>
      <c r="I39" s="234">
        <v>2.59</v>
      </c>
      <c r="J39" s="261">
        <v>3.7</v>
      </c>
      <c r="K39" s="269">
        <v>32.200000000000003</v>
      </c>
      <c r="L39" s="215" t="s">
        <v>227</v>
      </c>
      <c r="P39" s="533"/>
      <c r="Q39" s="314">
        <v>44753</v>
      </c>
      <c r="R39" s="2" t="s">
        <v>3</v>
      </c>
      <c r="S39" s="35" t="s">
        <v>2</v>
      </c>
      <c r="T39" s="2" t="s">
        <v>26</v>
      </c>
      <c r="U39" s="4" t="s">
        <v>1</v>
      </c>
      <c r="V39" s="304">
        <v>61.08</v>
      </c>
      <c r="W39" s="294">
        <v>5.92</v>
      </c>
      <c r="X39" s="294">
        <v>3.07</v>
      </c>
      <c r="Y39" s="304">
        <v>6.2</v>
      </c>
      <c r="Z39" s="304">
        <v>43.3</v>
      </c>
      <c r="AA39" s="304">
        <v>735</v>
      </c>
      <c r="AB39" s="533"/>
    </row>
    <row r="40" spans="2:28" ht="16" thickBot="1" x14ac:dyDescent="0.3">
      <c r="B40" s="311">
        <v>44750</v>
      </c>
      <c r="C40" s="2" t="s">
        <v>3</v>
      </c>
      <c r="D40" s="35" t="s">
        <v>44</v>
      </c>
      <c r="E40" s="2" t="s">
        <v>26</v>
      </c>
      <c r="F40" s="4" t="s">
        <v>1</v>
      </c>
      <c r="G40" s="248">
        <v>63.15</v>
      </c>
      <c r="H40" s="235">
        <v>3.22</v>
      </c>
      <c r="I40" s="225">
        <v>2.4</v>
      </c>
      <c r="J40" s="257">
        <v>3.1</v>
      </c>
      <c r="K40" s="266">
        <v>33.4</v>
      </c>
      <c r="L40" s="213" t="s">
        <v>228</v>
      </c>
      <c r="P40" s="533"/>
      <c r="Q40" s="311">
        <v>44754</v>
      </c>
      <c r="R40" s="2" t="s">
        <v>3</v>
      </c>
      <c r="S40" s="35" t="s">
        <v>2</v>
      </c>
      <c r="T40" s="2" t="s">
        <v>26</v>
      </c>
      <c r="U40" s="4" t="s">
        <v>1</v>
      </c>
      <c r="V40" s="312">
        <v>61.31</v>
      </c>
      <c r="W40" s="303">
        <v>5.45</v>
      </c>
      <c r="X40" s="303">
        <v>3.12</v>
      </c>
      <c r="Y40" s="312"/>
      <c r="Z40" s="312"/>
      <c r="AA40" s="312">
        <v>740</v>
      </c>
      <c r="AB40" s="533"/>
    </row>
    <row r="41" spans="2:28" ht="16" thickBot="1" x14ac:dyDescent="0.3">
      <c r="B41" s="316">
        <v>44757</v>
      </c>
      <c r="C41" s="2" t="s">
        <v>3</v>
      </c>
      <c r="D41" s="35" t="s">
        <v>44</v>
      </c>
      <c r="E41" s="2" t="s">
        <v>26</v>
      </c>
      <c r="F41" s="4" t="s">
        <v>1</v>
      </c>
      <c r="G41" s="254">
        <v>63.22</v>
      </c>
      <c r="H41" s="239">
        <v>3.36</v>
      </c>
      <c r="I41" s="240">
        <v>2.2799999999999998</v>
      </c>
      <c r="J41" s="262">
        <v>4.2</v>
      </c>
      <c r="K41" s="270">
        <v>34.6</v>
      </c>
      <c r="L41" s="216" t="s">
        <v>229</v>
      </c>
      <c r="P41" s="533"/>
      <c r="Q41" s="311">
        <v>44755</v>
      </c>
      <c r="R41" s="2" t="s">
        <v>3</v>
      </c>
      <c r="S41" s="35" t="s">
        <v>2</v>
      </c>
      <c r="T41" s="2" t="s">
        <v>26</v>
      </c>
      <c r="U41" s="4" t="s">
        <v>1</v>
      </c>
      <c r="V41" s="312">
        <v>61.48</v>
      </c>
      <c r="W41" s="312">
        <v>5.9</v>
      </c>
      <c r="X41" s="312">
        <v>2.42</v>
      </c>
      <c r="Y41" s="312"/>
      <c r="Z41" s="312"/>
      <c r="AA41" s="312">
        <v>745</v>
      </c>
      <c r="AB41" s="533"/>
    </row>
    <row r="42" spans="2:28" ht="16" thickBot="1" x14ac:dyDescent="0.3">
      <c r="B42" s="317">
        <v>44761</v>
      </c>
      <c r="C42" s="2" t="s">
        <v>3</v>
      </c>
      <c r="D42" s="35" t="s">
        <v>44</v>
      </c>
      <c r="E42" s="2" t="s">
        <v>26</v>
      </c>
      <c r="F42" s="4" t="s">
        <v>1</v>
      </c>
      <c r="G42" s="255">
        <v>63.16</v>
      </c>
      <c r="H42" s="241">
        <v>3.22</v>
      </c>
      <c r="I42" s="242">
        <v>2.31</v>
      </c>
      <c r="J42" s="263"/>
      <c r="K42" s="271"/>
      <c r="L42" s="217" t="s">
        <v>230</v>
      </c>
      <c r="P42" s="533"/>
      <c r="Q42" s="311">
        <v>44756</v>
      </c>
      <c r="R42" s="2" t="s">
        <v>3</v>
      </c>
      <c r="S42" s="35" t="s">
        <v>2</v>
      </c>
      <c r="T42" s="2" t="s">
        <v>26</v>
      </c>
      <c r="U42" s="4" t="s">
        <v>1</v>
      </c>
      <c r="V42" s="312">
        <v>61</v>
      </c>
      <c r="W42" s="312">
        <v>6.15</v>
      </c>
      <c r="X42" s="312">
        <v>2.97</v>
      </c>
      <c r="Y42" s="312">
        <v>9.1199999999999992</v>
      </c>
      <c r="Z42" s="312">
        <v>0.48</v>
      </c>
      <c r="AA42" s="312">
        <v>748</v>
      </c>
      <c r="AB42" s="533"/>
    </row>
    <row r="43" spans="2:28" ht="16" thickBot="1" x14ac:dyDescent="0.3">
      <c r="B43" s="317">
        <v>44761</v>
      </c>
      <c r="C43" s="2" t="s">
        <v>3</v>
      </c>
      <c r="D43" s="35" t="s">
        <v>44</v>
      </c>
      <c r="E43" s="2" t="s">
        <v>26</v>
      </c>
      <c r="F43" s="4" t="s">
        <v>1</v>
      </c>
      <c r="G43" s="255">
        <v>63.1</v>
      </c>
      <c r="H43" s="241">
        <v>3.34</v>
      </c>
      <c r="I43" s="242">
        <v>2.25</v>
      </c>
      <c r="J43" s="263">
        <v>4.4000000000000004</v>
      </c>
      <c r="K43" s="271">
        <v>31.3</v>
      </c>
      <c r="L43" s="217" t="s">
        <v>231</v>
      </c>
      <c r="P43" s="533"/>
      <c r="Q43" s="311">
        <v>44757</v>
      </c>
      <c r="R43" s="2" t="s">
        <v>3</v>
      </c>
      <c r="S43" s="35" t="s">
        <v>2</v>
      </c>
      <c r="T43" s="2" t="s">
        <v>26</v>
      </c>
      <c r="U43" s="4" t="s">
        <v>1</v>
      </c>
      <c r="V43" s="312">
        <v>61.58</v>
      </c>
      <c r="W43" s="303">
        <v>5.17</v>
      </c>
      <c r="X43" s="312">
        <v>3.12</v>
      </c>
      <c r="Y43" s="312">
        <v>5.2</v>
      </c>
      <c r="Z43" s="312">
        <v>40.4</v>
      </c>
      <c r="AA43" s="312" t="s">
        <v>240</v>
      </c>
      <c r="AB43" s="533"/>
    </row>
    <row r="44" spans="2:28" ht="16" thickBot="1" x14ac:dyDescent="0.3">
      <c r="B44" s="317">
        <v>44762</v>
      </c>
      <c r="C44" s="2" t="s">
        <v>3</v>
      </c>
      <c r="D44" s="35" t="s">
        <v>44</v>
      </c>
      <c r="E44" s="2" t="s">
        <v>26</v>
      </c>
      <c r="F44" s="4" t="s">
        <v>0</v>
      </c>
      <c r="G44" s="256">
        <v>63.57</v>
      </c>
      <c r="H44" s="243">
        <v>2.96</v>
      </c>
      <c r="I44" s="244">
        <v>2.38</v>
      </c>
      <c r="J44" s="264">
        <v>7.3</v>
      </c>
      <c r="K44" s="272">
        <v>10.199999999999999</v>
      </c>
      <c r="L44" s="313" t="s">
        <v>227</v>
      </c>
      <c r="P44" s="533"/>
      <c r="Q44" s="314">
        <v>44757</v>
      </c>
      <c r="R44" s="2" t="s">
        <v>3</v>
      </c>
      <c r="S44" s="35" t="s">
        <v>2</v>
      </c>
      <c r="T44" s="2" t="s">
        <v>26</v>
      </c>
      <c r="U44" s="4" t="s">
        <v>1</v>
      </c>
      <c r="V44" s="304">
        <v>60.88</v>
      </c>
      <c r="W44" s="296">
        <v>6.27</v>
      </c>
      <c r="X44" s="296">
        <v>3.12</v>
      </c>
      <c r="Y44" s="304"/>
      <c r="Z44" s="304"/>
      <c r="AA44" s="304">
        <v>753</v>
      </c>
      <c r="AB44" s="533"/>
    </row>
    <row r="45" spans="2:28" ht="16" thickBot="1" x14ac:dyDescent="0.3">
      <c r="B45" s="316">
        <v>44747</v>
      </c>
      <c r="C45" s="2" t="s">
        <v>3</v>
      </c>
      <c r="D45" s="35" t="s">
        <v>2</v>
      </c>
      <c r="E45" s="2" t="s">
        <v>26</v>
      </c>
      <c r="F45" s="4" t="s">
        <v>0</v>
      </c>
      <c r="G45" s="254">
        <v>61.38</v>
      </c>
      <c r="H45" s="239">
        <v>5.45</v>
      </c>
      <c r="I45" s="240">
        <v>3.13</v>
      </c>
      <c r="J45" s="262">
        <v>22.7</v>
      </c>
      <c r="K45" s="270">
        <v>26.5</v>
      </c>
      <c r="L45" s="216">
        <v>709</v>
      </c>
      <c r="P45" s="533"/>
      <c r="Q45" s="311">
        <v>44758</v>
      </c>
      <c r="R45" s="2" t="s">
        <v>3</v>
      </c>
      <c r="S45" s="35" t="s">
        <v>2</v>
      </c>
      <c r="T45" s="2" t="s">
        <v>26</v>
      </c>
      <c r="U45" s="4" t="s">
        <v>1</v>
      </c>
      <c r="V45" s="312">
        <v>60.8</v>
      </c>
      <c r="W45" s="303">
        <v>7.1</v>
      </c>
      <c r="X45" s="292">
        <v>2.4</v>
      </c>
      <c r="Y45" s="312"/>
      <c r="Z45" s="312"/>
      <c r="AA45" s="312">
        <v>757</v>
      </c>
      <c r="AB45" s="533"/>
    </row>
    <row r="46" spans="2:28" ht="16" thickBot="1" x14ac:dyDescent="0.3">
      <c r="B46" s="317">
        <v>44749</v>
      </c>
      <c r="C46" s="2" t="s">
        <v>3</v>
      </c>
      <c r="D46" s="35" t="s">
        <v>2</v>
      </c>
      <c r="E46" s="2" t="s">
        <v>26</v>
      </c>
      <c r="F46" s="4" t="s">
        <v>0</v>
      </c>
      <c r="G46" s="255">
        <v>62.69</v>
      </c>
      <c r="H46" s="241">
        <v>4.05</v>
      </c>
      <c r="I46" s="242">
        <v>2.4500000000000002</v>
      </c>
      <c r="J46" s="263">
        <v>12.2</v>
      </c>
      <c r="K46" s="271">
        <v>27.3</v>
      </c>
      <c r="L46" s="217">
        <v>721</v>
      </c>
      <c r="P46" s="533"/>
      <c r="Q46" s="314">
        <v>44759</v>
      </c>
      <c r="R46" s="2" t="s">
        <v>3</v>
      </c>
      <c r="S46" s="35" t="s">
        <v>2</v>
      </c>
      <c r="T46" s="2" t="s">
        <v>26</v>
      </c>
      <c r="U46" s="4" t="s">
        <v>1</v>
      </c>
      <c r="V46" s="304">
        <v>60.62</v>
      </c>
      <c r="W46" s="296">
        <v>7.13</v>
      </c>
      <c r="X46" s="294">
        <v>2.5299999999999998</v>
      </c>
      <c r="Y46" s="304"/>
      <c r="Z46" s="304"/>
      <c r="AA46" s="304">
        <v>759</v>
      </c>
      <c r="AB46" s="533"/>
    </row>
    <row r="47" spans="2:28" ht="16" thickBot="1" x14ac:dyDescent="0.3">
      <c r="B47" s="317">
        <v>44750</v>
      </c>
      <c r="C47" s="2" t="s">
        <v>3</v>
      </c>
      <c r="D47" s="35" t="s">
        <v>2</v>
      </c>
      <c r="E47" s="2" t="s">
        <v>26</v>
      </c>
      <c r="F47" s="4" t="s">
        <v>0</v>
      </c>
      <c r="G47" s="255">
        <v>61.43</v>
      </c>
      <c r="H47" s="241">
        <v>6.1</v>
      </c>
      <c r="I47" s="242">
        <v>2.4</v>
      </c>
      <c r="J47" s="263">
        <v>13.2</v>
      </c>
      <c r="K47" s="271">
        <v>26.3</v>
      </c>
      <c r="L47" s="217">
        <v>723</v>
      </c>
      <c r="P47" s="533"/>
      <c r="Q47" s="311">
        <v>44760</v>
      </c>
      <c r="R47" s="2" t="s">
        <v>3</v>
      </c>
      <c r="S47" s="35" t="s">
        <v>2</v>
      </c>
      <c r="T47" s="2" t="s">
        <v>26</v>
      </c>
      <c r="U47" s="4" t="s">
        <v>1</v>
      </c>
      <c r="V47" s="312">
        <v>61.4</v>
      </c>
      <c r="W47" s="303">
        <v>5.78</v>
      </c>
      <c r="X47" s="303">
        <v>2.65</v>
      </c>
      <c r="Y47" s="312"/>
      <c r="Z47" s="312"/>
      <c r="AA47" s="312">
        <v>762</v>
      </c>
      <c r="AB47" s="533"/>
    </row>
    <row r="48" spans="2:28" ht="16" thickBot="1" x14ac:dyDescent="0.3">
      <c r="B48" s="317">
        <v>44752</v>
      </c>
      <c r="C48" s="2" t="s">
        <v>3</v>
      </c>
      <c r="D48" s="35" t="s">
        <v>2</v>
      </c>
      <c r="E48" s="2" t="s">
        <v>26</v>
      </c>
      <c r="F48" s="4" t="s">
        <v>0</v>
      </c>
      <c r="G48" s="255">
        <v>61.97</v>
      </c>
      <c r="H48" s="241">
        <v>4.6100000000000003</v>
      </c>
      <c r="I48" s="242">
        <v>2.9</v>
      </c>
      <c r="J48" s="263">
        <v>15.5</v>
      </c>
      <c r="K48" s="271">
        <v>20.5</v>
      </c>
      <c r="L48" s="217">
        <v>730</v>
      </c>
      <c r="P48" s="533"/>
      <c r="Q48" s="311">
        <v>44761</v>
      </c>
      <c r="R48" s="2" t="s">
        <v>3</v>
      </c>
      <c r="S48" s="35" t="s">
        <v>2</v>
      </c>
      <c r="T48" s="2" t="s">
        <v>26</v>
      </c>
      <c r="U48" s="4" t="s">
        <v>1</v>
      </c>
      <c r="V48" s="312">
        <v>60.61</v>
      </c>
      <c r="W48" s="312">
        <v>6.57</v>
      </c>
      <c r="X48" s="312">
        <v>3.01</v>
      </c>
      <c r="Y48" s="312">
        <v>6.1</v>
      </c>
      <c r="Z48" s="312">
        <v>43.1</v>
      </c>
      <c r="AA48" s="312">
        <v>769</v>
      </c>
      <c r="AB48" s="533"/>
    </row>
    <row r="49" spans="2:28" ht="16" thickBot="1" x14ac:dyDescent="0.3">
      <c r="B49" s="318">
        <v>44754</v>
      </c>
      <c r="C49" s="2" t="s">
        <v>3</v>
      </c>
      <c r="D49" s="35" t="s">
        <v>2</v>
      </c>
      <c r="E49" s="2" t="s">
        <v>26</v>
      </c>
      <c r="F49" s="4" t="s">
        <v>0</v>
      </c>
      <c r="G49" s="256">
        <v>61.9</v>
      </c>
      <c r="H49" s="243">
        <v>4.7</v>
      </c>
      <c r="I49" s="244">
        <v>2.81</v>
      </c>
      <c r="J49" s="264">
        <v>8.5</v>
      </c>
      <c r="K49" s="272">
        <v>24.3</v>
      </c>
      <c r="L49" s="218">
        <v>737</v>
      </c>
      <c r="P49" s="533"/>
      <c r="Q49" s="314">
        <v>44761</v>
      </c>
      <c r="R49" s="2" t="s">
        <v>3</v>
      </c>
      <c r="S49" s="35" t="s">
        <v>2</v>
      </c>
      <c r="T49" s="2" t="s">
        <v>26</v>
      </c>
      <c r="U49" s="4" t="s">
        <v>1</v>
      </c>
      <c r="V49" s="304">
        <v>60.38</v>
      </c>
      <c r="W49" s="304">
        <v>7.54</v>
      </c>
      <c r="X49" s="296">
        <v>2.35</v>
      </c>
      <c r="Y49" s="304"/>
      <c r="Z49" s="304"/>
      <c r="AA49" s="304">
        <v>770</v>
      </c>
      <c r="AB49" s="533"/>
    </row>
    <row r="50" spans="2:28" ht="16" thickBot="1" x14ac:dyDescent="0.3">
      <c r="B50" s="316">
        <v>44755</v>
      </c>
      <c r="C50" s="2" t="s">
        <v>3</v>
      </c>
      <c r="D50" s="35" t="s">
        <v>2</v>
      </c>
      <c r="E50" s="2" t="s">
        <v>26</v>
      </c>
      <c r="F50" s="4" t="s">
        <v>0</v>
      </c>
      <c r="G50" s="254">
        <v>61.8</v>
      </c>
      <c r="H50" s="239">
        <v>5.54</v>
      </c>
      <c r="I50" s="240">
        <v>2.33</v>
      </c>
      <c r="J50" s="262">
        <v>13.2</v>
      </c>
      <c r="K50" s="270">
        <v>25.3</v>
      </c>
      <c r="L50" s="216">
        <v>742</v>
      </c>
      <c r="P50" s="533"/>
      <c r="Q50" s="311">
        <v>44762</v>
      </c>
      <c r="R50" s="2" t="s">
        <v>3</v>
      </c>
      <c r="S50" s="35" t="s">
        <v>2</v>
      </c>
      <c r="T50" s="2" t="s">
        <v>26</v>
      </c>
      <c r="U50" s="4" t="s">
        <v>1</v>
      </c>
      <c r="V50" s="312">
        <v>61.06</v>
      </c>
      <c r="W50" s="303">
        <v>5.71</v>
      </c>
      <c r="X50" s="312">
        <v>3.11</v>
      </c>
      <c r="Y50" s="312">
        <v>5.7</v>
      </c>
      <c r="Z50" s="312">
        <v>44.5</v>
      </c>
      <c r="AA50" s="312">
        <v>772</v>
      </c>
      <c r="AB50" s="533"/>
    </row>
    <row r="51" spans="2:28" ht="16" thickBot="1" x14ac:dyDescent="0.3">
      <c r="B51" s="317">
        <v>44755</v>
      </c>
      <c r="C51" s="2" t="s">
        <v>3</v>
      </c>
      <c r="D51" s="35" t="s">
        <v>2</v>
      </c>
      <c r="E51" s="2" t="s">
        <v>26</v>
      </c>
      <c r="F51" s="4" t="s">
        <v>0</v>
      </c>
      <c r="G51" s="255">
        <v>61.08</v>
      </c>
      <c r="H51" s="241">
        <v>5.81</v>
      </c>
      <c r="I51" s="242">
        <v>2.9</v>
      </c>
      <c r="J51" s="263">
        <v>10.7</v>
      </c>
      <c r="K51" s="271">
        <v>31.2</v>
      </c>
      <c r="L51" s="217">
        <v>747</v>
      </c>
      <c r="P51" s="533"/>
      <c r="Q51" s="311">
        <v>44762</v>
      </c>
      <c r="R51" s="2" t="s">
        <v>3</v>
      </c>
      <c r="S51" s="35" t="s">
        <v>2</v>
      </c>
      <c r="T51" s="2" t="s">
        <v>26</v>
      </c>
      <c r="U51" s="4" t="s">
        <v>1</v>
      </c>
      <c r="V51" s="312">
        <v>61.16</v>
      </c>
      <c r="W51" s="303">
        <v>5.84</v>
      </c>
      <c r="X51" s="303">
        <v>2.75</v>
      </c>
      <c r="Y51" s="312"/>
      <c r="Z51" s="312"/>
      <c r="AA51" s="312">
        <v>774</v>
      </c>
      <c r="AB51" s="533"/>
    </row>
    <row r="52" spans="2:28" ht="16" thickBot="1" x14ac:dyDescent="0.3">
      <c r="B52" s="317">
        <v>44757</v>
      </c>
      <c r="C52" s="2" t="s">
        <v>3</v>
      </c>
      <c r="D52" s="35" t="s">
        <v>2</v>
      </c>
      <c r="E52" s="2" t="s">
        <v>26</v>
      </c>
      <c r="F52" s="4" t="s">
        <v>0</v>
      </c>
      <c r="G52" s="255">
        <v>62.26</v>
      </c>
      <c r="H52" s="241">
        <v>4.3499999999999996</v>
      </c>
      <c r="I52" s="242">
        <v>2.77</v>
      </c>
      <c r="J52" s="263">
        <v>20.2</v>
      </c>
      <c r="K52" s="271">
        <v>24.4</v>
      </c>
      <c r="L52" s="217">
        <v>755</v>
      </c>
      <c r="P52" s="533"/>
      <c r="Q52" s="311">
        <v>44763</v>
      </c>
      <c r="R52" s="2" t="s">
        <v>3</v>
      </c>
      <c r="S52" s="35" t="s">
        <v>2</v>
      </c>
      <c r="T52" s="2" t="s">
        <v>26</v>
      </c>
      <c r="U52" s="4" t="s">
        <v>1</v>
      </c>
      <c r="V52" s="312">
        <v>61.01</v>
      </c>
      <c r="W52" s="312">
        <v>6.11</v>
      </c>
      <c r="X52" s="312">
        <v>2.9</v>
      </c>
      <c r="Y52" s="312"/>
      <c r="Z52" s="312"/>
      <c r="AA52" s="312">
        <v>777</v>
      </c>
      <c r="AB52" s="533"/>
    </row>
    <row r="53" spans="2:28" ht="16" thickBot="1" x14ac:dyDescent="0.3">
      <c r="B53" s="317">
        <v>44743</v>
      </c>
      <c r="C53" s="2" t="s">
        <v>3</v>
      </c>
      <c r="D53" s="35" t="s">
        <v>2</v>
      </c>
      <c r="E53" s="2" t="s">
        <v>26</v>
      </c>
      <c r="F53" s="4" t="s">
        <v>1</v>
      </c>
      <c r="G53" s="255">
        <v>60.28</v>
      </c>
      <c r="H53" s="241">
        <v>7.19</v>
      </c>
      <c r="I53" s="242">
        <v>2.96</v>
      </c>
      <c r="J53" s="263">
        <v>4.5999999999999996</v>
      </c>
      <c r="K53" s="271">
        <v>43.5</v>
      </c>
      <c r="L53" s="217">
        <v>855</v>
      </c>
      <c r="P53" s="533"/>
      <c r="Q53" s="311">
        <v>44763</v>
      </c>
      <c r="R53" s="2" t="s">
        <v>3</v>
      </c>
      <c r="S53" s="35" t="s">
        <v>2</v>
      </c>
      <c r="T53" s="2" t="s">
        <v>26</v>
      </c>
      <c r="U53" s="4" t="s">
        <v>1</v>
      </c>
      <c r="V53" s="312">
        <v>60.65</v>
      </c>
      <c r="W53" s="312">
        <v>6.33</v>
      </c>
      <c r="X53" s="312">
        <v>3.19</v>
      </c>
      <c r="Y53" s="312">
        <v>6.4</v>
      </c>
      <c r="Z53" s="312">
        <v>40.5</v>
      </c>
      <c r="AA53" s="312">
        <v>779</v>
      </c>
      <c r="AB53" s="533"/>
    </row>
    <row r="54" spans="2:28" ht="16" thickBot="1" x14ac:dyDescent="0.3">
      <c r="B54" s="317">
        <v>44745</v>
      </c>
      <c r="C54" s="2" t="s">
        <v>3</v>
      </c>
      <c r="D54" s="35" t="s">
        <v>2</v>
      </c>
      <c r="E54" s="2" t="s">
        <v>26</v>
      </c>
      <c r="F54" s="4" t="s">
        <v>1</v>
      </c>
      <c r="G54" s="255">
        <v>60.22</v>
      </c>
      <c r="H54" s="241">
        <v>7.25</v>
      </c>
      <c r="I54" s="242">
        <v>3.08</v>
      </c>
      <c r="J54" s="263">
        <v>5.7</v>
      </c>
      <c r="K54" s="271">
        <v>41.8</v>
      </c>
      <c r="L54" s="217">
        <v>702</v>
      </c>
      <c r="P54" s="533"/>
      <c r="Q54" s="311">
        <v>44744</v>
      </c>
      <c r="R54" s="2" t="s">
        <v>3</v>
      </c>
      <c r="S54" s="35" t="s">
        <v>9</v>
      </c>
      <c r="T54" s="2" t="s">
        <v>26</v>
      </c>
      <c r="U54" s="4" t="s">
        <v>1</v>
      </c>
      <c r="V54" s="312">
        <v>61.25</v>
      </c>
      <c r="W54" s="293">
        <v>5.77</v>
      </c>
      <c r="X54" s="293">
        <v>2.95</v>
      </c>
      <c r="Y54" s="312">
        <v>3.4</v>
      </c>
      <c r="Z54" s="312">
        <v>44.1</v>
      </c>
      <c r="AA54" s="312" t="s">
        <v>227</v>
      </c>
      <c r="AB54" s="533"/>
    </row>
    <row r="55" spans="2:28" ht="16" thickBot="1" x14ac:dyDescent="0.3">
      <c r="B55" s="317">
        <v>44745</v>
      </c>
      <c r="C55" s="2" t="s">
        <v>3</v>
      </c>
      <c r="D55" s="35" t="s">
        <v>2</v>
      </c>
      <c r="E55" s="2" t="s">
        <v>26</v>
      </c>
      <c r="F55" s="4" t="s">
        <v>1</v>
      </c>
      <c r="G55" s="255">
        <v>61.81</v>
      </c>
      <c r="H55" s="245">
        <v>5.17</v>
      </c>
      <c r="I55" s="246">
        <v>2.77</v>
      </c>
      <c r="J55" s="263"/>
      <c r="K55" s="271"/>
      <c r="L55" s="217">
        <v>706</v>
      </c>
      <c r="P55" s="533"/>
      <c r="Q55" s="311">
        <v>44747</v>
      </c>
      <c r="R55" s="2" t="s">
        <v>3</v>
      </c>
      <c r="S55" s="35" t="s">
        <v>9</v>
      </c>
      <c r="T55" s="2" t="s">
        <v>26</v>
      </c>
      <c r="U55" s="4" t="s">
        <v>1</v>
      </c>
      <c r="V55" s="312">
        <v>61.74</v>
      </c>
      <c r="W55" s="297">
        <v>5.15</v>
      </c>
      <c r="X55" s="297">
        <v>2.77</v>
      </c>
      <c r="Y55" s="307">
        <v>1.5</v>
      </c>
      <c r="Z55" s="312">
        <v>47.8</v>
      </c>
      <c r="AA55" s="312" t="s">
        <v>228</v>
      </c>
      <c r="AB55" s="533"/>
    </row>
    <row r="56" spans="2:28" ht="15.5" x14ac:dyDescent="0.35">
      <c r="B56" s="319">
        <v>44746</v>
      </c>
      <c r="C56" s="2" t="s">
        <v>3</v>
      </c>
      <c r="D56" s="35" t="s">
        <v>2</v>
      </c>
      <c r="E56" s="2" t="s">
        <v>26</v>
      </c>
      <c r="F56" s="4" t="s">
        <v>1</v>
      </c>
      <c r="G56" s="302">
        <v>61.14</v>
      </c>
      <c r="H56" s="288">
        <v>6.59</v>
      </c>
      <c r="I56" s="288">
        <v>2.42</v>
      </c>
      <c r="J56" s="274"/>
      <c r="K56" s="274"/>
      <c r="L56" s="283">
        <v>707</v>
      </c>
      <c r="P56" s="533"/>
      <c r="Q56" s="311">
        <v>44748</v>
      </c>
      <c r="R56" s="2" t="s">
        <v>3</v>
      </c>
      <c r="S56" s="35" t="s">
        <v>9</v>
      </c>
      <c r="T56" s="2" t="s">
        <v>26</v>
      </c>
      <c r="U56" s="4" t="s">
        <v>1</v>
      </c>
      <c r="V56" s="307">
        <v>61.53</v>
      </c>
      <c r="W56" s="293">
        <v>5.57</v>
      </c>
      <c r="X56" s="293">
        <v>2.67</v>
      </c>
      <c r="Y56" s="312">
        <v>2.1</v>
      </c>
      <c r="Z56" s="312">
        <v>45.1</v>
      </c>
      <c r="AA56" s="312" t="s">
        <v>229</v>
      </c>
      <c r="AB56" s="533"/>
    </row>
    <row r="57" spans="2:28" ht="15.5" x14ac:dyDescent="0.25">
      <c r="B57" s="311">
        <v>44747</v>
      </c>
      <c r="C57" s="2" t="s">
        <v>3</v>
      </c>
      <c r="D57" s="35" t="s">
        <v>2</v>
      </c>
      <c r="E57" s="2" t="s">
        <v>26</v>
      </c>
      <c r="F57" s="4" t="s">
        <v>1</v>
      </c>
      <c r="G57" s="301">
        <v>60.94</v>
      </c>
      <c r="H57" s="289">
        <v>6.48</v>
      </c>
      <c r="I57" s="287">
        <v>2.71</v>
      </c>
      <c r="J57" s="273">
        <v>5.0999999999999996</v>
      </c>
      <c r="K57" s="273">
        <v>41.3</v>
      </c>
      <c r="L57" s="282">
        <v>712</v>
      </c>
      <c r="P57" s="533"/>
      <c r="Q57" s="311">
        <v>44755</v>
      </c>
      <c r="R57" s="2" t="s">
        <v>3</v>
      </c>
      <c r="S57" s="35" t="s">
        <v>9</v>
      </c>
      <c r="T57" s="2" t="s">
        <v>26</v>
      </c>
      <c r="U57" s="4" t="s">
        <v>1</v>
      </c>
      <c r="V57" s="312">
        <v>60.97</v>
      </c>
      <c r="W57" s="293">
        <v>6.16</v>
      </c>
      <c r="X57" s="297">
        <v>3.02</v>
      </c>
      <c r="Y57" s="312">
        <v>4.2</v>
      </c>
      <c r="Z57" s="312">
        <v>44.3</v>
      </c>
      <c r="AA57" s="312" t="s">
        <v>230</v>
      </c>
      <c r="AB57" s="533"/>
    </row>
    <row r="58" spans="2:28" ht="15.5" x14ac:dyDescent="0.25">
      <c r="B58" s="311">
        <v>44749</v>
      </c>
      <c r="C58" s="2" t="s">
        <v>3</v>
      </c>
      <c r="D58" s="35" t="s">
        <v>2</v>
      </c>
      <c r="E58" s="2" t="s">
        <v>26</v>
      </c>
      <c r="F58" s="4" t="s">
        <v>1</v>
      </c>
      <c r="G58" s="301">
        <v>60.97</v>
      </c>
      <c r="H58" s="287">
        <v>6.24</v>
      </c>
      <c r="I58" s="289">
        <v>2.9</v>
      </c>
      <c r="J58" s="273">
        <v>4.5</v>
      </c>
      <c r="K58" s="273">
        <v>45.2</v>
      </c>
      <c r="L58" s="282">
        <v>717</v>
      </c>
      <c r="P58" s="533"/>
      <c r="Q58" s="311">
        <v>44763</v>
      </c>
      <c r="R58" s="2" t="s">
        <v>3</v>
      </c>
      <c r="S58" s="35" t="s">
        <v>9</v>
      </c>
      <c r="T58" s="2" t="s">
        <v>26</v>
      </c>
      <c r="U58" s="4" t="s">
        <v>1</v>
      </c>
      <c r="V58" s="312">
        <v>61.1</v>
      </c>
      <c r="W58" s="297">
        <v>5.87</v>
      </c>
      <c r="X58" s="297">
        <v>3.18</v>
      </c>
      <c r="Y58" s="312">
        <v>3.5</v>
      </c>
      <c r="Z58" s="312">
        <v>45.8</v>
      </c>
      <c r="AA58" s="312" t="s">
        <v>231</v>
      </c>
      <c r="AB58" s="533"/>
    </row>
    <row r="59" spans="2:28" ht="15.5" x14ac:dyDescent="0.25">
      <c r="B59" s="311">
        <v>44749</v>
      </c>
      <c r="C59" s="2" t="s">
        <v>3</v>
      </c>
      <c r="D59" s="35" t="s">
        <v>2</v>
      </c>
      <c r="E59" s="2" t="s">
        <v>26</v>
      </c>
      <c r="F59" s="4" t="s">
        <v>1</v>
      </c>
      <c r="G59" s="301">
        <v>61.02</v>
      </c>
      <c r="H59" s="287">
        <v>6.11</v>
      </c>
      <c r="I59" s="287">
        <v>3.07</v>
      </c>
      <c r="J59" s="273"/>
      <c r="K59" s="273"/>
      <c r="L59" s="282">
        <v>718</v>
      </c>
      <c r="P59" s="533"/>
      <c r="Q59" s="311">
        <v>44743</v>
      </c>
      <c r="R59" s="2" t="s">
        <v>3</v>
      </c>
      <c r="S59" s="35" t="s">
        <v>11</v>
      </c>
      <c r="T59" s="2" t="s">
        <v>26</v>
      </c>
      <c r="U59" s="4" t="s">
        <v>1</v>
      </c>
      <c r="V59" s="310">
        <v>61.72</v>
      </c>
      <c r="W59" s="298">
        <v>5.1100000000000003</v>
      </c>
      <c r="X59" s="298">
        <v>3.07</v>
      </c>
      <c r="Y59" s="305">
        <v>7.4</v>
      </c>
      <c r="Z59" s="305">
        <v>37.5</v>
      </c>
      <c r="AA59" s="305" t="s">
        <v>227</v>
      </c>
      <c r="AB59" s="533"/>
    </row>
    <row r="60" spans="2:28" ht="15.5" x14ac:dyDescent="0.25">
      <c r="B60" s="311">
        <v>44750</v>
      </c>
      <c r="C60" s="2" t="s">
        <v>3</v>
      </c>
      <c r="D60" s="35" t="s">
        <v>2</v>
      </c>
      <c r="E60" s="2" t="s">
        <v>26</v>
      </c>
      <c r="F60" s="4" t="s">
        <v>1</v>
      </c>
      <c r="G60" s="301">
        <v>61.34</v>
      </c>
      <c r="H60" s="289">
        <v>5.95</v>
      </c>
      <c r="I60" s="289">
        <v>2.68</v>
      </c>
      <c r="J60" s="273">
        <v>5.3</v>
      </c>
      <c r="K60" s="273">
        <v>42.1</v>
      </c>
      <c r="L60" s="282">
        <v>722</v>
      </c>
      <c r="P60" s="533"/>
      <c r="Q60" s="314">
        <v>44744</v>
      </c>
      <c r="R60" s="2" t="s">
        <v>3</v>
      </c>
      <c r="S60" s="35" t="s">
        <v>11</v>
      </c>
      <c r="T60" s="2" t="s">
        <v>26</v>
      </c>
      <c r="U60" s="4" t="s">
        <v>1</v>
      </c>
      <c r="V60" s="309">
        <v>61.9</v>
      </c>
      <c r="W60" s="300">
        <v>4.84</v>
      </c>
      <c r="X60" s="300">
        <v>2.95</v>
      </c>
      <c r="Y60" s="309">
        <v>5.2</v>
      </c>
      <c r="Z60" s="313">
        <v>42.1</v>
      </c>
      <c r="AA60" s="313" t="s">
        <v>228</v>
      </c>
      <c r="AB60" s="533"/>
    </row>
    <row r="61" spans="2:28" ht="15.5" x14ac:dyDescent="0.25">
      <c r="B61" s="311">
        <v>44751</v>
      </c>
      <c r="C61" s="2" t="s">
        <v>3</v>
      </c>
      <c r="D61" s="35" t="s">
        <v>2</v>
      </c>
      <c r="E61" s="2" t="s">
        <v>26</v>
      </c>
      <c r="F61" s="4" t="s">
        <v>1</v>
      </c>
      <c r="G61" s="301">
        <v>61.15</v>
      </c>
      <c r="H61" s="292">
        <v>5.9</v>
      </c>
      <c r="I61" s="292">
        <v>3.1</v>
      </c>
      <c r="J61" s="277">
        <v>4.8</v>
      </c>
      <c r="K61" s="273">
        <v>43.5</v>
      </c>
      <c r="L61" s="282">
        <v>725</v>
      </c>
      <c r="P61" s="533"/>
      <c r="Q61" s="311">
        <v>44745</v>
      </c>
      <c r="R61" s="2" t="s">
        <v>3</v>
      </c>
      <c r="S61" s="35" t="s">
        <v>11</v>
      </c>
      <c r="T61" s="2" t="s">
        <v>26</v>
      </c>
      <c r="U61" s="4" t="s">
        <v>1</v>
      </c>
      <c r="V61" s="307">
        <v>61.83</v>
      </c>
      <c r="W61" s="297">
        <v>4.8899999999999997</v>
      </c>
      <c r="X61" s="297">
        <v>2.82</v>
      </c>
      <c r="Y61" s="307">
        <v>6.5</v>
      </c>
      <c r="Z61" s="307">
        <v>38.299999999999997</v>
      </c>
      <c r="AA61" s="312" t="s">
        <v>229</v>
      </c>
      <c r="AB61" s="533"/>
    </row>
    <row r="62" spans="2:28" ht="15.5" x14ac:dyDescent="0.25">
      <c r="B62" s="311">
        <v>44751</v>
      </c>
      <c r="C62" s="2" t="s">
        <v>3</v>
      </c>
      <c r="D62" s="35" t="s">
        <v>2</v>
      </c>
      <c r="E62" s="2" t="s">
        <v>26</v>
      </c>
      <c r="F62" s="4" t="s">
        <v>1</v>
      </c>
      <c r="G62" s="301">
        <v>61.4</v>
      </c>
      <c r="H62" s="292">
        <v>5.82</v>
      </c>
      <c r="I62" s="292">
        <v>2.63</v>
      </c>
      <c r="J62" s="273">
        <v>6.4</v>
      </c>
      <c r="K62" s="273">
        <v>37.299999999999997</v>
      </c>
      <c r="L62" s="282">
        <v>728</v>
      </c>
      <c r="P62" s="533"/>
      <c r="Q62" s="311">
        <v>44745</v>
      </c>
      <c r="R62" s="2" t="s">
        <v>3</v>
      </c>
      <c r="S62" s="35" t="s">
        <v>11</v>
      </c>
      <c r="T62" s="2" t="s">
        <v>26</v>
      </c>
      <c r="U62" s="4" t="s">
        <v>1</v>
      </c>
      <c r="V62" s="307">
        <v>61.86</v>
      </c>
      <c r="W62" s="297">
        <v>4.5999999999999996</v>
      </c>
      <c r="X62" s="297">
        <v>3.19</v>
      </c>
      <c r="Y62" s="307">
        <v>4.3</v>
      </c>
      <c r="Z62" s="312">
        <v>40.4</v>
      </c>
      <c r="AA62" s="312" t="s">
        <v>230</v>
      </c>
      <c r="AB62" s="533"/>
    </row>
    <row r="63" spans="2:28" ht="15.5" x14ac:dyDescent="0.25">
      <c r="B63" s="311">
        <v>44752</v>
      </c>
      <c r="C63" s="2" t="s">
        <v>3</v>
      </c>
      <c r="D63" s="35" t="s">
        <v>2</v>
      </c>
      <c r="E63" s="2" t="s">
        <v>26</v>
      </c>
      <c r="F63" s="4" t="s">
        <v>1</v>
      </c>
      <c r="G63" s="303">
        <v>61.45</v>
      </c>
      <c r="H63" s="293">
        <v>6.12</v>
      </c>
      <c r="I63" s="289">
        <v>2.44</v>
      </c>
      <c r="J63" s="273">
        <v>4.3</v>
      </c>
      <c r="K63" s="273">
        <v>39.4</v>
      </c>
      <c r="L63" s="282">
        <v>732</v>
      </c>
      <c r="P63" s="533"/>
      <c r="Q63" s="311">
        <v>44746</v>
      </c>
      <c r="R63" s="2" t="s">
        <v>3</v>
      </c>
      <c r="S63" s="35" t="s">
        <v>11</v>
      </c>
      <c r="T63" s="2" t="s">
        <v>26</v>
      </c>
      <c r="U63" s="4" t="s">
        <v>1</v>
      </c>
      <c r="V63" s="307">
        <v>62.08</v>
      </c>
      <c r="W63" s="297">
        <v>4.74</v>
      </c>
      <c r="X63" s="297">
        <v>2.81</v>
      </c>
      <c r="Y63" s="307"/>
      <c r="Z63" s="312"/>
      <c r="AA63" s="312" t="s">
        <v>231</v>
      </c>
      <c r="AB63" s="533"/>
    </row>
    <row r="64" spans="2:28" ht="15.5" x14ac:dyDescent="0.25">
      <c r="B64" s="314">
        <v>44753</v>
      </c>
      <c r="C64" s="2" t="s">
        <v>3</v>
      </c>
      <c r="D64" s="35" t="s">
        <v>2</v>
      </c>
      <c r="E64" s="2" t="s">
        <v>26</v>
      </c>
      <c r="F64" s="4" t="s">
        <v>1</v>
      </c>
      <c r="G64" s="304">
        <v>61.08</v>
      </c>
      <c r="H64" s="294">
        <v>5.92</v>
      </c>
      <c r="I64" s="294">
        <v>3.07</v>
      </c>
      <c r="J64" s="275">
        <v>6.2</v>
      </c>
      <c r="K64" s="275">
        <v>43.3</v>
      </c>
      <c r="L64" s="284">
        <v>735</v>
      </c>
      <c r="P64" s="533"/>
      <c r="Q64" s="314">
        <v>44747</v>
      </c>
      <c r="R64" s="2" t="s">
        <v>3</v>
      </c>
      <c r="S64" s="35" t="s">
        <v>11</v>
      </c>
      <c r="T64" s="2" t="s">
        <v>26</v>
      </c>
      <c r="U64" s="4" t="s">
        <v>1</v>
      </c>
      <c r="V64" s="308">
        <v>61.49</v>
      </c>
      <c r="W64" s="299">
        <v>5.25</v>
      </c>
      <c r="X64" s="299">
        <v>3.06</v>
      </c>
      <c r="Y64" s="308"/>
      <c r="Z64" s="308"/>
      <c r="AA64" s="304" t="s">
        <v>232</v>
      </c>
      <c r="AB64" s="533"/>
    </row>
    <row r="65" spans="2:28" ht="15.5" x14ac:dyDescent="0.25">
      <c r="B65" s="311">
        <v>44754</v>
      </c>
      <c r="C65" s="2" t="s">
        <v>3</v>
      </c>
      <c r="D65" s="35" t="s">
        <v>2</v>
      </c>
      <c r="E65" s="2" t="s">
        <v>26</v>
      </c>
      <c r="F65" s="4" t="s">
        <v>1</v>
      </c>
      <c r="G65" s="301">
        <v>61.31</v>
      </c>
      <c r="H65" s="289">
        <v>5.45</v>
      </c>
      <c r="I65" s="289">
        <v>3.12</v>
      </c>
      <c r="J65" s="273"/>
      <c r="K65" s="273"/>
      <c r="L65" s="282">
        <v>740</v>
      </c>
      <c r="P65" s="533"/>
      <c r="Q65" s="311">
        <v>44749</v>
      </c>
      <c r="R65" s="2" t="s">
        <v>3</v>
      </c>
      <c r="S65" s="35" t="s">
        <v>11</v>
      </c>
      <c r="T65" s="2" t="s">
        <v>26</v>
      </c>
      <c r="U65" s="4" t="s">
        <v>1</v>
      </c>
      <c r="V65" s="307">
        <v>60.88</v>
      </c>
      <c r="W65" s="297">
        <v>6.43</v>
      </c>
      <c r="X65" s="297">
        <v>2.86</v>
      </c>
      <c r="Y65" s="307"/>
      <c r="Z65" s="307"/>
      <c r="AA65" s="312" t="s">
        <v>233</v>
      </c>
      <c r="AB65" s="533"/>
    </row>
    <row r="66" spans="2:28" ht="15.5" x14ac:dyDescent="0.25">
      <c r="B66" s="311">
        <v>44755</v>
      </c>
      <c r="C66" s="2" t="s">
        <v>3</v>
      </c>
      <c r="D66" s="35" t="s">
        <v>2</v>
      </c>
      <c r="E66" s="2" t="s">
        <v>26</v>
      </c>
      <c r="F66" s="4" t="s">
        <v>1</v>
      </c>
      <c r="G66" s="301">
        <v>61.48</v>
      </c>
      <c r="H66" s="287">
        <v>5.9</v>
      </c>
      <c r="I66" s="287">
        <v>2.42</v>
      </c>
      <c r="J66" s="273"/>
      <c r="K66" s="273"/>
      <c r="L66" s="282">
        <v>745</v>
      </c>
      <c r="P66" s="533"/>
      <c r="Q66" s="314">
        <v>44751</v>
      </c>
      <c r="R66" s="2" t="s">
        <v>3</v>
      </c>
      <c r="S66" s="35" t="s">
        <v>11</v>
      </c>
      <c r="T66" s="2" t="s">
        <v>26</v>
      </c>
      <c r="U66" s="4" t="s">
        <v>1</v>
      </c>
      <c r="V66" s="308">
        <v>61.76</v>
      </c>
      <c r="W66" s="299">
        <v>5.0199999999999996</v>
      </c>
      <c r="X66" s="299">
        <v>3.01</v>
      </c>
      <c r="Y66" s="308">
        <v>7.3</v>
      </c>
      <c r="Z66" s="308">
        <v>39.200000000000003</v>
      </c>
      <c r="AA66" s="304" t="s">
        <v>234</v>
      </c>
      <c r="AB66" s="533"/>
    </row>
    <row r="67" spans="2:28" ht="15.5" x14ac:dyDescent="0.25">
      <c r="B67" s="311">
        <v>44756</v>
      </c>
      <c r="C67" s="2" t="s">
        <v>3</v>
      </c>
      <c r="D67" s="35" t="s">
        <v>2</v>
      </c>
      <c r="E67" s="2" t="s">
        <v>26</v>
      </c>
      <c r="F67" s="4" t="s">
        <v>1</v>
      </c>
      <c r="G67" s="301">
        <v>61</v>
      </c>
      <c r="H67" s="287">
        <v>6.15</v>
      </c>
      <c r="I67" s="287">
        <v>2.97</v>
      </c>
      <c r="J67" s="273">
        <v>9.1199999999999992</v>
      </c>
      <c r="K67" s="273">
        <v>0.48</v>
      </c>
      <c r="L67" s="282">
        <v>748</v>
      </c>
      <c r="P67" s="533"/>
      <c r="Q67" s="311">
        <v>44751</v>
      </c>
      <c r="R67" s="2" t="s">
        <v>3</v>
      </c>
      <c r="S67" s="35" t="s">
        <v>11</v>
      </c>
      <c r="T67" s="2" t="s">
        <v>26</v>
      </c>
      <c r="U67" s="4" t="s">
        <v>1</v>
      </c>
      <c r="V67" s="307">
        <v>61.71</v>
      </c>
      <c r="W67" s="297">
        <v>5.45</v>
      </c>
      <c r="X67" s="297">
        <v>2.65</v>
      </c>
      <c r="Y67" s="307">
        <v>6.4</v>
      </c>
      <c r="Z67" s="307">
        <v>40.299999999999997</v>
      </c>
      <c r="AA67" s="312" t="s">
        <v>235</v>
      </c>
      <c r="AB67" s="533"/>
    </row>
    <row r="68" spans="2:28" ht="15.5" x14ac:dyDescent="0.25">
      <c r="B68" s="311">
        <v>44757</v>
      </c>
      <c r="C68" s="2" t="s">
        <v>3</v>
      </c>
      <c r="D68" s="35" t="s">
        <v>2</v>
      </c>
      <c r="E68" s="2" t="s">
        <v>26</v>
      </c>
      <c r="F68" s="4" t="s">
        <v>1</v>
      </c>
      <c r="G68" s="301">
        <v>61.58</v>
      </c>
      <c r="H68" s="289">
        <v>5.17</v>
      </c>
      <c r="I68" s="287">
        <v>3.12</v>
      </c>
      <c r="J68" s="273">
        <v>5.2</v>
      </c>
      <c r="K68" s="273">
        <v>40.4</v>
      </c>
      <c r="L68" s="282" t="s">
        <v>240</v>
      </c>
      <c r="P68" s="533"/>
      <c r="Q68" s="311">
        <v>44752</v>
      </c>
      <c r="R68" s="2" t="s">
        <v>3</v>
      </c>
      <c r="S68" s="35" t="s">
        <v>11</v>
      </c>
      <c r="T68" s="2" t="s">
        <v>26</v>
      </c>
      <c r="U68" s="4" t="s">
        <v>1</v>
      </c>
      <c r="V68" s="307">
        <v>61.42</v>
      </c>
      <c r="W68" s="297">
        <v>5.35</v>
      </c>
      <c r="X68" s="297">
        <v>3.06</v>
      </c>
      <c r="Y68" s="307">
        <v>5.2</v>
      </c>
      <c r="Z68" s="307">
        <v>44</v>
      </c>
      <c r="AA68" s="312" t="s">
        <v>236</v>
      </c>
      <c r="AB68" s="533"/>
    </row>
    <row r="69" spans="2:28" ht="15.5" x14ac:dyDescent="0.25">
      <c r="B69" s="314">
        <v>44757</v>
      </c>
      <c r="C69" s="2" t="s">
        <v>3</v>
      </c>
      <c r="D69" s="35" t="s">
        <v>2</v>
      </c>
      <c r="E69" s="2" t="s">
        <v>26</v>
      </c>
      <c r="F69" s="4" t="s">
        <v>1</v>
      </c>
      <c r="G69" s="304">
        <v>60.88</v>
      </c>
      <c r="H69" s="296">
        <v>6.27</v>
      </c>
      <c r="I69" s="296">
        <v>3.12</v>
      </c>
      <c r="J69" s="275"/>
      <c r="K69" s="275"/>
      <c r="L69" s="284">
        <v>753</v>
      </c>
      <c r="P69" s="533"/>
      <c r="Q69" s="315">
        <v>44753</v>
      </c>
      <c r="R69" s="2" t="s">
        <v>3</v>
      </c>
      <c r="S69" s="35" t="s">
        <v>11</v>
      </c>
      <c r="T69" s="2" t="s">
        <v>26</v>
      </c>
      <c r="U69" s="4" t="s">
        <v>1</v>
      </c>
      <c r="V69" s="309">
        <v>61.71</v>
      </c>
      <c r="W69" s="300">
        <v>4.83</v>
      </c>
      <c r="X69" s="300">
        <v>3.16</v>
      </c>
      <c r="Y69" s="309">
        <v>4.5</v>
      </c>
      <c r="Z69" s="308">
        <v>43.2</v>
      </c>
      <c r="AA69" s="313" t="s">
        <v>237</v>
      </c>
      <c r="AB69" s="533"/>
    </row>
    <row r="70" spans="2:28" ht="15.5" x14ac:dyDescent="0.25">
      <c r="B70" s="311">
        <v>44758</v>
      </c>
      <c r="C70" s="2" t="s">
        <v>3</v>
      </c>
      <c r="D70" s="35" t="s">
        <v>2</v>
      </c>
      <c r="E70" s="2" t="s">
        <v>26</v>
      </c>
      <c r="F70" s="4" t="s">
        <v>1</v>
      </c>
      <c r="G70" s="301">
        <v>60.8</v>
      </c>
      <c r="H70" s="289">
        <v>7.1</v>
      </c>
      <c r="I70" s="292">
        <v>2.4</v>
      </c>
      <c r="J70" s="273"/>
      <c r="K70" s="273"/>
      <c r="L70" s="282">
        <v>757</v>
      </c>
      <c r="P70" s="533"/>
      <c r="Q70" s="311">
        <v>44764</v>
      </c>
      <c r="R70" s="2" t="s">
        <v>3</v>
      </c>
      <c r="S70" s="35" t="s">
        <v>11</v>
      </c>
      <c r="T70" s="2" t="s">
        <v>26</v>
      </c>
      <c r="U70" s="4" t="s">
        <v>1</v>
      </c>
      <c r="V70" s="307">
        <v>61.82</v>
      </c>
      <c r="W70" s="297">
        <v>4.8499999999999996</v>
      </c>
      <c r="X70" s="297">
        <v>2.81</v>
      </c>
      <c r="Y70" s="307"/>
      <c r="Z70" s="307"/>
      <c r="AA70" s="312" t="s">
        <v>238</v>
      </c>
      <c r="AB70" s="533"/>
    </row>
    <row r="71" spans="2:28" ht="15.5" x14ac:dyDescent="0.25">
      <c r="B71" s="314">
        <v>44759</v>
      </c>
      <c r="C71" s="2" t="s">
        <v>3</v>
      </c>
      <c r="D71" s="35" t="s">
        <v>2</v>
      </c>
      <c r="E71" s="2" t="s">
        <v>26</v>
      </c>
      <c r="F71" s="4" t="s">
        <v>1</v>
      </c>
      <c r="G71" s="304">
        <v>60.62</v>
      </c>
      <c r="H71" s="296">
        <v>7.13</v>
      </c>
      <c r="I71" s="294">
        <v>2.5299999999999998</v>
      </c>
      <c r="J71" s="275"/>
      <c r="K71" s="275"/>
      <c r="L71" s="284">
        <v>759</v>
      </c>
      <c r="P71" s="533"/>
      <c r="Q71" s="311">
        <v>44759</v>
      </c>
      <c r="R71" s="2" t="s">
        <v>3</v>
      </c>
      <c r="S71" s="35" t="s">
        <v>10</v>
      </c>
      <c r="T71" s="2" t="s">
        <v>26</v>
      </c>
      <c r="U71" s="4" t="s">
        <v>1</v>
      </c>
      <c r="V71" s="307">
        <v>60.52</v>
      </c>
      <c r="W71" s="293">
        <v>4.58</v>
      </c>
      <c r="X71" s="293">
        <v>5.08</v>
      </c>
      <c r="Y71" s="307"/>
      <c r="Z71" s="307"/>
      <c r="AA71" s="312" t="s">
        <v>227</v>
      </c>
      <c r="AB71" s="533"/>
    </row>
    <row r="72" spans="2:28" ht="15.5" x14ac:dyDescent="0.35">
      <c r="B72" s="311">
        <v>44760</v>
      </c>
      <c r="C72" s="2" t="s">
        <v>3</v>
      </c>
      <c r="D72" s="35" t="s">
        <v>2</v>
      </c>
      <c r="E72" s="2" t="s">
        <v>26</v>
      </c>
      <c r="F72" s="4" t="s">
        <v>1</v>
      </c>
      <c r="G72" s="301">
        <v>61.4</v>
      </c>
      <c r="H72" s="289">
        <v>5.78</v>
      </c>
      <c r="I72" s="289">
        <v>2.65</v>
      </c>
      <c r="J72" s="273"/>
      <c r="K72" s="273"/>
      <c r="L72" s="282">
        <v>762</v>
      </c>
      <c r="P72" s="533"/>
      <c r="Q72" s="358">
        <v>44743</v>
      </c>
      <c r="R72" s="2" t="s">
        <v>30</v>
      </c>
      <c r="S72" s="35" t="s">
        <v>9</v>
      </c>
      <c r="T72" s="2" t="s">
        <v>26</v>
      </c>
      <c r="U72" s="4" t="s">
        <v>1</v>
      </c>
      <c r="V72" s="350">
        <v>64.53</v>
      </c>
      <c r="W72" s="351">
        <v>2.1</v>
      </c>
      <c r="X72" s="352">
        <v>1.42</v>
      </c>
      <c r="Y72" s="354">
        <v>5.2631578947368416</v>
      </c>
      <c r="Z72" s="354">
        <v>43.609022556390975</v>
      </c>
      <c r="AA72" s="357">
        <v>261005944</v>
      </c>
      <c r="AB72" s="533"/>
    </row>
    <row r="73" spans="2:28" ht="15.5" x14ac:dyDescent="0.35">
      <c r="B73" s="311">
        <v>44761</v>
      </c>
      <c r="C73" s="2" t="s">
        <v>3</v>
      </c>
      <c r="D73" s="35" t="s">
        <v>2</v>
      </c>
      <c r="E73" s="2" t="s">
        <v>26</v>
      </c>
      <c r="F73" s="4" t="s">
        <v>1</v>
      </c>
      <c r="G73" s="301">
        <v>60.61</v>
      </c>
      <c r="H73" s="287">
        <v>6.57</v>
      </c>
      <c r="I73" s="287">
        <v>3.01</v>
      </c>
      <c r="J73" s="273">
        <v>6.1</v>
      </c>
      <c r="K73" s="273">
        <v>43.1</v>
      </c>
      <c r="L73" s="282">
        <v>769</v>
      </c>
      <c r="P73" s="533"/>
      <c r="Q73" s="358">
        <v>44743</v>
      </c>
      <c r="R73" s="2" t="s">
        <v>30</v>
      </c>
      <c r="S73" s="35" t="s">
        <v>9</v>
      </c>
      <c r="T73" s="2" t="s">
        <v>26</v>
      </c>
      <c r="U73" s="4" t="s">
        <v>1</v>
      </c>
      <c r="V73" s="350">
        <v>62.98</v>
      </c>
      <c r="W73" s="351">
        <v>3.31</v>
      </c>
      <c r="X73" s="352">
        <v>1.98</v>
      </c>
      <c r="Y73" s="354">
        <v>6.8027210884353746</v>
      </c>
      <c r="Z73" s="354">
        <v>42.176870748299322</v>
      </c>
      <c r="AA73" s="357">
        <v>261005946</v>
      </c>
      <c r="AB73" s="533"/>
    </row>
    <row r="74" spans="2:28" ht="15.5" x14ac:dyDescent="0.35">
      <c r="B74" s="314">
        <v>44761</v>
      </c>
      <c r="C74" s="2" t="s">
        <v>3</v>
      </c>
      <c r="D74" s="35" t="s">
        <v>2</v>
      </c>
      <c r="E74" s="2" t="s">
        <v>26</v>
      </c>
      <c r="F74" s="4" t="s">
        <v>1</v>
      </c>
      <c r="G74" s="304">
        <v>60.38</v>
      </c>
      <c r="H74" s="290">
        <v>7.54</v>
      </c>
      <c r="I74" s="296">
        <v>2.35</v>
      </c>
      <c r="J74" s="275"/>
      <c r="K74" s="275"/>
      <c r="L74" s="284">
        <v>770</v>
      </c>
      <c r="P74" s="533"/>
      <c r="Q74" s="342">
        <v>44744</v>
      </c>
      <c r="R74" s="2" t="s">
        <v>30</v>
      </c>
      <c r="S74" s="35" t="s">
        <v>9</v>
      </c>
      <c r="T74" s="2" t="s">
        <v>26</v>
      </c>
      <c r="U74" s="4" t="s">
        <v>1</v>
      </c>
      <c r="V74" s="350">
        <v>64.19</v>
      </c>
      <c r="W74" s="351">
        <v>2.21</v>
      </c>
      <c r="X74" s="352">
        <v>1.56</v>
      </c>
      <c r="Y74" s="354">
        <v>7.096774193548387</v>
      </c>
      <c r="Z74" s="354">
        <v>46.451612903225808</v>
      </c>
      <c r="AA74" s="357">
        <v>261005945</v>
      </c>
      <c r="AB74" s="533"/>
    </row>
    <row r="75" spans="2:28" ht="15.5" x14ac:dyDescent="0.35">
      <c r="B75" s="311">
        <v>44762</v>
      </c>
      <c r="C75" s="2" t="s">
        <v>3</v>
      </c>
      <c r="D75" s="35" t="s">
        <v>2</v>
      </c>
      <c r="E75" s="2" t="s">
        <v>26</v>
      </c>
      <c r="F75" s="4" t="s">
        <v>1</v>
      </c>
      <c r="G75" s="301">
        <v>61.06</v>
      </c>
      <c r="H75" s="289">
        <v>5.71</v>
      </c>
      <c r="I75" s="287">
        <v>3.11</v>
      </c>
      <c r="J75" s="273">
        <v>5.7</v>
      </c>
      <c r="K75" s="273">
        <v>44.5</v>
      </c>
      <c r="L75" s="282">
        <v>772</v>
      </c>
      <c r="P75" s="533"/>
      <c r="Q75" s="342">
        <v>44744</v>
      </c>
      <c r="R75" s="2" t="s">
        <v>30</v>
      </c>
      <c r="S75" s="35" t="s">
        <v>9</v>
      </c>
      <c r="T75" s="2" t="s">
        <v>26</v>
      </c>
      <c r="U75" s="4" t="s">
        <v>1</v>
      </c>
      <c r="V75" s="350">
        <v>63.594999999999992</v>
      </c>
      <c r="W75" s="351">
        <v>3.03</v>
      </c>
      <c r="X75" s="352">
        <v>1.71</v>
      </c>
      <c r="Y75" s="354">
        <v>7.4074074074074066</v>
      </c>
      <c r="Z75" s="354">
        <v>45.925925925925924</v>
      </c>
      <c r="AA75" s="357">
        <v>261005948</v>
      </c>
      <c r="AB75" s="533"/>
    </row>
    <row r="76" spans="2:28" ht="15.5" x14ac:dyDescent="0.35">
      <c r="B76" s="311">
        <v>44762</v>
      </c>
      <c r="C76" s="2" t="s">
        <v>3</v>
      </c>
      <c r="D76" s="35" t="s">
        <v>2</v>
      </c>
      <c r="E76" s="2" t="s">
        <v>26</v>
      </c>
      <c r="F76" s="4" t="s">
        <v>1</v>
      </c>
      <c r="G76" s="301">
        <v>61.16</v>
      </c>
      <c r="H76" s="289">
        <v>5.84</v>
      </c>
      <c r="I76" s="289">
        <v>2.75</v>
      </c>
      <c r="J76" s="273"/>
      <c r="K76" s="273"/>
      <c r="L76" s="282">
        <v>774</v>
      </c>
      <c r="P76" s="533"/>
      <c r="Q76" s="342">
        <v>44744</v>
      </c>
      <c r="R76" s="2" t="s">
        <v>30</v>
      </c>
      <c r="S76" s="35" t="s">
        <v>9</v>
      </c>
      <c r="T76" s="2" t="s">
        <v>26</v>
      </c>
      <c r="U76" s="4" t="s">
        <v>1</v>
      </c>
      <c r="V76" s="350">
        <v>62.677999999999997</v>
      </c>
      <c r="W76" s="351">
        <v>4.3099999999999996</v>
      </c>
      <c r="X76" s="352">
        <v>1.76</v>
      </c>
      <c r="Y76" s="354">
        <v>8</v>
      </c>
      <c r="Z76" s="354">
        <v>44.666666666666664</v>
      </c>
      <c r="AA76" s="357">
        <v>261005949</v>
      </c>
      <c r="AB76" s="533"/>
    </row>
    <row r="77" spans="2:28" ht="15.5" x14ac:dyDescent="0.25">
      <c r="B77" s="311">
        <v>44763</v>
      </c>
      <c r="C77" s="2" t="s">
        <v>3</v>
      </c>
      <c r="D77" s="35" t="s">
        <v>2</v>
      </c>
      <c r="E77" s="2" t="s">
        <v>26</v>
      </c>
      <c r="F77" s="4" t="s">
        <v>1</v>
      </c>
      <c r="G77" s="301">
        <v>61.01</v>
      </c>
      <c r="H77" s="287">
        <v>6.11</v>
      </c>
      <c r="I77" s="287">
        <v>2.9</v>
      </c>
      <c r="J77" s="273"/>
      <c r="K77" s="273"/>
      <c r="L77" s="282">
        <v>777</v>
      </c>
      <c r="P77" s="533"/>
      <c r="Q77" s="356">
        <v>44745</v>
      </c>
      <c r="R77" s="2" t="s">
        <v>30</v>
      </c>
      <c r="S77" s="35" t="s">
        <v>9</v>
      </c>
      <c r="T77" s="2" t="s">
        <v>26</v>
      </c>
      <c r="U77" s="4" t="s">
        <v>1</v>
      </c>
      <c r="V77" s="350">
        <v>62.307000000000002</v>
      </c>
      <c r="W77" s="351">
        <v>4.1100000000000003</v>
      </c>
      <c r="X77" s="352">
        <v>2.66</v>
      </c>
      <c r="Y77" s="354">
        <v>6.4748201438848918</v>
      </c>
      <c r="Z77" s="354">
        <v>43.165467625899282</v>
      </c>
      <c r="AA77" s="357">
        <v>261005947</v>
      </c>
      <c r="AB77" s="533"/>
    </row>
    <row r="78" spans="2:28" ht="15.5" x14ac:dyDescent="0.25">
      <c r="B78" s="311">
        <v>44763</v>
      </c>
      <c r="C78" s="2" t="s">
        <v>3</v>
      </c>
      <c r="D78" s="35" t="s">
        <v>2</v>
      </c>
      <c r="E78" s="2" t="s">
        <v>26</v>
      </c>
      <c r="F78" s="4" t="s">
        <v>1</v>
      </c>
      <c r="G78" s="301">
        <v>60.65</v>
      </c>
      <c r="H78" s="287">
        <v>6.33</v>
      </c>
      <c r="I78" s="287">
        <v>3.19</v>
      </c>
      <c r="J78" s="273">
        <v>6.4</v>
      </c>
      <c r="K78" s="273">
        <v>40.5</v>
      </c>
      <c r="L78" s="282">
        <v>779</v>
      </c>
      <c r="P78" s="533"/>
      <c r="Q78" s="356">
        <v>44745</v>
      </c>
      <c r="R78" s="2" t="s">
        <v>30</v>
      </c>
      <c r="S78" s="35" t="s">
        <v>9</v>
      </c>
      <c r="T78" s="2" t="s">
        <v>26</v>
      </c>
      <c r="U78" s="4" t="s">
        <v>1</v>
      </c>
      <c r="V78" s="350">
        <v>62.426000000000002</v>
      </c>
      <c r="W78" s="351">
        <v>4.3499999999999996</v>
      </c>
      <c r="X78" s="352">
        <v>1.96</v>
      </c>
      <c r="Y78" s="354">
        <v>4.7244094488188972</v>
      </c>
      <c r="Z78" s="354">
        <v>46.456692913385837</v>
      </c>
      <c r="AA78" s="357">
        <v>261005951</v>
      </c>
      <c r="AB78" s="533"/>
    </row>
    <row r="79" spans="2:28" ht="15.5" x14ac:dyDescent="0.25">
      <c r="B79" s="311">
        <v>44763</v>
      </c>
      <c r="C79" s="2" t="s">
        <v>3</v>
      </c>
      <c r="D79" s="35" t="s">
        <v>9</v>
      </c>
      <c r="E79" s="2" t="s">
        <v>26</v>
      </c>
      <c r="F79" s="4" t="s">
        <v>0</v>
      </c>
      <c r="G79" s="305">
        <v>61.53</v>
      </c>
      <c r="H79" s="291">
        <v>5.55</v>
      </c>
      <c r="I79" s="291">
        <v>2.78</v>
      </c>
      <c r="J79" s="276">
        <v>10.3</v>
      </c>
      <c r="K79" s="276">
        <v>32.5</v>
      </c>
      <c r="L79" s="312" t="s">
        <v>227</v>
      </c>
      <c r="P79" s="533"/>
      <c r="Q79" s="356">
        <v>44745</v>
      </c>
      <c r="R79" s="2" t="s">
        <v>30</v>
      </c>
      <c r="S79" s="35" t="s">
        <v>9</v>
      </c>
      <c r="T79" s="2" t="s">
        <v>26</v>
      </c>
      <c r="U79" s="4" t="s">
        <v>1</v>
      </c>
      <c r="V79" s="350">
        <v>62.642999999999994</v>
      </c>
      <c r="W79" s="351">
        <v>4.1399999999999997</v>
      </c>
      <c r="X79" s="352">
        <v>1.7</v>
      </c>
      <c r="Y79" s="354">
        <v>8.1300813008130071</v>
      </c>
      <c r="Z79" s="354">
        <v>40.650406504065039</v>
      </c>
      <c r="AA79" s="357">
        <v>261005952</v>
      </c>
      <c r="AB79" s="533"/>
    </row>
    <row r="80" spans="2:28" ht="15.5" x14ac:dyDescent="0.35">
      <c r="B80" s="311">
        <v>44744</v>
      </c>
      <c r="C80" s="2" t="s">
        <v>3</v>
      </c>
      <c r="D80" s="35" t="s">
        <v>9</v>
      </c>
      <c r="E80" s="2" t="s">
        <v>26</v>
      </c>
      <c r="F80" s="4" t="s">
        <v>1</v>
      </c>
      <c r="G80" s="301">
        <v>61.25</v>
      </c>
      <c r="H80" s="293">
        <v>5.77</v>
      </c>
      <c r="I80" s="293">
        <v>2.95</v>
      </c>
      <c r="J80" s="273">
        <v>3.4</v>
      </c>
      <c r="K80" s="273">
        <v>44.1</v>
      </c>
      <c r="L80" s="282" t="s">
        <v>227</v>
      </c>
      <c r="P80" s="533"/>
      <c r="Q80" s="356">
        <v>44746</v>
      </c>
      <c r="R80" s="2" t="s">
        <v>30</v>
      </c>
      <c r="S80" s="35" t="s">
        <v>9</v>
      </c>
      <c r="T80" s="2" t="s">
        <v>26</v>
      </c>
      <c r="U80" s="4" t="s">
        <v>1</v>
      </c>
      <c r="V80" s="350">
        <v>61.51</v>
      </c>
      <c r="W80" s="351">
        <v>6.08</v>
      </c>
      <c r="X80" s="352">
        <v>1.89</v>
      </c>
      <c r="Y80" s="345">
        <v>6.4102564102564115</v>
      </c>
      <c r="Z80" s="345">
        <v>47.435897435897438</v>
      </c>
      <c r="AA80" s="357">
        <v>261005953</v>
      </c>
      <c r="AB80" s="533"/>
    </row>
    <row r="81" spans="2:28" ht="15.5" x14ac:dyDescent="0.35">
      <c r="B81" s="311">
        <v>44747</v>
      </c>
      <c r="C81" s="2" t="s">
        <v>3</v>
      </c>
      <c r="D81" s="35" t="s">
        <v>9</v>
      </c>
      <c r="E81" s="2" t="s">
        <v>26</v>
      </c>
      <c r="F81" s="4" t="s">
        <v>1</v>
      </c>
      <c r="G81" s="301">
        <v>61.74</v>
      </c>
      <c r="H81" s="297">
        <v>5.15</v>
      </c>
      <c r="I81" s="297">
        <v>2.77</v>
      </c>
      <c r="J81" s="277">
        <v>1.5</v>
      </c>
      <c r="K81" s="273">
        <v>47.8</v>
      </c>
      <c r="L81" s="282" t="s">
        <v>228</v>
      </c>
      <c r="P81" s="533"/>
      <c r="Q81" s="356">
        <v>44747</v>
      </c>
      <c r="R81" s="2" t="s">
        <v>30</v>
      </c>
      <c r="S81" s="35" t="s">
        <v>9</v>
      </c>
      <c r="T81" s="2" t="s">
        <v>26</v>
      </c>
      <c r="U81" s="4" t="s">
        <v>1</v>
      </c>
      <c r="V81" s="350">
        <v>63.38</v>
      </c>
      <c r="W81" s="351">
        <v>2.34</v>
      </c>
      <c r="X81" s="352">
        <v>2.46</v>
      </c>
      <c r="Y81" s="345">
        <v>6.1224489795918373</v>
      </c>
      <c r="Z81" s="345">
        <v>48.299319727891152</v>
      </c>
      <c r="AA81" s="357">
        <v>261005954</v>
      </c>
      <c r="AB81" s="533"/>
    </row>
    <row r="82" spans="2:28" ht="15.5" x14ac:dyDescent="0.35">
      <c r="B82" s="311">
        <v>44748</v>
      </c>
      <c r="C82" s="2" t="s">
        <v>3</v>
      </c>
      <c r="D82" s="35" t="s">
        <v>9</v>
      </c>
      <c r="E82" s="2" t="s">
        <v>26</v>
      </c>
      <c r="F82" s="4" t="s">
        <v>1</v>
      </c>
      <c r="G82" s="307">
        <v>61.53</v>
      </c>
      <c r="H82" s="293">
        <v>5.57</v>
      </c>
      <c r="I82" s="293">
        <v>2.67</v>
      </c>
      <c r="J82" s="273">
        <v>2.1</v>
      </c>
      <c r="K82" s="273">
        <v>45.1</v>
      </c>
      <c r="L82" s="282" t="s">
        <v>229</v>
      </c>
      <c r="P82" s="533"/>
      <c r="Q82" s="356">
        <v>44747</v>
      </c>
      <c r="R82" s="2" t="s">
        <v>30</v>
      </c>
      <c r="S82" s="35" t="s">
        <v>9</v>
      </c>
      <c r="T82" s="2" t="s">
        <v>26</v>
      </c>
      <c r="U82" s="4" t="s">
        <v>1</v>
      </c>
      <c r="V82" s="350">
        <v>62.25</v>
      </c>
      <c r="W82" s="351">
        <v>4.6399999999999997</v>
      </c>
      <c r="X82" s="352">
        <v>2.14</v>
      </c>
      <c r="Y82" s="345">
        <v>6.7567567567567561</v>
      </c>
      <c r="Z82" s="345">
        <v>45.945945945945944</v>
      </c>
      <c r="AA82" s="357">
        <v>261005955</v>
      </c>
      <c r="AB82" s="533"/>
    </row>
    <row r="83" spans="2:28" ht="15.5" x14ac:dyDescent="0.35">
      <c r="B83" s="311">
        <v>44755</v>
      </c>
      <c r="C83" s="2" t="s">
        <v>3</v>
      </c>
      <c r="D83" s="35" t="s">
        <v>9</v>
      </c>
      <c r="E83" s="2" t="s">
        <v>26</v>
      </c>
      <c r="F83" s="4" t="s">
        <v>1</v>
      </c>
      <c r="G83" s="301">
        <v>60.97</v>
      </c>
      <c r="H83" s="293">
        <v>6.16</v>
      </c>
      <c r="I83" s="297">
        <v>3.02</v>
      </c>
      <c r="J83" s="273">
        <v>4.2</v>
      </c>
      <c r="K83" s="273">
        <v>44.3</v>
      </c>
      <c r="L83" s="282" t="s">
        <v>230</v>
      </c>
      <c r="P83" s="533"/>
      <c r="Q83" s="356">
        <v>44747</v>
      </c>
      <c r="R83" s="2" t="s">
        <v>30</v>
      </c>
      <c r="S83" s="35" t="s">
        <v>9</v>
      </c>
      <c r="T83" s="2" t="s">
        <v>26</v>
      </c>
      <c r="U83" s="4" t="s">
        <v>1</v>
      </c>
      <c r="V83" s="350">
        <v>60.34</v>
      </c>
      <c r="W83" s="351">
        <v>8.43</v>
      </c>
      <c r="X83" s="352">
        <v>1.74</v>
      </c>
      <c r="Y83" s="345">
        <v>6.7164179104477624</v>
      </c>
      <c r="Z83" s="345">
        <v>43.28358208955224</v>
      </c>
      <c r="AA83" s="357">
        <v>261005958</v>
      </c>
      <c r="AB83" s="533"/>
    </row>
    <row r="84" spans="2:28" ht="15.5" x14ac:dyDescent="0.35">
      <c r="B84" s="311">
        <v>44763</v>
      </c>
      <c r="C84" s="2" t="s">
        <v>3</v>
      </c>
      <c r="D84" s="35" t="s">
        <v>9</v>
      </c>
      <c r="E84" s="2" t="s">
        <v>26</v>
      </c>
      <c r="F84" s="4" t="s">
        <v>1</v>
      </c>
      <c r="G84" s="301">
        <v>61.1</v>
      </c>
      <c r="H84" s="297">
        <v>5.87</v>
      </c>
      <c r="I84" s="297">
        <v>3.18</v>
      </c>
      <c r="J84" s="273">
        <v>3.5</v>
      </c>
      <c r="K84" s="273">
        <v>45.8</v>
      </c>
      <c r="L84" s="282" t="s">
        <v>231</v>
      </c>
      <c r="P84" s="533"/>
      <c r="Q84" s="356">
        <v>44748</v>
      </c>
      <c r="R84" s="2" t="s">
        <v>30</v>
      </c>
      <c r="S84" s="35" t="s">
        <v>9</v>
      </c>
      <c r="T84" s="2" t="s">
        <v>26</v>
      </c>
      <c r="U84" s="4" t="s">
        <v>1</v>
      </c>
      <c r="V84" s="350">
        <v>60.61</v>
      </c>
      <c r="W84" s="351">
        <v>5.36</v>
      </c>
      <c r="X84" s="352">
        <v>3.62</v>
      </c>
      <c r="Y84" s="345">
        <v>6.3829787234042552</v>
      </c>
      <c r="Z84" s="345">
        <v>47.5177304964539</v>
      </c>
      <c r="AA84" s="357">
        <v>261005957</v>
      </c>
      <c r="AB84" s="533"/>
    </row>
    <row r="85" spans="2:28" ht="15.5" x14ac:dyDescent="0.25">
      <c r="B85" s="311">
        <v>44744</v>
      </c>
      <c r="C85" s="2" t="s">
        <v>3</v>
      </c>
      <c r="D85" s="35" t="s">
        <v>11</v>
      </c>
      <c r="E85" s="2" t="s">
        <v>26</v>
      </c>
      <c r="F85" s="4" t="s">
        <v>0</v>
      </c>
      <c r="G85" s="303">
        <v>62.18</v>
      </c>
      <c r="H85" s="293">
        <v>4.58</v>
      </c>
      <c r="I85" s="293">
        <v>2.63</v>
      </c>
      <c r="J85" s="273">
        <v>17.5</v>
      </c>
      <c r="K85" s="273">
        <v>25.3</v>
      </c>
      <c r="L85" s="282" t="s">
        <v>227</v>
      </c>
      <c r="P85" s="533"/>
      <c r="Q85" s="356">
        <v>44748</v>
      </c>
      <c r="R85" s="2" t="s">
        <v>30</v>
      </c>
      <c r="S85" s="35" t="s">
        <v>9</v>
      </c>
      <c r="T85" s="2" t="s">
        <v>26</v>
      </c>
      <c r="U85" s="4" t="s">
        <v>1</v>
      </c>
      <c r="V85" s="350">
        <v>61.67</v>
      </c>
      <c r="W85" s="351">
        <v>4.7699999999999996</v>
      </c>
      <c r="X85" s="352">
        <v>2.74</v>
      </c>
      <c r="Y85" s="354">
        <v>6.3492063492063506</v>
      </c>
      <c r="Z85" s="354">
        <v>46.031746031746032</v>
      </c>
      <c r="AA85" s="357">
        <v>261005959</v>
      </c>
      <c r="AB85" s="533"/>
    </row>
    <row r="86" spans="2:28" ht="15.5" x14ac:dyDescent="0.25">
      <c r="B86" s="311">
        <v>44744</v>
      </c>
      <c r="C86" s="2" t="s">
        <v>3</v>
      </c>
      <c r="D86" s="35" t="s">
        <v>11</v>
      </c>
      <c r="E86" s="2" t="s">
        <v>26</v>
      </c>
      <c r="F86" s="4" t="s">
        <v>0</v>
      </c>
      <c r="G86" s="301">
        <v>61.08</v>
      </c>
      <c r="H86" s="297">
        <v>5.94</v>
      </c>
      <c r="I86" s="297">
        <v>3.07</v>
      </c>
      <c r="J86" s="273">
        <v>18.3</v>
      </c>
      <c r="K86" s="273">
        <v>22.5</v>
      </c>
      <c r="L86" s="282" t="s">
        <v>228</v>
      </c>
      <c r="P86" s="533"/>
      <c r="Q86" s="356">
        <v>44748</v>
      </c>
      <c r="R86" s="2" t="s">
        <v>30</v>
      </c>
      <c r="S86" s="35" t="s">
        <v>9</v>
      </c>
      <c r="T86" s="2" t="s">
        <v>26</v>
      </c>
      <c r="U86" s="4" t="s">
        <v>1</v>
      </c>
      <c r="V86" s="350">
        <v>62.15</v>
      </c>
      <c r="W86" s="351">
        <v>5.05</v>
      </c>
      <c r="X86" s="352">
        <v>1.93</v>
      </c>
      <c r="Y86" s="354">
        <v>6.5359477124183014</v>
      </c>
      <c r="Z86" s="354">
        <v>47.058823529411761</v>
      </c>
      <c r="AA86" s="357">
        <v>261005960</v>
      </c>
      <c r="AB86" s="533"/>
    </row>
    <row r="87" spans="2:28" ht="15.5" x14ac:dyDescent="0.25">
      <c r="B87" s="311">
        <v>44745</v>
      </c>
      <c r="C87" s="2" t="s">
        <v>3</v>
      </c>
      <c r="D87" s="35" t="s">
        <v>11</v>
      </c>
      <c r="E87" s="2" t="s">
        <v>26</v>
      </c>
      <c r="F87" s="4" t="s">
        <v>0</v>
      </c>
      <c r="G87" s="301">
        <v>62.85</v>
      </c>
      <c r="H87" s="293">
        <v>3.78</v>
      </c>
      <c r="I87" s="293">
        <v>2.58</v>
      </c>
      <c r="J87" s="273">
        <v>8.5</v>
      </c>
      <c r="K87" s="273">
        <v>32.299999999999997</v>
      </c>
      <c r="L87" s="282" t="s">
        <v>229</v>
      </c>
      <c r="P87" s="533"/>
      <c r="Q87" s="356">
        <v>44748</v>
      </c>
      <c r="R87" s="2" t="s">
        <v>30</v>
      </c>
      <c r="S87" s="35" t="s">
        <v>9</v>
      </c>
      <c r="T87" s="2" t="s">
        <v>26</v>
      </c>
      <c r="U87" s="4" t="s">
        <v>1</v>
      </c>
      <c r="V87" s="350">
        <v>59.95</v>
      </c>
      <c r="W87" s="351">
        <v>7.91</v>
      </c>
      <c r="X87" s="352">
        <v>2.5</v>
      </c>
      <c r="Y87" s="354">
        <v>6.6265060240963862</v>
      </c>
      <c r="Z87" s="354">
        <v>45.180722891566262</v>
      </c>
      <c r="AA87" s="357">
        <v>261005961</v>
      </c>
      <c r="AB87" s="533"/>
    </row>
    <row r="88" spans="2:28" ht="15.5" x14ac:dyDescent="0.35">
      <c r="B88" s="311">
        <v>44746</v>
      </c>
      <c r="C88" s="2" t="s">
        <v>3</v>
      </c>
      <c r="D88" s="35" t="s">
        <v>11</v>
      </c>
      <c r="E88" s="2" t="s">
        <v>26</v>
      </c>
      <c r="F88" s="4" t="s">
        <v>0</v>
      </c>
      <c r="G88" s="301">
        <v>62.56</v>
      </c>
      <c r="H88" s="297">
        <v>3.71</v>
      </c>
      <c r="I88" s="297">
        <v>2.88</v>
      </c>
      <c r="J88" s="273">
        <v>15.4</v>
      </c>
      <c r="K88" s="277">
        <v>25.4</v>
      </c>
      <c r="L88" s="282" t="s">
        <v>230</v>
      </c>
      <c r="P88" s="533"/>
      <c r="Q88" s="356">
        <v>44750</v>
      </c>
      <c r="R88" s="2" t="s">
        <v>30</v>
      </c>
      <c r="S88" s="35" t="s">
        <v>9</v>
      </c>
      <c r="T88" s="2" t="s">
        <v>26</v>
      </c>
      <c r="U88" s="4" t="s">
        <v>1</v>
      </c>
      <c r="V88" s="350">
        <v>62.08</v>
      </c>
      <c r="W88" s="351">
        <v>4.9800000000000004</v>
      </c>
      <c r="X88" s="352">
        <v>2.0099999999999998</v>
      </c>
      <c r="Y88" s="345">
        <v>6.3380281690140841</v>
      </c>
      <c r="Z88" s="345">
        <v>44.366197183098592</v>
      </c>
      <c r="AA88" s="357">
        <v>261005964</v>
      </c>
      <c r="AB88" s="533"/>
    </row>
    <row r="89" spans="2:28" ht="15.5" x14ac:dyDescent="0.35">
      <c r="B89" s="314">
        <v>44746</v>
      </c>
      <c r="C89" s="2" t="s">
        <v>3</v>
      </c>
      <c r="D89" s="35" t="s">
        <v>11</v>
      </c>
      <c r="E89" s="2" t="s">
        <v>26</v>
      </c>
      <c r="F89" s="4" t="s">
        <v>0</v>
      </c>
      <c r="G89" s="301">
        <v>62.19</v>
      </c>
      <c r="H89" s="297">
        <v>5.09</v>
      </c>
      <c r="I89" s="297">
        <v>2.3199999999999998</v>
      </c>
      <c r="J89" s="273">
        <v>17.2</v>
      </c>
      <c r="K89" s="273">
        <v>27.7</v>
      </c>
      <c r="L89" s="282" t="s">
        <v>231</v>
      </c>
      <c r="P89" s="533"/>
      <c r="Q89" s="356">
        <v>44750</v>
      </c>
      <c r="R89" s="2" t="s">
        <v>30</v>
      </c>
      <c r="S89" s="35" t="s">
        <v>9</v>
      </c>
      <c r="T89" s="2" t="s">
        <v>26</v>
      </c>
      <c r="U89" s="4" t="s">
        <v>1</v>
      </c>
      <c r="V89" s="350">
        <v>61.31</v>
      </c>
      <c r="W89" s="351">
        <v>5.72</v>
      </c>
      <c r="X89" s="352">
        <v>2.59</v>
      </c>
      <c r="Y89" s="345">
        <v>3.6496350364963508</v>
      </c>
      <c r="Z89" s="345">
        <v>45.985401459854018</v>
      </c>
      <c r="AA89" s="357">
        <v>261005965</v>
      </c>
      <c r="AB89" s="533"/>
    </row>
    <row r="90" spans="2:28" ht="15.5" x14ac:dyDescent="0.35">
      <c r="B90" s="314">
        <v>44747</v>
      </c>
      <c r="C90" s="2" t="s">
        <v>3</v>
      </c>
      <c r="D90" s="35" t="s">
        <v>11</v>
      </c>
      <c r="E90" s="2" t="s">
        <v>26</v>
      </c>
      <c r="F90" s="4" t="s">
        <v>0</v>
      </c>
      <c r="G90" s="303">
        <v>62.87</v>
      </c>
      <c r="H90" s="293">
        <v>3.44</v>
      </c>
      <c r="I90" s="293">
        <v>2.8</v>
      </c>
      <c r="J90" s="273">
        <v>13.5</v>
      </c>
      <c r="K90" s="273">
        <v>25.2</v>
      </c>
      <c r="L90" s="282" t="s">
        <v>232</v>
      </c>
      <c r="P90" s="533"/>
      <c r="Q90" s="356">
        <v>44751</v>
      </c>
      <c r="R90" s="2" t="s">
        <v>30</v>
      </c>
      <c r="S90" s="35" t="s">
        <v>9</v>
      </c>
      <c r="T90" s="2" t="s">
        <v>26</v>
      </c>
      <c r="U90" s="4" t="s">
        <v>1</v>
      </c>
      <c r="V90" s="350">
        <v>60.780999999999992</v>
      </c>
      <c r="W90" s="351">
        <v>6.15</v>
      </c>
      <c r="X90" s="352">
        <v>2.83</v>
      </c>
      <c r="Y90" s="345">
        <v>5.7971014492753632</v>
      </c>
      <c r="Z90" s="345">
        <v>44.20289855072464</v>
      </c>
      <c r="AA90" s="357">
        <v>261005966</v>
      </c>
      <c r="AB90" s="533"/>
    </row>
    <row r="91" spans="2:28" ht="15.5" x14ac:dyDescent="0.35">
      <c r="B91" s="314">
        <v>44748</v>
      </c>
      <c r="C91" s="2" t="s">
        <v>3</v>
      </c>
      <c r="D91" s="35" t="s">
        <v>11</v>
      </c>
      <c r="E91" s="2" t="s">
        <v>26</v>
      </c>
      <c r="F91" s="4" t="s">
        <v>0</v>
      </c>
      <c r="G91" s="301">
        <v>62.6</v>
      </c>
      <c r="H91" s="293">
        <v>3.91</v>
      </c>
      <c r="I91" s="293">
        <v>2.71</v>
      </c>
      <c r="J91" s="277">
        <v>10.1</v>
      </c>
      <c r="K91" s="273">
        <v>27.4</v>
      </c>
      <c r="L91" s="282" t="s">
        <v>233</v>
      </c>
      <c r="P91" s="533"/>
      <c r="Q91" s="356">
        <v>44751</v>
      </c>
      <c r="R91" s="2" t="s">
        <v>30</v>
      </c>
      <c r="S91" s="35" t="s">
        <v>9</v>
      </c>
      <c r="T91" s="2" t="s">
        <v>26</v>
      </c>
      <c r="U91" s="4" t="s">
        <v>1</v>
      </c>
      <c r="V91" s="350">
        <v>61.823999999999991</v>
      </c>
      <c r="W91" s="351">
        <v>4.72</v>
      </c>
      <c r="X91" s="352">
        <v>2.54</v>
      </c>
      <c r="Y91" s="345">
        <v>5.8394160583941614</v>
      </c>
      <c r="Z91" s="345">
        <v>45.255474452554751</v>
      </c>
      <c r="AA91" s="357">
        <v>261005969</v>
      </c>
      <c r="AB91" s="533"/>
    </row>
    <row r="92" spans="2:28" ht="15.5" x14ac:dyDescent="0.25">
      <c r="B92" s="314">
        <v>44749</v>
      </c>
      <c r="C92" s="2" t="s">
        <v>3</v>
      </c>
      <c r="D92" s="35" t="s">
        <v>11</v>
      </c>
      <c r="E92" s="2" t="s">
        <v>26</v>
      </c>
      <c r="F92" s="4" t="s">
        <v>0</v>
      </c>
      <c r="G92" s="303">
        <v>62.64</v>
      </c>
      <c r="H92" s="293">
        <v>3.93</v>
      </c>
      <c r="I92" s="293">
        <v>2.63</v>
      </c>
      <c r="J92" s="273">
        <v>20.399999999999999</v>
      </c>
      <c r="K92" s="273">
        <v>23.2</v>
      </c>
      <c r="L92" s="282" t="s">
        <v>234</v>
      </c>
      <c r="P92" s="533"/>
      <c r="Q92" s="356">
        <v>44751</v>
      </c>
      <c r="R92" s="2" t="s">
        <v>30</v>
      </c>
      <c r="S92" s="35" t="s">
        <v>9</v>
      </c>
      <c r="T92" s="2" t="s">
        <v>26</v>
      </c>
      <c r="U92" s="4" t="s">
        <v>1</v>
      </c>
      <c r="V92" s="350">
        <v>62.215999999999994</v>
      </c>
      <c r="W92" s="351">
        <v>4.45</v>
      </c>
      <c r="X92" s="352">
        <v>2.14</v>
      </c>
      <c r="Y92" s="334">
        <v>6.3829787234042561</v>
      </c>
      <c r="Z92" s="334">
        <v>46.099290780141843</v>
      </c>
      <c r="AA92" s="357">
        <v>261005967</v>
      </c>
      <c r="AB92" s="533"/>
    </row>
    <row r="93" spans="2:28" ht="15.5" x14ac:dyDescent="0.35">
      <c r="B93" s="314">
        <v>44749</v>
      </c>
      <c r="C93" s="2" t="s">
        <v>3</v>
      </c>
      <c r="D93" s="35" t="s">
        <v>11</v>
      </c>
      <c r="E93" s="2" t="s">
        <v>26</v>
      </c>
      <c r="F93" s="4" t="s">
        <v>0</v>
      </c>
      <c r="G93" s="301">
        <v>62.69</v>
      </c>
      <c r="H93" s="295">
        <v>4.09</v>
      </c>
      <c r="I93" s="295">
        <v>2.5</v>
      </c>
      <c r="J93" s="273">
        <v>15.2</v>
      </c>
      <c r="K93" s="273">
        <v>27.3</v>
      </c>
      <c r="L93" s="285" t="s">
        <v>235</v>
      </c>
      <c r="P93" s="533"/>
      <c r="Q93" s="356">
        <v>44752</v>
      </c>
      <c r="R93" s="2" t="s">
        <v>30</v>
      </c>
      <c r="S93" s="35" t="s">
        <v>9</v>
      </c>
      <c r="T93" s="2" t="s">
        <v>26</v>
      </c>
      <c r="U93" s="4" t="s">
        <v>1</v>
      </c>
      <c r="V93" s="350">
        <v>60.86</v>
      </c>
      <c r="W93" s="351">
        <v>6.22</v>
      </c>
      <c r="X93" s="352">
        <v>2.59</v>
      </c>
      <c r="Y93" s="345">
        <v>6.0606060606060614</v>
      </c>
      <c r="Z93" s="345">
        <v>43.939393939393938</v>
      </c>
      <c r="AA93" s="357">
        <v>261005968</v>
      </c>
      <c r="AB93" s="533"/>
    </row>
    <row r="94" spans="2:28" ht="15.5" x14ac:dyDescent="0.35">
      <c r="B94" s="314">
        <v>44750</v>
      </c>
      <c r="C94" s="2" t="s">
        <v>3</v>
      </c>
      <c r="D94" s="35" t="s">
        <v>11</v>
      </c>
      <c r="E94" s="2" t="s">
        <v>26</v>
      </c>
      <c r="F94" s="4" t="s">
        <v>0</v>
      </c>
      <c r="G94" s="301">
        <v>62.68</v>
      </c>
      <c r="H94" s="298">
        <v>3.99</v>
      </c>
      <c r="I94" s="298">
        <v>2.5299999999999998</v>
      </c>
      <c r="J94" s="273">
        <v>13</v>
      </c>
      <c r="K94" s="273">
        <v>28.4</v>
      </c>
      <c r="L94" s="285" t="s">
        <v>236</v>
      </c>
      <c r="P94" s="533"/>
      <c r="Q94" s="356">
        <v>44752</v>
      </c>
      <c r="R94" s="2" t="s">
        <v>30</v>
      </c>
      <c r="S94" s="35" t="s">
        <v>9</v>
      </c>
      <c r="T94" s="2" t="s">
        <v>26</v>
      </c>
      <c r="U94" s="4" t="s">
        <v>1</v>
      </c>
      <c r="V94" s="350">
        <v>61.33</v>
      </c>
      <c r="W94" s="351">
        <v>5.03</v>
      </c>
      <c r="X94" s="352">
        <v>3.15</v>
      </c>
      <c r="Y94" s="345">
        <v>5.298013245033113</v>
      </c>
      <c r="Z94" s="345">
        <v>48.344370860927157</v>
      </c>
      <c r="AA94" s="357">
        <v>241000377</v>
      </c>
      <c r="AB94" s="533"/>
    </row>
    <row r="95" spans="2:28" ht="15.5" x14ac:dyDescent="0.35">
      <c r="B95" s="314">
        <v>44751</v>
      </c>
      <c r="C95" s="2" t="s">
        <v>3</v>
      </c>
      <c r="D95" s="35" t="s">
        <v>11</v>
      </c>
      <c r="E95" s="2" t="s">
        <v>26</v>
      </c>
      <c r="F95" s="4" t="s">
        <v>0</v>
      </c>
      <c r="G95" s="301">
        <v>63.08</v>
      </c>
      <c r="H95" s="298">
        <v>3.32</v>
      </c>
      <c r="I95" s="298">
        <v>2.62</v>
      </c>
      <c r="J95" s="273">
        <v>17.2</v>
      </c>
      <c r="K95" s="277">
        <v>24.5</v>
      </c>
      <c r="L95" s="285" t="s">
        <v>237</v>
      </c>
      <c r="P95" s="533"/>
      <c r="Q95" s="356">
        <v>44753</v>
      </c>
      <c r="R95" s="2" t="s">
        <v>30</v>
      </c>
      <c r="S95" s="35" t="s">
        <v>9</v>
      </c>
      <c r="T95" s="2" t="s">
        <v>26</v>
      </c>
      <c r="U95" s="4" t="s">
        <v>1</v>
      </c>
      <c r="V95" s="350">
        <v>61.31</v>
      </c>
      <c r="W95" s="351">
        <v>5.47</v>
      </c>
      <c r="X95" s="352">
        <v>2.63</v>
      </c>
      <c r="Y95" s="345">
        <v>7.4074074074074066</v>
      </c>
      <c r="Z95" s="345">
        <v>40.74074074074074</v>
      </c>
      <c r="AA95" s="357">
        <v>261005970</v>
      </c>
      <c r="AB95" s="533"/>
    </row>
    <row r="96" spans="2:28" ht="15.5" x14ac:dyDescent="0.35">
      <c r="B96" s="314">
        <v>44752</v>
      </c>
      <c r="C96" s="2" t="s">
        <v>3</v>
      </c>
      <c r="D96" s="35" t="s">
        <v>11</v>
      </c>
      <c r="E96" s="2" t="s">
        <v>26</v>
      </c>
      <c r="F96" s="4" t="s">
        <v>0</v>
      </c>
      <c r="G96" s="301">
        <v>62.22</v>
      </c>
      <c r="H96" s="298">
        <v>4.0999999999999996</v>
      </c>
      <c r="I96" s="298">
        <v>3.05</v>
      </c>
      <c r="J96" s="273">
        <v>15.3</v>
      </c>
      <c r="K96" s="273">
        <v>27.6</v>
      </c>
      <c r="L96" s="285" t="s">
        <v>237</v>
      </c>
      <c r="P96" s="533"/>
      <c r="Q96" s="356">
        <v>44753</v>
      </c>
      <c r="R96" s="2" t="s">
        <v>30</v>
      </c>
      <c r="S96" s="35" t="s">
        <v>9</v>
      </c>
      <c r="T96" s="2" t="s">
        <v>26</v>
      </c>
      <c r="U96" s="4" t="s">
        <v>1</v>
      </c>
      <c r="V96" s="350">
        <v>61.35</v>
      </c>
      <c r="W96" s="351">
        <v>5.7</v>
      </c>
      <c r="X96" s="352">
        <v>2.34</v>
      </c>
      <c r="Y96" s="345">
        <v>5.6603773584905666</v>
      </c>
      <c r="Z96" s="345">
        <v>45.283018867924532</v>
      </c>
      <c r="AA96" s="357">
        <v>261005971</v>
      </c>
      <c r="AB96" s="533"/>
    </row>
    <row r="97" spans="2:28" ht="15.5" x14ac:dyDescent="0.35">
      <c r="B97" s="311">
        <v>44753</v>
      </c>
      <c r="C97" s="2" t="s">
        <v>3</v>
      </c>
      <c r="D97" s="35" t="s">
        <v>11</v>
      </c>
      <c r="E97" s="2" t="s">
        <v>26</v>
      </c>
      <c r="F97" s="4" t="s">
        <v>0</v>
      </c>
      <c r="G97" s="305">
        <v>62.26</v>
      </c>
      <c r="H97" s="298">
        <v>4.28</v>
      </c>
      <c r="I97" s="298">
        <v>2.74</v>
      </c>
      <c r="J97" s="276">
        <v>22.6</v>
      </c>
      <c r="K97" s="276">
        <v>18.2</v>
      </c>
      <c r="L97" s="285" t="s">
        <v>238</v>
      </c>
      <c r="P97" s="533"/>
      <c r="Q97" s="356">
        <v>44753</v>
      </c>
      <c r="R97" s="2" t="s">
        <v>30</v>
      </c>
      <c r="S97" s="35" t="s">
        <v>9</v>
      </c>
      <c r="T97" s="2" t="s">
        <v>26</v>
      </c>
      <c r="U97" s="4" t="s">
        <v>1</v>
      </c>
      <c r="V97" s="350">
        <v>59.55</v>
      </c>
      <c r="W97" s="351">
        <v>7.99</v>
      </c>
      <c r="X97" s="352">
        <v>3.07</v>
      </c>
      <c r="Y97" s="345">
        <v>6.7901234567901234</v>
      </c>
      <c r="Z97" s="345">
        <v>45.679012345679006</v>
      </c>
      <c r="AA97" s="357">
        <v>261005972</v>
      </c>
      <c r="AB97" s="533"/>
    </row>
    <row r="98" spans="2:28" ht="15.5" x14ac:dyDescent="0.35">
      <c r="B98" s="311">
        <v>44764</v>
      </c>
      <c r="C98" s="2" t="s">
        <v>3</v>
      </c>
      <c r="D98" s="35" t="s">
        <v>11</v>
      </c>
      <c r="E98" s="2" t="s">
        <v>26</v>
      </c>
      <c r="F98" s="4" t="s">
        <v>0</v>
      </c>
      <c r="G98" s="306">
        <v>61.38</v>
      </c>
      <c r="H98" s="295">
        <v>6.12</v>
      </c>
      <c r="I98" s="295">
        <v>2.4500000000000002</v>
      </c>
      <c r="J98" s="276">
        <v>19.399999999999999</v>
      </c>
      <c r="K98" s="281">
        <v>23.2</v>
      </c>
      <c r="L98" s="285" t="s">
        <v>239</v>
      </c>
      <c r="P98" s="533"/>
      <c r="Q98" s="356">
        <v>44754</v>
      </c>
      <c r="R98" s="2" t="s">
        <v>30</v>
      </c>
      <c r="S98" s="35" t="s">
        <v>9</v>
      </c>
      <c r="T98" s="2" t="s">
        <v>26</v>
      </c>
      <c r="U98" s="4" t="s">
        <v>1</v>
      </c>
      <c r="V98" s="350">
        <v>60.89</v>
      </c>
      <c r="W98" s="351">
        <v>5.69</v>
      </c>
      <c r="X98" s="352">
        <v>3.04</v>
      </c>
      <c r="Y98" s="345">
        <v>8.9743589743589745</v>
      </c>
      <c r="Z98" s="345">
        <v>42.948717948717956</v>
      </c>
      <c r="AA98" s="357">
        <v>241000379</v>
      </c>
      <c r="AB98" s="533"/>
    </row>
    <row r="99" spans="2:28" ht="15.5" x14ac:dyDescent="0.25">
      <c r="B99" s="311">
        <v>44743</v>
      </c>
      <c r="C99" s="2" t="s">
        <v>3</v>
      </c>
      <c r="D99" s="35" t="s">
        <v>11</v>
      </c>
      <c r="E99" s="2" t="s">
        <v>26</v>
      </c>
      <c r="F99" s="4" t="s">
        <v>1</v>
      </c>
      <c r="G99" s="310">
        <v>61.72</v>
      </c>
      <c r="H99" s="298">
        <v>5.1100000000000003</v>
      </c>
      <c r="I99" s="298">
        <v>3.07</v>
      </c>
      <c r="J99" s="276">
        <v>7.4</v>
      </c>
      <c r="K99" s="276">
        <v>37.5</v>
      </c>
      <c r="L99" s="285" t="s">
        <v>227</v>
      </c>
      <c r="P99" s="533"/>
      <c r="Q99" s="356">
        <v>44754</v>
      </c>
      <c r="R99" s="2" t="s">
        <v>30</v>
      </c>
      <c r="S99" s="35" t="s">
        <v>9</v>
      </c>
      <c r="T99" s="2" t="s">
        <v>26</v>
      </c>
      <c r="U99" s="4" t="s">
        <v>1</v>
      </c>
      <c r="V99" s="350">
        <v>59.87</v>
      </c>
      <c r="W99" s="351">
        <v>6.9</v>
      </c>
      <c r="X99" s="352">
        <v>3.44</v>
      </c>
      <c r="Y99" s="334">
        <v>6.0869565217391299</v>
      </c>
      <c r="Z99" s="334">
        <v>53.043478260869556</v>
      </c>
      <c r="AA99" s="357">
        <v>261005973</v>
      </c>
      <c r="AB99" s="533"/>
    </row>
    <row r="100" spans="2:28" ht="15.5" x14ac:dyDescent="0.25">
      <c r="B100" s="314">
        <v>44744</v>
      </c>
      <c r="C100" s="2" t="s">
        <v>3</v>
      </c>
      <c r="D100" s="35" t="s">
        <v>11</v>
      </c>
      <c r="E100" s="2" t="s">
        <v>26</v>
      </c>
      <c r="F100" s="4" t="s">
        <v>1</v>
      </c>
      <c r="G100" s="309">
        <v>61.9</v>
      </c>
      <c r="H100" s="300">
        <v>4.84</v>
      </c>
      <c r="I100" s="300">
        <v>2.95</v>
      </c>
      <c r="J100" s="280">
        <v>5.2</v>
      </c>
      <c r="K100" s="279">
        <v>42.1</v>
      </c>
      <c r="L100" s="286" t="s">
        <v>228</v>
      </c>
      <c r="P100" s="533"/>
      <c r="Q100" s="356">
        <v>44754</v>
      </c>
      <c r="R100" s="2" t="s">
        <v>30</v>
      </c>
      <c r="S100" s="35" t="s">
        <v>9</v>
      </c>
      <c r="T100" s="2" t="s">
        <v>26</v>
      </c>
      <c r="U100" s="4" t="s">
        <v>1</v>
      </c>
      <c r="V100" s="350">
        <v>61.01</v>
      </c>
      <c r="W100" s="351">
        <v>5.55</v>
      </c>
      <c r="X100" s="352">
        <v>3.02</v>
      </c>
      <c r="Y100" s="334">
        <v>9.4936708860759484</v>
      </c>
      <c r="Z100" s="334">
        <v>40.506329113924053</v>
      </c>
      <c r="AA100" s="357">
        <v>261005974</v>
      </c>
      <c r="AB100" s="533"/>
    </row>
    <row r="101" spans="2:28" ht="15.5" x14ac:dyDescent="0.35">
      <c r="B101" s="311">
        <v>44745</v>
      </c>
      <c r="C101" s="2" t="s">
        <v>3</v>
      </c>
      <c r="D101" s="35" t="s">
        <v>11</v>
      </c>
      <c r="E101" s="2" t="s">
        <v>26</v>
      </c>
      <c r="F101" s="4" t="s">
        <v>1</v>
      </c>
      <c r="G101" s="307">
        <v>61.83</v>
      </c>
      <c r="H101" s="297">
        <v>4.8899999999999997</v>
      </c>
      <c r="I101" s="297">
        <v>2.82</v>
      </c>
      <c r="J101" s="277">
        <v>6.5</v>
      </c>
      <c r="K101" s="277">
        <v>38.299999999999997</v>
      </c>
      <c r="L101" s="282" t="s">
        <v>229</v>
      </c>
      <c r="P101" s="533"/>
      <c r="Q101" s="356">
        <v>44755</v>
      </c>
      <c r="R101" s="2" t="s">
        <v>30</v>
      </c>
      <c r="S101" s="35" t="s">
        <v>9</v>
      </c>
      <c r="T101" s="2" t="s">
        <v>26</v>
      </c>
      <c r="U101" s="4" t="s">
        <v>1</v>
      </c>
      <c r="V101" s="350">
        <v>62.75</v>
      </c>
      <c r="W101" s="351">
        <v>3.83</v>
      </c>
      <c r="X101" s="352">
        <v>1.86</v>
      </c>
      <c r="Y101" s="345">
        <v>7.8125</v>
      </c>
      <c r="Z101" s="345">
        <v>42.96875</v>
      </c>
      <c r="AA101" s="357">
        <v>241000378</v>
      </c>
      <c r="AB101" s="533"/>
    </row>
    <row r="102" spans="2:28" ht="15.5" x14ac:dyDescent="0.35">
      <c r="B102" s="311">
        <v>44745</v>
      </c>
      <c r="C102" s="2" t="s">
        <v>3</v>
      </c>
      <c r="D102" s="35" t="s">
        <v>11</v>
      </c>
      <c r="E102" s="2" t="s">
        <v>26</v>
      </c>
      <c r="F102" s="4" t="s">
        <v>1</v>
      </c>
      <c r="G102" s="307">
        <v>61.86</v>
      </c>
      <c r="H102" s="297">
        <v>4.5999999999999996</v>
      </c>
      <c r="I102" s="297">
        <v>3.19</v>
      </c>
      <c r="J102" s="277">
        <v>4.3</v>
      </c>
      <c r="K102" s="273">
        <v>40.4</v>
      </c>
      <c r="L102" s="282" t="s">
        <v>230</v>
      </c>
      <c r="P102" s="533"/>
      <c r="Q102" s="356">
        <v>44755</v>
      </c>
      <c r="R102" s="2" t="s">
        <v>30</v>
      </c>
      <c r="S102" s="35" t="s">
        <v>9</v>
      </c>
      <c r="T102" s="2" t="s">
        <v>26</v>
      </c>
      <c r="U102" s="4" t="s">
        <v>1</v>
      </c>
      <c r="V102" s="350">
        <v>60.63</v>
      </c>
      <c r="W102" s="351">
        <v>6.15</v>
      </c>
      <c r="X102" s="352">
        <v>2.98</v>
      </c>
      <c r="Y102" s="345">
        <v>6.4285714285714297</v>
      </c>
      <c r="Z102" s="345">
        <v>42.857142857142854</v>
      </c>
      <c r="AA102" s="357">
        <v>241000380</v>
      </c>
      <c r="AB102" s="533"/>
    </row>
    <row r="103" spans="2:28" ht="15.5" x14ac:dyDescent="0.35">
      <c r="B103" s="311">
        <v>44746</v>
      </c>
      <c r="C103" s="2" t="s">
        <v>3</v>
      </c>
      <c r="D103" s="35" t="s">
        <v>11</v>
      </c>
      <c r="E103" s="2" t="s">
        <v>26</v>
      </c>
      <c r="F103" s="4" t="s">
        <v>1</v>
      </c>
      <c r="G103" s="307">
        <v>62.08</v>
      </c>
      <c r="H103" s="297">
        <v>4.74</v>
      </c>
      <c r="I103" s="297">
        <v>2.81</v>
      </c>
      <c r="J103" s="277"/>
      <c r="K103" s="273"/>
      <c r="L103" s="282" t="s">
        <v>231</v>
      </c>
      <c r="P103" s="533"/>
      <c r="Q103" s="356">
        <v>44755</v>
      </c>
      <c r="R103" s="2" t="s">
        <v>30</v>
      </c>
      <c r="S103" s="35" t="s">
        <v>9</v>
      </c>
      <c r="T103" s="2" t="s">
        <v>26</v>
      </c>
      <c r="U103" s="4" t="s">
        <v>1</v>
      </c>
      <c r="V103" s="350">
        <v>59.91</v>
      </c>
      <c r="W103" s="351">
        <v>6.94</v>
      </c>
      <c r="X103" s="352">
        <v>3.17</v>
      </c>
      <c r="Y103" s="345">
        <v>9.039548022598872</v>
      </c>
      <c r="Z103" s="345">
        <v>40.677966101694921</v>
      </c>
      <c r="AA103" s="357">
        <v>261005975</v>
      </c>
      <c r="AB103" s="533"/>
    </row>
    <row r="104" spans="2:28" ht="15.5" x14ac:dyDescent="0.35">
      <c r="B104" s="314">
        <v>44747</v>
      </c>
      <c r="C104" s="2" t="s">
        <v>3</v>
      </c>
      <c r="D104" s="35" t="s">
        <v>11</v>
      </c>
      <c r="E104" s="2" t="s">
        <v>26</v>
      </c>
      <c r="F104" s="4" t="s">
        <v>1</v>
      </c>
      <c r="G104" s="308">
        <v>61.49</v>
      </c>
      <c r="H104" s="299">
        <v>5.25</v>
      </c>
      <c r="I104" s="299">
        <v>3.06</v>
      </c>
      <c r="J104" s="278"/>
      <c r="K104" s="278"/>
      <c r="L104" s="284" t="s">
        <v>232</v>
      </c>
      <c r="P104" s="533"/>
      <c r="Q104" s="356">
        <v>44756</v>
      </c>
      <c r="R104" s="2" t="s">
        <v>30</v>
      </c>
      <c r="S104" s="35" t="s">
        <v>9</v>
      </c>
      <c r="T104" s="2" t="s">
        <v>26</v>
      </c>
      <c r="U104" s="4" t="s">
        <v>1</v>
      </c>
      <c r="V104" s="350">
        <v>61.59</v>
      </c>
      <c r="W104" s="351">
        <v>5.47</v>
      </c>
      <c r="X104" s="352">
        <v>2.06</v>
      </c>
      <c r="Y104" s="345">
        <v>6.2015503875969005</v>
      </c>
      <c r="Z104" s="345">
        <v>44.186046511627914</v>
      </c>
      <c r="AA104" s="357">
        <v>261005976</v>
      </c>
      <c r="AB104" s="533"/>
    </row>
    <row r="105" spans="2:28" ht="15.5" x14ac:dyDescent="0.35">
      <c r="B105" s="311">
        <v>44749</v>
      </c>
      <c r="C105" s="2" t="s">
        <v>3</v>
      </c>
      <c r="D105" s="35" t="s">
        <v>11</v>
      </c>
      <c r="E105" s="2" t="s">
        <v>26</v>
      </c>
      <c r="F105" s="4" t="s">
        <v>1</v>
      </c>
      <c r="G105" s="307">
        <v>60.88</v>
      </c>
      <c r="H105" s="297">
        <v>6.43</v>
      </c>
      <c r="I105" s="297">
        <v>2.86</v>
      </c>
      <c r="J105" s="277"/>
      <c r="K105" s="277"/>
      <c r="L105" s="282" t="s">
        <v>233</v>
      </c>
      <c r="P105" s="533"/>
      <c r="Q105" s="356">
        <v>44756</v>
      </c>
      <c r="R105" s="2" t="s">
        <v>30</v>
      </c>
      <c r="S105" s="35" t="s">
        <v>9</v>
      </c>
      <c r="T105" s="2" t="s">
        <v>26</v>
      </c>
      <c r="U105" s="4" t="s">
        <v>1</v>
      </c>
      <c r="V105" s="350">
        <v>62.8</v>
      </c>
      <c r="W105" s="351">
        <v>3.29</v>
      </c>
      <c r="X105" s="352">
        <v>2.5099999999999998</v>
      </c>
      <c r="Y105" s="345">
        <v>7.1942446043165482</v>
      </c>
      <c r="Z105" s="345">
        <v>41.726618705035975</v>
      </c>
      <c r="AA105" s="357">
        <v>261005977</v>
      </c>
      <c r="AB105" s="533"/>
    </row>
    <row r="106" spans="2:28" ht="15.5" x14ac:dyDescent="0.35">
      <c r="B106" s="314">
        <v>44751</v>
      </c>
      <c r="C106" s="2" t="s">
        <v>3</v>
      </c>
      <c r="D106" s="35" t="s">
        <v>11</v>
      </c>
      <c r="E106" s="2" t="s">
        <v>26</v>
      </c>
      <c r="F106" s="4" t="s">
        <v>1</v>
      </c>
      <c r="G106" s="308">
        <v>61.76</v>
      </c>
      <c r="H106" s="299">
        <v>5.0199999999999996</v>
      </c>
      <c r="I106" s="299">
        <v>3.01</v>
      </c>
      <c r="J106" s="278">
        <v>7.3</v>
      </c>
      <c r="K106" s="278">
        <v>39.200000000000003</v>
      </c>
      <c r="L106" s="284" t="s">
        <v>234</v>
      </c>
      <c r="P106" s="533"/>
      <c r="Q106" s="356">
        <v>44757</v>
      </c>
      <c r="R106" s="2" t="s">
        <v>30</v>
      </c>
      <c r="S106" s="35" t="s">
        <v>9</v>
      </c>
      <c r="T106" s="2" t="s">
        <v>26</v>
      </c>
      <c r="U106" s="4" t="s">
        <v>1</v>
      </c>
      <c r="V106" s="350">
        <v>62.86</v>
      </c>
      <c r="W106" s="351">
        <v>3.76</v>
      </c>
      <c r="X106" s="352">
        <v>1.63</v>
      </c>
      <c r="Y106" s="345">
        <v>6.3380281690140841</v>
      </c>
      <c r="Z106" s="345">
        <v>40.140845070422536</v>
      </c>
      <c r="AA106" s="357">
        <v>261005979</v>
      </c>
      <c r="AB106" s="533"/>
    </row>
    <row r="107" spans="2:28" ht="15.5" x14ac:dyDescent="0.35">
      <c r="B107" s="311">
        <v>44751</v>
      </c>
      <c r="C107" s="2" t="s">
        <v>3</v>
      </c>
      <c r="D107" s="35" t="s">
        <v>11</v>
      </c>
      <c r="E107" s="2" t="s">
        <v>26</v>
      </c>
      <c r="F107" s="4" t="s">
        <v>1</v>
      </c>
      <c r="G107" s="307">
        <v>61.71</v>
      </c>
      <c r="H107" s="297">
        <v>5.45</v>
      </c>
      <c r="I107" s="297">
        <v>2.65</v>
      </c>
      <c r="J107" s="277">
        <v>6.4</v>
      </c>
      <c r="K107" s="277">
        <v>40.299999999999997</v>
      </c>
      <c r="L107" s="282" t="s">
        <v>235</v>
      </c>
      <c r="P107" s="533"/>
      <c r="Q107" s="356">
        <v>44757</v>
      </c>
      <c r="R107" s="2" t="s">
        <v>30</v>
      </c>
      <c r="S107" s="35" t="s">
        <v>9</v>
      </c>
      <c r="T107" s="2" t="s">
        <v>26</v>
      </c>
      <c r="U107" s="4" t="s">
        <v>1</v>
      </c>
      <c r="V107" s="350">
        <v>60.06</v>
      </c>
      <c r="W107" s="351">
        <v>7.44</v>
      </c>
      <c r="X107" s="352">
        <v>2.82</v>
      </c>
      <c r="Y107" s="345">
        <v>5.5555555555555562</v>
      </c>
      <c r="Z107" s="345">
        <v>45.138888888888893</v>
      </c>
      <c r="AA107" s="357">
        <v>261005980</v>
      </c>
      <c r="AB107" s="533"/>
    </row>
    <row r="108" spans="2:28" ht="15.5" x14ac:dyDescent="0.35">
      <c r="B108" s="311">
        <v>44752</v>
      </c>
      <c r="C108" s="2" t="s">
        <v>3</v>
      </c>
      <c r="D108" s="35" t="s">
        <v>11</v>
      </c>
      <c r="E108" s="2" t="s">
        <v>26</v>
      </c>
      <c r="F108" s="4" t="s">
        <v>1</v>
      </c>
      <c r="G108" s="307">
        <v>61.42</v>
      </c>
      <c r="H108" s="297">
        <v>5.35</v>
      </c>
      <c r="I108" s="297">
        <v>3.06</v>
      </c>
      <c r="J108" s="277">
        <v>5.2</v>
      </c>
      <c r="K108" s="277">
        <v>44</v>
      </c>
      <c r="L108" s="282" t="s">
        <v>236</v>
      </c>
      <c r="P108" s="533"/>
      <c r="Q108" s="356">
        <v>44757</v>
      </c>
      <c r="R108" s="2" t="s">
        <v>30</v>
      </c>
      <c r="S108" s="35" t="s">
        <v>9</v>
      </c>
      <c r="T108" s="2" t="s">
        <v>26</v>
      </c>
      <c r="U108" s="4" t="s">
        <v>1</v>
      </c>
      <c r="V108" s="350">
        <v>61.27</v>
      </c>
      <c r="W108" s="351">
        <v>5.12</v>
      </c>
      <c r="X108" s="352">
        <v>2.98</v>
      </c>
      <c r="Y108" s="345">
        <v>7.5862068965517242</v>
      </c>
      <c r="Z108" s="345">
        <v>40.689655172413794</v>
      </c>
      <c r="AA108" s="357">
        <v>241000382</v>
      </c>
      <c r="AB108" s="533"/>
    </row>
    <row r="109" spans="2:28" ht="15.5" x14ac:dyDescent="0.35">
      <c r="B109" s="315">
        <v>44753</v>
      </c>
      <c r="C109" s="2" t="s">
        <v>3</v>
      </c>
      <c r="D109" s="35" t="s">
        <v>11</v>
      </c>
      <c r="E109" s="2" t="s">
        <v>26</v>
      </c>
      <c r="F109" s="4" t="s">
        <v>1</v>
      </c>
      <c r="G109" s="309">
        <v>61.71</v>
      </c>
      <c r="H109" s="300">
        <v>4.83</v>
      </c>
      <c r="I109" s="300">
        <v>3.16</v>
      </c>
      <c r="J109" s="280">
        <v>4.5</v>
      </c>
      <c r="K109" s="278">
        <v>43.2</v>
      </c>
      <c r="L109" s="286" t="s">
        <v>237</v>
      </c>
      <c r="P109" s="533"/>
      <c r="Q109" s="356">
        <v>44758</v>
      </c>
      <c r="R109" s="2" t="s">
        <v>30</v>
      </c>
      <c r="S109" s="35" t="s">
        <v>9</v>
      </c>
      <c r="T109" s="2" t="s">
        <v>26</v>
      </c>
      <c r="U109" s="4" t="s">
        <v>1</v>
      </c>
      <c r="V109" s="350">
        <v>62.36999999999999</v>
      </c>
      <c r="W109" s="351">
        <v>3.76</v>
      </c>
      <c r="X109" s="352">
        <v>2.4500000000000002</v>
      </c>
      <c r="Y109" s="345">
        <v>7.1895424836601318</v>
      </c>
      <c r="Z109" s="345">
        <v>44.444444444444443</v>
      </c>
      <c r="AA109" s="357">
        <v>261005983</v>
      </c>
      <c r="AB109" s="533"/>
    </row>
    <row r="110" spans="2:28" ht="15.5" x14ac:dyDescent="0.25">
      <c r="B110" s="311">
        <v>44764</v>
      </c>
      <c r="C110" s="2" t="s">
        <v>3</v>
      </c>
      <c r="D110" s="35" t="s">
        <v>11</v>
      </c>
      <c r="E110" s="2" t="s">
        <v>26</v>
      </c>
      <c r="F110" s="4" t="s">
        <v>1</v>
      </c>
      <c r="G110" s="307">
        <v>61.82</v>
      </c>
      <c r="H110" s="297">
        <v>4.8499999999999996</v>
      </c>
      <c r="I110" s="297">
        <v>2.81</v>
      </c>
      <c r="J110" s="277"/>
      <c r="K110" s="277"/>
      <c r="L110" s="282" t="s">
        <v>238</v>
      </c>
      <c r="P110" s="533"/>
      <c r="Q110" s="356">
        <v>44758</v>
      </c>
      <c r="R110" s="2" t="s">
        <v>30</v>
      </c>
      <c r="S110" s="35" t="s">
        <v>9</v>
      </c>
      <c r="T110" s="2" t="s">
        <v>26</v>
      </c>
      <c r="U110" s="4" t="s">
        <v>1</v>
      </c>
      <c r="V110" s="350">
        <v>61.697999999999993</v>
      </c>
      <c r="W110" s="351">
        <v>4.63</v>
      </c>
      <c r="X110" s="352">
        <v>2.66</v>
      </c>
      <c r="Y110" s="334">
        <v>6.25</v>
      </c>
      <c r="Z110" s="334">
        <v>48.611111111111107</v>
      </c>
      <c r="AA110" s="357">
        <v>261005982</v>
      </c>
      <c r="AB110" s="533"/>
    </row>
    <row r="111" spans="2:28" ht="15.5" x14ac:dyDescent="0.25">
      <c r="B111" s="311">
        <v>44759</v>
      </c>
      <c r="C111" s="2" t="s">
        <v>3</v>
      </c>
      <c r="D111" s="35" t="s">
        <v>10</v>
      </c>
      <c r="E111" s="2" t="s">
        <v>26</v>
      </c>
      <c r="F111" s="4" t="s">
        <v>1</v>
      </c>
      <c r="G111" s="307">
        <v>60.52</v>
      </c>
      <c r="H111" s="293">
        <v>4.58</v>
      </c>
      <c r="I111" s="293">
        <v>5.08</v>
      </c>
      <c r="J111" s="277"/>
      <c r="K111" s="277"/>
      <c r="L111" s="282" t="s">
        <v>227</v>
      </c>
      <c r="P111" s="533"/>
      <c r="Q111" s="356">
        <v>44758</v>
      </c>
      <c r="R111" s="2" t="s">
        <v>30</v>
      </c>
      <c r="S111" s="35" t="s">
        <v>9</v>
      </c>
      <c r="T111" s="2" t="s">
        <v>26</v>
      </c>
      <c r="U111" s="4" t="s">
        <v>1</v>
      </c>
      <c r="V111" s="350">
        <v>60.416999999999994</v>
      </c>
      <c r="W111" s="351">
        <v>6.53</v>
      </c>
      <c r="X111" s="352">
        <v>2.87</v>
      </c>
      <c r="Y111" s="354">
        <v>7.7464788732394378</v>
      </c>
      <c r="Z111" s="354">
        <v>47.887323943661976</v>
      </c>
      <c r="AA111" s="357">
        <v>261005984</v>
      </c>
      <c r="AB111" s="533"/>
    </row>
    <row r="112" spans="2:28" ht="14.5" x14ac:dyDescent="0.35">
      <c r="B112" s="341">
        <v>44743</v>
      </c>
      <c r="C112" s="2" t="s">
        <v>30</v>
      </c>
      <c r="D112" s="35" t="s">
        <v>9</v>
      </c>
      <c r="E112" s="2" t="s">
        <v>26</v>
      </c>
      <c r="F112" s="4" t="s">
        <v>1</v>
      </c>
      <c r="G112" s="326">
        <v>64.53</v>
      </c>
      <c r="H112" s="329">
        <v>2.1</v>
      </c>
      <c r="I112" s="330">
        <v>1.42</v>
      </c>
      <c r="J112" s="335">
        <v>5.2631578947368416</v>
      </c>
      <c r="K112" s="332">
        <v>43.609022556390975</v>
      </c>
      <c r="L112" s="338">
        <v>261005944</v>
      </c>
      <c r="P112" s="533"/>
      <c r="Q112" s="356">
        <v>44759</v>
      </c>
      <c r="R112" s="2" t="s">
        <v>30</v>
      </c>
      <c r="S112" s="35" t="s">
        <v>9</v>
      </c>
      <c r="T112" s="2" t="s">
        <v>26</v>
      </c>
      <c r="U112" s="4" t="s">
        <v>1</v>
      </c>
      <c r="V112" s="350">
        <v>61.1</v>
      </c>
      <c r="W112" s="351">
        <v>7.64</v>
      </c>
      <c r="X112" s="352">
        <v>1.53</v>
      </c>
      <c r="Y112" s="334">
        <v>6.8702290076335863</v>
      </c>
      <c r="Z112" s="354">
        <v>48.854961832061065</v>
      </c>
      <c r="AA112" s="360">
        <v>261005985</v>
      </c>
      <c r="AB112" s="533"/>
    </row>
    <row r="113" spans="2:28" ht="14.5" x14ac:dyDescent="0.35">
      <c r="B113" s="341">
        <v>44743</v>
      </c>
      <c r="C113" s="2" t="s">
        <v>30</v>
      </c>
      <c r="D113" s="35" t="s">
        <v>9</v>
      </c>
      <c r="E113" s="2" t="s">
        <v>26</v>
      </c>
      <c r="F113" s="4" t="s">
        <v>1</v>
      </c>
      <c r="G113" s="326">
        <v>62.98</v>
      </c>
      <c r="H113" s="329">
        <v>3.31</v>
      </c>
      <c r="I113" s="330">
        <v>1.98</v>
      </c>
      <c r="J113" s="335">
        <v>6.8027210884353746</v>
      </c>
      <c r="K113" s="332">
        <v>42.176870748299322</v>
      </c>
      <c r="L113" s="338">
        <v>261005946</v>
      </c>
      <c r="P113" s="533"/>
      <c r="Q113" s="356">
        <v>44759</v>
      </c>
      <c r="R113" s="2" t="s">
        <v>30</v>
      </c>
      <c r="S113" s="35" t="s">
        <v>9</v>
      </c>
      <c r="T113" s="2" t="s">
        <v>26</v>
      </c>
      <c r="U113" s="4" t="s">
        <v>1</v>
      </c>
      <c r="V113" s="350">
        <v>62.18</v>
      </c>
      <c r="W113" s="351">
        <v>4.5199999999999996</v>
      </c>
      <c r="X113" s="352">
        <v>2.33</v>
      </c>
      <c r="Y113" s="334">
        <v>6.7669172932330826</v>
      </c>
      <c r="Z113" s="354">
        <v>45.864661654135332</v>
      </c>
      <c r="AA113" s="360">
        <v>261005986</v>
      </c>
      <c r="AB113" s="533"/>
    </row>
    <row r="114" spans="2:28" ht="14.5" x14ac:dyDescent="0.35">
      <c r="B114" s="342">
        <v>44744</v>
      </c>
      <c r="C114" s="2" t="s">
        <v>30</v>
      </c>
      <c r="D114" s="35" t="s">
        <v>9</v>
      </c>
      <c r="E114" s="2" t="s">
        <v>26</v>
      </c>
      <c r="F114" s="4" t="s">
        <v>1</v>
      </c>
      <c r="G114" s="326">
        <v>64.19</v>
      </c>
      <c r="H114" s="329">
        <v>2.21</v>
      </c>
      <c r="I114" s="330">
        <v>1.56</v>
      </c>
      <c r="J114" s="335">
        <v>7.096774193548387</v>
      </c>
      <c r="K114" s="332">
        <v>46.451612903225808</v>
      </c>
      <c r="L114" s="338">
        <v>261005945</v>
      </c>
      <c r="P114" s="533"/>
      <c r="Q114" s="356">
        <v>44759</v>
      </c>
      <c r="R114" s="2" t="s">
        <v>30</v>
      </c>
      <c r="S114" s="35" t="s">
        <v>9</v>
      </c>
      <c r="T114" s="2" t="s">
        <v>26</v>
      </c>
      <c r="U114" s="4" t="s">
        <v>1</v>
      </c>
      <c r="V114" s="350">
        <v>62.79</v>
      </c>
      <c r="W114" s="351">
        <v>3.63</v>
      </c>
      <c r="X114" s="352">
        <v>2.02</v>
      </c>
      <c r="Y114" s="334">
        <v>6.4777327935222671</v>
      </c>
      <c r="Z114" s="354">
        <v>43.724696356275302</v>
      </c>
      <c r="AA114" s="360">
        <v>261005987</v>
      </c>
      <c r="AB114" s="533"/>
    </row>
    <row r="115" spans="2:28" ht="14.5" x14ac:dyDescent="0.35">
      <c r="B115" s="342">
        <v>44744</v>
      </c>
      <c r="C115" s="2" t="s">
        <v>30</v>
      </c>
      <c r="D115" s="35" t="s">
        <v>9</v>
      </c>
      <c r="E115" s="2" t="s">
        <v>26</v>
      </c>
      <c r="F115" s="4" t="s">
        <v>1</v>
      </c>
      <c r="G115" s="326">
        <v>63.594999999999992</v>
      </c>
      <c r="H115" s="329">
        <v>3.03</v>
      </c>
      <c r="I115" s="330">
        <v>1.71</v>
      </c>
      <c r="J115" s="335">
        <v>7.4074074074074066</v>
      </c>
      <c r="K115" s="332">
        <v>45.925925925925924</v>
      </c>
      <c r="L115" s="338">
        <v>261005948</v>
      </c>
      <c r="P115" s="533"/>
      <c r="Q115" s="356">
        <v>44760</v>
      </c>
      <c r="R115" s="2" t="s">
        <v>30</v>
      </c>
      <c r="S115" s="35" t="s">
        <v>9</v>
      </c>
      <c r="T115" s="2" t="s">
        <v>26</v>
      </c>
      <c r="U115" s="4" t="s">
        <v>1</v>
      </c>
      <c r="V115" s="350">
        <v>60.78</v>
      </c>
      <c r="W115" s="351">
        <v>5.35</v>
      </c>
      <c r="X115" s="352">
        <v>3.8</v>
      </c>
      <c r="Y115" s="334">
        <v>6.8965517241379306</v>
      </c>
      <c r="Z115" s="354">
        <v>40</v>
      </c>
      <c r="AA115" s="360">
        <v>261005988</v>
      </c>
      <c r="AB115" s="533"/>
    </row>
    <row r="116" spans="2:28" ht="14.5" x14ac:dyDescent="0.35">
      <c r="B116" s="342">
        <v>44744</v>
      </c>
      <c r="C116" s="2" t="s">
        <v>30</v>
      </c>
      <c r="D116" s="35" t="s">
        <v>9</v>
      </c>
      <c r="E116" s="2" t="s">
        <v>26</v>
      </c>
      <c r="F116" s="4" t="s">
        <v>1</v>
      </c>
      <c r="G116" s="326">
        <v>62.677999999999997</v>
      </c>
      <c r="H116" s="329">
        <v>4.3099999999999996</v>
      </c>
      <c r="I116" s="330">
        <v>1.76</v>
      </c>
      <c r="J116" s="335">
        <v>8</v>
      </c>
      <c r="K116" s="332">
        <v>44.666666666666664</v>
      </c>
      <c r="L116" s="338">
        <v>261005949</v>
      </c>
      <c r="P116" s="533"/>
      <c r="Q116" s="356">
        <v>44760</v>
      </c>
      <c r="R116" s="2" t="s">
        <v>30</v>
      </c>
      <c r="S116" s="35" t="s">
        <v>9</v>
      </c>
      <c r="T116" s="2" t="s">
        <v>26</v>
      </c>
      <c r="U116" s="4" t="s">
        <v>1</v>
      </c>
      <c r="V116" s="350">
        <v>62.1</v>
      </c>
      <c r="W116" s="351">
        <v>4.09</v>
      </c>
      <c r="X116" s="352">
        <v>2.71</v>
      </c>
      <c r="Y116" s="334">
        <v>8.0586080586080602</v>
      </c>
      <c r="Z116" s="354">
        <v>38.827838827838832</v>
      </c>
      <c r="AA116" s="360">
        <v>261005989</v>
      </c>
      <c r="AB116" s="533"/>
    </row>
    <row r="117" spans="2:28" ht="14.5" x14ac:dyDescent="0.25">
      <c r="B117" s="340">
        <v>44745</v>
      </c>
      <c r="C117" s="2" t="s">
        <v>30</v>
      </c>
      <c r="D117" s="35" t="s">
        <v>9</v>
      </c>
      <c r="E117" s="2" t="s">
        <v>26</v>
      </c>
      <c r="F117" s="4" t="s">
        <v>1</v>
      </c>
      <c r="G117" s="326">
        <v>62.307000000000002</v>
      </c>
      <c r="H117" s="329">
        <v>4.1100000000000003</v>
      </c>
      <c r="I117" s="330">
        <v>2.66</v>
      </c>
      <c r="J117" s="335">
        <v>6.4748201438848918</v>
      </c>
      <c r="K117" s="332">
        <v>43.165467625899282</v>
      </c>
      <c r="L117" s="338">
        <v>261005947</v>
      </c>
      <c r="P117" s="533"/>
      <c r="Q117" s="356">
        <v>44760</v>
      </c>
      <c r="R117" s="2" t="s">
        <v>30</v>
      </c>
      <c r="S117" s="35" t="s">
        <v>9</v>
      </c>
      <c r="T117" s="2" t="s">
        <v>26</v>
      </c>
      <c r="U117" s="4" t="s">
        <v>1</v>
      </c>
      <c r="V117" s="350">
        <v>62.05</v>
      </c>
      <c r="W117" s="351">
        <v>4.3600000000000003</v>
      </c>
      <c r="X117" s="352">
        <v>2.4300000000000002</v>
      </c>
      <c r="Y117" s="334">
        <v>6.6176470588235299</v>
      </c>
      <c r="Z117" s="354">
        <v>41.544117647058826</v>
      </c>
      <c r="AA117" s="360">
        <v>261005990</v>
      </c>
      <c r="AB117" s="533"/>
    </row>
    <row r="118" spans="2:28" ht="14.5" x14ac:dyDescent="0.35">
      <c r="B118" s="340">
        <v>44745</v>
      </c>
      <c r="C118" s="2" t="s">
        <v>30</v>
      </c>
      <c r="D118" s="35" t="s">
        <v>9</v>
      </c>
      <c r="E118" s="2" t="s">
        <v>26</v>
      </c>
      <c r="F118" s="4" t="s">
        <v>1</v>
      </c>
      <c r="G118" s="326">
        <v>62.426000000000002</v>
      </c>
      <c r="H118" s="329">
        <v>4.3499999999999996</v>
      </c>
      <c r="I118" s="330">
        <v>1.96</v>
      </c>
      <c r="J118" s="335">
        <v>4.7244094488188972</v>
      </c>
      <c r="K118" s="332">
        <v>46.456692913385837</v>
      </c>
      <c r="L118" s="338">
        <v>261005951</v>
      </c>
      <c r="P118" s="533"/>
      <c r="Q118" s="356">
        <v>44761</v>
      </c>
      <c r="R118" s="2" t="s">
        <v>30</v>
      </c>
      <c r="S118" s="35" t="s">
        <v>9</v>
      </c>
      <c r="T118" s="2" t="s">
        <v>26</v>
      </c>
      <c r="U118" s="4" t="s">
        <v>1</v>
      </c>
      <c r="V118" s="350">
        <v>63.39</v>
      </c>
      <c r="W118" s="351">
        <v>3.33</v>
      </c>
      <c r="X118" s="352">
        <v>1.5</v>
      </c>
      <c r="Y118" s="345">
        <v>3.9325842696629212</v>
      </c>
      <c r="Z118" s="345">
        <v>58.988764044943821</v>
      </c>
      <c r="AA118" s="360">
        <v>241000383</v>
      </c>
      <c r="AB118" s="533"/>
    </row>
    <row r="119" spans="2:28" ht="14.5" x14ac:dyDescent="0.35">
      <c r="B119" s="340">
        <v>44745</v>
      </c>
      <c r="C119" s="2" t="s">
        <v>30</v>
      </c>
      <c r="D119" s="35" t="s">
        <v>9</v>
      </c>
      <c r="E119" s="2" t="s">
        <v>26</v>
      </c>
      <c r="F119" s="4" t="s">
        <v>1</v>
      </c>
      <c r="G119" s="326">
        <v>62.642999999999994</v>
      </c>
      <c r="H119" s="329">
        <v>4.1399999999999997</v>
      </c>
      <c r="I119" s="330">
        <v>1.7</v>
      </c>
      <c r="J119" s="335">
        <v>8.1300813008130071</v>
      </c>
      <c r="K119" s="332">
        <v>40.650406504065039</v>
      </c>
      <c r="L119" s="338">
        <v>261005952</v>
      </c>
      <c r="P119" s="533"/>
      <c r="Q119" s="356">
        <v>44761</v>
      </c>
      <c r="R119" s="2" t="s">
        <v>30</v>
      </c>
      <c r="S119" s="35" t="s">
        <v>9</v>
      </c>
      <c r="T119" s="2" t="s">
        <v>26</v>
      </c>
      <c r="U119" s="4" t="s">
        <v>1</v>
      </c>
      <c r="V119" s="350">
        <v>61.61</v>
      </c>
      <c r="W119" s="351">
        <v>5.16</v>
      </c>
      <c r="X119" s="352">
        <v>2.66</v>
      </c>
      <c r="Y119" s="334">
        <v>6.6298342541436464</v>
      </c>
      <c r="Z119" s="345">
        <v>45.856353591160222</v>
      </c>
      <c r="AA119" s="360">
        <v>261005991</v>
      </c>
      <c r="AB119" s="533"/>
    </row>
    <row r="120" spans="2:28" ht="14.5" x14ac:dyDescent="0.35">
      <c r="B120" s="340">
        <v>44746</v>
      </c>
      <c r="C120" s="2" t="s">
        <v>30</v>
      </c>
      <c r="D120" s="35" t="s">
        <v>9</v>
      </c>
      <c r="E120" s="2" t="s">
        <v>26</v>
      </c>
      <c r="F120" s="4" t="s">
        <v>1</v>
      </c>
      <c r="G120" s="326">
        <v>61.51</v>
      </c>
      <c r="H120" s="329">
        <v>6.08</v>
      </c>
      <c r="I120" s="330">
        <v>1.89</v>
      </c>
      <c r="J120" s="336">
        <v>6.4102564102564115</v>
      </c>
      <c r="K120" s="333">
        <v>47.435897435897438</v>
      </c>
      <c r="L120" s="338">
        <v>261005953</v>
      </c>
      <c r="P120" s="533"/>
      <c r="Q120" s="356">
        <v>44761</v>
      </c>
      <c r="R120" s="2" t="s">
        <v>30</v>
      </c>
      <c r="S120" s="35" t="s">
        <v>9</v>
      </c>
      <c r="T120" s="2" t="s">
        <v>26</v>
      </c>
      <c r="U120" s="4" t="s">
        <v>1</v>
      </c>
      <c r="V120" s="350">
        <v>62.19</v>
      </c>
      <c r="W120" s="351">
        <v>3.92</v>
      </c>
      <c r="X120" s="352">
        <v>2.87</v>
      </c>
      <c r="Y120" s="334">
        <v>6.9105691056910556</v>
      </c>
      <c r="Z120" s="354">
        <v>42.27642276422764</v>
      </c>
      <c r="AA120" s="360">
        <v>261005993</v>
      </c>
      <c r="AB120" s="533"/>
    </row>
    <row r="121" spans="2:28" ht="14.5" x14ac:dyDescent="0.35">
      <c r="B121" s="340">
        <v>44747</v>
      </c>
      <c r="C121" s="2" t="s">
        <v>30</v>
      </c>
      <c r="D121" s="35" t="s">
        <v>9</v>
      </c>
      <c r="E121" s="2" t="s">
        <v>26</v>
      </c>
      <c r="F121" s="4" t="s">
        <v>1</v>
      </c>
      <c r="G121" s="326">
        <v>63.38</v>
      </c>
      <c r="H121" s="329">
        <v>2.34</v>
      </c>
      <c r="I121" s="330">
        <v>2.46</v>
      </c>
      <c r="J121" s="336">
        <v>6.1224489795918373</v>
      </c>
      <c r="K121" s="333">
        <v>48.299319727891152</v>
      </c>
      <c r="L121" s="338">
        <v>261005954</v>
      </c>
      <c r="P121" s="533"/>
      <c r="Q121" s="356">
        <v>44762</v>
      </c>
      <c r="R121" s="2" t="s">
        <v>30</v>
      </c>
      <c r="S121" s="35" t="s">
        <v>9</v>
      </c>
      <c r="T121" s="2" t="s">
        <v>26</v>
      </c>
      <c r="U121" s="4" t="s">
        <v>1</v>
      </c>
      <c r="V121" s="350">
        <v>61.42</v>
      </c>
      <c r="W121" s="351">
        <v>5.44</v>
      </c>
      <c r="X121" s="352">
        <v>2.5499999999999998</v>
      </c>
      <c r="Y121" s="345">
        <v>5.8479532163742682</v>
      </c>
      <c r="Z121" s="345">
        <v>39.76608187134503</v>
      </c>
      <c r="AA121" s="360">
        <v>261005992</v>
      </c>
      <c r="AB121" s="533"/>
    </row>
    <row r="122" spans="2:28" ht="14.5" x14ac:dyDescent="0.35">
      <c r="B122" s="340">
        <v>44747</v>
      </c>
      <c r="C122" s="2" t="s">
        <v>30</v>
      </c>
      <c r="D122" s="35" t="s">
        <v>9</v>
      </c>
      <c r="E122" s="2" t="s">
        <v>26</v>
      </c>
      <c r="F122" s="4" t="s">
        <v>1</v>
      </c>
      <c r="G122" s="326">
        <v>62.25</v>
      </c>
      <c r="H122" s="329">
        <v>4.6399999999999997</v>
      </c>
      <c r="I122" s="330">
        <v>2.14</v>
      </c>
      <c r="J122" s="336">
        <v>6.7567567567567561</v>
      </c>
      <c r="K122" s="333">
        <v>45.945945945945944</v>
      </c>
      <c r="L122" s="338">
        <v>261005955</v>
      </c>
      <c r="P122" s="533"/>
      <c r="Q122" s="356">
        <v>44763</v>
      </c>
      <c r="R122" s="2" t="s">
        <v>30</v>
      </c>
      <c r="S122" s="35" t="s">
        <v>9</v>
      </c>
      <c r="T122" s="2" t="s">
        <v>26</v>
      </c>
      <c r="U122" s="4" t="s">
        <v>1</v>
      </c>
      <c r="V122" s="350">
        <v>60.98</v>
      </c>
      <c r="W122" s="351">
        <v>5.14</v>
      </c>
      <c r="X122" s="352">
        <v>3.49</v>
      </c>
      <c r="Y122" s="337">
        <v>7.5471698113207548</v>
      </c>
      <c r="Z122" s="345">
        <v>41.509433962264147</v>
      </c>
      <c r="AA122" s="360">
        <v>261005994</v>
      </c>
      <c r="AB122" s="533"/>
    </row>
    <row r="123" spans="2:28" ht="14.5" x14ac:dyDescent="0.35">
      <c r="B123" s="340">
        <v>44747</v>
      </c>
      <c r="C123" s="2" t="s">
        <v>30</v>
      </c>
      <c r="D123" s="35" t="s">
        <v>9</v>
      </c>
      <c r="E123" s="2" t="s">
        <v>26</v>
      </c>
      <c r="F123" s="4" t="s">
        <v>1</v>
      </c>
      <c r="G123" s="326">
        <v>60.34</v>
      </c>
      <c r="H123" s="329">
        <v>8.43</v>
      </c>
      <c r="I123" s="330">
        <v>1.74</v>
      </c>
      <c r="J123" s="336">
        <v>6.7164179104477624</v>
      </c>
      <c r="K123" s="333">
        <v>43.28358208955224</v>
      </c>
      <c r="L123" s="338">
        <v>261005958</v>
      </c>
      <c r="P123" s="533"/>
      <c r="Q123" s="356">
        <v>44763</v>
      </c>
      <c r="R123" s="2" t="s">
        <v>30</v>
      </c>
      <c r="S123" s="35" t="s">
        <v>9</v>
      </c>
      <c r="T123" s="2" t="s">
        <v>26</v>
      </c>
      <c r="U123" s="4" t="s">
        <v>1</v>
      </c>
      <c r="V123" s="350">
        <v>60.81</v>
      </c>
      <c r="W123" s="351">
        <v>6.39</v>
      </c>
      <c r="X123" s="352">
        <v>2.65</v>
      </c>
      <c r="Y123" s="334">
        <v>6.6225165562913899</v>
      </c>
      <c r="Z123" s="345">
        <v>43.046357615894038</v>
      </c>
      <c r="AA123" s="360">
        <v>261005997</v>
      </c>
      <c r="AB123" s="533"/>
    </row>
    <row r="124" spans="2:28" ht="14.5" x14ac:dyDescent="0.35">
      <c r="B124" s="340">
        <v>44748</v>
      </c>
      <c r="C124" s="2" t="s">
        <v>30</v>
      </c>
      <c r="D124" s="35" t="s">
        <v>9</v>
      </c>
      <c r="E124" s="2" t="s">
        <v>26</v>
      </c>
      <c r="F124" s="4" t="s">
        <v>1</v>
      </c>
      <c r="G124" s="326">
        <v>60.61</v>
      </c>
      <c r="H124" s="329">
        <v>5.36</v>
      </c>
      <c r="I124" s="330">
        <v>3.62</v>
      </c>
      <c r="J124" s="336">
        <v>6.3829787234042552</v>
      </c>
      <c r="K124" s="333">
        <v>47.5177304964539</v>
      </c>
      <c r="L124" s="338">
        <v>261005957</v>
      </c>
      <c r="P124" s="533"/>
      <c r="Q124" s="356">
        <v>44763</v>
      </c>
      <c r="R124" s="2" t="s">
        <v>30</v>
      </c>
      <c r="S124" s="35" t="s">
        <v>9</v>
      </c>
      <c r="T124" s="2" t="s">
        <v>26</v>
      </c>
      <c r="U124" s="4" t="s">
        <v>1</v>
      </c>
      <c r="V124" s="350">
        <v>58.16</v>
      </c>
      <c r="W124" s="351">
        <v>7.9</v>
      </c>
      <c r="X124" s="352">
        <v>5.15</v>
      </c>
      <c r="Y124" s="334">
        <v>6.7226890756302531</v>
      </c>
      <c r="Z124" s="345">
        <v>47.058823529411768</v>
      </c>
      <c r="AA124" s="360">
        <v>241000384</v>
      </c>
      <c r="AB124" s="533"/>
    </row>
    <row r="125" spans="2:28" ht="14.5" x14ac:dyDescent="0.35">
      <c r="B125" s="340">
        <v>44748</v>
      </c>
      <c r="C125" s="2" t="s">
        <v>30</v>
      </c>
      <c r="D125" s="35" t="s">
        <v>9</v>
      </c>
      <c r="E125" s="2" t="s">
        <v>26</v>
      </c>
      <c r="F125" s="4" t="s">
        <v>1</v>
      </c>
      <c r="G125" s="326">
        <v>61.67</v>
      </c>
      <c r="H125" s="329">
        <v>4.7699999999999996</v>
      </c>
      <c r="I125" s="330">
        <v>2.74</v>
      </c>
      <c r="J125" s="335">
        <v>6.3492063492063506</v>
      </c>
      <c r="K125" s="332">
        <v>46.031746031746032</v>
      </c>
      <c r="L125" s="338">
        <v>261005959</v>
      </c>
      <c r="P125" s="533"/>
      <c r="Q125" s="356">
        <v>44764</v>
      </c>
      <c r="R125" s="2" t="s">
        <v>30</v>
      </c>
      <c r="S125" s="35" t="s">
        <v>9</v>
      </c>
      <c r="T125" s="2" t="s">
        <v>26</v>
      </c>
      <c r="U125" s="4" t="s">
        <v>1</v>
      </c>
      <c r="V125" s="350">
        <v>59.89</v>
      </c>
      <c r="W125" s="351">
        <v>6.91</v>
      </c>
      <c r="X125" s="352">
        <v>3.39</v>
      </c>
      <c r="Y125" s="345">
        <v>6.666666666666667</v>
      </c>
      <c r="Z125" s="345">
        <v>47.272727272727273</v>
      </c>
      <c r="AA125" s="360">
        <v>261005996</v>
      </c>
      <c r="AB125" s="533"/>
    </row>
    <row r="126" spans="2:28" ht="14.5" x14ac:dyDescent="0.35">
      <c r="B126" s="340">
        <v>44748</v>
      </c>
      <c r="C126" s="2" t="s">
        <v>30</v>
      </c>
      <c r="D126" s="35" t="s">
        <v>9</v>
      </c>
      <c r="E126" s="2" t="s">
        <v>26</v>
      </c>
      <c r="F126" s="4" t="s">
        <v>1</v>
      </c>
      <c r="G126" s="326">
        <v>62.15</v>
      </c>
      <c r="H126" s="329">
        <v>5.05</v>
      </c>
      <c r="I126" s="330">
        <v>1.93</v>
      </c>
      <c r="J126" s="335">
        <v>6.5359477124183014</v>
      </c>
      <c r="K126" s="332">
        <v>47.058823529411761</v>
      </c>
      <c r="L126" s="338">
        <v>261005960</v>
      </c>
      <c r="P126" s="533"/>
      <c r="Q126" s="356">
        <v>44764</v>
      </c>
      <c r="R126" s="2" t="s">
        <v>30</v>
      </c>
      <c r="S126" s="35" t="s">
        <v>9</v>
      </c>
      <c r="T126" s="2" t="s">
        <v>26</v>
      </c>
      <c r="U126" s="4" t="s">
        <v>1</v>
      </c>
      <c r="V126" s="350">
        <v>59.47</v>
      </c>
      <c r="W126" s="351">
        <v>6.94</v>
      </c>
      <c r="X126" s="352">
        <v>3.89</v>
      </c>
      <c r="Y126" s="345">
        <v>5.9210526315789478</v>
      </c>
      <c r="Z126" s="345">
        <v>49.342105263157897</v>
      </c>
      <c r="AA126" s="360">
        <v>241000386</v>
      </c>
      <c r="AB126" s="533"/>
    </row>
    <row r="127" spans="2:28" ht="14.5" x14ac:dyDescent="0.35">
      <c r="B127" s="340">
        <v>44748</v>
      </c>
      <c r="C127" s="2" t="s">
        <v>30</v>
      </c>
      <c r="D127" s="35" t="s">
        <v>9</v>
      </c>
      <c r="E127" s="2" t="s">
        <v>26</v>
      </c>
      <c r="F127" s="4" t="s">
        <v>1</v>
      </c>
      <c r="G127" s="326">
        <v>59.95</v>
      </c>
      <c r="H127" s="329">
        <v>7.91</v>
      </c>
      <c r="I127" s="330">
        <v>2.5</v>
      </c>
      <c r="J127" s="335">
        <v>6.6265060240963862</v>
      </c>
      <c r="K127" s="332">
        <v>45.180722891566262</v>
      </c>
      <c r="L127" s="338">
        <v>261005961</v>
      </c>
      <c r="P127" s="533"/>
      <c r="Q127" s="356">
        <v>44765</v>
      </c>
      <c r="R127" s="2" t="s">
        <v>30</v>
      </c>
      <c r="S127" s="35" t="s">
        <v>9</v>
      </c>
      <c r="T127" s="2" t="s">
        <v>26</v>
      </c>
      <c r="U127" s="4" t="s">
        <v>1</v>
      </c>
      <c r="V127" s="350">
        <v>59.674999999999997</v>
      </c>
      <c r="W127" s="351">
        <v>7.53</v>
      </c>
      <c r="X127" s="352">
        <v>3.19</v>
      </c>
      <c r="Y127" s="337">
        <v>6.4516129032258061</v>
      </c>
      <c r="Z127" s="345">
        <v>44.516129032258064</v>
      </c>
      <c r="AA127" s="360">
        <v>261005998</v>
      </c>
      <c r="AB127" s="533"/>
    </row>
    <row r="128" spans="2:28" ht="14.5" x14ac:dyDescent="0.35">
      <c r="B128" s="340">
        <v>44750</v>
      </c>
      <c r="C128" s="2" t="s">
        <v>30</v>
      </c>
      <c r="D128" s="35" t="s">
        <v>9</v>
      </c>
      <c r="E128" s="2" t="s">
        <v>26</v>
      </c>
      <c r="F128" s="4" t="s">
        <v>1</v>
      </c>
      <c r="G128" s="326">
        <v>62.08</v>
      </c>
      <c r="H128" s="329">
        <v>4.9800000000000004</v>
      </c>
      <c r="I128" s="330">
        <v>2.0099999999999998</v>
      </c>
      <c r="J128" s="336">
        <v>6.3380281690140841</v>
      </c>
      <c r="K128" s="333">
        <v>44.366197183098592</v>
      </c>
      <c r="L128" s="338">
        <v>261005964</v>
      </c>
      <c r="P128" s="533"/>
      <c r="Q128" s="356">
        <v>44765</v>
      </c>
      <c r="R128" s="2" t="s">
        <v>30</v>
      </c>
      <c r="S128" s="35" t="s">
        <v>9</v>
      </c>
      <c r="T128" s="2" t="s">
        <v>26</v>
      </c>
      <c r="U128" s="4" t="s">
        <v>1</v>
      </c>
      <c r="V128" s="350">
        <v>60.024999999999999</v>
      </c>
      <c r="W128" s="351">
        <v>6.55</v>
      </c>
      <c r="X128" s="352">
        <v>3.48</v>
      </c>
      <c r="Y128" s="337">
        <v>7.8431372549019605</v>
      </c>
      <c r="Z128" s="345">
        <v>46.405228758169933</v>
      </c>
      <c r="AA128" s="360">
        <v>261005999</v>
      </c>
      <c r="AB128" s="533"/>
    </row>
    <row r="129" spans="2:28" ht="14.5" x14ac:dyDescent="0.35">
      <c r="B129" s="340">
        <v>44750</v>
      </c>
      <c r="C129" s="2" t="s">
        <v>30</v>
      </c>
      <c r="D129" s="35" t="s">
        <v>9</v>
      </c>
      <c r="E129" s="2" t="s">
        <v>26</v>
      </c>
      <c r="F129" s="4" t="s">
        <v>1</v>
      </c>
      <c r="G129" s="326">
        <v>61.31</v>
      </c>
      <c r="H129" s="329">
        <v>5.72</v>
      </c>
      <c r="I129" s="330">
        <v>2.59</v>
      </c>
      <c r="J129" s="336">
        <v>3.6496350364963508</v>
      </c>
      <c r="K129" s="333">
        <v>45.985401459854018</v>
      </c>
      <c r="L129" s="338">
        <v>261005965</v>
      </c>
      <c r="P129" s="533"/>
      <c r="Q129" s="356">
        <v>44766</v>
      </c>
      <c r="R129" s="2" t="s">
        <v>30</v>
      </c>
      <c r="S129" s="35" t="s">
        <v>9</v>
      </c>
      <c r="T129" s="2" t="s">
        <v>26</v>
      </c>
      <c r="U129" s="4" t="s">
        <v>1</v>
      </c>
      <c r="V129" s="350">
        <v>63.03</v>
      </c>
      <c r="W129" s="351">
        <v>3.37</v>
      </c>
      <c r="X129" s="352">
        <v>2.2200000000000002</v>
      </c>
      <c r="Y129" s="337">
        <v>6.1538461538461542</v>
      </c>
      <c r="Z129" s="345">
        <v>47.692307692307693</v>
      </c>
      <c r="AA129" s="360">
        <v>261006000</v>
      </c>
      <c r="AB129" s="533"/>
    </row>
    <row r="130" spans="2:28" ht="14.5" x14ac:dyDescent="0.35">
      <c r="B130" s="340">
        <v>44751</v>
      </c>
      <c r="C130" s="2" t="s">
        <v>30</v>
      </c>
      <c r="D130" s="35" t="s">
        <v>9</v>
      </c>
      <c r="E130" s="2" t="s">
        <v>26</v>
      </c>
      <c r="F130" s="4" t="s">
        <v>1</v>
      </c>
      <c r="G130" s="326">
        <v>60.780999999999992</v>
      </c>
      <c r="H130" s="329">
        <v>6.15</v>
      </c>
      <c r="I130" s="330">
        <v>2.83</v>
      </c>
      <c r="J130" s="336">
        <v>5.7971014492753632</v>
      </c>
      <c r="K130" s="333">
        <v>44.20289855072464</v>
      </c>
      <c r="L130" s="338">
        <v>261005966</v>
      </c>
      <c r="P130" s="533"/>
      <c r="Q130" s="356">
        <v>44766</v>
      </c>
      <c r="R130" s="2" t="s">
        <v>30</v>
      </c>
      <c r="S130" s="35" t="s">
        <v>9</v>
      </c>
      <c r="T130" s="2" t="s">
        <v>26</v>
      </c>
      <c r="U130" s="4" t="s">
        <v>1</v>
      </c>
      <c r="V130" s="350">
        <v>61.4</v>
      </c>
      <c r="W130" s="351">
        <v>4.74</v>
      </c>
      <c r="X130" s="352">
        <v>3.14</v>
      </c>
      <c r="Y130" s="337">
        <v>5.806451612903226</v>
      </c>
      <c r="Z130" s="345">
        <v>48.387096774193552</v>
      </c>
      <c r="AA130" s="360">
        <v>261006002</v>
      </c>
      <c r="AB130" s="533"/>
    </row>
    <row r="131" spans="2:28" ht="14.5" x14ac:dyDescent="0.35">
      <c r="B131" s="340">
        <v>44751</v>
      </c>
      <c r="C131" s="2" t="s">
        <v>30</v>
      </c>
      <c r="D131" s="35" t="s">
        <v>9</v>
      </c>
      <c r="E131" s="2" t="s">
        <v>26</v>
      </c>
      <c r="F131" s="4" t="s">
        <v>1</v>
      </c>
      <c r="G131" s="326">
        <v>61.823999999999991</v>
      </c>
      <c r="H131" s="329">
        <v>4.72</v>
      </c>
      <c r="I131" s="330">
        <v>2.54</v>
      </c>
      <c r="J131" s="336">
        <v>5.8394160583941614</v>
      </c>
      <c r="K131" s="333">
        <v>45.255474452554751</v>
      </c>
      <c r="L131" s="338">
        <v>261005969</v>
      </c>
      <c r="P131" s="533"/>
      <c r="Q131" s="356">
        <v>44767</v>
      </c>
      <c r="R131" s="2" t="s">
        <v>30</v>
      </c>
      <c r="S131" s="35" t="s">
        <v>9</v>
      </c>
      <c r="T131" s="2" t="s">
        <v>26</v>
      </c>
      <c r="U131" s="4" t="s">
        <v>1</v>
      </c>
      <c r="V131" s="350">
        <v>62.59</v>
      </c>
      <c r="W131" s="351">
        <v>3.45</v>
      </c>
      <c r="X131" s="352">
        <v>2.42</v>
      </c>
      <c r="Y131" s="345">
        <v>7.0063694267515935</v>
      </c>
      <c r="Z131" s="345">
        <v>46.496815286624205</v>
      </c>
      <c r="AA131" s="360">
        <v>261006006</v>
      </c>
      <c r="AB131" s="533"/>
    </row>
    <row r="132" spans="2:28" ht="14.5" x14ac:dyDescent="0.35">
      <c r="B132" s="340">
        <v>44751</v>
      </c>
      <c r="C132" s="2" t="s">
        <v>30</v>
      </c>
      <c r="D132" s="35" t="s">
        <v>9</v>
      </c>
      <c r="E132" s="2" t="s">
        <v>26</v>
      </c>
      <c r="F132" s="4" t="s">
        <v>1</v>
      </c>
      <c r="G132" s="326">
        <v>62.215999999999994</v>
      </c>
      <c r="H132" s="329">
        <v>4.45</v>
      </c>
      <c r="I132" s="330">
        <v>2.14</v>
      </c>
      <c r="J132" s="334">
        <v>6.3829787234042561</v>
      </c>
      <c r="K132" s="331">
        <v>46.099290780141843</v>
      </c>
      <c r="L132" s="338">
        <v>261005967</v>
      </c>
      <c r="P132" s="533"/>
      <c r="Q132" s="356">
        <v>44746</v>
      </c>
      <c r="R132" s="2" t="s">
        <v>30</v>
      </c>
      <c r="S132" s="35" t="s">
        <v>11</v>
      </c>
      <c r="T132" s="2" t="s">
        <v>26</v>
      </c>
      <c r="U132" s="4" t="s">
        <v>1</v>
      </c>
      <c r="V132" s="350">
        <v>62.22</v>
      </c>
      <c r="W132" s="351">
        <v>5.81</v>
      </c>
      <c r="X132" s="352">
        <v>1.06</v>
      </c>
      <c r="Y132" s="345">
        <v>8.0536912751677843</v>
      </c>
      <c r="Z132" s="345">
        <v>42.95302013422819</v>
      </c>
      <c r="AA132" s="357">
        <v>261006760</v>
      </c>
      <c r="AB132" s="533"/>
    </row>
    <row r="133" spans="2:28" ht="14.5" x14ac:dyDescent="0.35">
      <c r="B133" s="340">
        <v>44752</v>
      </c>
      <c r="C133" s="2" t="s">
        <v>30</v>
      </c>
      <c r="D133" s="35" t="s">
        <v>9</v>
      </c>
      <c r="E133" s="2" t="s">
        <v>26</v>
      </c>
      <c r="F133" s="4" t="s">
        <v>1</v>
      </c>
      <c r="G133" s="326">
        <v>60.86</v>
      </c>
      <c r="H133" s="329">
        <v>6.22</v>
      </c>
      <c r="I133" s="330">
        <v>2.59</v>
      </c>
      <c r="J133" s="336">
        <v>6.0606060606060614</v>
      </c>
      <c r="K133" s="333">
        <v>43.939393939393938</v>
      </c>
      <c r="L133" s="338">
        <v>261005968</v>
      </c>
      <c r="P133" s="533"/>
      <c r="Q133" s="356">
        <v>44749</v>
      </c>
      <c r="R133" s="2" t="s">
        <v>30</v>
      </c>
      <c r="S133" s="35" t="s">
        <v>11</v>
      </c>
      <c r="T133" s="2" t="s">
        <v>26</v>
      </c>
      <c r="U133" s="4" t="s">
        <v>1</v>
      </c>
      <c r="V133" s="350">
        <v>62.62</v>
      </c>
      <c r="W133" s="351">
        <v>3.94</v>
      </c>
      <c r="X133" s="352">
        <v>1.81</v>
      </c>
      <c r="Y133" s="345">
        <v>8.4337349397590362</v>
      </c>
      <c r="Z133" s="345">
        <v>33.734939759036145</v>
      </c>
      <c r="AA133" s="357">
        <v>261006767</v>
      </c>
      <c r="AB133" s="533"/>
    </row>
    <row r="134" spans="2:28" ht="14.5" x14ac:dyDescent="0.35">
      <c r="B134" s="340">
        <v>44752</v>
      </c>
      <c r="C134" s="2" t="s">
        <v>30</v>
      </c>
      <c r="D134" s="35" t="s">
        <v>9</v>
      </c>
      <c r="E134" s="2" t="s">
        <v>26</v>
      </c>
      <c r="F134" s="4" t="s">
        <v>1</v>
      </c>
      <c r="G134" s="326">
        <v>61.33</v>
      </c>
      <c r="H134" s="329">
        <v>5.03</v>
      </c>
      <c r="I134" s="330">
        <v>3.15</v>
      </c>
      <c r="J134" s="336">
        <v>5.298013245033113</v>
      </c>
      <c r="K134" s="333">
        <v>48.344370860927157</v>
      </c>
      <c r="L134" s="338">
        <v>241000377</v>
      </c>
      <c r="P134" s="533"/>
      <c r="Q134" s="356">
        <v>44754</v>
      </c>
      <c r="R134" s="2" t="s">
        <v>30</v>
      </c>
      <c r="S134" s="35" t="s">
        <v>11</v>
      </c>
      <c r="T134" s="2" t="s">
        <v>26</v>
      </c>
      <c r="U134" s="4" t="s">
        <v>1</v>
      </c>
      <c r="V134" s="350">
        <v>62.56</v>
      </c>
      <c r="W134" s="351">
        <v>3.95</v>
      </c>
      <c r="X134" s="352">
        <v>2.14</v>
      </c>
      <c r="Y134" s="345">
        <v>9.6045197740112993</v>
      </c>
      <c r="Z134" s="345">
        <v>34.463276836158194</v>
      </c>
      <c r="AA134" s="357">
        <v>261006776</v>
      </c>
      <c r="AB134" s="533"/>
    </row>
    <row r="135" spans="2:28" ht="14.5" x14ac:dyDescent="0.35">
      <c r="B135" s="340">
        <v>44753</v>
      </c>
      <c r="C135" s="2" t="s">
        <v>30</v>
      </c>
      <c r="D135" s="35" t="s">
        <v>9</v>
      </c>
      <c r="E135" s="2" t="s">
        <v>26</v>
      </c>
      <c r="F135" s="4" t="s">
        <v>1</v>
      </c>
      <c r="G135" s="326">
        <v>61.31</v>
      </c>
      <c r="H135" s="329">
        <v>5.47</v>
      </c>
      <c r="I135" s="330">
        <v>2.63</v>
      </c>
      <c r="J135" s="336">
        <v>7.4074074074074066</v>
      </c>
      <c r="K135" s="333">
        <v>40.74074074074074</v>
      </c>
      <c r="L135" s="338">
        <v>261005970</v>
      </c>
      <c r="P135" s="533"/>
      <c r="Q135" s="356">
        <v>44761</v>
      </c>
      <c r="R135" s="2" t="s">
        <v>30</v>
      </c>
      <c r="S135" s="35" t="s">
        <v>11</v>
      </c>
      <c r="T135" s="2" t="s">
        <v>26</v>
      </c>
      <c r="U135" s="4" t="s">
        <v>1</v>
      </c>
      <c r="V135" s="350">
        <v>63.41</v>
      </c>
      <c r="W135" s="351">
        <v>3.22</v>
      </c>
      <c r="X135" s="352">
        <v>1.63</v>
      </c>
      <c r="Y135" s="345">
        <v>12.142857142857142</v>
      </c>
      <c r="Z135" s="345">
        <v>37.142857142857146</v>
      </c>
      <c r="AA135" s="357">
        <v>261006790</v>
      </c>
      <c r="AB135" s="533"/>
    </row>
    <row r="136" spans="2:28" ht="14.5" x14ac:dyDescent="0.35">
      <c r="B136" s="340">
        <v>44753</v>
      </c>
      <c r="C136" s="2" t="s">
        <v>30</v>
      </c>
      <c r="D136" s="35" t="s">
        <v>9</v>
      </c>
      <c r="E136" s="2" t="s">
        <v>26</v>
      </c>
      <c r="F136" s="4" t="s">
        <v>1</v>
      </c>
      <c r="G136" s="326">
        <v>61.35</v>
      </c>
      <c r="H136" s="329">
        <v>5.7</v>
      </c>
      <c r="I136" s="330">
        <v>2.34</v>
      </c>
      <c r="J136" s="336">
        <v>5.6603773584905666</v>
      </c>
      <c r="K136" s="333">
        <v>45.283018867924532</v>
      </c>
      <c r="L136" s="338">
        <v>261005971</v>
      </c>
      <c r="P136" s="533"/>
      <c r="Q136" s="356">
        <v>44754</v>
      </c>
      <c r="R136" s="2" t="s">
        <v>30</v>
      </c>
      <c r="S136" s="35" t="s">
        <v>2</v>
      </c>
      <c r="T136" s="2" t="s">
        <v>26</v>
      </c>
      <c r="U136" s="4" t="s">
        <v>1</v>
      </c>
      <c r="V136" s="350">
        <v>59.02</v>
      </c>
      <c r="W136" s="351">
        <v>8.77</v>
      </c>
      <c r="X136" s="352">
        <v>2.9</v>
      </c>
      <c r="Y136" s="354">
        <v>6.1643835616438354</v>
      </c>
      <c r="Z136" s="354">
        <v>46.575342465753415</v>
      </c>
      <c r="AA136" s="357">
        <v>261010041</v>
      </c>
      <c r="AB136" s="533"/>
    </row>
    <row r="137" spans="2:28" ht="14.5" x14ac:dyDescent="0.35">
      <c r="B137" s="340">
        <v>44753</v>
      </c>
      <c r="C137" s="2" t="s">
        <v>30</v>
      </c>
      <c r="D137" s="35" t="s">
        <v>9</v>
      </c>
      <c r="E137" s="2" t="s">
        <v>26</v>
      </c>
      <c r="F137" s="4" t="s">
        <v>1</v>
      </c>
      <c r="G137" s="326">
        <v>59.55</v>
      </c>
      <c r="H137" s="329">
        <v>7.99</v>
      </c>
      <c r="I137" s="330">
        <v>3.07</v>
      </c>
      <c r="J137" s="336">
        <v>6.7901234567901234</v>
      </c>
      <c r="K137" s="333">
        <v>45.679012345679006</v>
      </c>
      <c r="L137" s="338">
        <v>261005972</v>
      </c>
      <c r="P137" s="533"/>
      <c r="Q137" s="422">
        <v>44743</v>
      </c>
      <c r="R137" s="2" t="s">
        <v>4</v>
      </c>
      <c r="S137" s="35" t="s">
        <v>11</v>
      </c>
      <c r="T137" s="2" t="s">
        <v>26</v>
      </c>
      <c r="U137" s="4" t="s">
        <v>1</v>
      </c>
      <c r="V137" s="416">
        <v>60.9</v>
      </c>
      <c r="W137" s="416">
        <v>4.5999999999999996</v>
      </c>
      <c r="X137" s="416">
        <v>3.1</v>
      </c>
      <c r="Y137" s="416">
        <v>13.4</v>
      </c>
      <c r="Z137" s="416">
        <v>27.8</v>
      </c>
      <c r="AA137" s="415">
        <v>577</v>
      </c>
      <c r="AB137" s="533"/>
    </row>
    <row r="138" spans="2:28" ht="14.5" x14ac:dyDescent="0.35">
      <c r="B138" s="340">
        <v>44754</v>
      </c>
      <c r="C138" s="2" t="s">
        <v>30</v>
      </c>
      <c r="D138" s="35" t="s">
        <v>9</v>
      </c>
      <c r="E138" s="2" t="s">
        <v>26</v>
      </c>
      <c r="F138" s="4" t="s">
        <v>1</v>
      </c>
      <c r="G138" s="326">
        <v>60.89</v>
      </c>
      <c r="H138" s="329">
        <v>5.69</v>
      </c>
      <c r="I138" s="330">
        <v>3.04</v>
      </c>
      <c r="J138" s="336">
        <v>8.9743589743589745</v>
      </c>
      <c r="K138" s="333">
        <v>42.948717948717956</v>
      </c>
      <c r="L138" s="338">
        <v>241000379</v>
      </c>
      <c r="P138" s="533"/>
      <c r="Q138" s="423">
        <v>44743</v>
      </c>
      <c r="R138" s="2" t="s">
        <v>4</v>
      </c>
      <c r="S138" s="35" t="s">
        <v>11</v>
      </c>
      <c r="T138" s="2" t="s">
        <v>26</v>
      </c>
      <c r="U138" s="4" t="s">
        <v>1</v>
      </c>
      <c r="V138" s="416">
        <v>59.9</v>
      </c>
      <c r="W138" s="416">
        <v>4.4000000000000004</v>
      </c>
      <c r="X138" s="416">
        <v>3.8</v>
      </c>
      <c r="Y138" s="416">
        <v>15.7</v>
      </c>
      <c r="Z138" s="416">
        <v>19.600000000000001</v>
      </c>
      <c r="AA138" s="415">
        <v>578</v>
      </c>
      <c r="AB138" s="533"/>
    </row>
    <row r="139" spans="2:28" ht="14.5" x14ac:dyDescent="0.35">
      <c r="B139" s="340">
        <v>44754</v>
      </c>
      <c r="C139" s="2" t="s">
        <v>30</v>
      </c>
      <c r="D139" s="35" t="s">
        <v>9</v>
      </c>
      <c r="E139" s="2" t="s">
        <v>26</v>
      </c>
      <c r="F139" s="4" t="s">
        <v>1</v>
      </c>
      <c r="G139" s="326">
        <v>59.87</v>
      </c>
      <c r="H139" s="329">
        <v>6.9</v>
      </c>
      <c r="I139" s="330">
        <v>3.44</v>
      </c>
      <c r="J139" s="334">
        <v>6.0869565217391299</v>
      </c>
      <c r="K139" s="331">
        <v>53.043478260869556</v>
      </c>
      <c r="L139" s="338">
        <v>261005973</v>
      </c>
      <c r="P139" s="533"/>
      <c r="Q139" s="423">
        <v>44743</v>
      </c>
      <c r="R139" s="2" t="s">
        <v>4</v>
      </c>
      <c r="S139" s="35" t="s">
        <v>11</v>
      </c>
      <c r="T139" s="2" t="s">
        <v>26</v>
      </c>
      <c r="U139" s="4" t="s">
        <v>1</v>
      </c>
      <c r="V139" s="416">
        <v>61.4</v>
      </c>
      <c r="W139" s="416">
        <v>3.7</v>
      </c>
      <c r="X139" s="416">
        <v>2.9</v>
      </c>
      <c r="Y139" s="416">
        <v>14.1</v>
      </c>
      <c r="Z139" s="416">
        <v>21.2</v>
      </c>
      <c r="AA139" s="415">
        <v>579</v>
      </c>
      <c r="AB139" s="533"/>
    </row>
    <row r="140" spans="2:28" ht="14.5" x14ac:dyDescent="0.35">
      <c r="B140" s="340">
        <v>44754</v>
      </c>
      <c r="C140" s="2" t="s">
        <v>30</v>
      </c>
      <c r="D140" s="35" t="s">
        <v>9</v>
      </c>
      <c r="E140" s="2" t="s">
        <v>26</v>
      </c>
      <c r="F140" s="4" t="s">
        <v>1</v>
      </c>
      <c r="G140" s="326">
        <v>61.01</v>
      </c>
      <c r="H140" s="329">
        <v>5.55</v>
      </c>
      <c r="I140" s="330">
        <v>3.02</v>
      </c>
      <c r="J140" s="334">
        <v>9.4936708860759484</v>
      </c>
      <c r="K140" s="331">
        <v>40.506329113924053</v>
      </c>
      <c r="L140" s="338">
        <v>261005974</v>
      </c>
      <c r="P140" s="533"/>
      <c r="Q140" s="423">
        <v>44744</v>
      </c>
      <c r="R140" s="2" t="s">
        <v>4</v>
      </c>
      <c r="S140" s="35" t="s">
        <v>11</v>
      </c>
      <c r="T140" s="2" t="s">
        <v>26</v>
      </c>
      <c r="U140" s="4" t="s">
        <v>1</v>
      </c>
      <c r="V140" s="416">
        <v>61</v>
      </c>
      <c r="W140" s="416">
        <v>3.3</v>
      </c>
      <c r="X140" s="416">
        <v>3</v>
      </c>
      <c r="Y140" s="416">
        <v>12.3</v>
      </c>
      <c r="Z140" s="416">
        <v>42</v>
      </c>
      <c r="AA140" s="415">
        <v>502</v>
      </c>
      <c r="AB140" s="533"/>
    </row>
    <row r="141" spans="2:28" ht="14.5" x14ac:dyDescent="0.35">
      <c r="B141" s="340">
        <v>44755</v>
      </c>
      <c r="C141" s="2" t="s">
        <v>30</v>
      </c>
      <c r="D141" s="35" t="s">
        <v>9</v>
      </c>
      <c r="E141" s="2" t="s">
        <v>26</v>
      </c>
      <c r="F141" s="4" t="s">
        <v>1</v>
      </c>
      <c r="G141" s="326">
        <v>62.75</v>
      </c>
      <c r="H141" s="329">
        <v>3.83</v>
      </c>
      <c r="I141" s="330">
        <v>1.86</v>
      </c>
      <c r="J141" s="336">
        <v>7.8125</v>
      </c>
      <c r="K141" s="333">
        <v>42.96875</v>
      </c>
      <c r="L141" s="338">
        <v>241000378</v>
      </c>
      <c r="P141" s="533"/>
      <c r="Q141" s="422">
        <v>44744</v>
      </c>
      <c r="R141" s="2" t="s">
        <v>4</v>
      </c>
      <c r="S141" s="35" t="s">
        <v>11</v>
      </c>
      <c r="T141" s="2" t="s">
        <v>26</v>
      </c>
      <c r="U141" s="4" t="s">
        <v>1</v>
      </c>
      <c r="V141" s="408">
        <v>62.2</v>
      </c>
      <c r="W141" s="408">
        <v>3.2</v>
      </c>
      <c r="X141" s="408">
        <v>2.9</v>
      </c>
      <c r="Y141" s="408">
        <v>5</v>
      </c>
      <c r="Z141" s="408">
        <v>54.8</v>
      </c>
      <c r="AA141" s="402">
        <v>506</v>
      </c>
      <c r="AB141" s="533"/>
    </row>
    <row r="142" spans="2:28" ht="14.5" x14ac:dyDescent="0.35">
      <c r="B142" s="340">
        <v>44755</v>
      </c>
      <c r="C142" s="2" t="s">
        <v>30</v>
      </c>
      <c r="D142" s="35" t="s">
        <v>9</v>
      </c>
      <c r="E142" s="2" t="s">
        <v>26</v>
      </c>
      <c r="F142" s="4" t="s">
        <v>1</v>
      </c>
      <c r="G142" s="326">
        <v>60.63</v>
      </c>
      <c r="H142" s="329">
        <v>6.15</v>
      </c>
      <c r="I142" s="330">
        <v>2.98</v>
      </c>
      <c r="J142" s="336">
        <v>6.4285714285714297</v>
      </c>
      <c r="K142" s="333">
        <v>42.857142857142854</v>
      </c>
      <c r="L142" s="338">
        <v>241000380</v>
      </c>
      <c r="P142" s="533"/>
      <c r="Q142" s="358">
        <v>44745</v>
      </c>
      <c r="R142" s="2" t="s">
        <v>4</v>
      </c>
      <c r="S142" s="35" t="s">
        <v>11</v>
      </c>
      <c r="T142" s="2" t="s">
        <v>26</v>
      </c>
      <c r="U142" s="4" t="s">
        <v>1</v>
      </c>
      <c r="V142" s="416">
        <v>60.2</v>
      </c>
      <c r="W142" s="416">
        <v>4.4000000000000004</v>
      </c>
      <c r="X142" s="416">
        <v>3.5</v>
      </c>
      <c r="Y142" s="416">
        <v>7.1</v>
      </c>
      <c r="Z142" s="416">
        <v>35.4</v>
      </c>
      <c r="AA142" s="415">
        <v>501</v>
      </c>
      <c r="AB142" s="533"/>
    </row>
    <row r="143" spans="2:28" ht="14.5" x14ac:dyDescent="0.35">
      <c r="B143" s="340">
        <v>44755</v>
      </c>
      <c r="C143" s="2" t="s">
        <v>30</v>
      </c>
      <c r="D143" s="35" t="s">
        <v>9</v>
      </c>
      <c r="E143" s="2" t="s">
        <v>26</v>
      </c>
      <c r="F143" s="4" t="s">
        <v>1</v>
      </c>
      <c r="G143" s="326">
        <v>59.91</v>
      </c>
      <c r="H143" s="329">
        <v>6.94</v>
      </c>
      <c r="I143" s="330">
        <v>3.17</v>
      </c>
      <c r="J143" s="336">
        <v>9.039548022598872</v>
      </c>
      <c r="K143" s="333">
        <v>40.677966101694921</v>
      </c>
      <c r="L143" s="338">
        <v>261005975</v>
      </c>
      <c r="P143" s="533"/>
      <c r="Q143" s="359">
        <v>44746</v>
      </c>
      <c r="R143" s="2" t="s">
        <v>4</v>
      </c>
      <c r="S143" s="35" t="s">
        <v>11</v>
      </c>
      <c r="T143" s="2" t="s">
        <v>26</v>
      </c>
      <c r="U143" s="4" t="s">
        <v>1</v>
      </c>
      <c r="V143" s="408">
        <v>61.5</v>
      </c>
      <c r="W143" s="408">
        <v>4</v>
      </c>
      <c r="X143" s="408">
        <v>3.1</v>
      </c>
      <c r="Y143" s="408">
        <v>8.6</v>
      </c>
      <c r="Z143" s="408">
        <v>38.4</v>
      </c>
      <c r="AA143" s="402">
        <v>508</v>
      </c>
      <c r="AB143" s="533"/>
    </row>
    <row r="144" spans="2:28" ht="14.5" x14ac:dyDescent="0.35">
      <c r="B144" s="340">
        <v>44756</v>
      </c>
      <c r="C144" s="2" t="s">
        <v>30</v>
      </c>
      <c r="D144" s="35" t="s">
        <v>9</v>
      </c>
      <c r="E144" s="2" t="s">
        <v>26</v>
      </c>
      <c r="F144" s="4" t="s">
        <v>1</v>
      </c>
      <c r="G144" s="326">
        <v>61.59</v>
      </c>
      <c r="H144" s="329">
        <v>5.47</v>
      </c>
      <c r="I144" s="330">
        <v>2.06</v>
      </c>
      <c r="J144" s="336">
        <v>6.2015503875969005</v>
      </c>
      <c r="K144" s="333">
        <v>44.186046511627914</v>
      </c>
      <c r="L144" s="338">
        <v>261005976</v>
      </c>
      <c r="P144" s="533"/>
      <c r="Q144" s="358">
        <v>44747</v>
      </c>
      <c r="R144" s="2" t="s">
        <v>4</v>
      </c>
      <c r="S144" s="35" t="s">
        <v>11</v>
      </c>
      <c r="T144" s="2" t="s">
        <v>26</v>
      </c>
      <c r="U144" s="4" t="s">
        <v>1</v>
      </c>
      <c r="V144" s="416">
        <v>61.2</v>
      </c>
      <c r="W144" s="416">
        <v>4</v>
      </c>
      <c r="X144" s="416">
        <v>3.3</v>
      </c>
      <c r="Y144" s="416">
        <v>9.8000000000000007</v>
      </c>
      <c r="Z144" s="416">
        <v>37.700000000000003</v>
      </c>
      <c r="AA144" s="415">
        <v>509</v>
      </c>
      <c r="AB144" s="533"/>
    </row>
    <row r="145" spans="2:28" ht="14.5" x14ac:dyDescent="0.35">
      <c r="B145" s="340">
        <v>44756</v>
      </c>
      <c r="C145" s="2" t="s">
        <v>30</v>
      </c>
      <c r="D145" s="35" t="s">
        <v>9</v>
      </c>
      <c r="E145" s="2" t="s">
        <v>26</v>
      </c>
      <c r="F145" s="4" t="s">
        <v>1</v>
      </c>
      <c r="G145" s="326">
        <v>62.8</v>
      </c>
      <c r="H145" s="329">
        <v>3.29</v>
      </c>
      <c r="I145" s="330">
        <v>2.5099999999999998</v>
      </c>
      <c r="J145" s="336">
        <v>7.1942446043165482</v>
      </c>
      <c r="K145" s="333">
        <v>41.726618705035975</v>
      </c>
      <c r="L145" s="338">
        <v>261005977</v>
      </c>
      <c r="P145" s="533"/>
      <c r="Q145" s="359">
        <v>44747</v>
      </c>
      <c r="R145" s="2" t="s">
        <v>4</v>
      </c>
      <c r="S145" s="35" t="s">
        <v>11</v>
      </c>
      <c r="T145" s="2" t="s">
        <v>26</v>
      </c>
      <c r="U145" s="4" t="s">
        <v>1</v>
      </c>
      <c r="V145" s="408">
        <v>61.3</v>
      </c>
      <c r="W145" s="408">
        <v>5.5</v>
      </c>
      <c r="X145" s="408">
        <v>2.2999999999999998</v>
      </c>
      <c r="Y145" s="408">
        <v>3.1</v>
      </c>
      <c r="Z145" s="408">
        <v>54.1</v>
      </c>
      <c r="AA145" s="402">
        <v>510</v>
      </c>
      <c r="AB145" s="533"/>
    </row>
    <row r="146" spans="2:28" ht="14.5" x14ac:dyDescent="0.35">
      <c r="B146" s="340">
        <v>44757</v>
      </c>
      <c r="C146" s="2" t="s">
        <v>30</v>
      </c>
      <c r="D146" s="35" t="s">
        <v>9</v>
      </c>
      <c r="E146" s="2" t="s">
        <v>26</v>
      </c>
      <c r="F146" s="4" t="s">
        <v>1</v>
      </c>
      <c r="G146" s="326">
        <v>62.86</v>
      </c>
      <c r="H146" s="329">
        <v>3.76</v>
      </c>
      <c r="I146" s="330">
        <v>1.63</v>
      </c>
      <c r="J146" s="336">
        <v>6.3380281690140841</v>
      </c>
      <c r="K146" s="333">
        <v>40.140845070422536</v>
      </c>
      <c r="L146" s="338">
        <v>261005979</v>
      </c>
      <c r="P146" s="533"/>
      <c r="Q146" s="358">
        <v>44748</v>
      </c>
      <c r="R146" s="2" t="s">
        <v>4</v>
      </c>
      <c r="S146" s="35" t="s">
        <v>11</v>
      </c>
      <c r="T146" s="2" t="s">
        <v>26</v>
      </c>
      <c r="U146" s="4" t="s">
        <v>1</v>
      </c>
      <c r="V146" s="416">
        <v>61.6</v>
      </c>
      <c r="W146" s="416">
        <v>4.5</v>
      </c>
      <c r="X146" s="416">
        <v>2.4</v>
      </c>
      <c r="Y146" s="416">
        <v>9.1999999999999993</v>
      </c>
      <c r="Z146" s="416">
        <v>48.8</v>
      </c>
      <c r="AA146" s="415">
        <v>503</v>
      </c>
      <c r="AB146" s="533"/>
    </row>
    <row r="147" spans="2:28" ht="14.5" x14ac:dyDescent="0.35">
      <c r="B147" s="340">
        <v>44757</v>
      </c>
      <c r="C147" s="2" t="s">
        <v>30</v>
      </c>
      <c r="D147" s="35" t="s">
        <v>9</v>
      </c>
      <c r="E147" s="2" t="s">
        <v>26</v>
      </c>
      <c r="F147" s="4" t="s">
        <v>1</v>
      </c>
      <c r="G147" s="326">
        <v>60.06</v>
      </c>
      <c r="H147" s="329">
        <v>7.44</v>
      </c>
      <c r="I147" s="330">
        <v>2.82</v>
      </c>
      <c r="J147" s="336">
        <v>5.5555555555555562</v>
      </c>
      <c r="K147" s="333">
        <v>45.138888888888893</v>
      </c>
      <c r="L147" s="338">
        <v>261005980</v>
      </c>
      <c r="P147" s="533"/>
      <c r="Q147" s="359">
        <v>44748</v>
      </c>
      <c r="R147" s="2" t="s">
        <v>4</v>
      </c>
      <c r="S147" s="35" t="s">
        <v>11</v>
      </c>
      <c r="T147" s="2" t="s">
        <v>26</v>
      </c>
      <c r="U147" s="4" t="s">
        <v>1</v>
      </c>
      <c r="V147" s="408">
        <v>61.2</v>
      </c>
      <c r="W147" s="408">
        <v>5.2</v>
      </c>
      <c r="X147" s="408">
        <v>2.5</v>
      </c>
      <c r="Y147" s="408">
        <v>10.5</v>
      </c>
      <c r="Z147" s="408">
        <v>45.8</v>
      </c>
      <c r="AA147" s="402">
        <v>504</v>
      </c>
      <c r="AB147" s="533"/>
    </row>
    <row r="148" spans="2:28" ht="14.5" x14ac:dyDescent="0.35">
      <c r="B148" s="340">
        <v>44757</v>
      </c>
      <c r="C148" s="2" t="s">
        <v>30</v>
      </c>
      <c r="D148" s="35" t="s">
        <v>9</v>
      </c>
      <c r="E148" s="2" t="s">
        <v>26</v>
      </c>
      <c r="F148" s="4" t="s">
        <v>1</v>
      </c>
      <c r="G148" s="326">
        <v>61.27</v>
      </c>
      <c r="H148" s="329">
        <v>5.12</v>
      </c>
      <c r="I148" s="330">
        <v>2.98</v>
      </c>
      <c r="J148" s="336">
        <v>7.5862068965517242</v>
      </c>
      <c r="K148" s="333">
        <v>40.689655172413794</v>
      </c>
      <c r="L148" s="338">
        <v>241000382</v>
      </c>
      <c r="P148" s="533"/>
      <c r="Q148" s="358">
        <v>44748</v>
      </c>
      <c r="R148" s="2" t="s">
        <v>4</v>
      </c>
      <c r="S148" s="35" t="s">
        <v>11</v>
      </c>
      <c r="T148" s="2" t="s">
        <v>26</v>
      </c>
      <c r="U148" s="4" t="s">
        <v>1</v>
      </c>
      <c r="V148" s="416">
        <v>61.3</v>
      </c>
      <c r="W148" s="416">
        <v>4.2</v>
      </c>
      <c r="X148" s="416">
        <v>2.4</v>
      </c>
      <c r="Y148" s="416">
        <v>4.4000000000000004</v>
      </c>
      <c r="Z148" s="416">
        <v>46.9</v>
      </c>
      <c r="AA148" s="415">
        <v>512</v>
      </c>
      <c r="AB148" s="533"/>
    </row>
    <row r="149" spans="2:28" ht="14.5" x14ac:dyDescent="0.35">
      <c r="B149" s="340">
        <v>44758</v>
      </c>
      <c r="C149" s="2" t="s">
        <v>30</v>
      </c>
      <c r="D149" s="35" t="s">
        <v>9</v>
      </c>
      <c r="E149" s="2" t="s">
        <v>26</v>
      </c>
      <c r="F149" s="4" t="s">
        <v>1</v>
      </c>
      <c r="G149" s="326">
        <v>62.36999999999999</v>
      </c>
      <c r="H149" s="329">
        <v>3.76</v>
      </c>
      <c r="I149" s="330">
        <v>2.4500000000000002</v>
      </c>
      <c r="J149" s="336">
        <v>7.1895424836601318</v>
      </c>
      <c r="K149" s="333">
        <v>44.444444444444443</v>
      </c>
      <c r="L149" s="338">
        <v>261005983</v>
      </c>
      <c r="P149" s="533"/>
      <c r="Q149" s="359">
        <v>44749</v>
      </c>
      <c r="R149" s="2" t="s">
        <v>4</v>
      </c>
      <c r="S149" s="35" t="s">
        <v>11</v>
      </c>
      <c r="T149" s="2" t="s">
        <v>26</v>
      </c>
      <c r="U149" s="4" t="s">
        <v>1</v>
      </c>
      <c r="V149" s="408">
        <v>61.7</v>
      </c>
      <c r="W149" s="408">
        <v>4</v>
      </c>
      <c r="X149" s="408">
        <v>2.5</v>
      </c>
      <c r="Y149" s="408">
        <v>12.6</v>
      </c>
      <c r="Z149" s="408">
        <v>36.700000000000003</v>
      </c>
      <c r="AA149" s="402">
        <v>517</v>
      </c>
      <c r="AB149" s="533"/>
    </row>
    <row r="150" spans="2:28" ht="14.5" x14ac:dyDescent="0.35">
      <c r="B150" s="340">
        <v>44758</v>
      </c>
      <c r="C150" s="2" t="s">
        <v>30</v>
      </c>
      <c r="D150" s="35" t="s">
        <v>9</v>
      </c>
      <c r="E150" s="2" t="s">
        <v>26</v>
      </c>
      <c r="F150" s="4" t="s">
        <v>1</v>
      </c>
      <c r="G150" s="326">
        <v>61.697999999999993</v>
      </c>
      <c r="H150" s="329">
        <v>4.63</v>
      </c>
      <c r="I150" s="330">
        <v>2.66</v>
      </c>
      <c r="J150" s="334">
        <v>6.25</v>
      </c>
      <c r="K150" s="331">
        <v>48.611111111111107</v>
      </c>
      <c r="L150" s="338">
        <v>261005982</v>
      </c>
      <c r="P150" s="533"/>
      <c r="Q150" s="358">
        <v>44751</v>
      </c>
      <c r="R150" s="2" t="s">
        <v>4</v>
      </c>
      <c r="S150" s="35" t="s">
        <v>11</v>
      </c>
      <c r="T150" s="2" t="s">
        <v>26</v>
      </c>
      <c r="U150" s="4" t="s">
        <v>1</v>
      </c>
      <c r="V150" s="416">
        <v>63.3</v>
      </c>
      <c r="W150" s="416">
        <v>2.9</v>
      </c>
      <c r="X150" s="416">
        <v>2.2000000000000002</v>
      </c>
      <c r="Y150" s="416">
        <v>13.8</v>
      </c>
      <c r="Z150" s="416">
        <v>34.9</v>
      </c>
      <c r="AA150" s="415">
        <v>511</v>
      </c>
      <c r="AB150" s="533"/>
    </row>
    <row r="151" spans="2:28" ht="14.5" x14ac:dyDescent="0.35">
      <c r="B151" s="340">
        <v>44758</v>
      </c>
      <c r="C151" s="2" t="s">
        <v>30</v>
      </c>
      <c r="D151" s="35" t="s">
        <v>9</v>
      </c>
      <c r="E151" s="2" t="s">
        <v>26</v>
      </c>
      <c r="F151" s="4" t="s">
        <v>1</v>
      </c>
      <c r="G151" s="326">
        <v>60.416999999999994</v>
      </c>
      <c r="H151" s="329">
        <v>6.53</v>
      </c>
      <c r="I151" s="330">
        <v>2.87</v>
      </c>
      <c r="J151" s="335">
        <v>7.7464788732394378</v>
      </c>
      <c r="K151" s="332">
        <v>47.887323943661976</v>
      </c>
      <c r="L151" s="338">
        <v>261005984</v>
      </c>
      <c r="P151" s="533"/>
      <c r="Q151" s="358">
        <v>44752</v>
      </c>
      <c r="R151" s="2" t="s">
        <v>4</v>
      </c>
      <c r="S151" s="35" t="s">
        <v>11</v>
      </c>
      <c r="T151" s="2" t="s">
        <v>26</v>
      </c>
      <c r="U151" s="4" t="s">
        <v>1</v>
      </c>
      <c r="V151" s="416">
        <v>61.6</v>
      </c>
      <c r="W151" s="416">
        <v>4.5</v>
      </c>
      <c r="X151" s="416">
        <v>2.5</v>
      </c>
      <c r="Y151" s="416">
        <v>6</v>
      </c>
      <c r="Z151" s="416">
        <v>55.6</v>
      </c>
      <c r="AA151" s="415">
        <v>515</v>
      </c>
      <c r="AB151" s="533"/>
    </row>
    <row r="152" spans="2:28" ht="14.5" x14ac:dyDescent="0.35">
      <c r="B152" s="340">
        <v>44759</v>
      </c>
      <c r="C152" s="2" t="s">
        <v>30</v>
      </c>
      <c r="D152" s="35" t="s">
        <v>9</v>
      </c>
      <c r="E152" s="2" t="s">
        <v>26</v>
      </c>
      <c r="F152" s="4" t="s">
        <v>1</v>
      </c>
      <c r="G152" s="326">
        <v>61.1</v>
      </c>
      <c r="H152" s="329">
        <v>7.64</v>
      </c>
      <c r="I152" s="330">
        <v>1.53</v>
      </c>
      <c r="J152" s="334">
        <v>6.8702290076335863</v>
      </c>
      <c r="K152" s="332">
        <v>48.854961832061065</v>
      </c>
      <c r="L152" s="339">
        <v>261005985</v>
      </c>
      <c r="P152" s="533"/>
      <c r="Q152" s="358">
        <v>44753</v>
      </c>
      <c r="R152" s="2" t="s">
        <v>4</v>
      </c>
      <c r="S152" s="35" t="s">
        <v>11</v>
      </c>
      <c r="T152" s="2" t="s">
        <v>26</v>
      </c>
      <c r="U152" s="4" t="s">
        <v>1</v>
      </c>
      <c r="V152" s="416">
        <v>63.5</v>
      </c>
      <c r="W152" s="416">
        <v>2.4</v>
      </c>
      <c r="X152" s="416">
        <v>2</v>
      </c>
      <c r="Y152" s="416">
        <v>6.1</v>
      </c>
      <c r="Z152" s="416">
        <v>45.4</v>
      </c>
      <c r="AA152" s="415">
        <v>524</v>
      </c>
      <c r="AB152" s="533"/>
    </row>
    <row r="153" spans="2:28" ht="14.5" x14ac:dyDescent="0.35">
      <c r="B153" s="340">
        <v>44759</v>
      </c>
      <c r="C153" s="2" t="s">
        <v>30</v>
      </c>
      <c r="D153" s="35" t="s">
        <v>9</v>
      </c>
      <c r="E153" s="2" t="s">
        <v>26</v>
      </c>
      <c r="F153" s="4" t="s">
        <v>1</v>
      </c>
      <c r="G153" s="326">
        <v>62.18</v>
      </c>
      <c r="H153" s="329">
        <v>4.5199999999999996</v>
      </c>
      <c r="I153" s="330">
        <v>2.33</v>
      </c>
      <c r="J153" s="334">
        <v>6.7669172932330826</v>
      </c>
      <c r="K153" s="332">
        <v>45.864661654135332</v>
      </c>
      <c r="L153" s="339">
        <v>261005986</v>
      </c>
      <c r="P153" s="533"/>
      <c r="Q153" s="358">
        <v>44754</v>
      </c>
      <c r="R153" s="2" t="s">
        <v>4</v>
      </c>
      <c r="S153" s="35" t="s">
        <v>11</v>
      </c>
      <c r="T153" s="2" t="s">
        <v>26</v>
      </c>
      <c r="U153" s="4" t="s">
        <v>1</v>
      </c>
      <c r="V153" s="416">
        <v>61.9</v>
      </c>
      <c r="W153" s="416">
        <v>4</v>
      </c>
      <c r="X153" s="416">
        <v>2</v>
      </c>
      <c r="Y153" s="416">
        <v>8.4</v>
      </c>
      <c r="Z153" s="416">
        <v>42.8</v>
      </c>
      <c r="AA153" s="415">
        <v>520</v>
      </c>
      <c r="AB153" s="533"/>
    </row>
    <row r="154" spans="2:28" ht="14.5" x14ac:dyDescent="0.35">
      <c r="B154" s="340">
        <v>44759</v>
      </c>
      <c r="C154" s="2" t="s">
        <v>30</v>
      </c>
      <c r="D154" s="35" t="s">
        <v>9</v>
      </c>
      <c r="E154" s="2" t="s">
        <v>26</v>
      </c>
      <c r="F154" s="4" t="s">
        <v>1</v>
      </c>
      <c r="G154" s="326">
        <v>62.79</v>
      </c>
      <c r="H154" s="329">
        <v>3.63</v>
      </c>
      <c r="I154" s="330">
        <v>2.02</v>
      </c>
      <c r="J154" s="334">
        <v>6.4777327935222671</v>
      </c>
      <c r="K154" s="332">
        <v>43.724696356275302</v>
      </c>
      <c r="L154" s="339">
        <v>261005987</v>
      </c>
      <c r="P154" s="533"/>
      <c r="Q154" s="358">
        <v>44754</v>
      </c>
      <c r="R154" s="2" t="s">
        <v>4</v>
      </c>
      <c r="S154" s="35" t="s">
        <v>11</v>
      </c>
      <c r="T154" s="2" t="s">
        <v>26</v>
      </c>
      <c r="U154" s="4" t="s">
        <v>1</v>
      </c>
      <c r="V154" s="416">
        <v>62.5</v>
      </c>
      <c r="W154" s="416">
        <v>3</v>
      </c>
      <c r="X154" s="416">
        <v>2.2000000000000002</v>
      </c>
      <c r="Y154" s="416">
        <v>9.5</v>
      </c>
      <c r="Z154" s="416">
        <v>43</v>
      </c>
      <c r="AA154" s="415">
        <v>522</v>
      </c>
      <c r="AB154" s="533"/>
    </row>
    <row r="155" spans="2:28" ht="14.5" x14ac:dyDescent="0.35">
      <c r="B155" s="340">
        <v>44760</v>
      </c>
      <c r="C155" s="2" t="s">
        <v>30</v>
      </c>
      <c r="D155" s="35" t="s">
        <v>9</v>
      </c>
      <c r="E155" s="2" t="s">
        <v>26</v>
      </c>
      <c r="F155" s="4" t="s">
        <v>1</v>
      </c>
      <c r="G155" s="326">
        <v>60.78</v>
      </c>
      <c r="H155" s="329">
        <v>5.35</v>
      </c>
      <c r="I155" s="330">
        <v>3.8</v>
      </c>
      <c r="J155" s="334">
        <v>6.8965517241379306</v>
      </c>
      <c r="K155" s="332">
        <v>40</v>
      </c>
      <c r="L155" s="339">
        <v>261005988</v>
      </c>
      <c r="P155" s="533"/>
      <c r="Q155" s="358">
        <v>44754</v>
      </c>
      <c r="R155" s="2" t="s">
        <v>4</v>
      </c>
      <c r="S155" s="35" t="s">
        <v>11</v>
      </c>
      <c r="T155" s="2" t="s">
        <v>26</v>
      </c>
      <c r="U155" s="4" t="s">
        <v>1</v>
      </c>
      <c r="V155" s="416">
        <v>62</v>
      </c>
      <c r="W155" s="416">
        <v>3.5</v>
      </c>
      <c r="X155" s="416">
        <v>1.9</v>
      </c>
      <c r="Y155" s="416">
        <v>7.8</v>
      </c>
      <c r="Z155" s="416">
        <v>40</v>
      </c>
      <c r="AA155" s="415">
        <v>526</v>
      </c>
      <c r="AB155" s="533"/>
    </row>
    <row r="156" spans="2:28" ht="14.5" x14ac:dyDescent="0.35">
      <c r="B156" s="340">
        <v>44760</v>
      </c>
      <c r="C156" s="2" t="s">
        <v>30</v>
      </c>
      <c r="D156" s="35" t="s">
        <v>9</v>
      </c>
      <c r="E156" s="2" t="s">
        <v>26</v>
      </c>
      <c r="F156" s="4" t="s">
        <v>1</v>
      </c>
      <c r="G156" s="326">
        <v>62.1</v>
      </c>
      <c r="H156" s="329">
        <v>4.09</v>
      </c>
      <c r="I156" s="330">
        <v>2.71</v>
      </c>
      <c r="J156" s="334">
        <v>8.0586080586080602</v>
      </c>
      <c r="K156" s="332">
        <v>38.827838827838832</v>
      </c>
      <c r="L156" s="339">
        <v>261005989</v>
      </c>
      <c r="P156" s="533"/>
      <c r="Q156" s="359">
        <v>44755</v>
      </c>
      <c r="R156" s="2" t="s">
        <v>4</v>
      </c>
      <c r="S156" s="35" t="s">
        <v>11</v>
      </c>
      <c r="T156" s="2" t="s">
        <v>26</v>
      </c>
      <c r="U156" s="4" t="s">
        <v>1</v>
      </c>
      <c r="V156" s="408">
        <v>62.2</v>
      </c>
      <c r="W156" s="408">
        <v>3.2</v>
      </c>
      <c r="X156" s="408">
        <v>1.6</v>
      </c>
      <c r="Y156" s="408">
        <v>5.0999999999999996</v>
      </c>
      <c r="Z156" s="408">
        <v>53.1</v>
      </c>
      <c r="AA156" s="402">
        <v>528</v>
      </c>
      <c r="AB156" s="533"/>
    </row>
    <row r="157" spans="2:28" ht="14.5" x14ac:dyDescent="0.35">
      <c r="B157" s="340">
        <v>44760</v>
      </c>
      <c r="C157" s="2" t="s">
        <v>30</v>
      </c>
      <c r="D157" s="35" t="s">
        <v>9</v>
      </c>
      <c r="E157" s="2" t="s">
        <v>26</v>
      </c>
      <c r="F157" s="4" t="s">
        <v>1</v>
      </c>
      <c r="G157" s="326">
        <v>62.05</v>
      </c>
      <c r="H157" s="329">
        <v>4.3600000000000003</v>
      </c>
      <c r="I157" s="330">
        <v>2.4300000000000002</v>
      </c>
      <c r="J157" s="334">
        <v>6.6176470588235299</v>
      </c>
      <c r="K157" s="332">
        <v>41.544117647058826</v>
      </c>
      <c r="L157" s="339">
        <v>261005990</v>
      </c>
      <c r="P157" s="533"/>
      <c r="Q157" s="358">
        <v>44755</v>
      </c>
      <c r="R157" s="2" t="s">
        <v>4</v>
      </c>
      <c r="S157" s="35" t="s">
        <v>11</v>
      </c>
      <c r="T157" s="2" t="s">
        <v>26</v>
      </c>
      <c r="U157" s="4" t="s">
        <v>1</v>
      </c>
      <c r="V157" s="416">
        <v>61.7</v>
      </c>
      <c r="W157" s="416">
        <v>4.2</v>
      </c>
      <c r="X157" s="416">
        <v>2</v>
      </c>
      <c r="Y157" s="416">
        <v>13.1</v>
      </c>
      <c r="Z157" s="416">
        <v>34.700000000000003</v>
      </c>
      <c r="AA157" s="415">
        <v>527</v>
      </c>
      <c r="AB157" s="533"/>
    </row>
    <row r="158" spans="2:28" ht="14.5" x14ac:dyDescent="0.35">
      <c r="B158" s="340">
        <v>44761</v>
      </c>
      <c r="C158" s="2" t="s">
        <v>30</v>
      </c>
      <c r="D158" s="35" t="s">
        <v>9</v>
      </c>
      <c r="E158" s="2" t="s">
        <v>26</v>
      </c>
      <c r="F158" s="4" t="s">
        <v>1</v>
      </c>
      <c r="G158" s="326">
        <v>63.39</v>
      </c>
      <c r="H158" s="329">
        <v>3.33</v>
      </c>
      <c r="I158" s="330">
        <v>1.5</v>
      </c>
      <c r="J158" s="336">
        <v>3.9325842696629212</v>
      </c>
      <c r="K158" s="333">
        <v>58.988764044943821</v>
      </c>
      <c r="L158" s="339">
        <v>241000383</v>
      </c>
      <c r="P158" s="533"/>
      <c r="Q158" s="359">
        <v>44756</v>
      </c>
      <c r="R158" s="2" t="s">
        <v>4</v>
      </c>
      <c r="S158" s="35" t="s">
        <v>11</v>
      </c>
      <c r="T158" s="2" t="s">
        <v>26</v>
      </c>
      <c r="U158" s="4" t="s">
        <v>1</v>
      </c>
      <c r="V158" s="408">
        <v>62.1</v>
      </c>
      <c r="W158" s="408">
        <v>4</v>
      </c>
      <c r="X158" s="408">
        <v>1.8</v>
      </c>
      <c r="Y158" s="408">
        <v>7.7</v>
      </c>
      <c r="Z158" s="408">
        <v>46.9</v>
      </c>
      <c r="AA158" s="402">
        <v>529</v>
      </c>
      <c r="AB158" s="533"/>
    </row>
    <row r="159" spans="2:28" ht="14.5" x14ac:dyDescent="0.35">
      <c r="B159" s="340">
        <v>44761</v>
      </c>
      <c r="C159" s="2" t="s">
        <v>30</v>
      </c>
      <c r="D159" s="35" t="s">
        <v>9</v>
      </c>
      <c r="E159" s="2" t="s">
        <v>26</v>
      </c>
      <c r="F159" s="4" t="s">
        <v>1</v>
      </c>
      <c r="G159" s="326">
        <v>61.61</v>
      </c>
      <c r="H159" s="329">
        <v>5.16</v>
      </c>
      <c r="I159" s="330">
        <v>2.66</v>
      </c>
      <c r="J159" s="334">
        <v>6.6298342541436464</v>
      </c>
      <c r="K159" s="333">
        <v>45.856353591160222</v>
      </c>
      <c r="L159" s="339">
        <v>261005991</v>
      </c>
      <c r="P159" s="533"/>
      <c r="Q159" s="358">
        <v>44756</v>
      </c>
      <c r="R159" s="2" t="s">
        <v>4</v>
      </c>
      <c r="S159" s="35" t="s">
        <v>11</v>
      </c>
      <c r="T159" s="2" t="s">
        <v>26</v>
      </c>
      <c r="U159" s="4" t="s">
        <v>1</v>
      </c>
      <c r="V159" s="416">
        <v>62.4</v>
      </c>
      <c r="W159" s="416">
        <v>4.5</v>
      </c>
      <c r="X159" s="416">
        <v>2</v>
      </c>
      <c r="Y159" s="416">
        <v>3.4</v>
      </c>
      <c r="Z159" s="416">
        <v>51.1</v>
      </c>
      <c r="AA159" s="415">
        <v>530</v>
      </c>
      <c r="AB159" s="533"/>
    </row>
    <row r="160" spans="2:28" ht="14.5" x14ac:dyDescent="0.35">
      <c r="B160" s="340">
        <v>44761</v>
      </c>
      <c r="C160" s="2" t="s">
        <v>30</v>
      </c>
      <c r="D160" s="35" t="s">
        <v>9</v>
      </c>
      <c r="E160" s="2" t="s">
        <v>26</v>
      </c>
      <c r="F160" s="4" t="s">
        <v>1</v>
      </c>
      <c r="G160" s="326">
        <v>62.19</v>
      </c>
      <c r="H160" s="329">
        <v>3.92</v>
      </c>
      <c r="I160" s="330">
        <v>2.87</v>
      </c>
      <c r="J160" s="334">
        <v>6.9105691056910556</v>
      </c>
      <c r="K160" s="332">
        <v>42.27642276422764</v>
      </c>
      <c r="L160" s="339">
        <v>261005993</v>
      </c>
      <c r="P160" s="533"/>
      <c r="Q160" s="358">
        <v>44757</v>
      </c>
      <c r="R160" s="2" t="s">
        <v>4</v>
      </c>
      <c r="S160" s="35" t="s">
        <v>11</v>
      </c>
      <c r="T160" s="2" t="s">
        <v>26</v>
      </c>
      <c r="U160" s="4" t="s">
        <v>1</v>
      </c>
      <c r="V160" s="416">
        <v>63.2</v>
      </c>
      <c r="W160" s="416">
        <v>2.5</v>
      </c>
      <c r="X160" s="416">
        <v>1.4</v>
      </c>
      <c r="Y160" s="416">
        <v>7.5</v>
      </c>
      <c r="Z160" s="416">
        <v>44.4</v>
      </c>
      <c r="AA160" s="415">
        <v>533</v>
      </c>
      <c r="AB160" s="533"/>
    </row>
    <row r="161" spans="2:28" ht="14.5" x14ac:dyDescent="0.35">
      <c r="B161" s="340">
        <v>44762</v>
      </c>
      <c r="C161" s="2" t="s">
        <v>30</v>
      </c>
      <c r="D161" s="35" t="s">
        <v>9</v>
      </c>
      <c r="E161" s="2" t="s">
        <v>26</v>
      </c>
      <c r="F161" s="4" t="s">
        <v>1</v>
      </c>
      <c r="G161" s="326">
        <v>61.42</v>
      </c>
      <c r="H161" s="329">
        <v>5.44</v>
      </c>
      <c r="I161" s="330">
        <v>2.5499999999999998</v>
      </c>
      <c r="J161" s="336">
        <v>5.8479532163742682</v>
      </c>
      <c r="K161" s="333">
        <v>39.76608187134503</v>
      </c>
      <c r="L161" s="339">
        <v>261005992</v>
      </c>
      <c r="P161" s="533"/>
      <c r="Q161" s="358">
        <v>44758</v>
      </c>
      <c r="R161" s="2" t="s">
        <v>4</v>
      </c>
      <c r="S161" s="35" t="s">
        <v>11</v>
      </c>
      <c r="T161" s="2" t="s">
        <v>26</v>
      </c>
      <c r="U161" s="4" t="s">
        <v>1</v>
      </c>
      <c r="V161" s="416">
        <v>61.3</v>
      </c>
      <c r="W161" s="416">
        <v>4.9000000000000004</v>
      </c>
      <c r="X161" s="416">
        <v>2.8</v>
      </c>
      <c r="Y161" s="416">
        <v>6.3</v>
      </c>
      <c r="Z161" s="416">
        <v>45</v>
      </c>
      <c r="AA161" s="415">
        <v>532</v>
      </c>
      <c r="AB161" s="533"/>
    </row>
    <row r="162" spans="2:28" ht="14.5" x14ac:dyDescent="0.35">
      <c r="B162" s="340">
        <v>44763</v>
      </c>
      <c r="C162" s="2" t="s">
        <v>30</v>
      </c>
      <c r="D162" s="35" t="s">
        <v>9</v>
      </c>
      <c r="E162" s="2" t="s">
        <v>26</v>
      </c>
      <c r="F162" s="4" t="s">
        <v>1</v>
      </c>
      <c r="G162" s="326">
        <v>60.98</v>
      </c>
      <c r="H162" s="329">
        <v>5.14</v>
      </c>
      <c r="I162" s="330">
        <v>3.49</v>
      </c>
      <c r="J162" s="337">
        <v>7.5471698113207548</v>
      </c>
      <c r="K162" s="333">
        <v>41.509433962264147</v>
      </c>
      <c r="L162" s="339">
        <v>261005994</v>
      </c>
      <c r="P162" s="533"/>
      <c r="Q162" s="358">
        <v>44758</v>
      </c>
      <c r="R162" s="2" t="s">
        <v>4</v>
      </c>
      <c r="S162" s="35" t="s">
        <v>11</v>
      </c>
      <c r="T162" s="2" t="s">
        <v>26</v>
      </c>
      <c r="U162" s="4" t="s">
        <v>1</v>
      </c>
      <c r="V162" s="416">
        <v>59.2</v>
      </c>
      <c r="W162" s="416">
        <v>8.4</v>
      </c>
      <c r="X162" s="416">
        <v>2.5</v>
      </c>
      <c r="Y162" s="416">
        <v>7</v>
      </c>
      <c r="Z162" s="416">
        <v>41.2</v>
      </c>
      <c r="AA162" s="415">
        <v>535</v>
      </c>
      <c r="AB162" s="533"/>
    </row>
    <row r="163" spans="2:28" ht="14.5" x14ac:dyDescent="0.35">
      <c r="B163" s="340">
        <v>44763</v>
      </c>
      <c r="C163" s="2" t="s">
        <v>30</v>
      </c>
      <c r="D163" s="35" t="s">
        <v>9</v>
      </c>
      <c r="E163" s="2" t="s">
        <v>26</v>
      </c>
      <c r="F163" s="4" t="s">
        <v>1</v>
      </c>
      <c r="G163" s="326">
        <v>60.81</v>
      </c>
      <c r="H163" s="329">
        <v>6.39</v>
      </c>
      <c r="I163" s="330">
        <v>2.65</v>
      </c>
      <c r="J163" s="334">
        <v>6.6225165562913899</v>
      </c>
      <c r="K163" s="333">
        <v>43.046357615894038</v>
      </c>
      <c r="L163" s="339">
        <v>261005997</v>
      </c>
      <c r="P163" s="533"/>
      <c r="Q163" s="359">
        <v>44759</v>
      </c>
      <c r="R163" s="2" t="s">
        <v>4</v>
      </c>
      <c r="S163" s="35" t="s">
        <v>11</v>
      </c>
      <c r="T163" s="2" t="s">
        <v>26</v>
      </c>
      <c r="U163" s="4" t="s">
        <v>1</v>
      </c>
      <c r="V163" s="408">
        <v>60</v>
      </c>
      <c r="W163" s="408">
        <v>6</v>
      </c>
      <c r="X163" s="408">
        <v>2.2999999999999998</v>
      </c>
      <c r="Y163" s="408">
        <v>17</v>
      </c>
      <c r="Z163" s="408">
        <v>25.2</v>
      </c>
      <c r="AA163" s="402">
        <v>536</v>
      </c>
      <c r="AB163" s="533"/>
    </row>
    <row r="164" spans="2:28" ht="14.5" x14ac:dyDescent="0.35">
      <c r="B164" s="340">
        <v>44763</v>
      </c>
      <c r="C164" s="2" t="s">
        <v>30</v>
      </c>
      <c r="D164" s="35" t="s">
        <v>9</v>
      </c>
      <c r="E164" s="2" t="s">
        <v>26</v>
      </c>
      <c r="F164" s="4" t="s">
        <v>1</v>
      </c>
      <c r="G164" s="326">
        <v>58.16</v>
      </c>
      <c r="H164" s="329">
        <v>7.9</v>
      </c>
      <c r="I164" s="330">
        <v>5.15</v>
      </c>
      <c r="J164" s="334">
        <v>6.7226890756302531</v>
      </c>
      <c r="K164" s="333">
        <v>47.058823529411768</v>
      </c>
      <c r="L164" s="339">
        <v>241000384</v>
      </c>
      <c r="P164" s="533"/>
      <c r="Q164" s="358">
        <v>44760</v>
      </c>
      <c r="R164" s="2" t="s">
        <v>4</v>
      </c>
      <c r="S164" s="35" t="s">
        <v>11</v>
      </c>
      <c r="T164" s="2" t="s">
        <v>26</v>
      </c>
      <c r="U164" s="4" t="s">
        <v>1</v>
      </c>
      <c r="V164" s="416">
        <v>61.6</v>
      </c>
      <c r="W164" s="416">
        <v>3.2</v>
      </c>
      <c r="X164" s="416">
        <v>3</v>
      </c>
      <c r="Y164" s="416">
        <v>11.5</v>
      </c>
      <c r="Z164" s="416">
        <v>34</v>
      </c>
      <c r="AA164" s="415">
        <v>537</v>
      </c>
      <c r="AB164" s="533"/>
    </row>
    <row r="165" spans="2:28" ht="14.5" x14ac:dyDescent="0.35">
      <c r="B165" s="340">
        <v>44764</v>
      </c>
      <c r="C165" s="2" t="s">
        <v>30</v>
      </c>
      <c r="D165" s="35" t="s">
        <v>9</v>
      </c>
      <c r="E165" s="2" t="s">
        <v>26</v>
      </c>
      <c r="F165" s="4" t="s">
        <v>1</v>
      </c>
      <c r="G165" s="326">
        <v>59.89</v>
      </c>
      <c r="H165" s="329">
        <v>6.91</v>
      </c>
      <c r="I165" s="330">
        <v>3.39</v>
      </c>
      <c r="J165" s="336">
        <v>6.666666666666667</v>
      </c>
      <c r="K165" s="333">
        <v>47.272727272727273</v>
      </c>
      <c r="L165" s="339">
        <v>261005996</v>
      </c>
      <c r="P165" s="533"/>
      <c r="Q165" s="359">
        <v>44760</v>
      </c>
      <c r="R165" s="2" t="s">
        <v>4</v>
      </c>
      <c r="S165" s="35" t="s">
        <v>11</v>
      </c>
      <c r="T165" s="2" t="s">
        <v>26</v>
      </c>
      <c r="U165" s="4" t="s">
        <v>1</v>
      </c>
      <c r="V165" s="408">
        <v>60.2</v>
      </c>
      <c r="W165" s="408">
        <v>2.2999999999999998</v>
      </c>
      <c r="X165" s="408">
        <v>1.9</v>
      </c>
      <c r="Y165" s="408">
        <v>30.5</v>
      </c>
      <c r="Z165" s="408">
        <v>9.4</v>
      </c>
      <c r="AA165" s="402">
        <v>539</v>
      </c>
      <c r="AB165" s="533"/>
    </row>
    <row r="166" spans="2:28" ht="14.5" x14ac:dyDescent="0.35">
      <c r="B166" s="340">
        <v>44764</v>
      </c>
      <c r="C166" s="2" t="s">
        <v>30</v>
      </c>
      <c r="D166" s="35" t="s">
        <v>9</v>
      </c>
      <c r="E166" s="2" t="s">
        <v>26</v>
      </c>
      <c r="F166" s="4" t="s">
        <v>1</v>
      </c>
      <c r="G166" s="326">
        <v>59.47</v>
      </c>
      <c r="H166" s="329">
        <v>6.94</v>
      </c>
      <c r="I166" s="330">
        <v>3.89</v>
      </c>
      <c r="J166" s="336">
        <v>5.9210526315789478</v>
      </c>
      <c r="K166" s="333">
        <v>49.342105263157897</v>
      </c>
      <c r="L166" s="339">
        <v>241000386</v>
      </c>
      <c r="P166" s="533"/>
      <c r="Q166" s="359">
        <v>44760</v>
      </c>
      <c r="R166" s="2" t="s">
        <v>4</v>
      </c>
      <c r="S166" s="35" t="s">
        <v>11</v>
      </c>
      <c r="T166" s="2" t="s">
        <v>26</v>
      </c>
      <c r="U166" s="4" t="s">
        <v>1</v>
      </c>
      <c r="V166" s="408">
        <v>61.5</v>
      </c>
      <c r="W166" s="408">
        <v>3.5</v>
      </c>
      <c r="X166" s="408">
        <v>2.5</v>
      </c>
      <c r="Y166" s="408">
        <v>15.9</v>
      </c>
      <c r="Z166" s="408">
        <v>30.6</v>
      </c>
      <c r="AA166" s="402">
        <v>538</v>
      </c>
      <c r="AB166" s="533"/>
    </row>
    <row r="167" spans="2:28" ht="14.5" x14ac:dyDescent="0.35">
      <c r="B167" s="340">
        <v>44765</v>
      </c>
      <c r="C167" s="2" t="s">
        <v>30</v>
      </c>
      <c r="D167" s="35" t="s">
        <v>9</v>
      </c>
      <c r="E167" s="2" t="s">
        <v>26</v>
      </c>
      <c r="F167" s="4" t="s">
        <v>1</v>
      </c>
      <c r="G167" s="326">
        <v>59.674999999999997</v>
      </c>
      <c r="H167" s="329">
        <v>7.53</v>
      </c>
      <c r="I167" s="330">
        <v>3.19</v>
      </c>
      <c r="J167" s="337">
        <v>6.4516129032258061</v>
      </c>
      <c r="K167" s="333">
        <v>44.516129032258064</v>
      </c>
      <c r="L167" s="339">
        <v>261005998</v>
      </c>
      <c r="P167" s="533"/>
      <c r="Q167" s="358">
        <v>44761</v>
      </c>
      <c r="R167" s="2" t="s">
        <v>4</v>
      </c>
      <c r="S167" s="35" t="s">
        <v>11</v>
      </c>
      <c r="T167" s="2" t="s">
        <v>26</v>
      </c>
      <c r="U167" s="4" t="s">
        <v>1</v>
      </c>
      <c r="V167" s="416">
        <v>62.7</v>
      </c>
      <c r="W167" s="416">
        <v>2.7</v>
      </c>
      <c r="X167" s="416">
        <v>2.4</v>
      </c>
      <c r="Y167" s="416">
        <v>9.1999999999999993</v>
      </c>
      <c r="Z167" s="416">
        <v>41.2</v>
      </c>
      <c r="AA167" s="415">
        <v>540</v>
      </c>
      <c r="AB167" s="533"/>
    </row>
    <row r="168" spans="2:28" ht="14.5" x14ac:dyDescent="0.35">
      <c r="B168" s="340">
        <v>44765</v>
      </c>
      <c r="C168" s="2" t="s">
        <v>30</v>
      </c>
      <c r="D168" s="35" t="s">
        <v>9</v>
      </c>
      <c r="E168" s="2" t="s">
        <v>26</v>
      </c>
      <c r="F168" s="4" t="s">
        <v>1</v>
      </c>
      <c r="G168" s="326">
        <v>60.024999999999999</v>
      </c>
      <c r="H168" s="329">
        <v>6.55</v>
      </c>
      <c r="I168" s="330">
        <v>3.48</v>
      </c>
      <c r="J168" s="337">
        <v>7.8431372549019605</v>
      </c>
      <c r="K168" s="333">
        <v>46.405228758169933</v>
      </c>
      <c r="L168" s="339">
        <v>261005999</v>
      </c>
      <c r="P168" s="533"/>
      <c r="Q168" s="358">
        <v>44762</v>
      </c>
      <c r="R168" s="2" t="s">
        <v>4</v>
      </c>
      <c r="S168" s="35" t="s">
        <v>11</v>
      </c>
      <c r="T168" s="2" t="s">
        <v>26</v>
      </c>
      <c r="U168" s="4" t="s">
        <v>1</v>
      </c>
      <c r="V168" s="416">
        <v>63.1</v>
      </c>
      <c r="W168" s="416">
        <v>2.4</v>
      </c>
      <c r="X168" s="416">
        <v>1.7</v>
      </c>
      <c r="Y168" s="416">
        <v>9.6999999999999993</v>
      </c>
      <c r="Z168" s="416">
        <v>40.200000000000003</v>
      </c>
      <c r="AA168" s="415">
        <v>542</v>
      </c>
      <c r="AB168" s="533"/>
    </row>
    <row r="169" spans="2:28" ht="14.5" x14ac:dyDescent="0.35">
      <c r="B169" s="340">
        <v>44766</v>
      </c>
      <c r="C169" s="2" t="s">
        <v>30</v>
      </c>
      <c r="D169" s="35" t="s">
        <v>9</v>
      </c>
      <c r="E169" s="2" t="s">
        <v>26</v>
      </c>
      <c r="F169" s="4" t="s">
        <v>1</v>
      </c>
      <c r="G169" s="326">
        <v>63.03</v>
      </c>
      <c r="H169" s="329">
        <v>3.37</v>
      </c>
      <c r="I169" s="330">
        <v>2.2200000000000002</v>
      </c>
      <c r="J169" s="337">
        <v>6.1538461538461542</v>
      </c>
      <c r="K169" s="333">
        <v>47.692307692307693</v>
      </c>
      <c r="L169" s="339">
        <v>261006000</v>
      </c>
      <c r="P169" s="533"/>
      <c r="Q169" s="358">
        <v>44762</v>
      </c>
      <c r="R169" s="2" t="s">
        <v>4</v>
      </c>
      <c r="S169" s="35" t="s">
        <v>11</v>
      </c>
      <c r="T169" s="2" t="s">
        <v>26</v>
      </c>
      <c r="U169" s="4" t="s">
        <v>1</v>
      </c>
      <c r="V169" s="416">
        <v>63.5</v>
      </c>
      <c r="W169" s="416">
        <v>2.5</v>
      </c>
      <c r="X169" s="416">
        <v>1.9</v>
      </c>
      <c r="Y169" s="416">
        <v>10.5</v>
      </c>
      <c r="Z169" s="416">
        <v>30</v>
      </c>
      <c r="AA169" s="415">
        <v>541</v>
      </c>
      <c r="AB169" s="533"/>
    </row>
    <row r="170" spans="2:28" ht="14.5" x14ac:dyDescent="0.35">
      <c r="B170" s="340">
        <v>44766</v>
      </c>
      <c r="C170" s="2" t="s">
        <v>30</v>
      </c>
      <c r="D170" s="35" t="s">
        <v>9</v>
      </c>
      <c r="E170" s="2" t="s">
        <v>26</v>
      </c>
      <c r="F170" s="4" t="s">
        <v>1</v>
      </c>
      <c r="G170" s="326">
        <v>61.4</v>
      </c>
      <c r="H170" s="329">
        <v>4.74</v>
      </c>
      <c r="I170" s="330">
        <v>3.14</v>
      </c>
      <c r="J170" s="337">
        <v>5.806451612903226</v>
      </c>
      <c r="K170" s="333">
        <v>48.387096774193552</v>
      </c>
      <c r="L170" s="339">
        <v>261006002</v>
      </c>
      <c r="P170" s="533"/>
      <c r="Q170" s="359">
        <v>44762</v>
      </c>
      <c r="R170" s="2" t="s">
        <v>4</v>
      </c>
      <c r="S170" s="35" t="s">
        <v>11</v>
      </c>
      <c r="T170" s="2" t="s">
        <v>26</v>
      </c>
      <c r="U170" s="4" t="s">
        <v>1</v>
      </c>
      <c r="V170" s="408">
        <v>63.1</v>
      </c>
      <c r="W170" s="408">
        <v>2.8</v>
      </c>
      <c r="X170" s="408">
        <v>2</v>
      </c>
      <c r="Y170" s="408">
        <v>17.100000000000001</v>
      </c>
      <c r="Z170" s="408">
        <v>31.5</v>
      </c>
      <c r="AA170" s="402">
        <v>543</v>
      </c>
      <c r="AB170" s="533"/>
    </row>
    <row r="171" spans="2:28" ht="14.5" x14ac:dyDescent="0.35">
      <c r="B171" s="340">
        <v>44767</v>
      </c>
      <c r="C171" s="2" t="s">
        <v>30</v>
      </c>
      <c r="D171" s="35" t="s">
        <v>9</v>
      </c>
      <c r="E171" s="2" t="s">
        <v>26</v>
      </c>
      <c r="F171" s="4" t="s">
        <v>1</v>
      </c>
      <c r="G171" s="326">
        <v>62.59</v>
      </c>
      <c r="H171" s="329">
        <v>3.45</v>
      </c>
      <c r="I171" s="330">
        <v>2.42</v>
      </c>
      <c r="J171" s="336">
        <v>7.0063694267515935</v>
      </c>
      <c r="K171" s="333">
        <v>46.496815286624205</v>
      </c>
      <c r="L171" s="339">
        <v>261006006</v>
      </c>
      <c r="P171" s="533"/>
      <c r="Q171" s="358">
        <v>44763</v>
      </c>
      <c r="R171" s="2" t="s">
        <v>4</v>
      </c>
      <c r="S171" s="35" t="s">
        <v>11</v>
      </c>
      <c r="T171" s="2" t="s">
        <v>26</v>
      </c>
      <c r="U171" s="4" t="s">
        <v>1</v>
      </c>
      <c r="V171" s="416">
        <v>62.6</v>
      </c>
      <c r="W171" s="416">
        <v>3</v>
      </c>
      <c r="X171" s="416">
        <v>2.6</v>
      </c>
      <c r="Y171" s="416">
        <v>15.7</v>
      </c>
      <c r="Z171" s="416">
        <v>32.200000000000003</v>
      </c>
      <c r="AA171" s="415">
        <v>543</v>
      </c>
      <c r="AB171" s="533"/>
    </row>
    <row r="172" spans="2:28" ht="14.5" x14ac:dyDescent="0.35">
      <c r="B172" s="349">
        <v>44746</v>
      </c>
      <c r="C172" s="2" t="s">
        <v>30</v>
      </c>
      <c r="D172" s="35" t="s">
        <v>11</v>
      </c>
      <c r="E172" s="2" t="s">
        <v>26</v>
      </c>
      <c r="F172" s="4" t="s">
        <v>1</v>
      </c>
      <c r="G172" s="346">
        <v>62.22</v>
      </c>
      <c r="H172" s="347">
        <v>5.81</v>
      </c>
      <c r="I172" s="348">
        <v>1.06</v>
      </c>
      <c r="J172" s="344">
        <v>8.0536912751677843</v>
      </c>
      <c r="K172" s="345">
        <v>42.95302013422819</v>
      </c>
      <c r="L172" s="343">
        <v>261006760</v>
      </c>
      <c r="P172" s="533"/>
      <c r="Q172" s="359">
        <v>44763</v>
      </c>
      <c r="R172" s="2" t="s">
        <v>4</v>
      </c>
      <c r="S172" s="35" t="s">
        <v>11</v>
      </c>
      <c r="T172" s="2" t="s">
        <v>26</v>
      </c>
      <c r="U172" s="4" t="s">
        <v>1</v>
      </c>
      <c r="V172" s="408">
        <v>62.4</v>
      </c>
      <c r="W172" s="408">
        <v>3.2</v>
      </c>
      <c r="X172" s="408">
        <v>2.2999999999999998</v>
      </c>
      <c r="Y172" s="408">
        <v>10.199999999999999</v>
      </c>
      <c r="Z172" s="408">
        <v>34.1</v>
      </c>
      <c r="AA172" s="402">
        <v>545</v>
      </c>
      <c r="AB172" s="533"/>
    </row>
    <row r="173" spans="2:28" ht="14.5" x14ac:dyDescent="0.35">
      <c r="B173" s="349">
        <v>44749</v>
      </c>
      <c r="C173" s="2" t="s">
        <v>30</v>
      </c>
      <c r="D173" s="35" t="s">
        <v>11</v>
      </c>
      <c r="E173" s="2" t="s">
        <v>26</v>
      </c>
      <c r="F173" s="4" t="s">
        <v>1</v>
      </c>
      <c r="G173" s="346">
        <v>62.62</v>
      </c>
      <c r="H173" s="347">
        <v>3.94</v>
      </c>
      <c r="I173" s="348">
        <v>1.81</v>
      </c>
      <c r="J173" s="344">
        <v>8.4337349397590362</v>
      </c>
      <c r="K173" s="345">
        <v>33.734939759036145</v>
      </c>
      <c r="L173" s="343">
        <v>261006767</v>
      </c>
      <c r="P173" s="533"/>
      <c r="Q173" s="359">
        <v>44763</v>
      </c>
      <c r="R173" s="2" t="s">
        <v>4</v>
      </c>
      <c r="S173" s="35" t="s">
        <v>11</v>
      </c>
      <c r="T173" s="2" t="s">
        <v>26</v>
      </c>
      <c r="U173" s="4" t="s">
        <v>1</v>
      </c>
      <c r="V173" s="408">
        <v>61</v>
      </c>
      <c r="W173" s="408">
        <v>3.5</v>
      </c>
      <c r="X173" s="408">
        <v>3</v>
      </c>
      <c r="Y173" s="408">
        <v>5.0999999999999996</v>
      </c>
      <c r="Z173" s="408">
        <v>44.9</v>
      </c>
      <c r="AA173" s="402">
        <v>547</v>
      </c>
      <c r="AB173" s="533"/>
    </row>
    <row r="174" spans="2:28" ht="14.5" x14ac:dyDescent="0.35">
      <c r="B174" s="349">
        <v>44754</v>
      </c>
      <c r="C174" s="2" t="s">
        <v>30</v>
      </c>
      <c r="D174" s="35" t="s">
        <v>11</v>
      </c>
      <c r="E174" s="2" t="s">
        <v>26</v>
      </c>
      <c r="F174" s="4" t="s">
        <v>1</v>
      </c>
      <c r="G174" s="346">
        <v>62.56</v>
      </c>
      <c r="H174" s="347">
        <v>3.95</v>
      </c>
      <c r="I174" s="348">
        <v>2.14</v>
      </c>
      <c r="J174" s="344">
        <v>9.6045197740112993</v>
      </c>
      <c r="K174" s="345">
        <v>34.463276836158194</v>
      </c>
      <c r="L174" s="343">
        <v>261006776</v>
      </c>
      <c r="P174" s="533"/>
      <c r="Q174" s="358">
        <v>44765</v>
      </c>
      <c r="R174" s="2" t="s">
        <v>4</v>
      </c>
      <c r="S174" s="35" t="s">
        <v>11</v>
      </c>
      <c r="T174" s="2" t="s">
        <v>26</v>
      </c>
      <c r="U174" s="4" t="s">
        <v>1</v>
      </c>
      <c r="V174" s="416">
        <v>63.2</v>
      </c>
      <c r="W174" s="416">
        <v>2.7</v>
      </c>
      <c r="X174" s="416">
        <v>2.2999999999999998</v>
      </c>
      <c r="Y174" s="416">
        <v>18.100000000000001</v>
      </c>
      <c r="Z174" s="416">
        <v>31.5</v>
      </c>
      <c r="AA174" s="415">
        <v>549</v>
      </c>
      <c r="AB174" s="533"/>
    </row>
    <row r="175" spans="2:28" ht="14.5" x14ac:dyDescent="0.35">
      <c r="B175" s="349">
        <v>44761</v>
      </c>
      <c r="C175" s="2" t="s">
        <v>30</v>
      </c>
      <c r="D175" s="35" t="s">
        <v>11</v>
      </c>
      <c r="E175" s="2" t="s">
        <v>26</v>
      </c>
      <c r="F175" s="4" t="s">
        <v>1</v>
      </c>
      <c r="G175" s="346">
        <v>63.41</v>
      </c>
      <c r="H175" s="347">
        <v>3.22</v>
      </c>
      <c r="I175" s="348">
        <v>1.63</v>
      </c>
      <c r="J175" s="344">
        <v>12.142857142857142</v>
      </c>
      <c r="K175" s="345">
        <v>37.142857142857146</v>
      </c>
      <c r="L175" s="343">
        <v>261006790</v>
      </c>
      <c r="P175" s="533"/>
      <c r="Q175" s="358">
        <v>44765</v>
      </c>
      <c r="R175" s="2" t="s">
        <v>4</v>
      </c>
      <c r="S175" s="35" t="s">
        <v>11</v>
      </c>
      <c r="T175" s="2" t="s">
        <v>26</v>
      </c>
      <c r="U175" s="4" t="s">
        <v>1</v>
      </c>
      <c r="V175" s="416">
        <v>61.5</v>
      </c>
      <c r="W175" s="416">
        <v>3.3</v>
      </c>
      <c r="X175" s="416">
        <v>3</v>
      </c>
      <c r="Y175" s="416">
        <v>8.1999999999999993</v>
      </c>
      <c r="Z175" s="416">
        <v>40.9</v>
      </c>
      <c r="AA175" s="415">
        <v>550</v>
      </c>
      <c r="AB175" s="533"/>
    </row>
    <row r="176" spans="2:28" ht="14.5" x14ac:dyDescent="0.35">
      <c r="B176" s="356">
        <v>44754</v>
      </c>
      <c r="C176" s="2" t="s">
        <v>30</v>
      </c>
      <c r="D176" s="35" t="s">
        <v>2</v>
      </c>
      <c r="E176" s="2" t="s">
        <v>26</v>
      </c>
      <c r="F176" s="4" t="s">
        <v>1</v>
      </c>
      <c r="G176" s="350">
        <v>59.02</v>
      </c>
      <c r="H176" s="351">
        <v>8.77</v>
      </c>
      <c r="I176" s="352">
        <v>2.9</v>
      </c>
      <c r="J176" s="354">
        <v>6.1643835616438354</v>
      </c>
      <c r="K176" s="353">
        <v>46.575342465753415</v>
      </c>
      <c r="L176" s="355">
        <v>261010041</v>
      </c>
      <c r="P176" s="533"/>
      <c r="Q176" s="358">
        <v>44766</v>
      </c>
      <c r="R176" s="2" t="s">
        <v>4</v>
      </c>
      <c r="S176" s="35" t="s">
        <v>11</v>
      </c>
      <c r="T176" s="2" t="s">
        <v>26</v>
      </c>
      <c r="U176" s="4" t="s">
        <v>1</v>
      </c>
      <c r="V176" s="416">
        <v>62.7</v>
      </c>
      <c r="W176" s="416">
        <v>3.5</v>
      </c>
      <c r="X176" s="416">
        <v>2.7</v>
      </c>
      <c r="Y176" s="416">
        <v>12.3</v>
      </c>
      <c r="Z176" s="416">
        <v>36.5</v>
      </c>
      <c r="AA176" s="415">
        <v>551</v>
      </c>
      <c r="AB176" s="533"/>
    </row>
    <row r="177" spans="2:28" ht="14.5" x14ac:dyDescent="0.35">
      <c r="B177" s="365">
        <v>44744</v>
      </c>
      <c r="C177" s="2" t="s">
        <v>30</v>
      </c>
      <c r="D177" s="327" t="s">
        <v>9</v>
      </c>
      <c r="E177" s="2" t="s">
        <v>26</v>
      </c>
      <c r="F177" s="4" t="s">
        <v>0</v>
      </c>
      <c r="G177" s="328">
        <v>62.257999999999996</v>
      </c>
      <c r="H177" s="362">
        <v>5.18</v>
      </c>
      <c r="I177" s="363">
        <v>1.58</v>
      </c>
      <c r="J177" s="327">
        <v>0</v>
      </c>
      <c r="K177" s="364">
        <f t="shared" ref="K177:K205" si="0">H177+I177</f>
        <v>6.76</v>
      </c>
      <c r="L177" s="357">
        <v>261005945</v>
      </c>
      <c r="P177" s="533"/>
      <c r="Q177" s="359">
        <v>44766</v>
      </c>
      <c r="R177" s="2" t="s">
        <v>4</v>
      </c>
      <c r="S177" s="35" t="s">
        <v>11</v>
      </c>
      <c r="T177" s="2" t="s">
        <v>26</v>
      </c>
      <c r="U177" s="4" t="s">
        <v>1</v>
      </c>
      <c r="V177" s="408">
        <v>62.8</v>
      </c>
      <c r="W177" s="408">
        <v>2.5</v>
      </c>
      <c r="X177" s="408">
        <v>1.5</v>
      </c>
      <c r="Y177" s="408">
        <v>18.100000000000001</v>
      </c>
      <c r="Z177" s="408">
        <v>35.5</v>
      </c>
      <c r="AA177" s="402">
        <v>546</v>
      </c>
      <c r="AB177" s="533"/>
    </row>
    <row r="178" spans="2:28" ht="14.5" x14ac:dyDescent="0.35">
      <c r="B178" s="365">
        <v>44744</v>
      </c>
      <c r="C178" s="2" t="s">
        <v>30</v>
      </c>
      <c r="D178" s="327" t="s">
        <v>9</v>
      </c>
      <c r="E178" s="2" t="s">
        <v>26</v>
      </c>
      <c r="F178" s="4" t="s">
        <v>0</v>
      </c>
      <c r="G178" s="328">
        <v>63.916999999999994</v>
      </c>
      <c r="H178" s="362">
        <v>2.38</v>
      </c>
      <c r="I178" s="363">
        <v>1.68</v>
      </c>
      <c r="J178" s="327">
        <v>0</v>
      </c>
      <c r="K178" s="364">
        <f t="shared" si="0"/>
        <v>4.0599999999999996</v>
      </c>
      <c r="L178" s="357">
        <v>261005948</v>
      </c>
      <c r="P178" s="533"/>
      <c r="Q178" s="358">
        <v>44766</v>
      </c>
      <c r="R178" s="2" t="s">
        <v>4</v>
      </c>
      <c r="S178" s="35" t="s">
        <v>11</v>
      </c>
      <c r="T178" s="2" t="s">
        <v>26</v>
      </c>
      <c r="U178" s="4" t="s">
        <v>1</v>
      </c>
      <c r="V178" s="416">
        <v>62.2</v>
      </c>
      <c r="W178" s="416">
        <v>4.0999999999999996</v>
      </c>
      <c r="X178" s="416">
        <v>2</v>
      </c>
      <c r="Y178" s="416">
        <v>12.5</v>
      </c>
      <c r="Z178" s="416">
        <v>31.5</v>
      </c>
      <c r="AA178" s="415">
        <v>552</v>
      </c>
      <c r="AB178" s="533"/>
    </row>
    <row r="179" spans="2:28" ht="14.5" x14ac:dyDescent="0.35">
      <c r="B179" s="366">
        <v>44745</v>
      </c>
      <c r="C179" s="2" t="s">
        <v>30</v>
      </c>
      <c r="D179" s="327" t="s">
        <v>9</v>
      </c>
      <c r="E179" s="2" t="s">
        <v>26</v>
      </c>
      <c r="F179" s="4" t="s">
        <v>0</v>
      </c>
      <c r="G179" s="328">
        <v>64.31</v>
      </c>
      <c r="H179" s="362">
        <v>2.4</v>
      </c>
      <c r="I179" s="363">
        <v>1.1399999999999999</v>
      </c>
      <c r="J179" s="327">
        <v>9.3457943925233664</v>
      </c>
      <c r="K179" s="364">
        <f t="shared" si="0"/>
        <v>3.54</v>
      </c>
      <c r="L179" s="357">
        <v>261005947</v>
      </c>
      <c r="P179" s="533"/>
      <c r="Q179" s="358">
        <v>44767</v>
      </c>
      <c r="R179" s="2" t="s">
        <v>4</v>
      </c>
      <c r="S179" s="35" t="s">
        <v>11</v>
      </c>
      <c r="T179" s="2" t="s">
        <v>26</v>
      </c>
      <c r="U179" s="4" t="s">
        <v>1</v>
      </c>
      <c r="V179" s="416">
        <v>62.2</v>
      </c>
      <c r="W179" s="416">
        <v>4</v>
      </c>
      <c r="X179" s="416">
        <v>1.9</v>
      </c>
      <c r="Y179" s="416">
        <v>11.6</v>
      </c>
      <c r="Z179" s="416">
        <v>38.6</v>
      </c>
      <c r="AA179" s="415">
        <v>553</v>
      </c>
      <c r="AB179" s="533"/>
    </row>
    <row r="180" spans="2:28" ht="14.5" x14ac:dyDescent="0.35">
      <c r="B180" s="366">
        <v>44745</v>
      </c>
      <c r="C180" s="2" t="s">
        <v>30</v>
      </c>
      <c r="D180" s="327" t="s">
        <v>9</v>
      </c>
      <c r="E180" s="2" t="s">
        <v>26</v>
      </c>
      <c r="F180" s="4" t="s">
        <v>0</v>
      </c>
      <c r="G180" s="328">
        <v>63.588000000000001</v>
      </c>
      <c r="H180" s="362">
        <v>2.61</v>
      </c>
      <c r="I180" s="363">
        <v>1.84</v>
      </c>
      <c r="J180" s="327">
        <v>12.121212121212121</v>
      </c>
      <c r="K180" s="364">
        <f t="shared" si="0"/>
        <v>4.45</v>
      </c>
      <c r="L180" s="357">
        <v>261005950</v>
      </c>
      <c r="P180" s="533"/>
      <c r="Q180" s="358">
        <v>44767</v>
      </c>
      <c r="R180" s="2" t="s">
        <v>4</v>
      </c>
      <c r="S180" s="35" t="s">
        <v>11</v>
      </c>
      <c r="T180" s="2" t="s">
        <v>26</v>
      </c>
      <c r="U180" s="4" t="s">
        <v>1</v>
      </c>
      <c r="V180" s="416">
        <v>62.2</v>
      </c>
      <c r="W180" s="416">
        <v>3.6</v>
      </c>
      <c r="X180" s="416">
        <v>2.2000000000000002</v>
      </c>
      <c r="Y180" s="416">
        <v>9.5</v>
      </c>
      <c r="Z180" s="416">
        <v>39</v>
      </c>
      <c r="AA180" s="415">
        <v>554</v>
      </c>
      <c r="AB180" s="533"/>
    </row>
    <row r="181" spans="2:28" ht="14.5" x14ac:dyDescent="0.35">
      <c r="B181" s="366">
        <v>44745</v>
      </c>
      <c r="C181" s="2" t="s">
        <v>30</v>
      </c>
      <c r="D181" s="327" t="s">
        <v>9</v>
      </c>
      <c r="E181" s="2" t="s">
        <v>26</v>
      </c>
      <c r="F181" s="4" t="s">
        <v>0</v>
      </c>
      <c r="G181" s="328">
        <v>64.273999999999987</v>
      </c>
      <c r="H181" s="362">
        <v>2.0699999999999998</v>
      </c>
      <c r="I181" s="363">
        <v>1.28</v>
      </c>
      <c r="J181" s="327">
        <v>8.791208791208792</v>
      </c>
      <c r="K181" s="364">
        <f t="shared" si="0"/>
        <v>3.3499999999999996</v>
      </c>
      <c r="L181" s="357">
        <v>261005952</v>
      </c>
      <c r="P181" s="533"/>
      <c r="Q181" s="359">
        <v>44767</v>
      </c>
      <c r="R181" s="2" t="s">
        <v>4</v>
      </c>
      <c r="S181" s="35" t="s">
        <v>11</v>
      </c>
      <c r="T181" s="2" t="s">
        <v>26</v>
      </c>
      <c r="U181" s="4" t="s">
        <v>1</v>
      </c>
      <c r="V181" s="408">
        <v>62.4</v>
      </c>
      <c r="W181" s="408">
        <v>3.1</v>
      </c>
      <c r="X181" s="408">
        <v>2.2999999999999998</v>
      </c>
      <c r="Y181" s="408">
        <v>4.5</v>
      </c>
      <c r="Z181" s="408">
        <v>44.5</v>
      </c>
      <c r="AA181" s="402">
        <v>555</v>
      </c>
      <c r="AB181" s="533"/>
    </row>
    <row r="182" spans="2:28" ht="15.5" x14ac:dyDescent="0.25">
      <c r="B182" s="366">
        <v>44746</v>
      </c>
      <c r="C182" s="2" t="s">
        <v>30</v>
      </c>
      <c r="D182" s="327" t="s">
        <v>9</v>
      </c>
      <c r="E182" s="2" t="s">
        <v>26</v>
      </c>
      <c r="F182" s="4" t="s">
        <v>0</v>
      </c>
      <c r="G182" s="328">
        <v>62.23</v>
      </c>
      <c r="H182" s="362">
        <v>3.87</v>
      </c>
      <c r="I182" s="363">
        <v>2.75</v>
      </c>
      <c r="J182" s="327">
        <v>7.0707070707070701</v>
      </c>
      <c r="K182" s="364">
        <f t="shared" si="0"/>
        <v>6.62</v>
      </c>
      <c r="L182" s="357">
        <v>261005954</v>
      </c>
      <c r="P182" s="533"/>
      <c r="Q182" s="424">
        <v>44745</v>
      </c>
      <c r="R182" s="2" t="s">
        <v>4</v>
      </c>
      <c r="S182" s="35" t="s">
        <v>9</v>
      </c>
      <c r="T182" s="2" t="s">
        <v>26</v>
      </c>
      <c r="U182" s="4" t="s">
        <v>1</v>
      </c>
      <c r="V182" s="419">
        <v>62.9</v>
      </c>
      <c r="W182" s="417">
        <v>3.7</v>
      </c>
      <c r="X182" s="412">
        <v>1.8</v>
      </c>
      <c r="Y182" s="417">
        <v>2.8</v>
      </c>
      <c r="Z182" s="419">
        <v>51.6</v>
      </c>
      <c r="AA182" s="157">
        <v>1</v>
      </c>
      <c r="AB182" s="533"/>
    </row>
    <row r="183" spans="2:28" ht="15.5" x14ac:dyDescent="0.25">
      <c r="B183" s="366">
        <v>44747</v>
      </c>
      <c r="C183" s="2" t="s">
        <v>30</v>
      </c>
      <c r="D183" s="327" t="s">
        <v>9</v>
      </c>
      <c r="E183" s="2" t="s">
        <v>26</v>
      </c>
      <c r="F183" s="4" t="s">
        <v>0</v>
      </c>
      <c r="G183" s="328">
        <v>62.43</v>
      </c>
      <c r="H183" s="362">
        <v>3.8</v>
      </c>
      <c r="I183" s="363">
        <v>2.2599999999999998</v>
      </c>
      <c r="J183" s="327">
        <v>0</v>
      </c>
      <c r="K183" s="364">
        <f t="shared" si="0"/>
        <v>6.06</v>
      </c>
      <c r="L183" s="357">
        <v>261005955</v>
      </c>
      <c r="P183" s="533"/>
      <c r="Q183" s="424">
        <v>44751</v>
      </c>
      <c r="R183" s="2" t="s">
        <v>4</v>
      </c>
      <c r="S183" s="35" t="s">
        <v>9</v>
      </c>
      <c r="T183" s="2" t="s">
        <v>26</v>
      </c>
      <c r="U183" s="4" t="s">
        <v>1</v>
      </c>
      <c r="V183" s="419">
        <v>61.7</v>
      </c>
      <c r="W183" s="417">
        <v>5.8</v>
      </c>
      <c r="X183" s="412">
        <v>2</v>
      </c>
      <c r="Y183" s="417">
        <v>4.2</v>
      </c>
      <c r="Z183" s="419">
        <v>62</v>
      </c>
      <c r="AA183" s="157">
        <v>2</v>
      </c>
      <c r="AB183" s="533"/>
    </row>
    <row r="184" spans="2:28" ht="15.5" x14ac:dyDescent="0.25">
      <c r="B184" s="366">
        <v>44747</v>
      </c>
      <c r="C184" s="2" t="s">
        <v>30</v>
      </c>
      <c r="D184" s="327" t="s">
        <v>9</v>
      </c>
      <c r="E184" s="2" t="s">
        <v>26</v>
      </c>
      <c r="F184" s="4" t="s">
        <v>0</v>
      </c>
      <c r="G184" s="328">
        <v>60.42</v>
      </c>
      <c r="H184" s="362">
        <v>9.09</v>
      </c>
      <c r="I184" s="363">
        <v>1.07</v>
      </c>
      <c r="J184" s="327">
        <v>0</v>
      </c>
      <c r="K184" s="364">
        <f t="shared" si="0"/>
        <v>10.16</v>
      </c>
      <c r="L184" s="357">
        <v>261005958</v>
      </c>
      <c r="P184" s="533"/>
      <c r="Q184" s="425">
        <v>44751</v>
      </c>
      <c r="R184" s="2" t="s">
        <v>4</v>
      </c>
      <c r="S184" s="35" t="s">
        <v>9</v>
      </c>
      <c r="T184" s="2" t="s">
        <v>26</v>
      </c>
      <c r="U184" s="4" t="s">
        <v>1</v>
      </c>
      <c r="V184" s="420">
        <v>60.1</v>
      </c>
      <c r="W184" s="420">
        <v>7</v>
      </c>
      <c r="X184" s="413">
        <v>2.2000000000000002</v>
      </c>
      <c r="Y184" s="418">
        <v>4.8</v>
      </c>
      <c r="Z184" s="420">
        <v>51.3</v>
      </c>
      <c r="AA184" s="157">
        <v>3</v>
      </c>
      <c r="AB184" s="533"/>
    </row>
    <row r="185" spans="2:28" ht="14.5" x14ac:dyDescent="0.35">
      <c r="B185" s="366">
        <v>44748</v>
      </c>
      <c r="C185" s="2" t="s">
        <v>30</v>
      </c>
      <c r="D185" s="327" t="s">
        <v>9</v>
      </c>
      <c r="E185" s="2" t="s">
        <v>26</v>
      </c>
      <c r="F185" s="4" t="s">
        <v>0</v>
      </c>
      <c r="G185" s="328">
        <v>61.33</v>
      </c>
      <c r="H185" s="362">
        <v>6.92</v>
      </c>
      <c r="I185" s="363">
        <v>1.73</v>
      </c>
      <c r="J185" s="327">
        <v>0</v>
      </c>
      <c r="K185" s="364">
        <f t="shared" si="0"/>
        <v>8.65</v>
      </c>
      <c r="L185" s="357">
        <v>261005961</v>
      </c>
      <c r="P185" s="533"/>
      <c r="Q185" s="208">
        <v>44743</v>
      </c>
      <c r="R185" s="4" t="s">
        <v>5</v>
      </c>
      <c r="S185" s="35" t="s">
        <v>146</v>
      </c>
      <c r="T185" s="2" t="s">
        <v>26</v>
      </c>
      <c r="U185" s="4" t="s">
        <v>1</v>
      </c>
      <c r="V185" s="533">
        <v>62.3</v>
      </c>
      <c r="W185" s="533">
        <v>3</v>
      </c>
      <c r="X185" s="533">
        <v>2.7</v>
      </c>
      <c r="Y185" s="206">
        <v>8</v>
      </c>
      <c r="Z185" s="210">
        <v>35</v>
      </c>
      <c r="AA185" s="207"/>
      <c r="AB185" s="533"/>
    </row>
    <row r="186" spans="2:28" ht="14.5" x14ac:dyDescent="0.35">
      <c r="B186" s="366">
        <v>44749</v>
      </c>
      <c r="C186" s="2" t="s">
        <v>30</v>
      </c>
      <c r="D186" s="327" t="s">
        <v>11</v>
      </c>
      <c r="E186" s="2" t="s">
        <v>26</v>
      </c>
      <c r="F186" s="4" t="s">
        <v>0</v>
      </c>
      <c r="G186" s="328">
        <v>62.86</v>
      </c>
      <c r="H186" s="362">
        <v>1.96</v>
      </c>
      <c r="I186" s="363">
        <v>3.35</v>
      </c>
      <c r="J186" s="327">
        <v>9.9009900990099009</v>
      </c>
      <c r="K186" s="364">
        <f t="shared" si="0"/>
        <v>5.3100000000000005</v>
      </c>
      <c r="L186" s="357">
        <v>261006767</v>
      </c>
      <c r="P186" s="533"/>
      <c r="Q186" s="208">
        <v>44744</v>
      </c>
      <c r="R186" s="4" t="s">
        <v>5</v>
      </c>
      <c r="S186" s="35" t="s">
        <v>146</v>
      </c>
      <c r="T186" s="2" t="s">
        <v>26</v>
      </c>
      <c r="U186" s="4" t="s">
        <v>1</v>
      </c>
      <c r="V186" s="533">
        <v>62.1</v>
      </c>
      <c r="W186" s="533">
        <v>3.1</v>
      </c>
      <c r="X186" s="533">
        <v>2.9</v>
      </c>
      <c r="Y186" s="206">
        <v>11</v>
      </c>
      <c r="Z186" s="210">
        <v>38</v>
      </c>
      <c r="AA186" s="207"/>
      <c r="AB186" s="533"/>
    </row>
    <row r="187" spans="2:28" ht="14.5" x14ac:dyDescent="0.35">
      <c r="B187" s="366">
        <v>44749</v>
      </c>
      <c r="C187" s="2" t="s">
        <v>30</v>
      </c>
      <c r="D187" s="327" t="s">
        <v>10</v>
      </c>
      <c r="E187" s="2" t="s">
        <v>26</v>
      </c>
      <c r="F187" s="4" t="s">
        <v>0</v>
      </c>
      <c r="G187" s="328">
        <v>59.98</v>
      </c>
      <c r="H187" s="362">
        <v>3.22</v>
      </c>
      <c r="I187" s="363">
        <v>6.76</v>
      </c>
      <c r="J187" s="327">
        <v>8.4523809523809508</v>
      </c>
      <c r="K187" s="364">
        <f t="shared" si="0"/>
        <v>9.98</v>
      </c>
      <c r="L187" s="361">
        <v>261004753</v>
      </c>
      <c r="P187" s="533"/>
      <c r="Q187" s="208">
        <v>44746</v>
      </c>
      <c r="R187" s="4" t="s">
        <v>5</v>
      </c>
      <c r="S187" s="35" t="s">
        <v>146</v>
      </c>
      <c r="T187" s="2" t="s">
        <v>26</v>
      </c>
      <c r="U187" s="4" t="s">
        <v>1</v>
      </c>
      <c r="V187" s="533">
        <v>62.5</v>
      </c>
      <c r="W187" s="533">
        <v>2.8</v>
      </c>
      <c r="X187" s="533">
        <v>2.7</v>
      </c>
      <c r="Y187" s="206">
        <v>6</v>
      </c>
      <c r="Z187" s="210">
        <v>36</v>
      </c>
      <c r="AA187" s="207"/>
      <c r="AB187" s="533"/>
    </row>
    <row r="188" spans="2:28" ht="14.5" x14ac:dyDescent="0.35">
      <c r="B188" s="366">
        <v>44750</v>
      </c>
      <c r="C188" s="2" t="s">
        <v>30</v>
      </c>
      <c r="D188" s="327" t="s">
        <v>9</v>
      </c>
      <c r="E188" s="2" t="s">
        <v>26</v>
      </c>
      <c r="F188" s="4" t="s">
        <v>0</v>
      </c>
      <c r="G188" s="328">
        <v>64.42</v>
      </c>
      <c r="H188" s="362">
        <v>1.41</v>
      </c>
      <c r="I188" s="363">
        <v>1.72</v>
      </c>
      <c r="J188" s="327">
        <v>0</v>
      </c>
      <c r="K188" s="364">
        <f t="shared" si="0"/>
        <v>3.13</v>
      </c>
      <c r="L188" s="357">
        <v>261005965</v>
      </c>
      <c r="P188" s="533"/>
      <c r="Q188" s="208">
        <v>44746</v>
      </c>
      <c r="R188" s="4" t="s">
        <v>5</v>
      </c>
      <c r="S188" s="35" t="s">
        <v>146</v>
      </c>
      <c r="T188" s="2" t="s">
        <v>26</v>
      </c>
      <c r="U188" s="4" t="s">
        <v>1</v>
      </c>
      <c r="V188" s="533">
        <v>62.4</v>
      </c>
      <c r="W188" s="533">
        <v>2.8</v>
      </c>
      <c r="X188" s="533">
        <v>3</v>
      </c>
      <c r="Y188" s="206">
        <v>4</v>
      </c>
      <c r="Z188" s="210">
        <v>37</v>
      </c>
      <c r="AA188" s="207"/>
      <c r="AB188" s="533"/>
    </row>
    <row r="189" spans="2:28" ht="14.5" x14ac:dyDescent="0.35">
      <c r="B189" s="366">
        <v>44752</v>
      </c>
      <c r="C189" s="2" t="s">
        <v>30</v>
      </c>
      <c r="D189" s="327" t="s">
        <v>10</v>
      </c>
      <c r="E189" s="2" t="s">
        <v>26</v>
      </c>
      <c r="F189" s="4" t="s">
        <v>0</v>
      </c>
      <c r="G189" s="328">
        <v>59.65</v>
      </c>
      <c r="H189" s="362">
        <v>4.5</v>
      </c>
      <c r="I189" s="363">
        <v>6.95</v>
      </c>
      <c r="J189" s="327">
        <v>0</v>
      </c>
      <c r="K189" s="364">
        <f t="shared" si="0"/>
        <v>11.45</v>
      </c>
      <c r="L189" s="361">
        <v>261004759</v>
      </c>
      <c r="P189" s="533"/>
      <c r="Q189" s="208">
        <v>44748</v>
      </c>
      <c r="R189" s="4" t="s">
        <v>5</v>
      </c>
      <c r="S189" s="35" t="s">
        <v>146</v>
      </c>
      <c r="T189" s="2" t="s">
        <v>26</v>
      </c>
      <c r="U189" s="4" t="s">
        <v>1</v>
      </c>
      <c r="V189" s="533">
        <v>62.2</v>
      </c>
      <c r="W189" s="533">
        <v>2.8</v>
      </c>
      <c r="X189" s="533">
        <v>3.1</v>
      </c>
      <c r="Y189" s="206">
        <v>5</v>
      </c>
      <c r="Z189" s="210">
        <v>39</v>
      </c>
      <c r="AA189" s="207"/>
      <c r="AB189" s="533"/>
    </row>
    <row r="190" spans="2:28" ht="14.5" x14ac:dyDescent="0.35">
      <c r="B190" s="366">
        <v>44753</v>
      </c>
      <c r="C190" s="2" t="s">
        <v>30</v>
      </c>
      <c r="D190" s="327" t="s">
        <v>9</v>
      </c>
      <c r="E190" s="2" t="s">
        <v>26</v>
      </c>
      <c r="F190" s="4" t="s">
        <v>0</v>
      </c>
      <c r="G190" s="328">
        <v>59.29</v>
      </c>
      <c r="H190" s="362">
        <v>7.6</v>
      </c>
      <c r="I190" s="363">
        <v>3.68</v>
      </c>
      <c r="J190" s="327">
        <v>13.90728476821192</v>
      </c>
      <c r="K190" s="364">
        <f t="shared" si="0"/>
        <v>11.28</v>
      </c>
      <c r="L190" s="357">
        <v>261005970</v>
      </c>
      <c r="P190" s="533"/>
      <c r="Q190" s="208">
        <v>44751</v>
      </c>
      <c r="R190" s="4" t="s">
        <v>5</v>
      </c>
      <c r="S190" s="35" t="s">
        <v>146</v>
      </c>
      <c r="T190" s="2" t="s">
        <v>26</v>
      </c>
      <c r="U190" s="4" t="s">
        <v>1</v>
      </c>
      <c r="V190" s="533">
        <v>62.2</v>
      </c>
      <c r="W190" s="533">
        <v>3.1</v>
      </c>
      <c r="X190" s="533">
        <v>2.8</v>
      </c>
      <c r="Y190" s="206">
        <v>7</v>
      </c>
      <c r="Z190" s="210">
        <v>38</v>
      </c>
      <c r="AA190" s="207"/>
      <c r="AB190" s="533"/>
    </row>
    <row r="191" spans="2:28" ht="14.5" x14ac:dyDescent="0.35">
      <c r="B191" s="366">
        <v>44754</v>
      </c>
      <c r="C191" s="2" t="s">
        <v>30</v>
      </c>
      <c r="D191" s="327" t="s">
        <v>11</v>
      </c>
      <c r="E191" s="2" t="s">
        <v>26</v>
      </c>
      <c r="F191" s="4" t="s">
        <v>0</v>
      </c>
      <c r="G191" s="328">
        <v>62.31</v>
      </c>
      <c r="H191" s="362">
        <v>2.68</v>
      </c>
      <c r="I191" s="363">
        <v>3.97</v>
      </c>
      <c r="J191" s="327">
        <v>20.81447963800905</v>
      </c>
      <c r="K191" s="364">
        <f t="shared" si="0"/>
        <v>6.65</v>
      </c>
      <c r="L191" s="357">
        <v>261006776</v>
      </c>
      <c r="P191" s="533"/>
      <c r="Q191" s="208">
        <v>44752</v>
      </c>
      <c r="R191" s="4" t="s">
        <v>5</v>
      </c>
      <c r="S191" s="35" t="s">
        <v>146</v>
      </c>
      <c r="T191" s="2" t="s">
        <v>26</v>
      </c>
      <c r="U191" s="4" t="s">
        <v>1</v>
      </c>
      <c r="V191" s="533">
        <v>62.4</v>
      </c>
      <c r="W191" s="533">
        <v>2.6</v>
      </c>
      <c r="X191" s="533">
        <v>3</v>
      </c>
      <c r="Y191" s="206">
        <v>4</v>
      </c>
      <c r="Z191" s="210">
        <v>39</v>
      </c>
      <c r="AA191" s="207"/>
      <c r="AB191" s="533"/>
    </row>
    <row r="192" spans="2:28" ht="14.5" x14ac:dyDescent="0.35">
      <c r="B192" s="366">
        <v>44755</v>
      </c>
      <c r="C192" s="2" t="s">
        <v>30</v>
      </c>
      <c r="D192" s="327" t="s">
        <v>9</v>
      </c>
      <c r="E192" s="2" t="s">
        <v>26</v>
      </c>
      <c r="F192" s="4" t="s">
        <v>0</v>
      </c>
      <c r="G192" s="328">
        <v>63.48</v>
      </c>
      <c r="H192" s="362">
        <v>3.86</v>
      </c>
      <c r="I192" s="363">
        <v>1.2</v>
      </c>
      <c r="J192" s="327">
        <v>0</v>
      </c>
      <c r="K192" s="364">
        <f t="shared" si="0"/>
        <v>5.0599999999999996</v>
      </c>
      <c r="L192" s="357">
        <v>261005974</v>
      </c>
      <c r="P192" s="533"/>
      <c r="Q192" s="208">
        <v>44754</v>
      </c>
      <c r="R192" s="4" t="s">
        <v>5</v>
      </c>
      <c r="S192" s="35" t="s">
        <v>146</v>
      </c>
      <c r="T192" s="2" t="s">
        <v>26</v>
      </c>
      <c r="U192" s="4" t="s">
        <v>1</v>
      </c>
      <c r="V192" s="533">
        <v>62.3</v>
      </c>
      <c r="W192" s="533">
        <v>2.7</v>
      </c>
      <c r="X192" s="533">
        <v>3</v>
      </c>
      <c r="Y192" s="206">
        <v>6</v>
      </c>
      <c r="Z192" s="210">
        <v>37</v>
      </c>
      <c r="AA192" s="207"/>
      <c r="AB192" s="533"/>
    </row>
    <row r="193" spans="2:28" ht="14.5" x14ac:dyDescent="0.35">
      <c r="B193" s="366">
        <v>44755</v>
      </c>
      <c r="C193" s="2" t="s">
        <v>30</v>
      </c>
      <c r="D193" s="327" t="s">
        <v>11</v>
      </c>
      <c r="E193" s="2" t="s">
        <v>26</v>
      </c>
      <c r="F193" s="4" t="s">
        <v>0</v>
      </c>
      <c r="G193" s="328">
        <v>64.45</v>
      </c>
      <c r="H193" s="362">
        <v>2.17</v>
      </c>
      <c r="I193" s="363">
        <v>1.27</v>
      </c>
      <c r="J193" s="327">
        <v>0</v>
      </c>
      <c r="K193" s="364">
        <f t="shared" si="0"/>
        <v>3.44</v>
      </c>
      <c r="L193" s="357">
        <v>261006778</v>
      </c>
      <c r="P193" s="533"/>
      <c r="Q193" s="208">
        <v>44754</v>
      </c>
      <c r="R193" s="4" t="s">
        <v>5</v>
      </c>
      <c r="S193" s="35" t="s">
        <v>146</v>
      </c>
      <c r="T193" s="2" t="s">
        <v>26</v>
      </c>
      <c r="U193" s="4" t="s">
        <v>1</v>
      </c>
      <c r="V193" s="533">
        <v>62.4</v>
      </c>
      <c r="W193" s="533">
        <v>2.7</v>
      </c>
      <c r="X193" s="533">
        <v>2.9</v>
      </c>
      <c r="Y193" s="206">
        <v>4</v>
      </c>
      <c r="Z193" s="210">
        <v>37</v>
      </c>
      <c r="AA193" s="207"/>
      <c r="AB193" s="533"/>
    </row>
    <row r="194" spans="2:28" ht="14.5" x14ac:dyDescent="0.35">
      <c r="B194" s="366">
        <v>44756</v>
      </c>
      <c r="C194" s="2" t="s">
        <v>30</v>
      </c>
      <c r="D194" s="327" t="s">
        <v>9</v>
      </c>
      <c r="E194" s="2" t="s">
        <v>26</v>
      </c>
      <c r="F194" s="4" t="s">
        <v>0</v>
      </c>
      <c r="G194" s="328">
        <v>63.99</v>
      </c>
      <c r="H194" s="362">
        <v>1.99</v>
      </c>
      <c r="I194" s="363">
        <v>1.98</v>
      </c>
      <c r="J194" s="327">
        <v>0</v>
      </c>
      <c r="K194" s="364">
        <f t="shared" si="0"/>
        <v>3.9699999999999998</v>
      </c>
      <c r="L194" s="357">
        <v>261005978</v>
      </c>
      <c r="P194" s="533"/>
      <c r="Q194" s="208">
        <v>44754</v>
      </c>
      <c r="R194" s="4" t="s">
        <v>5</v>
      </c>
      <c r="S194" s="35" t="s">
        <v>146</v>
      </c>
      <c r="T194" s="2" t="s">
        <v>26</v>
      </c>
      <c r="U194" s="4" t="s">
        <v>1</v>
      </c>
      <c r="V194" s="533">
        <v>62.2</v>
      </c>
      <c r="W194" s="533">
        <v>2.5</v>
      </c>
      <c r="X194" s="533">
        <v>3.3</v>
      </c>
      <c r="Y194" s="206">
        <v>3</v>
      </c>
      <c r="Z194" s="210">
        <v>37</v>
      </c>
      <c r="AA194" s="207"/>
      <c r="AB194" s="533"/>
    </row>
    <row r="195" spans="2:28" ht="14.5" x14ac:dyDescent="0.35">
      <c r="B195" s="366">
        <v>44756</v>
      </c>
      <c r="C195" s="2" t="s">
        <v>30</v>
      </c>
      <c r="D195" s="327" t="s">
        <v>11</v>
      </c>
      <c r="E195" s="2" t="s">
        <v>26</v>
      </c>
      <c r="F195" s="4" t="s">
        <v>0</v>
      </c>
      <c r="G195" s="328">
        <v>63.36</v>
      </c>
      <c r="H195" s="362">
        <v>1.85</v>
      </c>
      <c r="I195" s="363">
        <v>2.89</v>
      </c>
      <c r="J195" s="327">
        <v>0</v>
      </c>
      <c r="K195" s="364">
        <f t="shared" si="0"/>
        <v>4.74</v>
      </c>
      <c r="L195" s="357">
        <v>261006781</v>
      </c>
      <c r="P195" s="533"/>
      <c r="Q195" s="208">
        <v>44755</v>
      </c>
      <c r="R195" s="4" t="s">
        <v>5</v>
      </c>
      <c r="S195" s="35" t="s">
        <v>146</v>
      </c>
      <c r="T195" s="2" t="s">
        <v>26</v>
      </c>
      <c r="U195" s="4" t="s">
        <v>1</v>
      </c>
      <c r="V195" s="533">
        <v>62.5</v>
      </c>
      <c r="W195" s="533">
        <v>2.4</v>
      </c>
      <c r="X195" s="533">
        <v>3</v>
      </c>
      <c r="Y195" s="206">
        <v>5</v>
      </c>
      <c r="Z195" s="210">
        <v>36</v>
      </c>
      <c r="AA195" s="207"/>
      <c r="AB195" s="533"/>
    </row>
    <row r="196" spans="2:28" ht="14.5" x14ac:dyDescent="0.35">
      <c r="B196" s="366">
        <v>44758</v>
      </c>
      <c r="C196" s="2" t="s">
        <v>30</v>
      </c>
      <c r="D196" s="327" t="s">
        <v>9</v>
      </c>
      <c r="E196" s="2" t="s">
        <v>26</v>
      </c>
      <c r="F196" s="4" t="s">
        <v>0</v>
      </c>
      <c r="G196" s="328">
        <v>63.748999999999988</v>
      </c>
      <c r="H196" s="362">
        <v>2.67</v>
      </c>
      <c r="I196" s="363">
        <v>1.45</v>
      </c>
      <c r="J196" s="327">
        <v>0</v>
      </c>
      <c r="K196" s="364">
        <f t="shared" si="0"/>
        <v>4.12</v>
      </c>
      <c r="L196" s="357">
        <v>261005983</v>
      </c>
      <c r="P196" s="533"/>
      <c r="Q196" s="208">
        <v>44756</v>
      </c>
      <c r="R196" s="4" t="s">
        <v>5</v>
      </c>
      <c r="S196" s="35" t="s">
        <v>146</v>
      </c>
      <c r="T196" s="2" t="s">
        <v>26</v>
      </c>
      <c r="U196" s="4" t="s">
        <v>1</v>
      </c>
      <c r="V196" s="533">
        <v>62.3</v>
      </c>
      <c r="W196" s="533">
        <v>2.6</v>
      </c>
      <c r="X196" s="533">
        <v>3.1</v>
      </c>
      <c r="Y196" s="206">
        <v>6</v>
      </c>
      <c r="Z196" s="210">
        <v>38</v>
      </c>
      <c r="AA196" s="207"/>
      <c r="AB196" s="533"/>
    </row>
    <row r="197" spans="2:28" ht="14.5" x14ac:dyDescent="0.35">
      <c r="B197" s="366">
        <v>44759</v>
      </c>
      <c r="C197" s="2" t="s">
        <v>30</v>
      </c>
      <c r="D197" s="327" t="s">
        <v>9</v>
      </c>
      <c r="E197" s="2" t="s">
        <v>26</v>
      </c>
      <c r="F197" s="4" t="s">
        <v>0</v>
      </c>
      <c r="G197" s="328">
        <v>64.319999999999993</v>
      </c>
      <c r="H197" s="362">
        <v>1.73</v>
      </c>
      <c r="I197" s="363">
        <v>1.55</v>
      </c>
      <c r="J197" s="327">
        <v>0</v>
      </c>
      <c r="K197" s="364">
        <f t="shared" si="0"/>
        <v>3.2800000000000002</v>
      </c>
      <c r="L197" s="360">
        <v>261005986</v>
      </c>
      <c r="P197" s="533"/>
      <c r="Q197" s="208">
        <v>44757</v>
      </c>
      <c r="R197" s="4" t="s">
        <v>5</v>
      </c>
      <c r="S197" s="35" t="s">
        <v>146</v>
      </c>
      <c r="T197" s="2" t="s">
        <v>26</v>
      </c>
      <c r="U197" s="4" t="s">
        <v>1</v>
      </c>
      <c r="V197" s="533">
        <v>62.2</v>
      </c>
      <c r="W197" s="533">
        <v>2.7</v>
      </c>
      <c r="X197" s="533">
        <v>3.2</v>
      </c>
      <c r="Y197" s="206">
        <v>6</v>
      </c>
      <c r="Z197" s="210">
        <v>37</v>
      </c>
      <c r="AA197" s="207"/>
      <c r="AB197" s="533"/>
    </row>
    <row r="198" spans="2:28" ht="14.5" x14ac:dyDescent="0.35">
      <c r="B198" s="366">
        <v>44759</v>
      </c>
      <c r="C198" s="2" t="s">
        <v>30</v>
      </c>
      <c r="D198" s="327" t="s">
        <v>11</v>
      </c>
      <c r="E198" s="2" t="s">
        <v>26</v>
      </c>
      <c r="F198" s="4" t="s">
        <v>0</v>
      </c>
      <c r="G198" s="328">
        <v>61.12</v>
      </c>
      <c r="H198" s="362">
        <v>6.82</v>
      </c>
      <c r="I198" s="363">
        <v>1.82</v>
      </c>
      <c r="J198" s="327">
        <v>9.065155807365441</v>
      </c>
      <c r="K198" s="364">
        <f t="shared" si="0"/>
        <v>8.64</v>
      </c>
      <c r="L198" s="357">
        <v>241000410</v>
      </c>
      <c r="P198" s="533"/>
      <c r="Q198" s="208">
        <v>44758</v>
      </c>
      <c r="R198" s="4" t="s">
        <v>5</v>
      </c>
      <c r="S198" s="35" t="s">
        <v>146</v>
      </c>
      <c r="T198" s="2" t="s">
        <v>26</v>
      </c>
      <c r="U198" s="4" t="s">
        <v>1</v>
      </c>
      <c r="V198" s="533">
        <v>62.3</v>
      </c>
      <c r="W198" s="533">
        <v>2.6</v>
      </c>
      <c r="X198" s="533">
        <v>3.1</v>
      </c>
      <c r="Y198" s="206">
        <v>2</v>
      </c>
      <c r="Z198" s="210">
        <v>42</v>
      </c>
      <c r="AA198" s="207"/>
      <c r="AB198" s="533"/>
    </row>
    <row r="199" spans="2:28" ht="14.5" x14ac:dyDescent="0.35">
      <c r="B199" s="366">
        <v>44760</v>
      </c>
      <c r="C199" s="2" t="s">
        <v>30</v>
      </c>
      <c r="D199" s="327" t="s">
        <v>9</v>
      </c>
      <c r="E199" s="2" t="s">
        <v>26</v>
      </c>
      <c r="F199" s="4" t="s">
        <v>0</v>
      </c>
      <c r="G199" s="328">
        <v>64.03</v>
      </c>
      <c r="H199" s="362">
        <v>2.0699999999999998</v>
      </c>
      <c r="I199" s="363">
        <v>1.65</v>
      </c>
      <c r="J199" s="327">
        <v>0</v>
      </c>
      <c r="K199" s="364">
        <f t="shared" si="0"/>
        <v>3.7199999999999998</v>
      </c>
      <c r="L199" s="360">
        <v>261005988</v>
      </c>
      <c r="P199" s="533"/>
      <c r="Q199" s="208">
        <v>44760</v>
      </c>
      <c r="R199" s="4" t="s">
        <v>5</v>
      </c>
      <c r="S199" s="35" t="s">
        <v>146</v>
      </c>
      <c r="T199" s="2" t="s">
        <v>26</v>
      </c>
      <c r="U199" s="4" t="s">
        <v>1</v>
      </c>
      <c r="V199" s="533">
        <v>62.3</v>
      </c>
      <c r="W199" s="533">
        <v>2.8</v>
      </c>
      <c r="X199" s="533">
        <v>3</v>
      </c>
      <c r="Y199" s="206">
        <v>8</v>
      </c>
      <c r="Z199" s="210">
        <v>34</v>
      </c>
      <c r="AA199" s="207"/>
      <c r="AB199" s="533"/>
    </row>
    <row r="200" spans="2:28" ht="14.5" x14ac:dyDescent="0.35">
      <c r="B200" s="366">
        <v>44760</v>
      </c>
      <c r="C200" s="2" t="s">
        <v>30</v>
      </c>
      <c r="D200" s="327" t="s">
        <v>9</v>
      </c>
      <c r="E200" s="2" t="s">
        <v>26</v>
      </c>
      <c r="F200" s="4" t="s">
        <v>0</v>
      </c>
      <c r="G200" s="328">
        <v>64.16</v>
      </c>
      <c r="H200" s="362">
        <v>2.2599999999999998</v>
      </c>
      <c r="I200" s="363">
        <v>1.41</v>
      </c>
      <c r="J200" s="327">
        <v>0</v>
      </c>
      <c r="K200" s="364">
        <f t="shared" si="0"/>
        <v>3.67</v>
      </c>
      <c r="L200" s="360">
        <v>261005989</v>
      </c>
      <c r="P200" s="533"/>
      <c r="Q200" s="208">
        <v>44761</v>
      </c>
      <c r="R200" s="4" t="s">
        <v>5</v>
      </c>
      <c r="S200" s="35" t="s">
        <v>146</v>
      </c>
      <c r="T200" s="2" t="s">
        <v>26</v>
      </c>
      <c r="U200" s="4" t="s">
        <v>1</v>
      </c>
      <c r="V200" s="533">
        <v>62.4</v>
      </c>
      <c r="W200" s="533">
        <v>2.9</v>
      </c>
      <c r="X200" s="533">
        <v>2.8</v>
      </c>
      <c r="Y200" s="206">
        <v>2</v>
      </c>
      <c r="Z200" s="210">
        <v>44</v>
      </c>
      <c r="AA200" s="207"/>
      <c r="AB200" s="533"/>
    </row>
    <row r="201" spans="2:28" ht="14.5" x14ac:dyDescent="0.35">
      <c r="B201" s="366">
        <v>44763</v>
      </c>
      <c r="C201" s="2" t="s">
        <v>30</v>
      </c>
      <c r="D201" s="327" t="s">
        <v>9</v>
      </c>
      <c r="E201" s="2" t="s">
        <v>26</v>
      </c>
      <c r="F201" s="4" t="s">
        <v>0</v>
      </c>
      <c r="G201" s="328">
        <v>62.15</v>
      </c>
      <c r="H201" s="362">
        <v>4.08</v>
      </c>
      <c r="I201" s="363">
        <v>2.68</v>
      </c>
      <c r="J201" s="327">
        <v>0</v>
      </c>
      <c r="K201" s="364">
        <f t="shared" si="0"/>
        <v>6.76</v>
      </c>
      <c r="L201" s="360">
        <v>241000384</v>
      </c>
      <c r="P201" s="533"/>
      <c r="Q201" s="208">
        <v>44762</v>
      </c>
      <c r="R201" s="4" t="s">
        <v>5</v>
      </c>
      <c r="S201" s="35" t="s">
        <v>146</v>
      </c>
      <c r="T201" s="2" t="s">
        <v>26</v>
      </c>
      <c r="U201" s="4" t="s">
        <v>1</v>
      </c>
      <c r="V201" s="533">
        <v>62.4</v>
      </c>
      <c r="W201" s="533">
        <v>2.7</v>
      </c>
      <c r="X201" s="533">
        <v>2.9</v>
      </c>
      <c r="Y201" s="206">
        <v>2</v>
      </c>
      <c r="Z201" s="210">
        <v>43</v>
      </c>
      <c r="AA201" s="207"/>
      <c r="AB201" s="533"/>
    </row>
    <row r="202" spans="2:28" ht="14.5" x14ac:dyDescent="0.35">
      <c r="B202" s="366">
        <v>44765</v>
      </c>
      <c r="C202" s="2" t="s">
        <v>30</v>
      </c>
      <c r="D202" s="327" t="s">
        <v>11</v>
      </c>
      <c r="E202" s="2" t="s">
        <v>26</v>
      </c>
      <c r="F202" s="4" t="s">
        <v>0</v>
      </c>
      <c r="G202" s="328">
        <v>64.168999999999997</v>
      </c>
      <c r="H202" s="362">
        <v>1.88</v>
      </c>
      <c r="I202" s="363">
        <v>1.84</v>
      </c>
      <c r="J202" s="327">
        <v>9.4827586206896548</v>
      </c>
      <c r="K202" s="364">
        <f t="shared" si="0"/>
        <v>3.7199999999999998</v>
      </c>
      <c r="L202" s="357">
        <v>261006794</v>
      </c>
      <c r="P202" s="533"/>
      <c r="Q202" s="208">
        <v>44762</v>
      </c>
      <c r="R202" s="4" t="s">
        <v>5</v>
      </c>
      <c r="S202" s="35" t="s">
        <v>146</v>
      </c>
      <c r="T202" s="2" t="s">
        <v>26</v>
      </c>
      <c r="U202" s="4" t="s">
        <v>1</v>
      </c>
      <c r="V202" s="533">
        <v>62.3</v>
      </c>
      <c r="W202" s="533">
        <v>3.1</v>
      </c>
      <c r="X202" s="533">
        <v>2.7</v>
      </c>
      <c r="Y202" s="206">
        <v>8</v>
      </c>
      <c r="Z202" s="210">
        <v>40</v>
      </c>
      <c r="AA202" s="207"/>
      <c r="AB202" s="533"/>
    </row>
    <row r="203" spans="2:28" ht="14.5" x14ac:dyDescent="0.35">
      <c r="B203" s="366">
        <v>44765</v>
      </c>
      <c r="C203" s="2" t="s">
        <v>30</v>
      </c>
      <c r="D203" s="327" t="s">
        <v>9</v>
      </c>
      <c r="E203" s="2" t="s">
        <v>26</v>
      </c>
      <c r="F203" s="4" t="s">
        <v>0</v>
      </c>
      <c r="G203" s="328">
        <v>62.922999999999995</v>
      </c>
      <c r="H203" s="362">
        <v>4.22</v>
      </c>
      <c r="I203" s="363">
        <v>1.5</v>
      </c>
      <c r="J203" s="327">
        <v>0</v>
      </c>
      <c r="K203" s="364">
        <f t="shared" si="0"/>
        <v>5.72</v>
      </c>
      <c r="L203" s="360">
        <v>261005999</v>
      </c>
      <c r="P203" s="533"/>
      <c r="Q203" s="208">
        <v>44763</v>
      </c>
      <c r="R203" s="4" t="s">
        <v>5</v>
      </c>
      <c r="S203" s="35" t="s">
        <v>146</v>
      </c>
      <c r="T203" s="2" t="s">
        <v>26</v>
      </c>
      <c r="U203" s="4" t="s">
        <v>1</v>
      </c>
      <c r="V203" s="533">
        <v>62.1</v>
      </c>
      <c r="W203" s="533">
        <v>3.2</v>
      </c>
      <c r="X203" s="533">
        <v>2.8</v>
      </c>
      <c r="Y203" s="206">
        <v>8</v>
      </c>
      <c r="Z203" s="210">
        <v>39</v>
      </c>
      <c r="AA203" s="207"/>
      <c r="AB203" s="533"/>
    </row>
    <row r="204" spans="2:28" ht="14.5" x14ac:dyDescent="0.35">
      <c r="B204" s="366">
        <v>44766</v>
      </c>
      <c r="C204" s="2" t="s">
        <v>30</v>
      </c>
      <c r="D204" s="327" t="s">
        <v>9</v>
      </c>
      <c r="E204" s="2" t="s">
        <v>26</v>
      </c>
      <c r="F204" s="4" t="s">
        <v>0</v>
      </c>
      <c r="G204" s="328">
        <v>64.63</v>
      </c>
      <c r="H204" s="362">
        <v>1.69</v>
      </c>
      <c r="I204" s="363">
        <v>1.1399999999999999</v>
      </c>
      <c r="J204" s="327">
        <v>0</v>
      </c>
      <c r="K204" s="364">
        <f t="shared" si="0"/>
        <v>2.83</v>
      </c>
      <c r="L204" s="360">
        <v>261006000</v>
      </c>
      <c r="P204" s="533"/>
      <c r="Q204" s="208">
        <v>44764</v>
      </c>
      <c r="R204" s="4" t="s">
        <v>5</v>
      </c>
      <c r="S204" s="35" t="s">
        <v>146</v>
      </c>
      <c r="T204" s="2" t="s">
        <v>26</v>
      </c>
      <c r="U204" s="4" t="s">
        <v>1</v>
      </c>
      <c r="V204" s="533">
        <v>62.2</v>
      </c>
      <c r="W204" s="533">
        <v>2.9</v>
      </c>
      <c r="X204" s="533">
        <v>3</v>
      </c>
      <c r="Y204" s="206">
        <v>7</v>
      </c>
      <c r="Z204" s="210">
        <v>37</v>
      </c>
      <c r="AA204" s="207"/>
      <c r="AB204" s="533"/>
    </row>
    <row r="205" spans="2:28" ht="14.5" x14ac:dyDescent="0.35">
      <c r="B205" s="366">
        <v>44767</v>
      </c>
      <c r="C205" s="2" t="s">
        <v>30</v>
      </c>
      <c r="D205" s="327" t="s">
        <v>9</v>
      </c>
      <c r="E205" s="2" t="s">
        <v>26</v>
      </c>
      <c r="F205" s="4" t="s">
        <v>0</v>
      </c>
      <c r="G205" s="328">
        <v>61.13</v>
      </c>
      <c r="H205" s="362">
        <v>7.91</v>
      </c>
      <c r="I205" s="363">
        <v>1.1200000000000001</v>
      </c>
      <c r="J205" s="327">
        <v>0</v>
      </c>
      <c r="K205" s="364">
        <f t="shared" si="0"/>
        <v>9.0300000000000011</v>
      </c>
      <c r="L205" s="360">
        <v>261006006</v>
      </c>
      <c r="P205" s="533"/>
      <c r="Q205" s="208">
        <v>44765</v>
      </c>
      <c r="R205" s="4" t="s">
        <v>5</v>
      </c>
      <c r="S205" s="35" t="s">
        <v>146</v>
      </c>
      <c r="T205" s="2" t="s">
        <v>26</v>
      </c>
      <c r="U205" s="4" t="s">
        <v>1</v>
      </c>
      <c r="V205" s="533">
        <v>62.4</v>
      </c>
      <c r="W205" s="533">
        <v>2.7</v>
      </c>
      <c r="X205" s="533">
        <v>2.9</v>
      </c>
      <c r="Y205" s="206"/>
      <c r="Z205" s="210"/>
      <c r="AA205" s="207"/>
      <c r="AB205" s="533"/>
    </row>
    <row r="206" spans="2:28" ht="15.5" x14ac:dyDescent="0.35">
      <c r="B206" s="358">
        <v>44743</v>
      </c>
      <c r="C206" s="2" t="s">
        <v>4</v>
      </c>
      <c r="D206" s="35" t="s">
        <v>11</v>
      </c>
      <c r="E206" s="2" t="s">
        <v>26</v>
      </c>
      <c r="F206" s="4" t="s">
        <v>0</v>
      </c>
      <c r="G206" s="368">
        <v>62.8</v>
      </c>
      <c r="H206" s="372">
        <v>2.1</v>
      </c>
      <c r="I206" s="375">
        <v>1.8</v>
      </c>
      <c r="J206" s="379">
        <v>9.6999999999999993</v>
      </c>
      <c r="K206" s="383">
        <v>24.9</v>
      </c>
      <c r="L206" s="387">
        <v>578</v>
      </c>
      <c r="P206" s="533"/>
      <c r="Q206" s="208">
        <v>44766</v>
      </c>
      <c r="R206" s="4" t="s">
        <v>5</v>
      </c>
      <c r="S206" s="35" t="s">
        <v>146</v>
      </c>
      <c r="T206" s="2" t="s">
        <v>26</v>
      </c>
      <c r="U206" s="4" t="s">
        <v>1</v>
      </c>
      <c r="V206" s="533">
        <v>62</v>
      </c>
      <c r="W206" s="533">
        <v>3.4</v>
      </c>
      <c r="X206" s="533">
        <v>2.8</v>
      </c>
      <c r="Y206" s="206">
        <v>5</v>
      </c>
      <c r="Z206" s="210">
        <v>38</v>
      </c>
      <c r="AA206" s="207"/>
      <c r="AB206" s="533"/>
    </row>
    <row r="207" spans="2:28" ht="15.5" x14ac:dyDescent="0.35">
      <c r="B207" s="358">
        <v>44743</v>
      </c>
      <c r="C207" s="2" t="s">
        <v>4</v>
      </c>
      <c r="D207" s="35" t="s">
        <v>11</v>
      </c>
      <c r="E207" s="2" t="s">
        <v>26</v>
      </c>
      <c r="F207" s="4" t="s">
        <v>0</v>
      </c>
      <c r="G207" s="368">
        <v>63.1</v>
      </c>
      <c r="H207" s="372">
        <v>1.8</v>
      </c>
      <c r="I207" s="375">
        <v>1.6</v>
      </c>
      <c r="J207" s="379">
        <v>10.199999999999999</v>
      </c>
      <c r="K207" s="383">
        <v>22.9</v>
      </c>
      <c r="L207" s="387">
        <v>578</v>
      </c>
      <c r="P207" s="533"/>
      <c r="Q207" s="208">
        <v>44768</v>
      </c>
      <c r="R207" s="4" t="s">
        <v>5</v>
      </c>
      <c r="S207" s="35" t="s">
        <v>146</v>
      </c>
      <c r="T207" s="2" t="s">
        <v>26</v>
      </c>
      <c r="U207" s="4" t="s">
        <v>1</v>
      </c>
      <c r="V207" s="533">
        <v>62.2</v>
      </c>
      <c r="W207" s="533">
        <v>2.7</v>
      </c>
      <c r="X207" s="533">
        <v>3.2</v>
      </c>
      <c r="Y207" s="206">
        <v>9</v>
      </c>
      <c r="Z207" s="210">
        <v>41</v>
      </c>
      <c r="AA207" s="207"/>
      <c r="AB207" s="533"/>
    </row>
    <row r="208" spans="2:28" ht="15.5" x14ac:dyDescent="0.35">
      <c r="B208" s="358">
        <v>44744</v>
      </c>
      <c r="C208" s="2" t="s">
        <v>4</v>
      </c>
      <c r="D208" s="35" t="s">
        <v>11</v>
      </c>
      <c r="E208" s="2" t="s">
        <v>26</v>
      </c>
      <c r="F208" s="4" t="s">
        <v>0</v>
      </c>
      <c r="G208" s="368">
        <v>60.6</v>
      </c>
      <c r="H208" s="372">
        <v>3.5</v>
      </c>
      <c r="I208" s="375">
        <v>3.3</v>
      </c>
      <c r="J208" s="379">
        <v>13.4</v>
      </c>
      <c r="K208" s="383">
        <v>19.100000000000001</v>
      </c>
      <c r="L208" s="387">
        <v>502</v>
      </c>
      <c r="P208" s="533"/>
      <c r="Q208" s="208">
        <v>44750</v>
      </c>
      <c r="R208" s="4" t="s">
        <v>5</v>
      </c>
      <c r="S208" s="35" t="s">
        <v>27</v>
      </c>
      <c r="T208" s="2" t="s">
        <v>26</v>
      </c>
      <c r="U208" s="4" t="s">
        <v>1</v>
      </c>
      <c r="V208" s="533">
        <v>59.7</v>
      </c>
      <c r="W208" s="533">
        <v>6.8</v>
      </c>
      <c r="X208" s="533">
        <v>2.6</v>
      </c>
      <c r="Y208" s="206">
        <v>8</v>
      </c>
      <c r="Z208" s="210">
        <v>37</v>
      </c>
      <c r="AA208" s="207"/>
      <c r="AB208" s="533"/>
    </row>
    <row r="209" spans="2:28" ht="15.5" x14ac:dyDescent="0.35">
      <c r="B209" s="358">
        <v>44744</v>
      </c>
      <c r="C209" s="2" t="s">
        <v>4</v>
      </c>
      <c r="D209" s="35" t="s">
        <v>11</v>
      </c>
      <c r="E209" s="2" t="s">
        <v>26</v>
      </c>
      <c r="F209" s="4" t="s">
        <v>0</v>
      </c>
      <c r="G209" s="368">
        <v>61.4</v>
      </c>
      <c r="H209" s="373">
        <v>3</v>
      </c>
      <c r="I209" s="377">
        <v>3</v>
      </c>
      <c r="J209" s="379">
        <v>12.4</v>
      </c>
      <c r="K209" s="383">
        <v>14.2</v>
      </c>
      <c r="L209" s="387">
        <v>505</v>
      </c>
      <c r="P209" s="533"/>
      <c r="Q209" s="208">
        <v>44765</v>
      </c>
      <c r="R209" s="4" t="s">
        <v>5</v>
      </c>
      <c r="S209" s="35" t="s">
        <v>27</v>
      </c>
      <c r="T209" s="2" t="s">
        <v>26</v>
      </c>
      <c r="U209" s="4" t="s">
        <v>1</v>
      </c>
      <c r="V209" s="533">
        <v>59.3</v>
      </c>
      <c r="W209" s="533">
        <v>6.5</v>
      </c>
      <c r="X209" s="533">
        <v>3.5</v>
      </c>
      <c r="Y209" s="206">
        <v>8</v>
      </c>
      <c r="Z209" s="210">
        <v>46</v>
      </c>
      <c r="AA209" s="207"/>
      <c r="AB209" s="533"/>
    </row>
    <row r="210" spans="2:28" ht="15.5" x14ac:dyDescent="0.35">
      <c r="B210" s="359">
        <v>44744</v>
      </c>
      <c r="C210" s="2" t="s">
        <v>4</v>
      </c>
      <c r="D210" s="35" t="s">
        <v>11</v>
      </c>
      <c r="E210" s="2" t="s">
        <v>26</v>
      </c>
      <c r="F210" s="4" t="s">
        <v>0</v>
      </c>
      <c r="G210" s="369">
        <v>62.4</v>
      </c>
      <c r="H210" s="374">
        <v>2</v>
      </c>
      <c r="I210" s="376">
        <v>1.8</v>
      </c>
      <c r="J210" s="380">
        <v>13.8</v>
      </c>
      <c r="K210" s="384">
        <v>17.7</v>
      </c>
      <c r="L210" s="388">
        <v>506</v>
      </c>
      <c r="P210" s="533"/>
      <c r="Q210" s="208">
        <v>44766</v>
      </c>
      <c r="R210" s="4" t="s">
        <v>5</v>
      </c>
      <c r="S210" s="35" t="s">
        <v>27</v>
      </c>
      <c r="T210" s="2" t="s">
        <v>26</v>
      </c>
      <c r="U210" s="4" t="s">
        <v>1</v>
      </c>
      <c r="V210" s="533">
        <v>58.5</v>
      </c>
      <c r="W210" s="533">
        <v>9.1999999999999993</v>
      </c>
      <c r="X210" s="533">
        <v>2</v>
      </c>
      <c r="Y210" s="206">
        <v>10</v>
      </c>
      <c r="Z210" s="210">
        <v>44</v>
      </c>
      <c r="AA210" s="207"/>
      <c r="AB210" s="533"/>
    </row>
    <row r="211" spans="2:28" ht="15.5" x14ac:dyDescent="0.35">
      <c r="B211" s="359">
        <v>44746</v>
      </c>
      <c r="C211" s="2" t="s">
        <v>4</v>
      </c>
      <c r="D211" s="35" t="s">
        <v>11</v>
      </c>
      <c r="E211" s="2" t="s">
        <v>26</v>
      </c>
      <c r="F211" s="4" t="s">
        <v>0</v>
      </c>
      <c r="G211" s="369">
        <v>63.4</v>
      </c>
      <c r="H211" s="374">
        <v>2.2999999999999998</v>
      </c>
      <c r="I211" s="376">
        <v>1.9</v>
      </c>
      <c r="J211" s="380">
        <v>12.1</v>
      </c>
      <c r="K211" s="384">
        <v>20.6</v>
      </c>
      <c r="L211" s="388">
        <v>501</v>
      </c>
      <c r="P211" s="533"/>
      <c r="Q211" s="208">
        <v>44756</v>
      </c>
      <c r="R211" s="4" t="s">
        <v>5</v>
      </c>
      <c r="S211" s="35" t="s">
        <v>2</v>
      </c>
      <c r="T211" s="2" t="s">
        <v>26</v>
      </c>
      <c r="U211" s="4" t="s">
        <v>1</v>
      </c>
      <c r="V211" s="533">
        <v>59.3</v>
      </c>
      <c r="W211" s="533">
        <v>6.8</v>
      </c>
      <c r="X211" s="533">
        <v>3.2</v>
      </c>
      <c r="Y211" s="206">
        <v>4</v>
      </c>
      <c r="Z211" s="210">
        <v>37</v>
      </c>
      <c r="AA211" s="207"/>
      <c r="AB211" s="533"/>
    </row>
    <row r="212" spans="2:28" ht="15.5" x14ac:dyDescent="0.35">
      <c r="B212" s="358">
        <v>44746</v>
      </c>
      <c r="C212" s="2" t="s">
        <v>4</v>
      </c>
      <c r="D212" s="35" t="s">
        <v>11</v>
      </c>
      <c r="E212" s="2" t="s">
        <v>26</v>
      </c>
      <c r="F212" s="4" t="s">
        <v>0</v>
      </c>
      <c r="G212" s="370">
        <v>62</v>
      </c>
      <c r="H212" s="373">
        <v>2.9</v>
      </c>
      <c r="I212" s="377">
        <v>3</v>
      </c>
      <c r="J212" s="379">
        <v>10.5</v>
      </c>
      <c r="K212" s="385">
        <v>15</v>
      </c>
      <c r="L212" s="387">
        <v>508</v>
      </c>
      <c r="P212" s="533"/>
      <c r="Q212" s="208">
        <v>44759</v>
      </c>
      <c r="R212" s="4" t="s">
        <v>5</v>
      </c>
      <c r="S212" s="35" t="s">
        <v>2</v>
      </c>
      <c r="T212" s="2" t="s">
        <v>26</v>
      </c>
      <c r="U212" s="4" t="s">
        <v>1</v>
      </c>
      <c r="V212" s="533">
        <v>61.3</v>
      </c>
      <c r="W212" s="533">
        <v>3.3</v>
      </c>
      <c r="X212" s="533">
        <v>3.8</v>
      </c>
      <c r="Y212" s="206">
        <v>8</v>
      </c>
      <c r="Z212" s="210">
        <v>43</v>
      </c>
      <c r="AA212" s="207"/>
      <c r="AB212" s="533"/>
    </row>
    <row r="213" spans="2:28" ht="15.5" x14ac:dyDescent="0.35">
      <c r="B213" s="358">
        <v>44747</v>
      </c>
      <c r="C213" s="2" t="s">
        <v>4</v>
      </c>
      <c r="D213" s="35" t="s">
        <v>11</v>
      </c>
      <c r="E213" s="2" t="s">
        <v>26</v>
      </c>
      <c r="F213" s="4" t="s">
        <v>0</v>
      </c>
      <c r="G213" s="368">
        <v>61.3</v>
      </c>
      <c r="H213" s="373">
        <v>3.3</v>
      </c>
      <c r="I213" s="375">
        <v>3.1</v>
      </c>
      <c r="J213" s="379">
        <v>15.2</v>
      </c>
      <c r="K213" s="383">
        <v>10.5</v>
      </c>
      <c r="L213" s="387">
        <v>509</v>
      </c>
      <c r="P213" s="533"/>
      <c r="Q213" s="208">
        <v>44763</v>
      </c>
      <c r="R213" s="4" t="s">
        <v>5</v>
      </c>
      <c r="S213" s="35" t="s">
        <v>2</v>
      </c>
      <c r="T213" s="2" t="s">
        <v>26</v>
      </c>
      <c r="U213" s="4" t="s">
        <v>1</v>
      </c>
      <c r="V213" s="533">
        <v>58.6</v>
      </c>
      <c r="W213" s="533">
        <v>7.1</v>
      </c>
      <c r="X213" s="533">
        <v>4</v>
      </c>
      <c r="Y213" s="206"/>
      <c r="Z213" s="210"/>
      <c r="AA213" s="207"/>
      <c r="AB213" s="533"/>
    </row>
    <row r="214" spans="2:28" ht="15.5" x14ac:dyDescent="0.35">
      <c r="B214" s="359">
        <v>44747</v>
      </c>
      <c r="C214" s="2" t="s">
        <v>4</v>
      </c>
      <c r="D214" s="35" t="s">
        <v>11</v>
      </c>
      <c r="E214" s="2" t="s">
        <v>26</v>
      </c>
      <c r="F214" s="4" t="s">
        <v>0</v>
      </c>
      <c r="G214" s="369">
        <v>60.8</v>
      </c>
      <c r="H214" s="374">
        <v>5</v>
      </c>
      <c r="I214" s="376">
        <v>3.7</v>
      </c>
      <c r="J214" s="380">
        <v>21.3</v>
      </c>
      <c r="K214" s="384">
        <v>14.6</v>
      </c>
      <c r="L214" s="388">
        <v>510</v>
      </c>
      <c r="P214" s="533"/>
      <c r="Q214" s="208">
        <v>44766</v>
      </c>
      <c r="R214" s="4" t="s">
        <v>5</v>
      </c>
      <c r="S214" s="35" t="s">
        <v>2</v>
      </c>
      <c r="T214" s="2" t="s">
        <v>26</v>
      </c>
      <c r="U214" s="4" t="s">
        <v>1</v>
      </c>
      <c r="V214" s="533">
        <v>59</v>
      </c>
      <c r="W214" s="533">
        <v>7.5</v>
      </c>
      <c r="X214" s="533">
        <v>3</v>
      </c>
      <c r="Y214" s="206">
        <v>8</v>
      </c>
      <c r="Z214" s="210">
        <v>36</v>
      </c>
      <c r="AA214" s="207"/>
      <c r="AB214" s="533"/>
    </row>
    <row r="215" spans="2:28" ht="15.5" x14ac:dyDescent="0.35">
      <c r="B215" s="359">
        <v>44748</v>
      </c>
      <c r="C215" s="2" t="s">
        <v>4</v>
      </c>
      <c r="D215" s="35" t="s">
        <v>11</v>
      </c>
      <c r="E215" s="2" t="s">
        <v>26</v>
      </c>
      <c r="F215" s="4" t="s">
        <v>0</v>
      </c>
      <c r="G215" s="369">
        <v>62.9</v>
      </c>
      <c r="H215" s="374">
        <v>3</v>
      </c>
      <c r="I215" s="376">
        <v>1.8</v>
      </c>
      <c r="J215" s="380">
        <v>19.399999999999999</v>
      </c>
      <c r="K215" s="384">
        <v>11.5</v>
      </c>
      <c r="L215" s="388">
        <v>503</v>
      </c>
      <c r="P215" s="533"/>
      <c r="Q215" s="208">
        <v>44747</v>
      </c>
      <c r="R215" s="4" t="s">
        <v>5</v>
      </c>
      <c r="S215" s="35" t="s">
        <v>10</v>
      </c>
      <c r="T215" s="2" t="s">
        <v>26</v>
      </c>
      <c r="U215" s="4" t="s">
        <v>1</v>
      </c>
      <c r="V215" s="533">
        <v>60.8</v>
      </c>
      <c r="W215" s="533">
        <v>5.2</v>
      </c>
      <c r="X215" s="533">
        <v>2.7</v>
      </c>
      <c r="Y215" s="206">
        <v>5</v>
      </c>
      <c r="Z215" s="210">
        <v>39</v>
      </c>
      <c r="AA215" s="207"/>
      <c r="AB215" s="533"/>
    </row>
    <row r="216" spans="2:28" ht="15.5" x14ac:dyDescent="0.35">
      <c r="B216" s="358">
        <v>44748</v>
      </c>
      <c r="C216" s="2" t="s">
        <v>4</v>
      </c>
      <c r="D216" s="35" t="s">
        <v>11</v>
      </c>
      <c r="E216" s="2" t="s">
        <v>26</v>
      </c>
      <c r="F216" s="4" t="s">
        <v>0</v>
      </c>
      <c r="G216" s="368">
        <v>61.7</v>
      </c>
      <c r="H216" s="373">
        <v>3.1</v>
      </c>
      <c r="I216" s="375">
        <v>2.1</v>
      </c>
      <c r="J216" s="381">
        <v>11</v>
      </c>
      <c r="K216" s="383">
        <v>13.5</v>
      </c>
      <c r="L216" s="387">
        <v>504</v>
      </c>
      <c r="P216" s="533"/>
      <c r="Q216" s="208">
        <v>44756</v>
      </c>
      <c r="R216" s="4" t="s">
        <v>5</v>
      </c>
      <c r="S216" s="35" t="s">
        <v>10</v>
      </c>
      <c r="T216" s="2" t="s">
        <v>26</v>
      </c>
      <c r="U216" s="4" t="s">
        <v>1</v>
      </c>
      <c r="V216" s="533">
        <v>58.5</v>
      </c>
      <c r="W216" s="533">
        <v>7.2</v>
      </c>
      <c r="X216" s="533">
        <v>3.9</v>
      </c>
      <c r="Y216" s="206">
        <v>3</v>
      </c>
      <c r="Z216" s="210">
        <v>39</v>
      </c>
      <c r="AA216" s="207"/>
      <c r="AB216" s="533"/>
    </row>
    <row r="217" spans="2:28" ht="15.5" x14ac:dyDescent="0.35">
      <c r="B217" s="358">
        <v>44749</v>
      </c>
      <c r="C217" s="2" t="s">
        <v>4</v>
      </c>
      <c r="D217" s="35" t="s">
        <v>11</v>
      </c>
      <c r="E217" s="2" t="s">
        <v>26</v>
      </c>
      <c r="F217" s="4" t="s">
        <v>0</v>
      </c>
      <c r="G217" s="368">
        <v>61.8</v>
      </c>
      <c r="H217" s="373">
        <v>3.2</v>
      </c>
      <c r="I217" s="375">
        <v>1.8</v>
      </c>
      <c r="J217" s="379">
        <v>10.199999999999999</v>
      </c>
      <c r="K217" s="383">
        <v>19.3</v>
      </c>
      <c r="L217" s="387">
        <v>512</v>
      </c>
      <c r="P217" s="533"/>
      <c r="Q217" s="208">
        <v>44758</v>
      </c>
      <c r="R217" s="4" t="s">
        <v>5</v>
      </c>
      <c r="S217" s="35" t="s">
        <v>10</v>
      </c>
      <c r="T217" s="2" t="s">
        <v>26</v>
      </c>
      <c r="U217" s="4" t="s">
        <v>1</v>
      </c>
      <c r="V217" s="533">
        <v>58.6</v>
      </c>
      <c r="W217" s="533">
        <v>4.2</v>
      </c>
      <c r="X217" s="533">
        <v>6.8</v>
      </c>
      <c r="Y217" s="206">
        <v>4</v>
      </c>
      <c r="Z217" s="210">
        <v>38</v>
      </c>
      <c r="AA217" s="207"/>
      <c r="AB217" s="533"/>
    </row>
    <row r="218" spans="2:28" ht="15.5" x14ac:dyDescent="0.35">
      <c r="B218" s="358">
        <v>44749</v>
      </c>
      <c r="C218" s="2" t="s">
        <v>4</v>
      </c>
      <c r="D218" s="35" t="s">
        <v>11</v>
      </c>
      <c r="E218" s="2" t="s">
        <v>26</v>
      </c>
      <c r="F218" s="4" t="s">
        <v>0</v>
      </c>
      <c r="G218" s="368">
        <v>62.1</v>
      </c>
      <c r="H218" s="373">
        <v>3.4</v>
      </c>
      <c r="I218" s="375">
        <v>2.2000000000000002</v>
      </c>
      <c r="J218" s="379">
        <v>12.2</v>
      </c>
      <c r="K218" s="383">
        <v>12.2</v>
      </c>
      <c r="L218" s="387">
        <v>516</v>
      </c>
      <c r="P218" s="533"/>
      <c r="Q218" s="208">
        <v>44759</v>
      </c>
      <c r="R218" s="4" t="s">
        <v>5</v>
      </c>
      <c r="S218" s="35" t="s">
        <v>10</v>
      </c>
      <c r="T218" s="2" t="s">
        <v>26</v>
      </c>
      <c r="U218" s="4" t="s">
        <v>1</v>
      </c>
      <c r="V218" s="533">
        <v>61</v>
      </c>
      <c r="W218" s="533">
        <v>3.6</v>
      </c>
      <c r="X218" s="533">
        <v>4</v>
      </c>
      <c r="Y218" s="206">
        <v>6</v>
      </c>
      <c r="Z218" s="210">
        <v>44</v>
      </c>
      <c r="AA218" s="207"/>
      <c r="AB218" s="533"/>
    </row>
    <row r="219" spans="2:28" ht="15.5" x14ac:dyDescent="0.35">
      <c r="B219" s="358">
        <v>44749</v>
      </c>
      <c r="C219" s="2" t="s">
        <v>4</v>
      </c>
      <c r="D219" s="35" t="s">
        <v>11</v>
      </c>
      <c r="E219" s="2" t="s">
        <v>26</v>
      </c>
      <c r="F219" s="4" t="s">
        <v>0</v>
      </c>
      <c r="G219" s="368">
        <v>62.6</v>
      </c>
      <c r="H219" s="373">
        <v>3.3</v>
      </c>
      <c r="I219" s="375">
        <v>2.2999999999999998</v>
      </c>
      <c r="J219" s="379">
        <v>15.7</v>
      </c>
      <c r="K219" s="383">
        <v>14.9</v>
      </c>
      <c r="L219" s="387">
        <v>517</v>
      </c>
      <c r="P219" s="533"/>
      <c r="Q219" s="3">
        <v>44763</v>
      </c>
      <c r="R219" s="4" t="s">
        <v>5</v>
      </c>
      <c r="S219" s="35" t="s">
        <v>10</v>
      </c>
      <c r="T219" s="2" t="s">
        <v>26</v>
      </c>
      <c r="U219" s="4" t="s">
        <v>1</v>
      </c>
      <c r="V219" s="533">
        <v>58.5</v>
      </c>
      <c r="W219" s="533">
        <v>7.3</v>
      </c>
      <c r="X219" s="533">
        <v>3.9</v>
      </c>
      <c r="Y219" s="32">
        <v>2</v>
      </c>
      <c r="Z219" s="32">
        <v>44</v>
      </c>
      <c r="AA219" s="30"/>
      <c r="AB219" s="533"/>
    </row>
    <row r="220" spans="2:28" ht="15.5" x14ac:dyDescent="0.35">
      <c r="B220" s="359">
        <v>44750</v>
      </c>
      <c r="C220" s="2" t="s">
        <v>4</v>
      </c>
      <c r="D220" s="35" t="s">
        <v>11</v>
      </c>
      <c r="E220" s="2" t="s">
        <v>26</v>
      </c>
      <c r="F220" s="4" t="s">
        <v>0</v>
      </c>
      <c r="G220" s="369">
        <v>62.2</v>
      </c>
      <c r="H220" s="374">
        <v>3.8</v>
      </c>
      <c r="I220" s="378">
        <v>2</v>
      </c>
      <c r="J220" s="380">
        <v>8.6999999999999993</v>
      </c>
      <c r="K220" s="384">
        <v>20.100000000000001</v>
      </c>
      <c r="L220" s="388">
        <v>518</v>
      </c>
      <c r="P220" s="533"/>
      <c r="Q220" s="3">
        <v>44743</v>
      </c>
      <c r="R220" s="4" t="s">
        <v>5</v>
      </c>
      <c r="S220" s="35" t="s">
        <v>31</v>
      </c>
      <c r="T220" s="2" t="s">
        <v>26</v>
      </c>
      <c r="U220" s="4" t="s">
        <v>1</v>
      </c>
      <c r="V220" s="533">
        <v>62.9</v>
      </c>
      <c r="W220" s="533">
        <v>2.5</v>
      </c>
      <c r="X220" s="533">
        <v>2.4</v>
      </c>
      <c r="Y220" s="32">
        <v>3</v>
      </c>
      <c r="Z220" s="32">
        <v>44</v>
      </c>
      <c r="AA220" s="30"/>
      <c r="AB220" s="533"/>
    </row>
    <row r="221" spans="2:28" ht="15.5" x14ac:dyDescent="0.35">
      <c r="B221" s="358">
        <v>44751</v>
      </c>
      <c r="C221" s="2" t="s">
        <v>4</v>
      </c>
      <c r="D221" s="35" t="s">
        <v>11</v>
      </c>
      <c r="E221" s="2" t="s">
        <v>26</v>
      </c>
      <c r="F221" s="4" t="s">
        <v>0</v>
      </c>
      <c r="G221" s="368">
        <v>63.4</v>
      </c>
      <c r="H221" s="373">
        <v>2</v>
      </c>
      <c r="I221" s="377">
        <v>1.9</v>
      </c>
      <c r="J221" s="379">
        <v>10.199999999999999</v>
      </c>
      <c r="K221" s="383">
        <v>28.1</v>
      </c>
      <c r="L221" s="387">
        <v>511</v>
      </c>
      <c r="P221" s="533"/>
      <c r="Q221" s="3">
        <v>44744</v>
      </c>
      <c r="R221" s="4" t="s">
        <v>5</v>
      </c>
      <c r="S221" s="35" t="s">
        <v>31</v>
      </c>
      <c r="T221" s="2" t="s">
        <v>26</v>
      </c>
      <c r="U221" s="4" t="s">
        <v>1</v>
      </c>
      <c r="V221" s="533">
        <v>62.9</v>
      </c>
      <c r="W221" s="533">
        <v>2.2999999999999998</v>
      </c>
      <c r="X221" s="533">
        <v>2.5</v>
      </c>
      <c r="Y221" s="31">
        <v>3</v>
      </c>
      <c r="Z221" s="31">
        <v>39</v>
      </c>
      <c r="AA221" s="30"/>
      <c r="AB221" s="533"/>
    </row>
    <row r="222" spans="2:28" ht="15.5" x14ac:dyDescent="0.35">
      <c r="B222" s="358">
        <v>44752</v>
      </c>
      <c r="C222" s="2" t="s">
        <v>4</v>
      </c>
      <c r="D222" s="35" t="s">
        <v>11</v>
      </c>
      <c r="E222" s="2" t="s">
        <v>26</v>
      </c>
      <c r="F222" s="4" t="s">
        <v>0</v>
      </c>
      <c r="G222" s="368">
        <v>62.8</v>
      </c>
      <c r="H222" s="373">
        <v>2</v>
      </c>
      <c r="I222" s="377">
        <v>1.8</v>
      </c>
      <c r="J222" s="379">
        <v>15.8</v>
      </c>
      <c r="K222" s="383">
        <v>12.1</v>
      </c>
      <c r="L222" s="387">
        <v>515</v>
      </c>
      <c r="P222" s="533"/>
      <c r="Q222" s="3">
        <v>44744</v>
      </c>
      <c r="R222" s="4" t="s">
        <v>5</v>
      </c>
      <c r="S222" s="35" t="s">
        <v>31</v>
      </c>
      <c r="T222" s="2" t="s">
        <v>26</v>
      </c>
      <c r="U222" s="4" t="s">
        <v>1</v>
      </c>
      <c r="V222" s="533">
        <v>63</v>
      </c>
      <c r="W222" s="533">
        <v>2.1</v>
      </c>
      <c r="X222" s="533">
        <v>2.6</v>
      </c>
      <c r="Y222" s="32">
        <v>4</v>
      </c>
      <c r="Z222" s="32">
        <v>43</v>
      </c>
      <c r="AA222" s="30"/>
      <c r="AB222" s="533"/>
    </row>
    <row r="223" spans="2:28" ht="15.5" x14ac:dyDescent="0.35">
      <c r="B223" s="358">
        <v>44752</v>
      </c>
      <c r="C223" s="2" t="s">
        <v>4</v>
      </c>
      <c r="D223" s="35" t="s">
        <v>11</v>
      </c>
      <c r="E223" s="2" t="s">
        <v>26</v>
      </c>
      <c r="F223" s="4" t="s">
        <v>0</v>
      </c>
      <c r="G223" s="368">
        <v>61.7</v>
      </c>
      <c r="H223" s="373">
        <v>1.6</v>
      </c>
      <c r="I223" s="377">
        <v>3.8</v>
      </c>
      <c r="J223" s="379">
        <v>9.3000000000000007</v>
      </c>
      <c r="K223" s="383">
        <v>21.5</v>
      </c>
      <c r="L223" s="387">
        <v>519</v>
      </c>
      <c r="P223" s="533"/>
      <c r="Q223" s="3">
        <v>44745</v>
      </c>
      <c r="R223" s="4" t="s">
        <v>5</v>
      </c>
      <c r="S223" s="35" t="s">
        <v>31</v>
      </c>
      <c r="T223" s="2" t="s">
        <v>26</v>
      </c>
      <c r="U223" s="4" t="s">
        <v>1</v>
      </c>
      <c r="V223" s="533">
        <v>62.8</v>
      </c>
      <c r="W223" s="533">
        <v>2.2999999999999998</v>
      </c>
      <c r="X223" s="533">
        <v>2.7</v>
      </c>
      <c r="Y223" s="32">
        <v>6</v>
      </c>
      <c r="Z223" s="32">
        <v>41</v>
      </c>
      <c r="AA223" s="30"/>
      <c r="AB223" s="533"/>
    </row>
    <row r="224" spans="2:28" ht="15.5" x14ac:dyDescent="0.35">
      <c r="B224" s="359">
        <v>44752</v>
      </c>
      <c r="C224" s="2" t="s">
        <v>4</v>
      </c>
      <c r="D224" s="35" t="s">
        <v>11</v>
      </c>
      <c r="E224" s="2" t="s">
        <v>26</v>
      </c>
      <c r="F224" s="4" t="s">
        <v>0</v>
      </c>
      <c r="G224" s="369">
        <v>61.4</v>
      </c>
      <c r="H224" s="374">
        <v>2.8</v>
      </c>
      <c r="I224" s="378">
        <v>2.5</v>
      </c>
      <c r="J224" s="382">
        <v>6</v>
      </c>
      <c r="K224" s="384">
        <v>18.5</v>
      </c>
      <c r="L224" s="388">
        <v>521</v>
      </c>
      <c r="P224" s="533"/>
      <c r="Q224" s="3">
        <v>44745</v>
      </c>
      <c r="R224" s="4" t="s">
        <v>5</v>
      </c>
      <c r="S224" s="35" t="s">
        <v>31</v>
      </c>
      <c r="T224" s="2" t="s">
        <v>26</v>
      </c>
      <c r="U224" s="4" t="s">
        <v>1</v>
      </c>
      <c r="V224" s="533">
        <v>62.9</v>
      </c>
      <c r="W224" s="533">
        <v>2.5</v>
      </c>
      <c r="X224" s="533">
        <v>2.4</v>
      </c>
      <c r="Y224" s="32">
        <v>5</v>
      </c>
      <c r="Z224" s="32">
        <v>37</v>
      </c>
      <c r="AA224" s="30"/>
      <c r="AB224" s="533"/>
    </row>
    <row r="225" spans="2:28" ht="15.5" x14ac:dyDescent="0.35">
      <c r="B225" s="358">
        <v>44753</v>
      </c>
      <c r="C225" s="2" t="s">
        <v>4</v>
      </c>
      <c r="D225" s="35" t="s">
        <v>11</v>
      </c>
      <c r="E225" s="2" t="s">
        <v>26</v>
      </c>
      <c r="F225" s="4" t="s">
        <v>0</v>
      </c>
      <c r="G225" s="368">
        <v>62.5</v>
      </c>
      <c r="H225" s="373">
        <v>2.5</v>
      </c>
      <c r="I225" s="377">
        <v>1.9</v>
      </c>
      <c r="J225" s="381">
        <v>14.5</v>
      </c>
      <c r="K225" s="383">
        <v>17.2</v>
      </c>
      <c r="L225" s="387">
        <v>524</v>
      </c>
      <c r="P225" s="533"/>
      <c r="Q225" s="3">
        <v>44745</v>
      </c>
      <c r="R225" s="4" t="s">
        <v>5</v>
      </c>
      <c r="S225" s="35" t="s">
        <v>31</v>
      </c>
      <c r="T225" s="2" t="s">
        <v>26</v>
      </c>
      <c r="U225" s="4" t="s">
        <v>1</v>
      </c>
      <c r="V225" s="533">
        <v>63</v>
      </c>
      <c r="W225" s="533">
        <v>2.4</v>
      </c>
      <c r="X225" s="533">
        <v>2.4</v>
      </c>
      <c r="Y225" s="32">
        <v>3</v>
      </c>
      <c r="Z225" s="32">
        <v>38</v>
      </c>
      <c r="AA225" s="30"/>
      <c r="AB225" s="533"/>
    </row>
    <row r="226" spans="2:28" ht="15.5" x14ac:dyDescent="0.35">
      <c r="B226" s="358">
        <v>44754</v>
      </c>
      <c r="C226" s="2" t="s">
        <v>4</v>
      </c>
      <c r="D226" s="35" t="s">
        <v>11</v>
      </c>
      <c r="E226" s="2" t="s">
        <v>26</v>
      </c>
      <c r="F226" s="4" t="s">
        <v>0</v>
      </c>
      <c r="G226" s="368">
        <v>60.5</v>
      </c>
      <c r="H226" s="373">
        <v>4.0999999999999996</v>
      </c>
      <c r="I226" s="377">
        <v>2</v>
      </c>
      <c r="J226" s="381">
        <v>12.2</v>
      </c>
      <c r="K226" s="383">
        <v>9.8000000000000007</v>
      </c>
      <c r="L226" s="387">
        <v>525</v>
      </c>
      <c r="P226" s="533"/>
      <c r="Q226" s="3">
        <v>44746</v>
      </c>
      <c r="R226" s="4" t="s">
        <v>5</v>
      </c>
      <c r="S226" s="35" t="s">
        <v>31</v>
      </c>
      <c r="T226" s="2" t="s">
        <v>26</v>
      </c>
      <c r="U226" s="4" t="s">
        <v>1</v>
      </c>
      <c r="V226" s="533">
        <v>63</v>
      </c>
      <c r="W226" s="533">
        <v>2.5</v>
      </c>
      <c r="X226" s="533">
        <v>2.2999999999999998</v>
      </c>
      <c r="Y226" s="32">
        <v>5</v>
      </c>
      <c r="Z226" s="32">
        <v>38</v>
      </c>
      <c r="AA226" s="30"/>
      <c r="AB226" s="533"/>
    </row>
    <row r="227" spans="2:28" ht="15.5" x14ac:dyDescent="0.35">
      <c r="B227" s="359">
        <v>44754</v>
      </c>
      <c r="C227" s="2" t="s">
        <v>4</v>
      </c>
      <c r="D227" s="35" t="s">
        <v>11</v>
      </c>
      <c r="E227" s="2" t="s">
        <v>26</v>
      </c>
      <c r="F227" s="4" t="s">
        <v>0</v>
      </c>
      <c r="G227" s="369">
        <v>63.1</v>
      </c>
      <c r="H227" s="374">
        <v>2</v>
      </c>
      <c r="I227" s="378">
        <v>1.9</v>
      </c>
      <c r="J227" s="382">
        <v>17.8</v>
      </c>
      <c r="K227" s="384">
        <v>14.5</v>
      </c>
      <c r="L227" s="388">
        <v>520</v>
      </c>
      <c r="P227" s="533"/>
      <c r="Q227" s="3">
        <v>44746</v>
      </c>
      <c r="R227" s="4" t="s">
        <v>5</v>
      </c>
      <c r="S227" s="35" t="s">
        <v>31</v>
      </c>
      <c r="T227" s="2" t="s">
        <v>26</v>
      </c>
      <c r="U227" s="4" t="s">
        <v>1</v>
      </c>
      <c r="V227" s="533">
        <v>62.8</v>
      </c>
      <c r="W227" s="533">
        <v>2.9</v>
      </c>
      <c r="X227" s="533">
        <v>2.1</v>
      </c>
      <c r="Y227" s="32">
        <v>5</v>
      </c>
      <c r="Z227" s="32">
        <v>40</v>
      </c>
      <c r="AA227" s="30"/>
      <c r="AB227" s="533"/>
    </row>
    <row r="228" spans="2:28" ht="15.5" x14ac:dyDescent="0.35">
      <c r="B228" s="358">
        <v>44755</v>
      </c>
      <c r="C228" s="2" t="s">
        <v>4</v>
      </c>
      <c r="D228" s="35" t="s">
        <v>11</v>
      </c>
      <c r="E228" s="2" t="s">
        <v>26</v>
      </c>
      <c r="F228" s="4" t="s">
        <v>0</v>
      </c>
      <c r="G228" s="368">
        <v>59.4</v>
      </c>
      <c r="H228" s="373">
        <v>7.8</v>
      </c>
      <c r="I228" s="377">
        <v>1.8</v>
      </c>
      <c r="J228" s="381">
        <v>7.6</v>
      </c>
      <c r="K228" s="383">
        <v>24.6</v>
      </c>
      <c r="L228" s="387">
        <v>528</v>
      </c>
      <c r="P228" s="533"/>
      <c r="Q228" s="3">
        <v>44747</v>
      </c>
      <c r="R228" s="4" t="s">
        <v>5</v>
      </c>
      <c r="S228" s="35" t="s">
        <v>31</v>
      </c>
      <c r="T228" s="2" t="s">
        <v>26</v>
      </c>
      <c r="U228" s="4" t="s">
        <v>1</v>
      </c>
      <c r="V228" s="533">
        <v>62.8</v>
      </c>
      <c r="W228" s="533">
        <v>3</v>
      </c>
      <c r="X228" s="533">
        <v>2.1</v>
      </c>
      <c r="Y228" s="32"/>
      <c r="Z228" s="32"/>
      <c r="AA228" s="30"/>
      <c r="AB228" s="533"/>
    </row>
    <row r="229" spans="2:28" ht="15.5" x14ac:dyDescent="0.35">
      <c r="B229" s="359">
        <v>44755</v>
      </c>
      <c r="C229" s="2" t="s">
        <v>4</v>
      </c>
      <c r="D229" s="35" t="s">
        <v>11</v>
      </c>
      <c r="E229" s="2" t="s">
        <v>26</v>
      </c>
      <c r="F229" s="4" t="s">
        <v>0</v>
      </c>
      <c r="G229" s="369">
        <v>62.4</v>
      </c>
      <c r="H229" s="374">
        <v>3.6</v>
      </c>
      <c r="I229" s="378">
        <v>2</v>
      </c>
      <c r="J229" s="382">
        <v>12.3</v>
      </c>
      <c r="K229" s="384">
        <v>15.5</v>
      </c>
      <c r="L229" s="388">
        <v>527</v>
      </c>
      <c r="P229" s="533"/>
      <c r="Q229" s="3">
        <v>44747</v>
      </c>
      <c r="R229" s="4" t="s">
        <v>5</v>
      </c>
      <c r="S229" s="35" t="s">
        <v>31</v>
      </c>
      <c r="T229" s="2" t="s">
        <v>26</v>
      </c>
      <c r="U229" s="4" t="s">
        <v>1</v>
      </c>
      <c r="V229" s="533">
        <v>62.9</v>
      </c>
      <c r="W229" s="533">
        <v>2.4</v>
      </c>
      <c r="X229" s="533">
        <v>2.5</v>
      </c>
      <c r="Y229" s="31">
        <v>4</v>
      </c>
      <c r="Z229" s="533">
        <v>37</v>
      </c>
      <c r="AA229" s="30"/>
      <c r="AB229" s="533"/>
    </row>
    <row r="230" spans="2:28" ht="15.5" x14ac:dyDescent="0.35">
      <c r="B230" s="359">
        <v>44756</v>
      </c>
      <c r="C230" s="2" t="s">
        <v>4</v>
      </c>
      <c r="D230" s="35" t="s">
        <v>11</v>
      </c>
      <c r="E230" s="2" t="s">
        <v>26</v>
      </c>
      <c r="F230" s="4" t="s">
        <v>0</v>
      </c>
      <c r="G230" s="371">
        <v>64</v>
      </c>
      <c r="H230" s="374">
        <v>2.4</v>
      </c>
      <c r="I230" s="378">
        <v>1.2</v>
      </c>
      <c r="J230" s="382">
        <v>7.2</v>
      </c>
      <c r="K230" s="384">
        <v>18.899999999999999</v>
      </c>
      <c r="L230" s="388">
        <v>529</v>
      </c>
      <c r="P230" s="533"/>
      <c r="Q230" s="3">
        <v>44748</v>
      </c>
      <c r="R230" s="4" t="s">
        <v>5</v>
      </c>
      <c r="S230" s="35" t="s">
        <v>31</v>
      </c>
      <c r="T230" s="2" t="s">
        <v>26</v>
      </c>
      <c r="U230" s="4" t="s">
        <v>1</v>
      </c>
      <c r="V230" s="533">
        <v>62.7</v>
      </c>
      <c r="W230" s="533">
        <v>2.7</v>
      </c>
      <c r="X230" s="533">
        <v>2.5</v>
      </c>
      <c r="Y230" s="31">
        <v>3</v>
      </c>
      <c r="Z230" s="533">
        <v>38</v>
      </c>
      <c r="AA230" s="30"/>
      <c r="AB230" s="533"/>
    </row>
    <row r="231" spans="2:28" ht="15.5" x14ac:dyDescent="0.35">
      <c r="B231" s="358">
        <v>44756</v>
      </c>
      <c r="C231" s="2" t="s">
        <v>4</v>
      </c>
      <c r="D231" s="35" t="s">
        <v>11</v>
      </c>
      <c r="E231" s="2" t="s">
        <v>26</v>
      </c>
      <c r="F231" s="4" t="s">
        <v>0</v>
      </c>
      <c r="G231" s="370">
        <v>59.4</v>
      </c>
      <c r="H231" s="373">
        <v>6.5</v>
      </c>
      <c r="I231" s="377">
        <v>2.2999999999999998</v>
      </c>
      <c r="J231" s="381">
        <v>10</v>
      </c>
      <c r="K231" s="383">
        <v>20.6</v>
      </c>
      <c r="L231" s="387">
        <v>530</v>
      </c>
      <c r="P231" s="533"/>
      <c r="Q231" s="3">
        <v>44748</v>
      </c>
      <c r="R231" s="4" t="s">
        <v>5</v>
      </c>
      <c r="S231" s="35" t="s">
        <v>31</v>
      </c>
      <c r="T231" s="2" t="s">
        <v>26</v>
      </c>
      <c r="U231" s="4" t="s">
        <v>1</v>
      </c>
      <c r="V231" s="533">
        <v>63</v>
      </c>
      <c r="W231" s="533">
        <v>2.4</v>
      </c>
      <c r="X231" s="533">
        <v>2.4</v>
      </c>
      <c r="Y231" s="31"/>
      <c r="Z231" s="533"/>
      <c r="AA231" s="30"/>
      <c r="AB231" s="533"/>
    </row>
    <row r="232" spans="2:28" ht="15.5" x14ac:dyDescent="0.35">
      <c r="B232" s="359">
        <v>44757</v>
      </c>
      <c r="C232" s="2" t="s">
        <v>4</v>
      </c>
      <c r="D232" s="35" t="s">
        <v>11</v>
      </c>
      <c r="E232" s="2" t="s">
        <v>26</v>
      </c>
      <c r="F232" s="4" t="s">
        <v>0</v>
      </c>
      <c r="G232" s="370">
        <v>62</v>
      </c>
      <c r="H232" s="373">
        <v>3.2</v>
      </c>
      <c r="I232" s="377">
        <v>1.2</v>
      </c>
      <c r="J232" s="381">
        <v>22.8</v>
      </c>
      <c r="K232" s="385">
        <v>9</v>
      </c>
      <c r="L232" s="387">
        <v>533</v>
      </c>
      <c r="P232" s="533"/>
      <c r="Q232" s="3">
        <v>44749</v>
      </c>
      <c r="R232" s="4" t="s">
        <v>5</v>
      </c>
      <c r="S232" s="35" t="s">
        <v>31</v>
      </c>
      <c r="T232" s="2" t="s">
        <v>26</v>
      </c>
      <c r="U232" s="4" t="s">
        <v>1</v>
      </c>
      <c r="V232" s="533">
        <v>62.8</v>
      </c>
      <c r="W232" s="533">
        <v>2.4</v>
      </c>
      <c r="X232" s="533">
        <v>2.6</v>
      </c>
      <c r="Y232" s="32">
        <v>7</v>
      </c>
      <c r="Z232" s="533">
        <v>41</v>
      </c>
      <c r="AA232" s="30"/>
      <c r="AB232" s="533"/>
    </row>
    <row r="233" spans="2:28" ht="15.5" x14ac:dyDescent="0.35">
      <c r="B233" s="358">
        <v>44759</v>
      </c>
      <c r="C233" s="2" t="s">
        <v>4</v>
      </c>
      <c r="D233" s="35" t="s">
        <v>11</v>
      </c>
      <c r="E233" s="2" t="s">
        <v>26</v>
      </c>
      <c r="F233" s="4" t="s">
        <v>0</v>
      </c>
      <c r="G233" s="370">
        <v>61</v>
      </c>
      <c r="H233" s="373">
        <v>4.4000000000000004</v>
      </c>
      <c r="I233" s="377">
        <v>2.2999999999999998</v>
      </c>
      <c r="J233" s="381">
        <v>15</v>
      </c>
      <c r="K233" s="385">
        <v>14.2</v>
      </c>
      <c r="L233" s="387">
        <v>532</v>
      </c>
      <c r="P233" s="533"/>
      <c r="Q233" s="3">
        <v>44750</v>
      </c>
      <c r="R233" s="4" t="s">
        <v>5</v>
      </c>
      <c r="S233" s="35" t="s">
        <v>31</v>
      </c>
      <c r="T233" s="2" t="s">
        <v>26</v>
      </c>
      <c r="U233" s="4" t="s">
        <v>1</v>
      </c>
      <c r="V233" s="533">
        <v>62.9</v>
      </c>
      <c r="W233" s="533">
        <v>2.2999999999999998</v>
      </c>
      <c r="X233" s="533">
        <v>2.6</v>
      </c>
      <c r="Y233" s="31">
        <v>4</v>
      </c>
      <c r="Z233" s="533">
        <v>32</v>
      </c>
      <c r="AA233" s="30"/>
      <c r="AB233" s="533"/>
    </row>
    <row r="234" spans="2:28" ht="15.5" x14ac:dyDescent="0.35">
      <c r="B234" s="359">
        <v>44759</v>
      </c>
      <c r="C234" s="2" t="s">
        <v>4</v>
      </c>
      <c r="D234" s="35" t="s">
        <v>11</v>
      </c>
      <c r="E234" s="2" t="s">
        <v>26</v>
      </c>
      <c r="F234" s="4" t="s">
        <v>0</v>
      </c>
      <c r="G234" s="371">
        <v>62.4</v>
      </c>
      <c r="H234" s="374">
        <v>3.8</v>
      </c>
      <c r="I234" s="378">
        <v>1.5</v>
      </c>
      <c r="J234" s="382">
        <v>14.9</v>
      </c>
      <c r="K234" s="386">
        <v>14</v>
      </c>
      <c r="L234" s="388">
        <v>536</v>
      </c>
      <c r="P234" s="533"/>
      <c r="Q234" s="3">
        <v>44750</v>
      </c>
      <c r="R234" s="4" t="s">
        <v>5</v>
      </c>
      <c r="S234" s="35" t="s">
        <v>31</v>
      </c>
      <c r="T234" s="2" t="s">
        <v>26</v>
      </c>
      <c r="U234" s="4" t="s">
        <v>1</v>
      </c>
      <c r="V234" s="533">
        <v>62.9</v>
      </c>
      <c r="W234" s="533">
        <v>2.5</v>
      </c>
      <c r="X234" s="533">
        <v>2.4</v>
      </c>
      <c r="Y234" s="31">
        <v>4</v>
      </c>
      <c r="Z234" s="533">
        <v>40</v>
      </c>
      <c r="AA234" s="30"/>
      <c r="AB234" s="533"/>
    </row>
    <row r="235" spans="2:28" ht="15.5" x14ac:dyDescent="0.35">
      <c r="B235" s="359">
        <v>44761</v>
      </c>
      <c r="C235" s="2" t="s">
        <v>4</v>
      </c>
      <c r="D235" s="35" t="s">
        <v>11</v>
      </c>
      <c r="E235" s="2" t="s">
        <v>26</v>
      </c>
      <c r="F235" s="4" t="s">
        <v>0</v>
      </c>
      <c r="G235" s="371">
        <v>61.6</v>
      </c>
      <c r="H235" s="374">
        <v>3.1</v>
      </c>
      <c r="I235" s="378">
        <v>1.9</v>
      </c>
      <c r="J235" s="382">
        <v>13</v>
      </c>
      <c r="K235" s="386">
        <v>14.7</v>
      </c>
      <c r="L235" s="388">
        <v>541</v>
      </c>
      <c r="P235" s="533"/>
      <c r="Q235" s="3">
        <v>44751</v>
      </c>
      <c r="R235" s="4" t="s">
        <v>5</v>
      </c>
      <c r="S235" s="35" t="s">
        <v>31</v>
      </c>
      <c r="T235" s="2" t="s">
        <v>26</v>
      </c>
      <c r="U235" s="4" t="s">
        <v>1</v>
      </c>
      <c r="V235" s="533">
        <v>63</v>
      </c>
      <c r="W235" s="533">
        <v>2.1</v>
      </c>
      <c r="X235" s="533">
        <v>2.6</v>
      </c>
      <c r="Y235" s="31">
        <v>3</v>
      </c>
      <c r="Z235" s="533">
        <v>40</v>
      </c>
      <c r="AA235" s="30"/>
      <c r="AB235" s="533"/>
    </row>
    <row r="236" spans="2:28" ht="15.5" x14ac:dyDescent="0.35">
      <c r="B236" s="359">
        <v>44762</v>
      </c>
      <c r="C236" s="2" t="s">
        <v>4</v>
      </c>
      <c r="D236" s="35" t="s">
        <v>11</v>
      </c>
      <c r="E236" s="2" t="s">
        <v>26</v>
      </c>
      <c r="F236" s="4" t="s">
        <v>0</v>
      </c>
      <c r="G236" s="371">
        <v>63</v>
      </c>
      <c r="H236" s="374">
        <v>1.8</v>
      </c>
      <c r="I236" s="378">
        <v>1.6</v>
      </c>
      <c r="J236" s="382">
        <v>16.3</v>
      </c>
      <c r="K236" s="386">
        <v>14.6</v>
      </c>
      <c r="L236" s="388">
        <v>542</v>
      </c>
      <c r="P236" s="533"/>
      <c r="Q236" s="3">
        <v>44751</v>
      </c>
      <c r="R236" s="4" t="s">
        <v>5</v>
      </c>
      <c r="S236" s="35" t="s">
        <v>31</v>
      </c>
      <c r="T236" s="2" t="s">
        <v>26</v>
      </c>
      <c r="U236" s="4" t="s">
        <v>1</v>
      </c>
      <c r="V236" s="533">
        <v>62.8</v>
      </c>
      <c r="W236" s="533">
        <v>2.4</v>
      </c>
      <c r="X236" s="533">
        <v>2.6</v>
      </c>
      <c r="Y236" s="31">
        <v>3</v>
      </c>
      <c r="Z236" s="533">
        <v>42</v>
      </c>
      <c r="AA236" s="30"/>
      <c r="AB236" s="533"/>
    </row>
    <row r="237" spans="2:28" ht="15.5" x14ac:dyDescent="0.35">
      <c r="B237" s="358">
        <v>44764</v>
      </c>
      <c r="C237" s="2" t="s">
        <v>4</v>
      </c>
      <c r="D237" s="35" t="s">
        <v>11</v>
      </c>
      <c r="E237" s="2" t="s">
        <v>26</v>
      </c>
      <c r="F237" s="4" t="s">
        <v>0</v>
      </c>
      <c r="G237" s="370">
        <v>63.7</v>
      </c>
      <c r="H237" s="373">
        <v>1.5</v>
      </c>
      <c r="I237" s="377">
        <v>1.6</v>
      </c>
      <c r="J237" s="381">
        <v>18.399999999999999</v>
      </c>
      <c r="K237" s="385">
        <v>11.2</v>
      </c>
      <c r="L237" s="387">
        <v>548</v>
      </c>
      <c r="P237" s="533"/>
      <c r="Q237" s="3">
        <v>44752</v>
      </c>
      <c r="R237" s="4" t="s">
        <v>5</v>
      </c>
      <c r="S237" s="35" t="s">
        <v>31</v>
      </c>
      <c r="T237" s="2" t="s">
        <v>26</v>
      </c>
      <c r="U237" s="4" t="s">
        <v>1</v>
      </c>
      <c r="V237" s="533">
        <v>62.9</v>
      </c>
      <c r="W237" s="533">
        <v>2.6</v>
      </c>
      <c r="X237" s="533">
        <v>2.2999999999999998</v>
      </c>
      <c r="Y237" s="31">
        <v>3</v>
      </c>
      <c r="Z237" s="533">
        <v>40</v>
      </c>
      <c r="AA237" s="30"/>
      <c r="AB237" s="533"/>
    </row>
    <row r="238" spans="2:28" ht="15.5" x14ac:dyDescent="0.35">
      <c r="B238" s="359">
        <v>44764</v>
      </c>
      <c r="C238" s="2" t="s">
        <v>4</v>
      </c>
      <c r="D238" s="35" t="s">
        <v>11</v>
      </c>
      <c r="E238" s="2" t="s">
        <v>26</v>
      </c>
      <c r="F238" s="4" t="s">
        <v>0</v>
      </c>
      <c r="G238" s="371">
        <v>62.8</v>
      </c>
      <c r="H238" s="374">
        <v>1.8</v>
      </c>
      <c r="I238" s="378">
        <v>1.6</v>
      </c>
      <c r="J238" s="382">
        <v>16.899999999999999</v>
      </c>
      <c r="K238" s="386">
        <v>13.9</v>
      </c>
      <c r="L238" s="388">
        <v>548</v>
      </c>
      <c r="P238" s="533"/>
      <c r="Q238" s="3">
        <v>44753</v>
      </c>
      <c r="R238" s="4" t="s">
        <v>5</v>
      </c>
      <c r="S238" s="35" t="s">
        <v>31</v>
      </c>
      <c r="T238" s="2" t="s">
        <v>26</v>
      </c>
      <c r="U238" s="4" t="s">
        <v>1</v>
      </c>
      <c r="V238" s="533">
        <v>62.7</v>
      </c>
      <c r="W238" s="533">
        <v>2.5</v>
      </c>
      <c r="X238" s="533">
        <v>2.7</v>
      </c>
      <c r="Y238" s="31">
        <v>3</v>
      </c>
      <c r="Z238" s="533">
        <v>36</v>
      </c>
      <c r="AA238" s="30"/>
      <c r="AB238" s="533"/>
    </row>
    <row r="239" spans="2:28" ht="15.5" x14ac:dyDescent="0.35">
      <c r="B239" s="358">
        <v>44765</v>
      </c>
      <c r="C239" s="2" t="s">
        <v>4</v>
      </c>
      <c r="D239" s="35" t="s">
        <v>11</v>
      </c>
      <c r="E239" s="2" t="s">
        <v>26</v>
      </c>
      <c r="F239" s="4" t="s">
        <v>0</v>
      </c>
      <c r="G239" s="370">
        <v>62.5</v>
      </c>
      <c r="H239" s="373">
        <v>2</v>
      </c>
      <c r="I239" s="377">
        <v>2.4</v>
      </c>
      <c r="J239" s="381">
        <v>10.6</v>
      </c>
      <c r="K239" s="385">
        <v>14.4</v>
      </c>
      <c r="L239" s="387">
        <v>549</v>
      </c>
      <c r="P239" s="533"/>
      <c r="Q239" s="3">
        <v>44753</v>
      </c>
      <c r="R239" s="4" t="s">
        <v>5</v>
      </c>
      <c r="S239" s="35" t="s">
        <v>31</v>
      </c>
      <c r="T239" s="2" t="s">
        <v>26</v>
      </c>
      <c r="U239" s="4" t="s">
        <v>1</v>
      </c>
      <c r="V239" s="533">
        <v>62.8</v>
      </c>
      <c r="W239" s="533">
        <v>2.2999999999999998</v>
      </c>
      <c r="X239" s="533">
        <v>2.7</v>
      </c>
      <c r="Y239" s="31">
        <v>3</v>
      </c>
      <c r="Z239" s="533">
        <v>37</v>
      </c>
      <c r="AA239" s="30"/>
      <c r="AB239" s="533"/>
    </row>
    <row r="240" spans="2:28" ht="15.5" x14ac:dyDescent="0.35">
      <c r="B240" s="359">
        <v>44766</v>
      </c>
      <c r="C240" s="2" t="s">
        <v>4</v>
      </c>
      <c r="D240" s="35" t="s">
        <v>11</v>
      </c>
      <c r="E240" s="2" t="s">
        <v>26</v>
      </c>
      <c r="F240" s="4" t="s">
        <v>0</v>
      </c>
      <c r="G240" s="371">
        <v>61.6</v>
      </c>
      <c r="H240" s="374">
        <v>4.2</v>
      </c>
      <c r="I240" s="378">
        <v>1.8</v>
      </c>
      <c r="J240" s="382">
        <v>17.7</v>
      </c>
      <c r="K240" s="386">
        <v>16.8</v>
      </c>
      <c r="L240" s="388">
        <v>551</v>
      </c>
      <c r="P240" s="533"/>
      <c r="Q240" s="3">
        <v>44753</v>
      </c>
      <c r="R240" s="4" t="s">
        <v>5</v>
      </c>
      <c r="S240" s="35" t="s">
        <v>31</v>
      </c>
      <c r="T240" s="2" t="s">
        <v>26</v>
      </c>
      <c r="U240" s="4" t="s">
        <v>1</v>
      </c>
      <c r="V240" s="533">
        <v>62.8</v>
      </c>
      <c r="W240" s="533">
        <v>2.1</v>
      </c>
      <c r="X240" s="533">
        <v>2.9</v>
      </c>
      <c r="Y240" s="31">
        <v>4</v>
      </c>
      <c r="Z240" s="533">
        <v>39</v>
      </c>
      <c r="AA240" s="30"/>
      <c r="AB240" s="533"/>
    </row>
    <row r="241" spans="2:28" ht="15.5" x14ac:dyDescent="0.35">
      <c r="B241" s="359">
        <v>44767</v>
      </c>
      <c r="C241" s="2" t="s">
        <v>4</v>
      </c>
      <c r="D241" s="35" t="s">
        <v>11</v>
      </c>
      <c r="E241" s="2" t="s">
        <v>26</v>
      </c>
      <c r="F241" s="4" t="s">
        <v>0</v>
      </c>
      <c r="G241" s="371">
        <v>62.8</v>
      </c>
      <c r="H241" s="374">
        <v>2.6</v>
      </c>
      <c r="I241" s="378">
        <v>1.7</v>
      </c>
      <c r="J241" s="382">
        <v>10.7</v>
      </c>
      <c r="K241" s="386">
        <v>9.6999999999999993</v>
      </c>
      <c r="L241" s="388">
        <v>554</v>
      </c>
      <c r="P241" s="533"/>
      <c r="Q241" s="3">
        <v>44754</v>
      </c>
      <c r="R241" s="4" t="s">
        <v>5</v>
      </c>
      <c r="S241" s="35" t="s">
        <v>31</v>
      </c>
      <c r="T241" s="2" t="s">
        <v>26</v>
      </c>
      <c r="U241" s="4" t="s">
        <v>1</v>
      </c>
      <c r="V241" s="533">
        <v>62.9</v>
      </c>
      <c r="W241" s="533">
        <v>2.5</v>
      </c>
      <c r="X241" s="533">
        <v>2.2999999999999998</v>
      </c>
      <c r="Y241" s="31">
        <v>4</v>
      </c>
      <c r="Z241" s="533">
        <v>39</v>
      </c>
      <c r="AA241" s="30"/>
      <c r="AB241" s="533"/>
    </row>
    <row r="242" spans="2:28" ht="15.5" x14ac:dyDescent="0.35">
      <c r="B242" s="367">
        <v>44751</v>
      </c>
      <c r="C242" s="2" t="s">
        <v>4</v>
      </c>
      <c r="D242" s="35" t="s">
        <v>9</v>
      </c>
      <c r="E242" s="2" t="s">
        <v>26</v>
      </c>
      <c r="F242" s="4" t="s">
        <v>0</v>
      </c>
      <c r="G242" s="389">
        <v>55</v>
      </c>
      <c r="H242" s="390">
        <v>14.1</v>
      </c>
      <c r="I242" s="390">
        <v>2</v>
      </c>
      <c r="J242" s="391">
        <v>5.9</v>
      </c>
      <c r="K242" s="392">
        <v>17.2</v>
      </c>
      <c r="L242" s="162">
        <v>1</v>
      </c>
      <c r="P242" s="533"/>
      <c r="Q242" s="3">
        <v>44754</v>
      </c>
      <c r="R242" s="4" t="s">
        <v>5</v>
      </c>
      <c r="S242" s="35" t="s">
        <v>31</v>
      </c>
      <c r="T242" s="2" t="s">
        <v>26</v>
      </c>
      <c r="U242" s="4" t="s">
        <v>1</v>
      </c>
      <c r="V242" s="533">
        <v>62.7</v>
      </c>
      <c r="W242" s="533">
        <v>2.7</v>
      </c>
      <c r="X242" s="533">
        <v>2.4</v>
      </c>
      <c r="Y242" s="31">
        <v>5</v>
      </c>
      <c r="Z242" s="533">
        <v>38</v>
      </c>
      <c r="AA242" s="30"/>
      <c r="AB242" s="533"/>
    </row>
    <row r="243" spans="2:28" ht="15.5" x14ac:dyDescent="0.35">
      <c r="B243" s="367">
        <v>44745</v>
      </c>
      <c r="C243" s="2" t="s">
        <v>4</v>
      </c>
      <c r="D243" s="35" t="s">
        <v>2</v>
      </c>
      <c r="E243" s="2" t="s">
        <v>26</v>
      </c>
      <c r="F243" s="4" t="s">
        <v>0</v>
      </c>
      <c r="G243" s="393">
        <v>59.6</v>
      </c>
      <c r="H243" s="395">
        <v>3.8</v>
      </c>
      <c r="I243" s="395">
        <v>4.9000000000000004</v>
      </c>
      <c r="J243" s="399">
        <v>12.3</v>
      </c>
      <c r="K243" s="397">
        <v>18</v>
      </c>
      <c r="L243" s="162">
        <v>1</v>
      </c>
      <c r="P243" s="533"/>
      <c r="Q243" s="3">
        <v>44755</v>
      </c>
      <c r="R243" s="4" t="s">
        <v>5</v>
      </c>
      <c r="S243" s="35" t="s">
        <v>31</v>
      </c>
      <c r="T243" s="2" t="s">
        <v>26</v>
      </c>
      <c r="U243" s="4" t="s">
        <v>1</v>
      </c>
      <c r="V243" s="533">
        <v>62.8</v>
      </c>
      <c r="W243" s="533">
        <v>2.6</v>
      </c>
      <c r="X243" s="533">
        <v>2.4</v>
      </c>
      <c r="Y243" s="533">
        <v>3</v>
      </c>
      <c r="Z243" s="533">
        <v>40</v>
      </c>
      <c r="AA243" s="30"/>
      <c r="AB243" s="533"/>
    </row>
    <row r="244" spans="2:28" ht="15.5" x14ac:dyDescent="0.35">
      <c r="B244" s="421">
        <v>44745</v>
      </c>
      <c r="C244" s="2" t="s">
        <v>4</v>
      </c>
      <c r="D244" s="35" t="s">
        <v>2</v>
      </c>
      <c r="E244" s="2" t="s">
        <v>26</v>
      </c>
      <c r="F244" s="4" t="s">
        <v>0</v>
      </c>
      <c r="G244" s="394">
        <v>60</v>
      </c>
      <c r="H244" s="396">
        <v>4.5</v>
      </c>
      <c r="I244" s="396">
        <v>3.5</v>
      </c>
      <c r="J244" s="400">
        <v>18.3</v>
      </c>
      <c r="K244" s="398">
        <v>15.5</v>
      </c>
      <c r="L244" s="162">
        <v>2</v>
      </c>
      <c r="P244" s="533"/>
      <c r="Q244" s="3">
        <v>44755</v>
      </c>
      <c r="R244" s="4" t="s">
        <v>5</v>
      </c>
      <c r="S244" s="35" t="s">
        <v>31</v>
      </c>
      <c r="T244" s="2" t="s">
        <v>26</v>
      </c>
      <c r="U244" s="4" t="s">
        <v>1</v>
      </c>
      <c r="V244" s="533">
        <v>62.9</v>
      </c>
      <c r="W244" s="533">
        <v>2.2999999999999998</v>
      </c>
      <c r="X244" s="533">
        <v>2.5</v>
      </c>
      <c r="Y244" s="533">
        <v>3</v>
      </c>
      <c r="Z244" s="533">
        <v>41</v>
      </c>
      <c r="AA244" s="30"/>
      <c r="AB244" s="533"/>
    </row>
    <row r="245" spans="2:28" ht="14.5" x14ac:dyDescent="0.35">
      <c r="B245" s="422">
        <v>44743</v>
      </c>
      <c r="C245" s="2" t="s">
        <v>4</v>
      </c>
      <c r="D245" s="35" t="s">
        <v>11</v>
      </c>
      <c r="E245" s="2" t="s">
        <v>26</v>
      </c>
      <c r="F245" s="4" t="s">
        <v>1</v>
      </c>
      <c r="G245" s="405">
        <v>60.9</v>
      </c>
      <c r="H245" s="403">
        <v>4.5999999999999996</v>
      </c>
      <c r="I245" s="403">
        <v>3.1</v>
      </c>
      <c r="J245" s="407">
        <v>13.4</v>
      </c>
      <c r="K245" s="407">
        <v>27.8</v>
      </c>
      <c r="L245" s="401">
        <v>577</v>
      </c>
      <c r="P245" s="533"/>
      <c r="Q245" s="3">
        <v>44756</v>
      </c>
      <c r="R245" s="4" t="s">
        <v>5</v>
      </c>
      <c r="S245" s="35" t="s">
        <v>31</v>
      </c>
      <c r="T245" s="2" t="s">
        <v>26</v>
      </c>
      <c r="U245" s="4" t="s">
        <v>1</v>
      </c>
      <c r="V245" s="533">
        <v>62.8</v>
      </c>
      <c r="W245" s="533">
        <v>2.2000000000000002</v>
      </c>
      <c r="X245" s="533">
        <v>2.8</v>
      </c>
      <c r="Y245" s="533">
        <v>2</v>
      </c>
      <c r="Z245" s="533">
        <v>39</v>
      </c>
      <c r="AA245" s="30"/>
      <c r="AB245" s="533"/>
    </row>
    <row r="246" spans="2:28" ht="14.5" x14ac:dyDescent="0.35">
      <c r="B246" s="423">
        <v>44743</v>
      </c>
      <c r="C246" s="2" t="s">
        <v>4</v>
      </c>
      <c r="D246" s="35" t="s">
        <v>11</v>
      </c>
      <c r="E246" s="2" t="s">
        <v>26</v>
      </c>
      <c r="F246" s="4" t="s">
        <v>1</v>
      </c>
      <c r="G246" s="405">
        <v>59.9</v>
      </c>
      <c r="H246" s="403">
        <v>4.4000000000000004</v>
      </c>
      <c r="I246" s="403">
        <v>3.8</v>
      </c>
      <c r="J246" s="407">
        <v>15.7</v>
      </c>
      <c r="K246" s="407">
        <v>19.600000000000001</v>
      </c>
      <c r="L246" s="401">
        <v>578</v>
      </c>
      <c r="P246" s="533"/>
      <c r="Q246" s="3">
        <v>44756</v>
      </c>
      <c r="R246" s="4" t="s">
        <v>5</v>
      </c>
      <c r="S246" s="35" t="s">
        <v>31</v>
      </c>
      <c r="T246" s="2" t="s">
        <v>26</v>
      </c>
      <c r="U246" s="4" t="s">
        <v>1</v>
      </c>
      <c r="V246" s="533">
        <v>62.7</v>
      </c>
      <c r="W246" s="533">
        <v>2.7</v>
      </c>
      <c r="X246" s="533">
        <v>2.4</v>
      </c>
      <c r="Y246" s="533">
        <v>3</v>
      </c>
      <c r="Z246" s="533">
        <v>40</v>
      </c>
      <c r="AA246" s="30"/>
      <c r="AB246" s="533"/>
    </row>
    <row r="247" spans="2:28" ht="14.5" x14ac:dyDescent="0.35">
      <c r="B247" s="423">
        <v>44743</v>
      </c>
      <c r="C247" s="2" t="s">
        <v>4</v>
      </c>
      <c r="D247" s="35" t="s">
        <v>11</v>
      </c>
      <c r="E247" s="2" t="s">
        <v>26</v>
      </c>
      <c r="F247" s="4" t="s">
        <v>1</v>
      </c>
      <c r="G247" s="405">
        <v>61.4</v>
      </c>
      <c r="H247" s="403">
        <v>3.7</v>
      </c>
      <c r="I247" s="403">
        <v>2.9</v>
      </c>
      <c r="J247" s="407">
        <v>14.1</v>
      </c>
      <c r="K247" s="407">
        <v>21.2</v>
      </c>
      <c r="L247" s="401">
        <v>579</v>
      </c>
      <c r="P247" s="533"/>
      <c r="Q247" s="3">
        <v>44758</v>
      </c>
      <c r="R247" s="4" t="s">
        <v>5</v>
      </c>
      <c r="S247" s="35" t="s">
        <v>31</v>
      </c>
      <c r="T247" s="2" t="s">
        <v>26</v>
      </c>
      <c r="U247" s="4" t="s">
        <v>1</v>
      </c>
      <c r="V247" s="533">
        <v>62.8</v>
      </c>
      <c r="W247" s="533">
        <v>2.4</v>
      </c>
      <c r="X247" s="533">
        <v>2.6</v>
      </c>
      <c r="Y247" s="533">
        <v>2</v>
      </c>
      <c r="Z247" s="533">
        <v>42</v>
      </c>
      <c r="AA247" s="30"/>
      <c r="AB247" s="533"/>
    </row>
    <row r="248" spans="2:28" ht="14.5" x14ac:dyDescent="0.35">
      <c r="B248" s="423">
        <v>44744</v>
      </c>
      <c r="C248" s="2" t="s">
        <v>4</v>
      </c>
      <c r="D248" s="35" t="s">
        <v>11</v>
      </c>
      <c r="E248" s="2" t="s">
        <v>26</v>
      </c>
      <c r="F248" s="4" t="s">
        <v>1</v>
      </c>
      <c r="G248" s="405">
        <v>61</v>
      </c>
      <c r="H248" s="403">
        <v>3.3</v>
      </c>
      <c r="I248" s="403">
        <v>3</v>
      </c>
      <c r="J248" s="407">
        <v>12.3</v>
      </c>
      <c r="K248" s="407">
        <v>42</v>
      </c>
      <c r="L248" s="401">
        <v>502</v>
      </c>
      <c r="P248" s="533"/>
      <c r="Q248" s="3">
        <v>44759</v>
      </c>
      <c r="R248" s="4" t="s">
        <v>5</v>
      </c>
      <c r="S248" s="35" t="s">
        <v>31</v>
      </c>
      <c r="T248" s="2" t="s">
        <v>26</v>
      </c>
      <c r="U248" s="4" t="s">
        <v>1</v>
      </c>
      <c r="V248" s="533">
        <v>62.9</v>
      </c>
      <c r="W248" s="533">
        <v>2.2000000000000002</v>
      </c>
      <c r="X248" s="533">
        <v>2.7</v>
      </c>
      <c r="Y248" s="533">
        <v>2</v>
      </c>
      <c r="Z248" s="533">
        <v>35</v>
      </c>
      <c r="AA248" s="30"/>
      <c r="AB248" s="533"/>
    </row>
    <row r="249" spans="2:28" ht="14.5" x14ac:dyDescent="0.35">
      <c r="B249" s="422">
        <v>44744</v>
      </c>
      <c r="C249" s="2" t="s">
        <v>4</v>
      </c>
      <c r="D249" s="35" t="s">
        <v>11</v>
      </c>
      <c r="E249" s="2" t="s">
        <v>26</v>
      </c>
      <c r="F249" s="4" t="s">
        <v>1</v>
      </c>
      <c r="G249" s="406">
        <v>62.2</v>
      </c>
      <c r="H249" s="404">
        <v>3.2</v>
      </c>
      <c r="I249" s="404">
        <v>2.9</v>
      </c>
      <c r="J249" s="408">
        <v>5</v>
      </c>
      <c r="K249" s="408">
        <v>54.8</v>
      </c>
      <c r="L249" s="402">
        <v>506</v>
      </c>
      <c r="P249" s="533"/>
      <c r="Q249" s="3">
        <v>44759</v>
      </c>
      <c r="R249" s="4" t="s">
        <v>5</v>
      </c>
      <c r="S249" s="35" t="s">
        <v>31</v>
      </c>
      <c r="T249" s="2" t="s">
        <v>26</v>
      </c>
      <c r="U249" s="4" t="s">
        <v>1</v>
      </c>
      <c r="V249" s="533">
        <v>62.8</v>
      </c>
      <c r="W249" s="533">
        <v>2.6</v>
      </c>
      <c r="X249" s="533">
        <v>2.4</v>
      </c>
      <c r="Y249" s="533">
        <v>3</v>
      </c>
      <c r="Z249" s="533">
        <v>38</v>
      </c>
      <c r="AA249" s="30"/>
      <c r="AB249" s="533"/>
    </row>
    <row r="250" spans="2:28" ht="14.5" x14ac:dyDescent="0.35">
      <c r="B250" s="358">
        <v>44745</v>
      </c>
      <c r="C250" s="2" t="s">
        <v>4</v>
      </c>
      <c r="D250" s="35" t="s">
        <v>11</v>
      </c>
      <c r="E250" s="2" t="s">
        <v>26</v>
      </c>
      <c r="F250" s="4" t="s">
        <v>1</v>
      </c>
      <c r="G250" s="405">
        <v>60.2</v>
      </c>
      <c r="H250" s="403">
        <v>4.4000000000000004</v>
      </c>
      <c r="I250" s="403">
        <v>3.5</v>
      </c>
      <c r="J250" s="407">
        <v>7.1</v>
      </c>
      <c r="K250" s="407">
        <v>35.4</v>
      </c>
      <c r="L250" s="401">
        <v>501</v>
      </c>
      <c r="P250" s="533"/>
      <c r="Q250" s="3">
        <v>44760</v>
      </c>
      <c r="R250" s="4" t="s">
        <v>5</v>
      </c>
      <c r="S250" s="35" t="s">
        <v>31</v>
      </c>
      <c r="T250" s="2" t="s">
        <v>26</v>
      </c>
      <c r="U250" s="4" t="s">
        <v>1</v>
      </c>
      <c r="V250" s="533">
        <v>62.9</v>
      </c>
      <c r="W250" s="533">
        <v>2.4</v>
      </c>
      <c r="X250" s="533">
        <v>2.5</v>
      </c>
      <c r="Y250" s="533">
        <v>2</v>
      </c>
      <c r="Z250" s="533">
        <v>42</v>
      </c>
      <c r="AA250" s="30"/>
      <c r="AB250" s="533"/>
    </row>
    <row r="251" spans="2:28" ht="14.5" x14ac:dyDescent="0.35">
      <c r="B251" s="359">
        <v>44746</v>
      </c>
      <c r="C251" s="2" t="s">
        <v>4</v>
      </c>
      <c r="D251" s="35" t="s">
        <v>11</v>
      </c>
      <c r="E251" s="2" t="s">
        <v>26</v>
      </c>
      <c r="F251" s="4" t="s">
        <v>1</v>
      </c>
      <c r="G251" s="406">
        <v>61.5</v>
      </c>
      <c r="H251" s="404">
        <v>4</v>
      </c>
      <c r="I251" s="404">
        <v>3.1</v>
      </c>
      <c r="J251" s="408">
        <v>8.6</v>
      </c>
      <c r="K251" s="408">
        <v>38.4</v>
      </c>
      <c r="L251" s="402">
        <v>508</v>
      </c>
      <c r="P251" s="533"/>
      <c r="Q251" s="3">
        <v>44760</v>
      </c>
      <c r="R251" s="4" t="s">
        <v>5</v>
      </c>
      <c r="S251" s="35" t="s">
        <v>31</v>
      </c>
      <c r="T251" s="2" t="s">
        <v>26</v>
      </c>
      <c r="U251" s="4" t="s">
        <v>1</v>
      </c>
      <c r="V251" s="533">
        <v>62.9</v>
      </c>
      <c r="W251" s="533">
        <v>2.5</v>
      </c>
      <c r="X251" s="533">
        <v>2.4</v>
      </c>
      <c r="Y251" s="533">
        <v>3</v>
      </c>
      <c r="Z251" s="533">
        <v>42</v>
      </c>
      <c r="AA251" s="30"/>
      <c r="AB251" s="533"/>
    </row>
    <row r="252" spans="2:28" ht="14.5" x14ac:dyDescent="0.35">
      <c r="B252" s="358">
        <v>44747</v>
      </c>
      <c r="C252" s="2" t="s">
        <v>4</v>
      </c>
      <c r="D252" s="35" t="s">
        <v>11</v>
      </c>
      <c r="E252" s="2" t="s">
        <v>26</v>
      </c>
      <c r="F252" s="4" t="s">
        <v>1</v>
      </c>
      <c r="G252" s="405">
        <v>61.2</v>
      </c>
      <c r="H252" s="403">
        <v>4</v>
      </c>
      <c r="I252" s="403">
        <v>3.3</v>
      </c>
      <c r="J252" s="407">
        <v>9.8000000000000007</v>
      </c>
      <c r="K252" s="407">
        <v>37.700000000000003</v>
      </c>
      <c r="L252" s="401">
        <v>509</v>
      </c>
      <c r="P252" s="533"/>
      <c r="Q252" s="3">
        <v>44761</v>
      </c>
      <c r="R252" s="4" t="s">
        <v>5</v>
      </c>
      <c r="S252" s="35" t="s">
        <v>31</v>
      </c>
      <c r="T252" s="2" t="s">
        <v>26</v>
      </c>
      <c r="U252" s="4" t="s">
        <v>1</v>
      </c>
      <c r="V252" s="533">
        <v>62.9</v>
      </c>
      <c r="W252" s="533">
        <v>2.5</v>
      </c>
      <c r="X252" s="533">
        <v>2.4</v>
      </c>
      <c r="Y252" s="533">
        <v>3</v>
      </c>
      <c r="Z252" s="533">
        <v>45</v>
      </c>
      <c r="AA252" s="30"/>
      <c r="AB252" s="533"/>
    </row>
    <row r="253" spans="2:28" ht="14.5" x14ac:dyDescent="0.35">
      <c r="B253" s="359">
        <v>44747</v>
      </c>
      <c r="C253" s="2" t="s">
        <v>4</v>
      </c>
      <c r="D253" s="35" t="s">
        <v>11</v>
      </c>
      <c r="E253" s="2" t="s">
        <v>26</v>
      </c>
      <c r="F253" s="4" t="s">
        <v>1</v>
      </c>
      <c r="G253" s="406">
        <v>61.3</v>
      </c>
      <c r="H253" s="404">
        <v>5.5</v>
      </c>
      <c r="I253" s="404">
        <v>2.2999999999999998</v>
      </c>
      <c r="J253" s="408">
        <v>3.1</v>
      </c>
      <c r="K253" s="408">
        <v>54.1</v>
      </c>
      <c r="L253" s="402">
        <v>510</v>
      </c>
      <c r="P253" s="533"/>
      <c r="Q253" s="3">
        <v>44761</v>
      </c>
      <c r="R253" s="4" t="s">
        <v>5</v>
      </c>
      <c r="S253" s="35" t="s">
        <v>31</v>
      </c>
      <c r="T253" s="2" t="s">
        <v>26</v>
      </c>
      <c r="U253" s="4" t="s">
        <v>1</v>
      </c>
      <c r="V253" s="533">
        <v>63</v>
      </c>
      <c r="W253" s="533">
        <v>2.2999999999999998</v>
      </c>
      <c r="X253" s="533">
        <v>2.5</v>
      </c>
      <c r="Y253" s="533">
        <v>2</v>
      </c>
      <c r="Z253" s="533">
        <v>44</v>
      </c>
      <c r="AA253" s="30"/>
      <c r="AB253" s="533"/>
    </row>
    <row r="254" spans="2:28" ht="14.5" x14ac:dyDescent="0.35">
      <c r="B254" s="358">
        <v>44748</v>
      </c>
      <c r="C254" s="2" t="s">
        <v>4</v>
      </c>
      <c r="D254" s="35" t="s">
        <v>11</v>
      </c>
      <c r="E254" s="2" t="s">
        <v>26</v>
      </c>
      <c r="F254" s="4" t="s">
        <v>1</v>
      </c>
      <c r="G254" s="405">
        <v>61.6</v>
      </c>
      <c r="H254" s="403">
        <v>4.5</v>
      </c>
      <c r="I254" s="403">
        <v>2.4</v>
      </c>
      <c r="J254" s="407">
        <v>9.1999999999999993</v>
      </c>
      <c r="K254" s="407">
        <v>48.8</v>
      </c>
      <c r="L254" s="401">
        <v>503</v>
      </c>
      <c r="P254" s="533"/>
      <c r="Q254" s="3">
        <v>44762</v>
      </c>
      <c r="R254" s="4" t="s">
        <v>5</v>
      </c>
      <c r="S254" s="35" t="s">
        <v>31</v>
      </c>
      <c r="T254" s="2" t="s">
        <v>26</v>
      </c>
      <c r="U254" s="4" t="s">
        <v>1</v>
      </c>
      <c r="V254" s="533">
        <v>62.8</v>
      </c>
      <c r="W254" s="533">
        <v>2.5</v>
      </c>
      <c r="X254" s="533">
        <v>2.6</v>
      </c>
      <c r="Y254" s="533"/>
      <c r="Z254" s="533"/>
      <c r="AA254" s="30"/>
      <c r="AB254" s="533"/>
    </row>
    <row r="255" spans="2:28" ht="14.5" x14ac:dyDescent="0.35">
      <c r="B255" s="359">
        <v>44748</v>
      </c>
      <c r="C255" s="2" t="s">
        <v>4</v>
      </c>
      <c r="D255" s="35" t="s">
        <v>11</v>
      </c>
      <c r="E255" s="2" t="s">
        <v>26</v>
      </c>
      <c r="F255" s="4" t="s">
        <v>1</v>
      </c>
      <c r="G255" s="406">
        <v>61.2</v>
      </c>
      <c r="H255" s="404">
        <v>5.2</v>
      </c>
      <c r="I255" s="404">
        <v>2.5</v>
      </c>
      <c r="J255" s="408">
        <v>10.5</v>
      </c>
      <c r="K255" s="408">
        <v>45.8</v>
      </c>
      <c r="L255" s="402">
        <v>504</v>
      </c>
      <c r="P255" s="533"/>
      <c r="Q255" s="3">
        <v>44763</v>
      </c>
      <c r="R255" s="4" t="s">
        <v>5</v>
      </c>
      <c r="S255" s="35" t="s">
        <v>31</v>
      </c>
      <c r="T255" s="2" t="s">
        <v>26</v>
      </c>
      <c r="U255" s="4" t="s">
        <v>1</v>
      </c>
      <c r="V255" s="533">
        <v>62.9</v>
      </c>
      <c r="W255" s="533">
        <v>2.2999999999999998</v>
      </c>
      <c r="X255" s="533">
        <v>2.6</v>
      </c>
      <c r="Y255" s="533">
        <v>3</v>
      </c>
      <c r="Z255" s="533">
        <v>35</v>
      </c>
      <c r="AA255" s="30"/>
      <c r="AB255" s="533"/>
    </row>
    <row r="256" spans="2:28" ht="14.5" x14ac:dyDescent="0.35">
      <c r="B256" s="358">
        <v>44748</v>
      </c>
      <c r="C256" s="2" t="s">
        <v>4</v>
      </c>
      <c r="D256" s="35" t="s">
        <v>11</v>
      </c>
      <c r="E256" s="2" t="s">
        <v>26</v>
      </c>
      <c r="F256" s="4" t="s">
        <v>1</v>
      </c>
      <c r="G256" s="405">
        <v>61.3</v>
      </c>
      <c r="H256" s="403">
        <v>4.2</v>
      </c>
      <c r="I256" s="403">
        <v>2.4</v>
      </c>
      <c r="J256" s="407">
        <v>4.4000000000000004</v>
      </c>
      <c r="K256" s="407">
        <v>46.9</v>
      </c>
      <c r="L256" s="401">
        <v>512</v>
      </c>
      <c r="P256" s="533"/>
      <c r="Q256" s="3">
        <v>44764</v>
      </c>
      <c r="R256" s="4" t="s">
        <v>5</v>
      </c>
      <c r="S256" s="35" t="s">
        <v>31</v>
      </c>
      <c r="T256" s="2" t="s">
        <v>26</v>
      </c>
      <c r="U256" s="4" t="s">
        <v>1</v>
      </c>
      <c r="V256" s="533">
        <v>62.8</v>
      </c>
      <c r="W256" s="533">
        <v>2.2999999999999998</v>
      </c>
      <c r="X256" s="533">
        <v>2.7</v>
      </c>
      <c r="Y256" s="533">
        <v>2</v>
      </c>
      <c r="Z256" s="533">
        <v>43</v>
      </c>
      <c r="AA256" s="30"/>
      <c r="AB256" s="533"/>
    </row>
    <row r="257" spans="2:28" ht="14.5" x14ac:dyDescent="0.35">
      <c r="B257" s="359">
        <v>44749</v>
      </c>
      <c r="C257" s="2" t="s">
        <v>4</v>
      </c>
      <c r="D257" s="35" t="s">
        <v>11</v>
      </c>
      <c r="E257" s="2" t="s">
        <v>26</v>
      </c>
      <c r="F257" s="4" t="s">
        <v>1</v>
      </c>
      <c r="G257" s="406">
        <v>61.7</v>
      </c>
      <c r="H257" s="404">
        <v>4</v>
      </c>
      <c r="I257" s="404">
        <v>2.5</v>
      </c>
      <c r="J257" s="408">
        <v>12.6</v>
      </c>
      <c r="K257" s="408">
        <v>36.700000000000003</v>
      </c>
      <c r="L257" s="402">
        <v>517</v>
      </c>
      <c r="P257" s="533"/>
      <c r="Q257" s="3">
        <v>44764</v>
      </c>
      <c r="R257" s="4" t="s">
        <v>5</v>
      </c>
      <c r="S257" s="35" t="s">
        <v>31</v>
      </c>
      <c r="T257" s="2" t="s">
        <v>26</v>
      </c>
      <c r="U257" s="4" t="s">
        <v>1</v>
      </c>
      <c r="V257" s="533">
        <v>63</v>
      </c>
      <c r="W257" s="533">
        <v>2.2999999999999998</v>
      </c>
      <c r="X257" s="533">
        <v>2.5</v>
      </c>
      <c r="Y257" s="533">
        <v>5</v>
      </c>
      <c r="Z257" s="533">
        <v>36</v>
      </c>
      <c r="AA257" s="30"/>
      <c r="AB257" s="533"/>
    </row>
    <row r="258" spans="2:28" ht="14.5" x14ac:dyDescent="0.35">
      <c r="B258" s="358">
        <v>44751</v>
      </c>
      <c r="C258" s="2" t="s">
        <v>4</v>
      </c>
      <c r="D258" s="35" t="s">
        <v>11</v>
      </c>
      <c r="E258" s="2" t="s">
        <v>26</v>
      </c>
      <c r="F258" s="4" t="s">
        <v>1</v>
      </c>
      <c r="G258" s="405">
        <v>63.3</v>
      </c>
      <c r="H258" s="403">
        <v>2.9</v>
      </c>
      <c r="I258" s="403">
        <v>2.2000000000000002</v>
      </c>
      <c r="J258" s="407">
        <v>13.8</v>
      </c>
      <c r="K258" s="407">
        <v>34.9</v>
      </c>
      <c r="L258" s="401">
        <v>511</v>
      </c>
      <c r="P258" s="533"/>
      <c r="Q258" s="3">
        <v>44765</v>
      </c>
      <c r="R258" s="4" t="s">
        <v>5</v>
      </c>
      <c r="S258" s="35" t="s">
        <v>31</v>
      </c>
      <c r="T258" s="2" t="s">
        <v>26</v>
      </c>
      <c r="U258" s="4" t="s">
        <v>1</v>
      </c>
      <c r="V258" s="533">
        <v>62.9</v>
      </c>
      <c r="W258" s="533">
        <v>2.5</v>
      </c>
      <c r="X258" s="533">
        <v>2.4</v>
      </c>
      <c r="Y258" s="533">
        <v>3</v>
      </c>
      <c r="Z258" s="533">
        <v>41</v>
      </c>
      <c r="AA258" s="30"/>
      <c r="AB258" s="533"/>
    </row>
    <row r="259" spans="2:28" ht="14.5" x14ac:dyDescent="0.35">
      <c r="B259" s="358">
        <v>44752</v>
      </c>
      <c r="C259" s="2" t="s">
        <v>4</v>
      </c>
      <c r="D259" s="35" t="s">
        <v>11</v>
      </c>
      <c r="E259" s="2" t="s">
        <v>26</v>
      </c>
      <c r="F259" s="4" t="s">
        <v>1</v>
      </c>
      <c r="G259" s="405">
        <v>61.6</v>
      </c>
      <c r="H259" s="403">
        <v>4.5</v>
      </c>
      <c r="I259" s="403">
        <v>2.5</v>
      </c>
      <c r="J259" s="407">
        <v>6</v>
      </c>
      <c r="K259" s="407">
        <v>55.6</v>
      </c>
      <c r="L259" s="401">
        <v>515</v>
      </c>
      <c r="P259" s="533"/>
      <c r="Q259" s="3">
        <v>44765</v>
      </c>
      <c r="R259" s="4" t="s">
        <v>5</v>
      </c>
      <c r="S259" s="35" t="s">
        <v>31</v>
      </c>
      <c r="T259" s="2" t="s">
        <v>26</v>
      </c>
      <c r="U259" s="4" t="s">
        <v>1</v>
      </c>
      <c r="V259" s="533">
        <v>62.7</v>
      </c>
      <c r="W259" s="533">
        <v>3</v>
      </c>
      <c r="X259" s="533">
        <v>2.1</v>
      </c>
      <c r="Y259" s="533">
        <v>3</v>
      </c>
      <c r="Z259" s="533">
        <v>43</v>
      </c>
      <c r="AA259" s="30"/>
      <c r="AB259" s="533"/>
    </row>
    <row r="260" spans="2:28" ht="14.5" x14ac:dyDescent="0.35">
      <c r="B260" s="358">
        <v>44753</v>
      </c>
      <c r="C260" s="2" t="s">
        <v>4</v>
      </c>
      <c r="D260" s="35" t="s">
        <v>11</v>
      </c>
      <c r="E260" s="2" t="s">
        <v>26</v>
      </c>
      <c r="F260" s="4" t="s">
        <v>1</v>
      </c>
      <c r="G260" s="405">
        <v>63.5</v>
      </c>
      <c r="H260" s="403">
        <v>2.4</v>
      </c>
      <c r="I260" s="403">
        <v>2</v>
      </c>
      <c r="J260" s="407">
        <v>6.1</v>
      </c>
      <c r="K260" s="407">
        <v>45.4</v>
      </c>
      <c r="L260" s="401">
        <v>524</v>
      </c>
      <c r="P260" s="533"/>
      <c r="Q260" s="3">
        <v>44766</v>
      </c>
      <c r="R260" s="4" t="s">
        <v>5</v>
      </c>
      <c r="S260" s="35" t="s">
        <v>31</v>
      </c>
      <c r="T260" s="2" t="s">
        <v>26</v>
      </c>
      <c r="U260" s="4" t="s">
        <v>1</v>
      </c>
      <c r="V260" s="533">
        <v>62.8</v>
      </c>
      <c r="W260" s="533">
        <v>2.4</v>
      </c>
      <c r="X260" s="533">
        <v>2.6</v>
      </c>
      <c r="Y260" s="533">
        <v>6</v>
      </c>
      <c r="Z260" s="533">
        <v>35</v>
      </c>
      <c r="AA260" s="30"/>
      <c r="AB260" s="533"/>
    </row>
    <row r="261" spans="2:28" ht="14.5" x14ac:dyDescent="0.35">
      <c r="B261" s="358">
        <v>44754</v>
      </c>
      <c r="C261" s="2" t="s">
        <v>4</v>
      </c>
      <c r="D261" s="35" t="s">
        <v>11</v>
      </c>
      <c r="E261" s="2" t="s">
        <v>26</v>
      </c>
      <c r="F261" s="4" t="s">
        <v>1</v>
      </c>
      <c r="G261" s="405">
        <v>61.9</v>
      </c>
      <c r="H261" s="403">
        <v>4</v>
      </c>
      <c r="I261" s="403">
        <v>2</v>
      </c>
      <c r="J261" s="407">
        <v>8.4</v>
      </c>
      <c r="K261" s="407">
        <v>42.8</v>
      </c>
      <c r="L261" s="401">
        <v>520</v>
      </c>
      <c r="P261" s="533"/>
      <c r="Q261" s="3">
        <v>44766</v>
      </c>
      <c r="R261" s="4" t="s">
        <v>5</v>
      </c>
      <c r="S261" s="35" t="s">
        <v>31</v>
      </c>
      <c r="T261" s="2" t="s">
        <v>26</v>
      </c>
      <c r="U261" s="4" t="s">
        <v>1</v>
      </c>
      <c r="V261" s="533">
        <v>63</v>
      </c>
      <c r="W261" s="533">
        <v>2.2999999999999998</v>
      </c>
      <c r="X261" s="533">
        <v>2.4</v>
      </c>
      <c r="Y261" s="533">
        <v>3</v>
      </c>
      <c r="Z261" s="533">
        <v>41</v>
      </c>
      <c r="AA261" s="30"/>
      <c r="AB261" s="533"/>
    </row>
    <row r="262" spans="2:28" ht="14.5" x14ac:dyDescent="0.35">
      <c r="B262" s="358">
        <v>44754</v>
      </c>
      <c r="C262" s="2" t="s">
        <v>4</v>
      </c>
      <c r="D262" s="35" t="s">
        <v>11</v>
      </c>
      <c r="E262" s="2" t="s">
        <v>26</v>
      </c>
      <c r="F262" s="4" t="s">
        <v>1</v>
      </c>
      <c r="G262" s="405">
        <v>62.5</v>
      </c>
      <c r="H262" s="403">
        <v>3</v>
      </c>
      <c r="I262" s="403">
        <v>2.2000000000000002</v>
      </c>
      <c r="J262" s="407">
        <v>9.5</v>
      </c>
      <c r="K262" s="407">
        <v>43</v>
      </c>
      <c r="L262" s="401">
        <v>522</v>
      </c>
      <c r="P262" s="533"/>
      <c r="Q262" s="3">
        <v>44767</v>
      </c>
      <c r="R262" s="4" t="s">
        <v>5</v>
      </c>
      <c r="S262" s="35" t="s">
        <v>31</v>
      </c>
      <c r="T262" s="2" t="s">
        <v>26</v>
      </c>
      <c r="U262" s="4" t="s">
        <v>1</v>
      </c>
      <c r="V262" s="533">
        <v>63</v>
      </c>
      <c r="W262" s="533">
        <v>2.2000000000000002</v>
      </c>
      <c r="X262" s="533">
        <v>2.5</v>
      </c>
      <c r="Y262" s="533">
        <v>5</v>
      </c>
      <c r="Z262" s="533">
        <v>40</v>
      </c>
      <c r="AA262" s="30"/>
      <c r="AB262" s="533"/>
    </row>
    <row r="263" spans="2:28" ht="14.5" x14ac:dyDescent="0.35">
      <c r="B263" s="358">
        <v>44754</v>
      </c>
      <c r="C263" s="2" t="s">
        <v>4</v>
      </c>
      <c r="D263" s="35" t="s">
        <v>11</v>
      </c>
      <c r="E263" s="2" t="s">
        <v>26</v>
      </c>
      <c r="F263" s="4" t="s">
        <v>1</v>
      </c>
      <c r="G263" s="405">
        <v>62</v>
      </c>
      <c r="H263" s="403">
        <v>3.5</v>
      </c>
      <c r="I263" s="403">
        <v>1.9</v>
      </c>
      <c r="J263" s="407">
        <v>7.8</v>
      </c>
      <c r="K263" s="407">
        <v>40</v>
      </c>
      <c r="L263" s="401">
        <v>526</v>
      </c>
      <c r="P263" s="533"/>
      <c r="Q263" s="3">
        <v>44767</v>
      </c>
      <c r="R263" s="4" t="s">
        <v>5</v>
      </c>
      <c r="S263" s="35" t="s">
        <v>31</v>
      </c>
      <c r="T263" s="2" t="s">
        <v>26</v>
      </c>
      <c r="U263" s="4" t="s">
        <v>1</v>
      </c>
      <c r="V263" s="533">
        <v>62.8</v>
      </c>
      <c r="W263" s="533">
        <v>2.8</v>
      </c>
      <c r="X263" s="533">
        <v>2.2000000000000002</v>
      </c>
      <c r="Y263" s="533">
        <v>4</v>
      </c>
      <c r="Z263" s="533">
        <v>42</v>
      </c>
      <c r="AA263" s="30"/>
      <c r="AB263" s="533"/>
    </row>
    <row r="264" spans="2:28" ht="14.5" x14ac:dyDescent="0.35">
      <c r="B264" s="359">
        <v>44755</v>
      </c>
      <c r="C264" s="2" t="s">
        <v>4</v>
      </c>
      <c r="D264" s="35" t="s">
        <v>11</v>
      </c>
      <c r="E264" s="2" t="s">
        <v>26</v>
      </c>
      <c r="F264" s="4" t="s">
        <v>1</v>
      </c>
      <c r="G264" s="406">
        <v>62.2</v>
      </c>
      <c r="H264" s="404">
        <v>3.2</v>
      </c>
      <c r="I264" s="404">
        <v>1.6</v>
      </c>
      <c r="J264" s="408">
        <v>5.0999999999999996</v>
      </c>
      <c r="K264" s="408">
        <v>53.1</v>
      </c>
      <c r="L264" s="402">
        <v>528</v>
      </c>
      <c r="P264" s="533"/>
      <c r="Q264" s="3">
        <v>44768</v>
      </c>
      <c r="R264" s="4" t="s">
        <v>3</v>
      </c>
      <c r="S264" s="35" t="s">
        <v>27</v>
      </c>
      <c r="T264" s="2" t="s">
        <v>26</v>
      </c>
      <c r="U264" s="4" t="s">
        <v>1</v>
      </c>
      <c r="V264" s="533">
        <v>59.87</v>
      </c>
      <c r="W264" s="533">
        <v>8.09</v>
      </c>
      <c r="X264" s="533">
        <v>2.74</v>
      </c>
      <c r="Y264" s="533">
        <v>6.5</v>
      </c>
      <c r="Z264" s="533">
        <v>45.2</v>
      </c>
      <c r="AA264" s="30">
        <v>799</v>
      </c>
      <c r="AB264" s="533"/>
    </row>
    <row r="265" spans="2:28" ht="14.5" x14ac:dyDescent="0.35">
      <c r="B265" s="358">
        <v>44755</v>
      </c>
      <c r="C265" s="2" t="s">
        <v>4</v>
      </c>
      <c r="D265" s="35" t="s">
        <v>11</v>
      </c>
      <c r="E265" s="2" t="s">
        <v>26</v>
      </c>
      <c r="F265" s="4" t="s">
        <v>1</v>
      </c>
      <c r="G265" s="405">
        <v>61.7</v>
      </c>
      <c r="H265" s="403">
        <v>4.2</v>
      </c>
      <c r="I265" s="403">
        <v>2</v>
      </c>
      <c r="J265" s="407">
        <v>13.1</v>
      </c>
      <c r="K265" s="407">
        <v>34.700000000000003</v>
      </c>
      <c r="L265" s="401">
        <v>527</v>
      </c>
      <c r="P265" s="533"/>
      <c r="Q265" s="3">
        <v>44768</v>
      </c>
      <c r="R265" s="4" t="s">
        <v>3</v>
      </c>
      <c r="S265" s="35" t="s">
        <v>27</v>
      </c>
      <c r="T265" s="2" t="s">
        <v>26</v>
      </c>
      <c r="U265" s="4" t="s">
        <v>1</v>
      </c>
      <c r="V265" s="533">
        <v>59.83</v>
      </c>
      <c r="W265" s="533">
        <v>8.2899999999999991</v>
      </c>
      <c r="X265" s="533">
        <v>2.61</v>
      </c>
      <c r="Y265" s="533"/>
      <c r="Z265" s="533"/>
      <c r="AA265" s="30">
        <v>801</v>
      </c>
      <c r="AB265" s="533"/>
    </row>
    <row r="266" spans="2:28" ht="14.5" x14ac:dyDescent="0.35">
      <c r="B266" s="359">
        <v>44756</v>
      </c>
      <c r="C266" s="2" t="s">
        <v>4</v>
      </c>
      <c r="D266" s="35" t="s">
        <v>11</v>
      </c>
      <c r="E266" s="2" t="s">
        <v>26</v>
      </c>
      <c r="F266" s="4" t="s">
        <v>1</v>
      </c>
      <c r="G266" s="406">
        <v>62.1</v>
      </c>
      <c r="H266" s="404">
        <v>4</v>
      </c>
      <c r="I266" s="404">
        <v>1.8</v>
      </c>
      <c r="J266" s="408">
        <v>7.7</v>
      </c>
      <c r="K266" s="408">
        <v>46.9</v>
      </c>
      <c r="L266" s="402">
        <v>529</v>
      </c>
      <c r="P266" s="533"/>
      <c r="Q266" s="3">
        <v>44769</v>
      </c>
      <c r="R266" s="4" t="s">
        <v>3</v>
      </c>
      <c r="S266" s="35" t="s">
        <v>27</v>
      </c>
      <c r="T266" s="2" t="s">
        <v>26</v>
      </c>
      <c r="U266" s="4" t="s">
        <v>1</v>
      </c>
      <c r="V266" s="533">
        <v>60.23</v>
      </c>
      <c r="W266" s="533">
        <v>7.15</v>
      </c>
      <c r="X266" s="533">
        <v>2.37</v>
      </c>
      <c r="Y266" s="533">
        <v>5.2</v>
      </c>
      <c r="Z266" s="533">
        <v>45</v>
      </c>
      <c r="AA266" s="30">
        <v>807</v>
      </c>
      <c r="AB266" s="533"/>
    </row>
    <row r="267" spans="2:28" ht="14.5" x14ac:dyDescent="0.35">
      <c r="B267" s="358">
        <v>44756</v>
      </c>
      <c r="C267" s="2" t="s">
        <v>4</v>
      </c>
      <c r="D267" s="35" t="s">
        <v>11</v>
      </c>
      <c r="E267" s="2" t="s">
        <v>26</v>
      </c>
      <c r="F267" s="4" t="s">
        <v>1</v>
      </c>
      <c r="G267" s="405">
        <v>62.4</v>
      </c>
      <c r="H267" s="403">
        <v>4.5</v>
      </c>
      <c r="I267" s="403">
        <v>2</v>
      </c>
      <c r="J267" s="407">
        <v>3.4</v>
      </c>
      <c r="K267" s="407">
        <v>51.1</v>
      </c>
      <c r="L267" s="401">
        <v>530</v>
      </c>
      <c r="P267" s="533"/>
      <c r="Q267" s="3">
        <v>44770</v>
      </c>
      <c r="R267" s="4" t="s">
        <v>3</v>
      </c>
      <c r="S267" s="35" t="s">
        <v>27</v>
      </c>
      <c r="T267" s="2" t="s">
        <v>26</v>
      </c>
      <c r="U267" s="4" t="s">
        <v>1</v>
      </c>
      <c r="V267" s="533">
        <v>60.3</v>
      </c>
      <c r="W267" s="533">
        <v>6.58</v>
      </c>
      <c r="X267" s="533">
        <v>2.73</v>
      </c>
      <c r="Y267" s="533"/>
      <c r="Z267" s="533"/>
      <c r="AA267" s="30">
        <v>811</v>
      </c>
      <c r="AB267" s="533"/>
    </row>
    <row r="268" spans="2:28" ht="14.5" x14ac:dyDescent="0.35">
      <c r="B268" s="358">
        <v>44757</v>
      </c>
      <c r="C268" s="2" t="s">
        <v>4</v>
      </c>
      <c r="D268" s="35" t="s">
        <v>11</v>
      </c>
      <c r="E268" s="2" t="s">
        <v>26</v>
      </c>
      <c r="F268" s="4" t="s">
        <v>1</v>
      </c>
      <c r="G268" s="405">
        <v>63.2</v>
      </c>
      <c r="H268" s="403">
        <v>2.5</v>
      </c>
      <c r="I268" s="403">
        <v>1.4</v>
      </c>
      <c r="J268" s="407">
        <v>7.5</v>
      </c>
      <c r="K268" s="407">
        <v>44.4</v>
      </c>
      <c r="L268" s="401">
        <v>533</v>
      </c>
      <c r="P268" s="533"/>
      <c r="Q268" s="3">
        <v>44772</v>
      </c>
      <c r="R268" s="4" t="s">
        <v>3</v>
      </c>
      <c r="S268" s="35" t="s">
        <v>27</v>
      </c>
      <c r="T268" s="2" t="s">
        <v>26</v>
      </c>
      <c r="U268" s="4" t="s">
        <v>1</v>
      </c>
      <c r="V268" s="533">
        <v>59.56</v>
      </c>
      <c r="W268" s="533">
        <v>8.02</v>
      </c>
      <c r="X268" s="533">
        <v>2.66</v>
      </c>
      <c r="Y268" s="533">
        <v>5.6</v>
      </c>
      <c r="Z268" s="533">
        <v>45.1</v>
      </c>
      <c r="AA268" s="30">
        <v>818</v>
      </c>
      <c r="AB268" s="533"/>
    </row>
    <row r="269" spans="2:28" ht="14.5" x14ac:dyDescent="0.35">
      <c r="B269" s="358">
        <v>44758</v>
      </c>
      <c r="C269" s="2" t="s">
        <v>4</v>
      </c>
      <c r="D269" s="35" t="s">
        <v>11</v>
      </c>
      <c r="E269" s="2" t="s">
        <v>26</v>
      </c>
      <c r="F269" s="4" t="s">
        <v>1</v>
      </c>
      <c r="G269" s="405">
        <v>61.3</v>
      </c>
      <c r="H269" s="403">
        <v>4.9000000000000004</v>
      </c>
      <c r="I269" s="403">
        <v>2.8</v>
      </c>
      <c r="J269" s="407">
        <v>6.3</v>
      </c>
      <c r="K269" s="407">
        <v>45</v>
      </c>
      <c r="L269" s="401">
        <v>532</v>
      </c>
      <c r="P269" s="533"/>
      <c r="Q269" s="3">
        <v>44765</v>
      </c>
      <c r="R269" s="4" t="s">
        <v>3</v>
      </c>
      <c r="S269" s="35" t="s">
        <v>27</v>
      </c>
      <c r="T269" s="2" t="s">
        <v>26</v>
      </c>
      <c r="U269" s="4" t="s">
        <v>1</v>
      </c>
      <c r="V269" s="533">
        <v>61.2</v>
      </c>
      <c r="W269" s="533">
        <v>5.68</v>
      </c>
      <c r="X269" s="533">
        <v>2.89</v>
      </c>
      <c r="Y269" s="533">
        <v>6.5</v>
      </c>
      <c r="Z269" s="533">
        <v>40.299999999999997</v>
      </c>
      <c r="AA269" s="30"/>
      <c r="AB269" s="533"/>
    </row>
    <row r="270" spans="2:28" ht="14.5" x14ac:dyDescent="0.35">
      <c r="B270" s="358">
        <v>44758</v>
      </c>
      <c r="C270" s="2" t="s">
        <v>4</v>
      </c>
      <c r="D270" s="35" t="s">
        <v>11</v>
      </c>
      <c r="E270" s="2" t="s">
        <v>26</v>
      </c>
      <c r="F270" s="4" t="s">
        <v>1</v>
      </c>
      <c r="G270" s="405">
        <v>59.2</v>
      </c>
      <c r="H270" s="403">
        <v>8.4</v>
      </c>
      <c r="I270" s="403">
        <v>2.5</v>
      </c>
      <c r="J270" s="407">
        <v>7</v>
      </c>
      <c r="K270" s="407">
        <v>41.2</v>
      </c>
      <c r="L270" s="401">
        <v>535</v>
      </c>
      <c r="P270" s="533"/>
      <c r="Q270" s="3">
        <v>44766</v>
      </c>
      <c r="R270" s="4" t="s">
        <v>3</v>
      </c>
      <c r="S270" s="35" t="s">
        <v>27</v>
      </c>
      <c r="T270" s="2" t="s">
        <v>26</v>
      </c>
      <c r="U270" s="4" t="s">
        <v>1</v>
      </c>
      <c r="V270" s="533">
        <v>59.23</v>
      </c>
      <c r="W270" s="533">
        <v>9.11</v>
      </c>
      <c r="X270" s="533">
        <v>2.64</v>
      </c>
      <c r="Y270" s="533">
        <v>4.0999999999999996</v>
      </c>
      <c r="Z270" s="533">
        <v>42.4</v>
      </c>
      <c r="AA270" s="30"/>
      <c r="AB270" s="533"/>
    </row>
    <row r="271" spans="2:28" ht="14.5" x14ac:dyDescent="0.35">
      <c r="B271" s="359">
        <v>44759</v>
      </c>
      <c r="C271" s="2" t="s">
        <v>4</v>
      </c>
      <c r="D271" s="35" t="s">
        <v>11</v>
      </c>
      <c r="E271" s="2" t="s">
        <v>26</v>
      </c>
      <c r="F271" s="4" t="s">
        <v>1</v>
      </c>
      <c r="G271" s="406">
        <v>60</v>
      </c>
      <c r="H271" s="404">
        <v>6</v>
      </c>
      <c r="I271" s="404">
        <v>2.2999999999999998</v>
      </c>
      <c r="J271" s="408">
        <v>17</v>
      </c>
      <c r="K271" s="408">
        <v>25.2</v>
      </c>
      <c r="L271" s="402">
        <v>536</v>
      </c>
      <c r="P271" s="533"/>
      <c r="Q271" s="3">
        <v>44765</v>
      </c>
      <c r="R271" s="4" t="s">
        <v>3</v>
      </c>
      <c r="S271" s="35" t="s">
        <v>2</v>
      </c>
      <c r="T271" s="2" t="s">
        <v>26</v>
      </c>
      <c r="U271" s="4" t="s">
        <v>1</v>
      </c>
      <c r="V271" s="533">
        <v>60.83</v>
      </c>
      <c r="W271" s="533">
        <v>6.47</v>
      </c>
      <c r="X271" s="533">
        <v>2.9</v>
      </c>
      <c r="Y271" s="533">
        <v>5.5</v>
      </c>
      <c r="Z271" s="533">
        <v>39.299999999999997</v>
      </c>
      <c r="AA271" s="30">
        <v>786</v>
      </c>
      <c r="AB271" s="533"/>
    </row>
    <row r="272" spans="2:28" ht="14.5" x14ac:dyDescent="0.35">
      <c r="B272" s="358">
        <v>44760</v>
      </c>
      <c r="C272" s="2" t="s">
        <v>4</v>
      </c>
      <c r="D272" s="35" t="s">
        <v>11</v>
      </c>
      <c r="E272" s="2" t="s">
        <v>26</v>
      </c>
      <c r="F272" s="4" t="s">
        <v>1</v>
      </c>
      <c r="G272" s="405">
        <v>61.6</v>
      </c>
      <c r="H272" s="403">
        <v>3.2</v>
      </c>
      <c r="I272" s="403">
        <v>3</v>
      </c>
      <c r="J272" s="407">
        <v>11.5</v>
      </c>
      <c r="K272" s="407">
        <v>34</v>
      </c>
      <c r="L272" s="401">
        <v>537</v>
      </c>
      <c r="P272" s="533"/>
      <c r="Q272" s="3">
        <v>44766</v>
      </c>
      <c r="R272" s="4" t="s">
        <v>3</v>
      </c>
      <c r="S272" s="35" t="s">
        <v>2</v>
      </c>
      <c r="T272" s="2" t="s">
        <v>26</v>
      </c>
      <c r="U272" s="4" t="s">
        <v>1</v>
      </c>
      <c r="V272" s="533">
        <v>60.75</v>
      </c>
      <c r="W272" s="533">
        <v>6.37</v>
      </c>
      <c r="X272" s="533">
        <v>3.1</v>
      </c>
      <c r="Y272" s="533">
        <v>4.5999999999999996</v>
      </c>
      <c r="Z272" s="533">
        <v>42.3</v>
      </c>
      <c r="AA272" s="30">
        <v>788</v>
      </c>
      <c r="AB272" s="533"/>
    </row>
    <row r="273" spans="2:28" ht="14.5" x14ac:dyDescent="0.35">
      <c r="B273" s="359">
        <v>44760</v>
      </c>
      <c r="C273" s="2" t="s">
        <v>4</v>
      </c>
      <c r="D273" s="35" t="s">
        <v>11</v>
      </c>
      <c r="E273" s="2" t="s">
        <v>26</v>
      </c>
      <c r="F273" s="4" t="s">
        <v>1</v>
      </c>
      <c r="G273" s="406">
        <v>60.2</v>
      </c>
      <c r="H273" s="404">
        <v>2.2999999999999998</v>
      </c>
      <c r="I273" s="404">
        <v>1.9</v>
      </c>
      <c r="J273" s="408">
        <v>30.5</v>
      </c>
      <c r="K273" s="408">
        <v>9.4</v>
      </c>
      <c r="L273" s="402">
        <v>539</v>
      </c>
      <c r="P273" s="533"/>
      <c r="Q273" s="3">
        <v>44766</v>
      </c>
      <c r="R273" s="4" t="s">
        <v>3</v>
      </c>
      <c r="S273" s="35" t="s">
        <v>2</v>
      </c>
      <c r="T273" s="2" t="s">
        <v>26</v>
      </c>
      <c r="U273" s="4" t="s">
        <v>1</v>
      </c>
      <c r="V273" s="533">
        <v>61.07</v>
      </c>
      <c r="W273" s="533">
        <v>5.97</v>
      </c>
      <c r="X273" s="533">
        <v>3.14</v>
      </c>
      <c r="Y273" s="533">
        <v>5.3</v>
      </c>
      <c r="Z273" s="533">
        <v>45.2</v>
      </c>
      <c r="AA273" s="30">
        <v>793</v>
      </c>
      <c r="AB273" s="533"/>
    </row>
    <row r="274" spans="2:28" ht="14.5" x14ac:dyDescent="0.35">
      <c r="B274" s="359">
        <v>44760</v>
      </c>
      <c r="C274" s="2" t="s">
        <v>4</v>
      </c>
      <c r="D274" s="35" t="s">
        <v>11</v>
      </c>
      <c r="E274" s="2" t="s">
        <v>26</v>
      </c>
      <c r="F274" s="4" t="s">
        <v>1</v>
      </c>
      <c r="G274" s="406">
        <v>61.5</v>
      </c>
      <c r="H274" s="404">
        <v>3.5</v>
      </c>
      <c r="I274" s="404">
        <v>2.5</v>
      </c>
      <c r="J274" s="408">
        <v>15.9</v>
      </c>
      <c r="K274" s="408">
        <v>30.6</v>
      </c>
      <c r="L274" s="402">
        <v>538</v>
      </c>
      <c r="P274" s="533"/>
      <c r="Q274" s="3">
        <v>44767</v>
      </c>
      <c r="R274" s="4" t="s">
        <v>3</v>
      </c>
      <c r="S274" s="35" t="s">
        <v>2</v>
      </c>
      <c r="T274" s="2" t="s">
        <v>26</v>
      </c>
      <c r="U274" s="4" t="s">
        <v>1</v>
      </c>
      <c r="V274" s="533">
        <v>60.87</v>
      </c>
      <c r="W274" s="533">
        <v>6.86</v>
      </c>
      <c r="X274" s="533">
        <v>2.5499999999999998</v>
      </c>
      <c r="Y274" s="533">
        <v>4.7</v>
      </c>
      <c r="Z274" s="533">
        <v>42.6</v>
      </c>
      <c r="AA274" s="30">
        <v>796</v>
      </c>
      <c r="AB274" s="533"/>
    </row>
    <row r="275" spans="2:28" ht="14.5" x14ac:dyDescent="0.35">
      <c r="B275" s="358">
        <v>44761</v>
      </c>
      <c r="C275" s="2" t="s">
        <v>4</v>
      </c>
      <c r="D275" s="35" t="s">
        <v>11</v>
      </c>
      <c r="E275" s="2" t="s">
        <v>26</v>
      </c>
      <c r="F275" s="4" t="s">
        <v>1</v>
      </c>
      <c r="G275" s="405">
        <v>62.7</v>
      </c>
      <c r="H275" s="403">
        <v>2.7</v>
      </c>
      <c r="I275" s="403">
        <v>2.4</v>
      </c>
      <c r="J275" s="407">
        <v>9.1999999999999993</v>
      </c>
      <c r="K275" s="407">
        <v>41.2</v>
      </c>
      <c r="L275" s="401">
        <v>540</v>
      </c>
      <c r="P275" s="533"/>
      <c r="Q275" s="3">
        <v>44768</v>
      </c>
      <c r="R275" s="4" t="s">
        <v>3</v>
      </c>
      <c r="S275" s="35" t="s">
        <v>2</v>
      </c>
      <c r="T275" s="2" t="s">
        <v>26</v>
      </c>
      <c r="U275" s="4" t="s">
        <v>1</v>
      </c>
      <c r="V275" s="533">
        <v>60.65</v>
      </c>
      <c r="W275" s="533">
        <v>6.58</v>
      </c>
      <c r="X275" s="533">
        <v>3.04</v>
      </c>
      <c r="Y275" s="533">
        <v>5.2</v>
      </c>
      <c r="Z275" s="533">
        <v>44.3</v>
      </c>
      <c r="AA275" s="30">
        <v>800</v>
      </c>
      <c r="AB275" s="533"/>
    </row>
    <row r="276" spans="2:28" ht="14.5" x14ac:dyDescent="0.35">
      <c r="B276" s="358">
        <v>44762</v>
      </c>
      <c r="C276" s="2" t="s">
        <v>4</v>
      </c>
      <c r="D276" s="35" t="s">
        <v>11</v>
      </c>
      <c r="E276" s="2" t="s">
        <v>26</v>
      </c>
      <c r="F276" s="4" t="s">
        <v>1</v>
      </c>
      <c r="G276" s="405">
        <v>63.1</v>
      </c>
      <c r="H276" s="403">
        <v>2.4</v>
      </c>
      <c r="I276" s="403">
        <v>1.7</v>
      </c>
      <c r="J276" s="407">
        <v>9.6999999999999993</v>
      </c>
      <c r="K276" s="407">
        <v>40.200000000000003</v>
      </c>
      <c r="L276" s="401">
        <v>542</v>
      </c>
      <c r="P276" s="533"/>
      <c r="Q276" s="3">
        <v>44768</v>
      </c>
      <c r="R276" s="4" t="s">
        <v>3</v>
      </c>
      <c r="S276" s="35" t="s">
        <v>2</v>
      </c>
      <c r="T276" s="2" t="s">
        <v>26</v>
      </c>
      <c r="U276" s="4" t="s">
        <v>1</v>
      </c>
      <c r="V276" s="533">
        <v>60.24</v>
      </c>
      <c r="W276" s="533">
        <v>7.27</v>
      </c>
      <c r="X276" s="533">
        <v>3.03</v>
      </c>
      <c r="Y276" s="533"/>
      <c r="Z276" s="533"/>
      <c r="AA276" s="30">
        <v>802</v>
      </c>
      <c r="AB276" s="533"/>
    </row>
    <row r="277" spans="2:28" ht="14.5" x14ac:dyDescent="0.35">
      <c r="B277" s="358">
        <v>44762</v>
      </c>
      <c r="C277" s="2" t="s">
        <v>4</v>
      </c>
      <c r="D277" s="35" t="s">
        <v>11</v>
      </c>
      <c r="E277" s="2" t="s">
        <v>26</v>
      </c>
      <c r="F277" s="4" t="s">
        <v>1</v>
      </c>
      <c r="G277" s="405">
        <v>63.5</v>
      </c>
      <c r="H277" s="403">
        <v>2.5</v>
      </c>
      <c r="I277" s="403">
        <v>1.9</v>
      </c>
      <c r="J277" s="407">
        <v>10.5</v>
      </c>
      <c r="K277" s="407">
        <v>30</v>
      </c>
      <c r="L277" s="401">
        <v>541</v>
      </c>
      <c r="P277" s="533"/>
      <c r="Q277" s="3">
        <v>44769</v>
      </c>
      <c r="R277" s="4" t="s">
        <v>3</v>
      </c>
      <c r="S277" s="35" t="s">
        <v>2</v>
      </c>
      <c r="T277" s="2" t="s">
        <v>26</v>
      </c>
      <c r="U277" s="4" t="s">
        <v>1</v>
      </c>
      <c r="V277" s="533">
        <v>60.22</v>
      </c>
      <c r="W277" s="533">
        <v>7.39</v>
      </c>
      <c r="X277" s="533">
        <v>2.54</v>
      </c>
      <c r="Y277" s="533"/>
      <c r="Z277" s="533"/>
      <c r="AA277" s="30">
        <v>805</v>
      </c>
      <c r="AB277" s="533"/>
    </row>
    <row r="278" spans="2:28" ht="14.5" x14ac:dyDescent="0.35">
      <c r="B278" s="359">
        <v>44762</v>
      </c>
      <c r="C278" s="2" t="s">
        <v>4</v>
      </c>
      <c r="D278" s="35" t="s">
        <v>11</v>
      </c>
      <c r="E278" s="2" t="s">
        <v>26</v>
      </c>
      <c r="F278" s="4" t="s">
        <v>1</v>
      </c>
      <c r="G278" s="406">
        <v>63.1</v>
      </c>
      <c r="H278" s="404">
        <v>2.8</v>
      </c>
      <c r="I278" s="404">
        <v>2</v>
      </c>
      <c r="J278" s="408">
        <v>17.100000000000001</v>
      </c>
      <c r="K278" s="408">
        <v>31.5</v>
      </c>
      <c r="L278" s="402">
        <v>543</v>
      </c>
      <c r="P278" s="533"/>
      <c r="Q278" s="3">
        <v>44770</v>
      </c>
      <c r="R278" s="4" t="s">
        <v>3</v>
      </c>
      <c r="S278" s="35" t="s">
        <v>2</v>
      </c>
      <c r="T278" s="2" t="s">
        <v>26</v>
      </c>
      <c r="U278" s="4" t="s">
        <v>1</v>
      </c>
      <c r="V278" s="533">
        <v>60.15</v>
      </c>
      <c r="W278" s="533">
        <v>6.97</v>
      </c>
      <c r="X278" s="533">
        <v>2.5499999999999998</v>
      </c>
      <c r="Y278" s="533">
        <v>4.7</v>
      </c>
      <c r="Z278" s="533">
        <v>43.6</v>
      </c>
      <c r="AA278" s="30">
        <v>812</v>
      </c>
      <c r="AB278" s="533"/>
    </row>
    <row r="279" spans="2:28" ht="14.5" x14ac:dyDescent="0.35">
      <c r="B279" s="358">
        <v>44763</v>
      </c>
      <c r="C279" s="2" t="s">
        <v>4</v>
      </c>
      <c r="D279" s="35" t="s">
        <v>11</v>
      </c>
      <c r="E279" s="2" t="s">
        <v>26</v>
      </c>
      <c r="F279" s="4" t="s">
        <v>1</v>
      </c>
      <c r="G279" s="405">
        <v>62.6</v>
      </c>
      <c r="H279" s="403">
        <v>3</v>
      </c>
      <c r="I279" s="403">
        <v>2.6</v>
      </c>
      <c r="J279" s="407">
        <v>15.7</v>
      </c>
      <c r="K279" s="407">
        <v>32.200000000000003</v>
      </c>
      <c r="L279" s="401">
        <v>543</v>
      </c>
      <c r="P279" s="533"/>
      <c r="Q279" s="3">
        <v>44772</v>
      </c>
      <c r="R279" s="4" t="s">
        <v>3</v>
      </c>
      <c r="S279" s="35" t="s">
        <v>2</v>
      </c>
      <c r="T279" s="2" t="s">
        <v>26</v>
      </c>
      <c r="U279" s="4" t="s">
        <v>1</v>
      </c>
      <c r="V279" s="533">
        <v>59.08</v>
      </c>
      <c r="W279" s="533">
        <v>8.52</v>
      </c>
      <c r="X279" s="533">
        <v>2.71</v>
      </c>
      <c r="Y279" s="533">
        <v>5.0999999999999996</v>
      </c>
      <c r="Z279" s="533">
        <v>44.3</v>
      </c>
      <c r="AA279" s="30">
        <v>817</v>
      </c>
      <c r="AB279" s="533"/>
    </row>
    <row r="280" spans="2:28" ht="14.5" x14ac:dyDescent="0.35">
      <c r="B280" s="359">
        <v>44763</v>
      </c>
      <c r="C280" s="2" t="s">
        <v>4</v>
      </c>
      <c r="D280" s="35" t="s">
        <v>11</v>
      </c>
      <c r="E280" s="2" t="s">
        <v>26</v>
      </c>
      <c r="F280" s="4" t="s">
        <v>1</v>
      </c>
      <c r="G280" s="406">
        <v>62.4</v>
      </c>
      <c r="H280" s="404">
        <v>3.2</v>
      </c>
      <c r="I280" s="404">
        <v>2.2999999999999998</v>
      </c>
      <c r="J280" s="408">
        <v>10.199999999999999</v>
      </c>
      <c r="K280" s="408">
        <v>34.1</v>
      </c>
      <c r="L280" s="402">
        <v>545</v>
      </c>
      <c r="P280" s="533"/>
      <c r="Q280" s="3">
        <v>44772</v>
      </c>
      <c r="R280" s="4" t="s">
        <v>3</v>
      </c>
      <c r="S280" s="35" t="s">
        <v>2</v>
      </c>
      <c r="T280" s="2" t="s">
        <v>26</v>
      </c>
      <c r="U280" s="4" t="s">
        <v>1</v>
      </c>
      <c r="V280" s="533">
        <v>60.14</v>
      </c>
      <c r="W280" s="533">
        <v>7.05</v>
      </c>
      <c r="X280" s="533">
        <v>2.69</v>
      </c>
      <c r="Y280" s="533"/>
      <c r="Z280" s="533"/>
      <c r="AA280" s="30">
        <v>826</v>
      </c>
      <c r="AB280" s="533"/>
    </row>
    <row r="281" spans="2:28" ht="14.5" x14ac:dyDescent="0.35">
      <c r="B281" s="359">
        <v>44763</v>
      </c>
      <c r="C281" s="2" t="s">
        <v>4</v>
      </c>
      <c r="D281" s="35" t="s">
        <v>11</v>
      </c>
      <c r="E281" s="2" t="s">
        <v>26</v>
      </c>
      <c r="F281" s="4" t="s">
        <v>1</v>
      </c>
      <c r="G281" s="406">
        <v>61</v>
      </c>
      <c r="H281" s="404">
        <v>3.5</v>
      </c>
      <c r="I281" s="404">
        <v>3</v>
      </c>
      <c r="J281" s="408">
        <v>5.0999999999999996</v>
      </c>
      <c r="K281" s="408">
        <v>44.9</v>
      </c>
      <c r="L281" s="402">
        <v>547</v>
      </c>
      <c r="P281" s="533"/>
      <c r="Q281" s="3">
        <v>44765</v>
      </c>
      <c r="R281" s="4" t="s">
        <v>3</v>
      </c>
      <c r="S281" s="35" t="s">
        <v>9</v>
      </c>
      <c r="T281" s="2" t="s">
        <v>26</v>
      </c>
      <c r="U281" s="4" t="s">
        <v>1</v>
      </c>
      <c r="V281" s="533">
        <v>60.85</v>
      </c>
      <c r="W281" s="533">
        <v>6.44</v>
      </c>
      <c r="X281" s="533">
        <v>2.88</v>
      </c>
      <c r="Y281" s="533">
        <v>4.2</v>
      </c>
      <c r="Z281" s="533">
        <v>44.1</v>
      </c>
      <c r="AA281" s="30"/>
      <c r="AB281" s="533"/>
    </row>
    <row r="282" spans="2:28" ht="14.5" x14ac:dyDescent="0.35">
      <c r="B282" s="358">
        <v>44765</v>
      </c>
      <c r="C282" s="2" t="s">
        <v>4</v>
      </c>
      <c r="D282" s="35" t="s">
        <v>11</v>
      </c>
      <c r="E282" s="2" t="s">
        <v>26</v>
      </c>
      <c r="F282" s="4" t="s">
        <v>1</v>
      </c>
      <c r="G282" s="405">
        <v>63.2</v>
      </c>
      <c r="H282" s="403">
        <v>2.7</v>
      </c>
      <c r="I282" s="403">
        <v>2.2999999999999998</v>
      </c>
      <c r="J282" s="407">
        <v>18.100000000000001</v>
      </c>
      <c r="K282" s="407">
        <v>31.5</v>
      </c>
      <c r="L282" s="401">
        <v>549</v>
      </c>
      <c r="P282" s="533"/>
      <c r="Q282" s="3">
        <v>44766</v>
      </c>
      <c r="R282" s="4" t="s">
        <v>3</v>
      </c>
      <c r="S282" s="35" t="s">
        <v>9</v>
      </c>
      <c r="T282" s="2" t="s">
        <v>26</v>
      </c>
      <c r="U282" s="4" t="s">
        <v>1</v>
      </c>
      <c r="V282" s="533">
        <v>60.77</v>
      </c>
      <c r="W282" s="533">
        <v>6.48</v>
      </c>
      <c r="X282" s="533">
        <v>2.96</v>
      </c>
      <c r="Y282" s="533">
        <v>6.6</v>
      </c>
      <c r="Z282" s="533">
        <v>47.2</v>
      </c>
      <c r="AA282" s="30"/>
      <c r="AB282" s="533"/>
    </row>
    <row r="283" spans="2:28" ht="14.5" x14ac:dyDescent="0.35">
      <c r="B283" s="358">
        <v>44765</v>
      </c>
      <c r="C283" s="2" t="s">
        <v>4</v>
      </c>
      <c r="D283" s="35" t="s">
        <v>11</v>
      </c>
      <c r="E283" s="2" t="s">
        <v>26</v>
      </c>
      <c r="F283" s="4" t="s">
        <v>1</v>
      </c>
      <c r="G283" s="405">
        <v>61.5</v>
      </c>
      <c r="H283" s="403">
        <v>3.3</v>
      </c>
      <c r="I283" s="403">
        <v>3</v>
      </c>
      <c r="J283" s="407">
        <v>8.1999999999999993</v>
      </c>
      <c r="K283" s="407">
        <v>40.9</v>
      </c>
      <c r="L283" s="401">
        <v>550</v>
      </c>
      <c r="P283" s="533"/>
      <c r="Q283" s="538">
        <v>44767</v>
      </c>
      <c r="R283" s="539" t="s">
        <v>3</v>
      </c>
      <c r="S283" s="540" t="s">
        <v>9</v>
      </c>
      <c r="T283" s="541" t="s">
        <v>26</v>
      </c>
      <c r="U283" s="539" t="s">
        <v>1</v>
      </c>
      <c r="V283" s="541">
        <v>60.61</v>
      </c>
      <c r="W283" s="541">
        <v>6.0720000000000001</v>
      </c>
      <c r="X283" s="541">
        <v>3.06</v>
      </c>
      <c r="Y283" s="533">
        <v>3.5</v>
      </c>
      <c r="Z283" s="533">
        <v>43.1</v>
      </c>
      <c r="AA283" s="30"/>
      <c r="AB283" s="533"/>
    </row>
    <row r="284" spans="2:28" ht="14.5" x14ac:dyDescent="0.35">
      <c r="B284" s="358">
        <v>44766</v>
      </c>
      <c r="C284" s="2" t="s">
        <v>4</v>
      </c>
      <c r="D284" s="35" t="s">
        <v>11</v>
      </c>
      <c r="E284" s="2" t="s">
        <v>26</v>
      </c>
      <c r="F284" s="4" t="s">
        <v>1</v>
      </c>
      <c r="G284" s="405">
        <v>62.7</v>
      </c>
      <c r="H284" s="403">
        <v>3.5</v>
      </c>
      <c r="I284" s="403">
        <v>2.7</v>
      </c>
      <c r="J284" s="407">
        <v>12.3</v>
      </c>
      <c r="K284" s="407">
        <v>36.5</v>
      </c>
      <c r="L284" s="401">
        <v>551</v>
      </c>
      <c r="P284" s="533"/>
      <c r="Q284" s="3">
        <v>44768</v>
      </c>
      <c r="R284" s="4" t="s">
        <v>3</v>
      </c>
      <c r="S284" s="35" t="s">
        <v>9</v>
      </c>
      <c r="T284" s="2" t="s">
        <v>26</v>
      </c>
      <c r="U284" s="4" t="s">
        <v>1</v>
      </c>
      <c r="V284" s="533">
        <v>60.43</v>
      </c>
      <c r="W284" s="533">
        <v>6.75</v>
      </c>
      <c r="X284" s="533">
        <v>3.18</v>
      </c>
      <c r="Y284" s="533"/>
      <c r="Z284" s="533"/>
      <c r="AA284" s="30"/>
      <c r="AB284" s="533"/>
    </row>
    <row r="285" spans="2:28" ht="14.5" x14ac:dyDescent="0.35">
      <c r="B285" s="359">
        <v>44766</v>
      </c>
      <c r="C285" s="2" t="s">
        <v>4</v>
      </c>
      <c r="D285" s="35" t="s">
        <v>11</v>
      </c>
      <c r="E285" s="2" t="s">
        <v>26</v>
      </c>
      <c r="F285" s="4" t="s">
        <v>1</v>
      </c>
      <c r="G285" s="406">
        <v>62.8</v>
      </c>
      <c r="H285" s="404">
        <v>2.5</v>
      </c>
      <c r="I285" s="404">
        <v>1.5</v>
      </c>
      <c r="J285" s="408">
        <v>18.100000000000001</v>
      </c>
      <c r="K285" s="408">
        <v>35.5</v>
      </c>
      <c r="L285" s="402">
        <v>546</v>
      </c>
      <c r="P285" s="533"/>
      <c r="Q285" s="3">
        <v>44769</v>
      </c>
      <c r="R285" s="4" t="s">
        <v>3</v>
      </c>
      <c r="S285" s="35" t="s">
        <v>9</v>
      </c>
      <c r="T285" s="2" t="s">
        <v>26</v>
      </c>
      <c r="U285" s="4" t="s">
        <v>1</v>
      </c>
      <c r="V285" s="533">
        <v>60.04</v>
      </c>
      <c r="W285" s="533">
        <v>6.38</v>
      </c>
      <c r="X285" s="533">
        <v>3.29</v>
      </c>
      <c r="Y285" s="533">
        <v>3.2</v>
      </c>
      <c r="Z285" s="533">
        <v>49.3</v>
      </c>
      <c r="AA285" s="30"/>
      <c r="AB285" s="533"/>
    </row>
    <row r="286" spans="2:28" ht="14.5" x14ac:dyDescent="0.35">
      <c r="B286" s="358">
        <v>44766</v>
      </c>
      <c r="C286" s="2" t="s">
        <v>4</v>
      </c>
      <c r="D286" s="35" t="s">
        <v>11</v>
      </c>
      <c r="E286" s="2" t="s">
        <v>26</v>
      </c>
      <c r="F286" s="4" t="s">
        <v>1</v>
      </c>
      <c r="G286" s="405">
        <v>62.2</v>
      </c>
      <c r="H286" s="403">
        <v>4.0999999999999996</v>
      </c>
      <c r="I286" s="403">
        <v>2</v>
      </c>
      <c r="J286" s="407">
        <v>12.5</v>
      </c>
      <c r="K286" s="407">
        <v>31.5</v>
      </c>
      <c r="L286" s="401">
        <v>552</v>
      </c>
      <c r="P286" s="533"/>
      <c r="Q286" s="3">
        <v>44772</v>
      </c>
      <c r="R286" s="4" t="s">
        <v>3</v>
      </c>
      <c r="S286" s="35" t="s">
        <v>9</v>
      </c>
      <c r="T286" s="2" t="s">
        <v>26</v>
      </c>
      <c r="U286" s="4" t="s">
        <v>1</v>
      </c>
      <c r="V286" s="533">
        <v>60.62</v>
      </c>
      <c r="W286" s="533">
        <v>6.15</v>
      </c>
      <c r="X286" s="533">
        <v>2.81</v>
      </c>
      <c r="Y286" s="533">
        <v>3.6</v>
      </c>
      <c r="Z286" s="533">
        <v>43.2</v>
      </c>
      <c r="AA286" s="30"/>
      <c r="AB286" s="533"/>
    </row>
    <row r="287" spans="2:28" ht="14.5" x14ac:dyDescent="0.35">
      <c r="B287" s="358">
        <v>44767</v>
      </c>
      <c r="C287" s="2" t="s">
        <v>4</v>
      </c>
      <c r="D287" s="35" t="s">
        <v>11</v>
      </c>
      <c r="E287" s="2" t="s">
        <v>26</v>
      </c>
      <c r="F287" s="4" t="s">
        <v>1</v>
      </c>
      <c r="G287" s="405">
        <v>62.2</v>
      </c>
      <c r="H287" s="403">
        <v>4</v>
      </c>
      <c r="I287" s="403">
        <v>1.9</v>
      </c>
      <c r="J287" s="407">
        <v>11.6</v>
      </c>
      <c r="K287" s="407">
        <v>38.6</v>
      </c>
      <c r="L287" s="401">
        <v>553</v>
      </c>
      <c r="P287" s="533"/>
      <c r="Q287" s="3">
        <v>44770</v>
      </c>
      <c r="R287" s="4" t="s">
        <v>3</v>
      </c>
      <c r="S287" s="35" t="s">
        <v>11</v>
      </c>
      <c r="T287" s="2" t="s">
        <v>26</v>
      </c>
      <c r="U287" s="4" t="s">
        <v>1</v>
      </c>
      <c r="V287" s="533">
        <v>60.73</v>
      </c>
      <c r="W287" s="533">
        <v>5.54</v>
      </c>
      <c r="X287" s="533">
        <v>3.25</v>
      </c>
      <c r="Y287" s="533">
        <v>6.7</v>
      </c>
      <c r="Z287" s="533">
        <v>40.5</v>
      </c>
      <c r="AA287" s="30"/>
      <c r="AB287" s="533"/>
    </row>
    <row r="288" spans="2:28" ht="14.5" x14ac:dyDescent="0.35">
      <c r="B288" s="358">
        <v>44767</v>
      </c>
      <c r="C288" s="2" t="s">
        <v>4</v>
      </c>
      <c r="D288" s="35" t="s">
        <v>11</v>
      </c>
      <c r="E288" s="2" t="s">
        <v>26</v>
      </c>
      <c r="F288" s="4" t="s">
        <v>1</v>
      </c>
      <c r="G288" s="405">
        <v>62.2</v>
      </c>
      <c r="H288" s="403">
        <v>3.6</v>
      </c>
      <c r="I288" s="403">
        <v>2.2000000000000002</v>
      </c>
      <c r="J288" s="407">
        <v>9.5</v>
      </c>
      <c r="K288" s="407">
        <v>39</v>
      </c>
      <c r="L288" s="401">
        <v>554</v>
      </c>
      <c r="P288" s="533"/>
      <c r="Q288" s="3">
        <v>44771</v>
      </c>
      <c r="R288" s="4" t="s">
        <v>3</v>
      </c>
      <c r="S288" s="35" t="s">
        <v>11</v>
      </c>
      <c r="T288" s="2" t="s">
        <v>26</v>
      </c>
      <c r="U288" s="4" t="s">
        <v>1</v>
      </c>
      <c r="V288" s="533">
        <v>61.09</v>
      </c>
      <c r="W288" s="533">
        <v>5.59</v>
      </c>
      <c r="X288" s="533">
        <v>2.89</v>
      </c>
      <c r="Y288" s="533"/>
      <c r="Z288" s="533"/>
      <c r="AA288" s="30"/>
      <c r="AB288" s="533"/>
    </row>
    <row r="289" spans="2:28" ht="14.5" x14ac:dyDescent="0.35">
      <c r="B289" s="359">
        <v>44767</v>
      </c>
      <c r="C289" s="2" t="s">
        <v>4</v>
      </c>
      <c r="D289" s="35" t="s">
        <v>11</v>
      </c>
      <c r="E289" s="2" t="s">
        <v>26</v>
      </c>
      <c r="F289" s="4" t="s">
        <v>1</v>
      </c>
      <c r="G289" s="406">
        <v>62.4</v>
      </c>
      <c r="H289" s="404">
        <v>3.1</v>
      </c>
      <c r="I289" s="404">
        <v>2.2999999999999998</v>
      </c>
      <c r="J289" s="408">
        <v>4.5</v>
      </c>
      <c r="K289" s="408">
        <v>44.5</v>
      </c>
      <c r="L289" s="402">
        <v>555</v>
      </c>
      <c r="P289" s="533"/>
      <c r="Q289" s="3">
        <v>44771</v>
      </c>
      <c r="R289" s="4" t="s">
        <v>3</v>
      </c>
      <c r="S289" s="35" t="s">
        <v>10</v>
      </c>
      <c r="T289" s="2" t="s">
        <v>26</v>
      </c>
      <c r="U289" s="4" t="s">
        <v>1</v>
      </c>
      <c r="V289" s="533">
        <v>59.87</v>
      </c>
      <c r="W289" s="533">
        <v>5.34</v>
      </c>
      <c r="X289" s="533">
        <v>4.78</v>
      </c>
      <c r="Y289" s="533">
        <v>5.2</v>
      </c>
      <c r="Z289" s="533">
        <v>45.3</v>
      </c>
      <c r="AA289" s="30"/>
      <c r="AB289" s="533"/>
    </row>
    <row r="290" spans="2:28" ht="15.5" x14ac:dyDescent="0.35">
      <c r="B290" s="424">
        <v>44745</v>
      </c>
      <c r="C290" s="2" t="s">
        <v>4</v>
      </c>
      <c r="D290" s="35" t="s">
        <v>9</v>
      </c>
      <c r="E290" s="2" t="s">
        <v>26</v>
      </c>
      <c r="F290" s="4" t="s">
        <v>1</v>
      </c>
      <c r="G290" s="409">
        <v>62.9</v>
      </c>
      <c r="H290" s="411">
        <v>3.7</v>
      </c>
      <c r="I290" s="412">
        <v>1.8</v>
      </c>
      <c r="J290" s="417">
        <v>2.8</v>
      </c>
      <c r="K290" s="419">
        <v>51.6</v>
      </c>
      <c r="L290" s="157">
        <v>1</v>
      </c>
      <c r="P290" s="533"/>
      <c r="Q290" s="5">
        <v>44743</v>
      </c>
      <c r="R290" s="4" t="s">
        <v>60</v>
      </c>
      <c r="S290" s="35" t="s">
        <v>27</v>
      </c>
      <c r="T290" s="2" t="s">
        <v>26</v>
      </c>
      <c r="U290" s="4" t="s">
        <v>1</v>
      </c>
      <c r="V290" s="17">
        <v>58.67</v>
      </c>
      <c r="W290" s="17">
        <v>8.93</v>
      </c>
      <c r="X290" s="6">
        <v>3.82</v>
      </c>
      <c r="Y290" s="17">
        <v>12</v>
      </c>
      <c r="Z290" s="17">
        <v>42.9</v>
      </c>
      <c r="AA290" s="533"/>
      <c r="AB290" s="533"/>
    </row>
    <row r="291" spans="2:28" ht="15.5" x14ac:dyDescent="0.35">
      <c r="B291" s="424">
        <v>44751</v>
      </c>
      <c r="C291" s="2" t="s">
        <v>4</v>
      </c>
      <c r="D291" s="35" t="s">
        <v>9</v>
      </c>
      <c r="E291" s="2" t="s">
        <v>26</v>
      </c>
      <c r="F291" s="4" t="s">
        <v>1</v>
      </c>
      <c r="G291" s="409">
        <v>61.7</v>
      </c>
      <c r="H291" s="411">
        <v>5.8</v>
      </c>
      <c r="I291" s="412">
        <v>2</v>
      </c>
      <c r="J291" s="417">
        <v>4.2</v>
      </c>
      <c r="K291" s="419">
        <v>62</v>
      </c>
      <c r="L291" s="157">
        <v>2</v>
      </c>
      <c r="P291" s="533"/>
      <c r="Q291" s="21">
        <v>44744</v>
      </c>
      <c r="R291" s="4" t="s">
        <v>60</v>
      </c>
      <c r="S291" s="35" t="s">
        <v>27</v>
      </c>
      <c r="T291" s="2" t="s">
        <v>26</v>
      </c>
      <c r="U291" s="4" t="s">
        <v>1</v>
      </c>
      <c r="V291" s="17">
        <v>53.45</v>
      </c>
      <c r="W291" s="17">
        <v>16.47</v>
      </c>
      <c r="X291" s="6">
        <v>3.61</v>
      </c>
      <c r="Y291" s="17">
        <v>8.1</v>
      </c>
      <c r="Z291" s="17">
        <v>42.8</v>
      </c>
      <c r="AA291" s="533"/>
      <c r="AB291" s="533"/>
    </row>
    <row r="292" spans="2:28" ht="15.5" x14ac:dyDescent="0.35">
      <c r="B292" s="425">
        <v>44751</v>
      </c>
      <c r="C292" s="2" t="s">
        <v>4</v>
      </c>
      <c r="D292" s="35" t="s">
        <v>9</v>
      </c>
      <c r="E292" s="2" t="s">
        <v>26</v>
      </c>
      <c r="F292" s="4" t="s">
        <v>1</v>
      </c>
      <c r="G292" s="410">
        <v>60.1</v>
      </c>
      <c r="H292" s="414">
        <v>7</v>
      </c>
      <c r="I292" s="413">
        <v>2.2000000000000002</v>
      </c>
      <c r="J292" s="418">
        <v>4.8</v>
      </c>
      <c r="K292" s="420">
        <v>51.3</v>
      </c>
      <c r="L292" s="157">
        <v>3</v>
      </c>
      <c r="P292" s="533"/>
      <c r="Q292" s="21">
        <v>44744</v>
      </c>
      <c r="R292" s="4" t="s">
        <v>60</v>
      </c>
      <c r="S292" s="35" t="s">
        <v>27</v>
      </c>
      <c r="T292" s="2" t="s">
        <v>26</v>
      </c>
      <c r="U292" s="4" t="s">
        <v>1</v>
      </c>
      <c r="V292" s="17">
        <v>56.38</v>
      </c>
      <c r="W292" s="17">
        <v>8.77</v>
      </c>
      <c r="X292" s="6">
        <v>5.23</v>
      </c>
      <c r="Y292" s="17">
        <v>13.1</v>
      </c>
      <c r="Z292" s="17">
        <v>28.5</v>
      </c>
      <c r="AA292" s="533"/>
      <c r="AB292" s="533"/>
    </row>
    <row r="293" spans="2:28" ht="14.5" x14ac:dyDescent="0.35">
      <c r="B293" s="443">
        <v>44743</v>
      </c>
      <c r="C293" s="2" t="s">
        <v>5</v>
      </c>
      <c r="D293" s="35" t="s">
        <v>31</v>
      </c>
      <c r="E293" s="2" t="s">
        <v>26</v>
      </c>
      <c r="F293" s="4" t="s">
        <v>0</v>
      </c>
      <c r="G293" s="429">
        <v>63.2</v>
      </c>
      <c r="H293" s="429">
        <v>2.4</v>
      </c>
      <c r="I293" s="429">
        <v>2.2999999999999998</v>
      </c>
      <c r="J293" s="435">
        <v>5</v>
      </c>
      <c r="K293" s="435">
        <v>18</v>
      </c>
      <c r="L293" s="439">
        <v>94</v>
      </c>
      <c r="P293" s="533"/>
      <c r="Q293" s="21">
        <v>44745</v>
      </c>
      <c r="R293" s="4" t="s">
        <v>60</v>
      </c>
      <c r="S293" s="35" t="s">
        <v>27</v>
      </c>
      <c r="T293" s="2" t="s">
        <v>26</v>
      </c>
      <c r="U293" s="4" t="s">
        <v>1</v>
      </c>
      <c r="V293" s="17">
        <v>58.33</v>
      </c>
      <c r="W293" s="17">
        <v>8.44</v>
      </c>
      <c r="X293" s="6">
        <v>4.05</v>
      </c>
      <c r="Y293" s="17">
        <v>10.9</v>
      </c>
      <c r="Z293" s="17">
        <v>31.8</v>
      </c>
      <c r="AA293" s="533"/>
      <c r="AB293" s="533"/>
    </row>
    <row r="294" spans="2:28" ht="14.5" x14ac:dyDescent="0.35">
      <c r="B294" s="445">
        <v>44744</v>
      </c>
      <c r="C294" s="2" t="s">
        <v>5</v>
      </c>
      <c r="D294" s="35" t="s">
        <v>31</v>
      </c>
      <c r="E294" s="2" t="s">
        <v>26</v>
      </c>
      <c r="F294" s="4" t="s">
        <v>0</v>
      </c>
      <c r="G294" s="431">
        <v>63.1</v>
      </c>
      <c r="H294" s="429">
        <v>2.5</v>
      </c>
      <c r="I294" s="429">
        <v>2.2999999999999998</v>
      </c>
      <c r="J294" s="434">
        <v>2</v>
      </c>
      <c r="K294" s="435">
        <v>10</v>
      </c>
      <c r="L294" s="438">
        <v>2</v>
      </c>
      <c r="P294" s="533"/>
      <c r="Q294" s="21">
        <v>44747</v>
      </c>
      <c r="R294" s="4" t="s">
        <v>60</v>
      </c>
      <c r="S294" s="35" t="s">
        <v>27</v>
      </c>
      <c r="T294" s="2" t="s">
        <v>26</v>
      </c>
      <c r="U294" s="4" t="s">
        <v>1</v>
      </c>
      <c r="V294" s="18">
        <v>56.86</v>
      </c>
      <c r="W294" s="9">
        <v>11.67</v>
      </c>
      <c r="X294" s="18">
        <v>3.03</v>
      </c>
      <c r="Y294" s="18">
        <v>9.5</v>
      </c>
      <c r="Z294" s="18">
        <v>41.2</v>
      </c>
      <c r="AA294" s="533"/>
      <c r="AB294" s="533"/>
    </row>
    <row r="295" spans="2:28" ht="14.5" x14ac:dyDescent="0.35">
      <c r="B295" s="444">
        <v>44745</v>
      </c>
      <c r="C295" s="2" t="s">
        <v>5</v>
      </c>
      <c r="D295" s="35" t="s">
        <v>31</v>
      </c>
      <c r="E295" s="2" t="s">
        <v>26</v>
      </c>
      <c r="F295" s="4" t="s">
        <v>0</v>
      </c>
      <c r="G295" s="430">
        <v>63.2</v>
      </c>
      <c r="H295" s="430">
        <v>2.2000000000000002</v>
      </c>
      <c r="I295" s="430">
        <v>2.4</v>
      </c>
      <c r="J295" s="432">
        <v>3</v>
      </c>
      <c r="K295" s="432">
        <v>17</v>
      </c>
      <c r="L295" s="441">
        <v>6</v>
      </c>
      <c r="P295" s="533"/>
      <c r="Q295" s="5">
        <v>44749</v>
      </c>
      <c r="R295" s="4" t="s">
        <v>60</v>
      </c>
      <c r="S295" s="35" t="s">
        <v>27</v>
      </c>
      <c r="T295" s="2" t="s">
        <v>26</v>
      </c>
      <c r="U295" s="4" t="s">
        <v>1</v>
      </c>
      <c r="V295" s="17">
        <v>57.31</v>
      </c>
      <c r="W295" s="17">
        <v>11.86</v>
      </c>
      <c r="X295" s="17">
        <v>2.79</v>
      </c>
      <c r="Y295" s="17">
        <v>9.3000000000000007</v>
      </c>
      <c r="Z295" s="17">
        <v>44.55</v>
      </c>
      <c r="AA295" s="533"/>
      <c r="AB295" s="533"/>
    </row>
    <row r="296" spans="2:28" ht="14.5" x14ac:dyDescent="0.35">
      <c r="B296" s="446">
        <v>44746</v>
      </c>
      <c r="C296" s="2" t="s">
        <v>5</v>
      </c>
      <c r="D296" s="35" t="s">
        <v>31</v>
      </c>
      <c r="E296" s="2" t="s">
        <v>26</v>
      </c>
      <c r="F296" s="4" t="s">
        <v>0</v>
      </c>
      <c r="G296" s="431">
        <v>63.2</v>
      </c>
      <c r="H296" s="431">
        <v>2.2999999999999998</v>
      </c>
      <c r="I296" s="428">
        <v>2.2999999999999998</v>
      </c>
      <c r="J296" s="435">
        <v>2</v>
      </c>
      <c r="K296" s="435">
        <v>12</v>
      </c>
      <c r="L296" s="436">
        <v>9</v>
      </c>
      <c r="P296" s="533"/>
      <c r="Q296" s="5">
        <v>44750</v>
      </c>
      <c r="R296" s="4" t="s">
        <v>60</v>
      </c>
      <c r="S296" s="35" t="s">
        <v>27</v>
      </c>
      <c r="T296" s="2" t="s">
        <v>26</v>
      </c>
      <c r="U296" s="4" t="s">
        <v>1</v>
      </c>
      <c r="V296" s="17">
        <v>59.4</v>
      </c>
      <c r="W296" s="17">
        <v>7.39</v>
      </c>
      <c r="X296" s="17">
        <v>3.34</v>
      </c>
      <c r="Y296" s="17">
        <v>5.6</v>
      </c>
      <c r="Z296" s="17">
        <v>52.1</v>
      </c>
      <c r="AA296" s="533"/>
      <c r="AB296" s="533"/>
    </row>
    <row r="297" spans="2:28" ht="14.5" x14ac:dyDescent="0.35">
      <c r="B297" s="446">
        <v>44747</v>
      </c>
      <c r="C297" s="2" t="s">
        <v>5</v>
      </c>
      <c r="D297" s="35" t="s">
        <v>31</v>
      </c>
      <c r="E297" s="2" t="s">
        <v>26</v>
      </c>
      <c r="F297" s="4" t="s">
        <v>0</v>
      </c>
      <c r="G297" s="431">
        <v>63.1</v>
      </c>
      <c r="H297" s="428">
        <v>2.2999999999999998</v>
      </c>
      <c r="I297" s="428">
        <v>2.5</v>
      </c>
      <c r="J297" s="435">
        <v>2</v>
      </c>
      <c r="K297" s="435">
        <v>13</v>
      </c>
      <c r="L297" s="436">
        <v>12</v>
      </c>
      <c r="P297" s="533"/>
      <c r="Q297" s="21">
        <v>44751</v>
      </c>
      <c r="R297" s="4" t="s">
        <v>60</v>
      </c>
      <c r="S297" s="35" t="s">
        <v>27</v>
      </c>
      <c r="T297" s="2" t="s">
        <v>26</v>
      </c>
      <c r="U297" s="4" t="s">
        <v>1</v>
      </c>
      <c r="V297" s="18">
        <v>55.49</v>
      </c>
      <c r="W297" s="18">
        <v>12.9</v>
      </c>
      <c r="X297" s="18">
        <v>3.8</v>
      </c>
      <c r="Y297" s="18">
        <v>13.3</v>
      </c>
      <c r="Z297" s="18">
        <v>31.5</v>
      </c>
      <c r="AA297" s="533"/>
      <c r="AB297" s="533"/>
    </row>
    <row r="298" spans="2:28" ht="15.5" x14ac:dyDescent="0.35">
      <c r="B298" s="446">
        <v>44748</v>
      </c>
      <c r="C298" s="2" t="s">
        <v>5</v>
      </c>
      <c r="D298" s="35" t="s">
        <v>31</v>
      </c>
      <c r="E298" s="2" t="s">
        <v>26</v>
      </c>
      <c r="F298" s="4" t="s">
        <v>0</v>
      </c>
      <c r="G298" s="428">
        <v>63.2</v>
      </c>
      <c r="H298" s="428">
        <v>2.4</v>
      </c>
      <c r="I298" s="428">
        <v>2.2000000000000002</v>
      </c>
      <c r="J298" s="435">
        <v>1</v>
      </c>
      <c r="K298" s="435">
        <v>16</v>
      </c>
      <c r="L298" s="436">
        <v>15</v>
      </c>
      <c r="P298" s="533"/>
      <c r="Q298" s="5">
        <v>44753</v>
      </c>
      <c r="R298" s="4" t="s">
        <v>60</v>
      </c>
      <c r="S298" s="35" t="s">
        <v>27</v>
      </c>
      <c r="T298" s="2" t="s">
        <v>26</v>
      </c>
      <c r="U298" s="4" t="s">
        <v>1</v>
      </c>
      <c r="V298" s="19">
        <v>62.55</v>
      </c>
      <c r="W298" s="19">
        <v>3.48</v>
      </c>
      <c r="X298" s="19">
        <v>2.19</v>
      </c>
      <c r="Y298" s="19">
        <v>14.9</v>
      </c>
      <c r="Z298" s="19">
        <v>47.2</v>
      </c>
      <c r="AA298" s="533"/>
      <c r="AB298" s="533"/>
    </row>
    <row r="299" spans="2:28" ht="15.5" x14ac:dyDescent="0.35">
      <c r="B299" s="446">
        <v>44749</v>
      </c>
      <c r="C299" s="2" t="s">
        <v>5</v>
      </c>
      <c r="D299" s="35" t="s">
        <v>31</v>
      </c>
      <c r="E299" s="2" t="s">
        <v>26</v>
      </c>
      <c r="F299" s="4" t="s">
        <v>0</v>
      </c>
      <c r="G299" s="428">
        <v>63.1</v>
      </c>
      <c r="H299" s="428">
        <v>2.2999999999999998</v>
      </c>
      <c r="I299" s="428">
        <v>2.5</v>
      </c>
      <c r="J299" s="435">
        <v>3</v>
      </c>
      <c r="K299" s="435">
        <v>20</v>
      </c>
      <c r="L299" s="436">
        <v>18</v>
      </c>
      <c r="P299" s="533"/>
      <c r="Q299" s="5">
        <v>44754</v>
      </c>
      <c r="R299" s="4" t="s">
        <v>60</v>
      </c>
      <c r="S299" s="35" t="s">
        <v>27</v>
      </c>
      <c r="T299" s="2" t="s">
        <v>26</v>
      </c>
      <c r="U299" s="4" t="s">
        <v>1</v>
      </c>
      <c r="V299" s="19">
        <v>60.47</v>
      </c>
      <c r="W299" s="19">
        <v>6.93</v>
      </c>
      <c r="X299" s="19">
        <v>2.19</v>
      </c>
      <c r="Y299" s="19">
        <v>6.6</v>
      </c>
      <c r="Z299" s="19">
        <v>53.2</v>
      </c>
      <c r="AA299" s="533"/>
      <c r="AB299" s="533"/>
    </row>
    <row r="300" spans="2:28" ht="15.5" x14ac:dyDescent="0.35">
      <c r="B300" s="446">
        <v>44750</v>
      </c>
      <c r="C300" s="2" t="s">
        <v>5</v>
      </c>
      <c r="D300" s="35" t="s">
        <v>31</v>
      </c>
      <c r="E300" s="2" t="s">
        <v>26</v>
      </c>
      <c r="F300" s="4" t="s">
        <v>0</v>
      </c>
      <c r="G300" s="428">
        <v>63.3</v>
      </c>
      <c r="H300" s="428">
        <v>2.2000000000000002</v>
      </c>
      <c r="I300" s="428">
        <v>2.2999999999999998</v>
      </c>
      <c r="J300" s="435">
        <v>2</v>
      </c>
      <c r="K300" s="435">
        <v>10</v>
      </c>
      <c r="L300" s="436">
        <v>19</v>
      </c>
      <c r="P300" s="533"/>
      <c r="Q300" s="22">
        <v>44757</v>
      </c>
      <c r="R300" s="4" t="s">
        <v>60</v>
      </c>
      <c r="S300" s="35" t="s">
        <v>31</v>
      </c>
      <c r="T300" s="2" t="s">
        <v>26</v>
      </c>
      <c r="U300" s="4" t="s">
        <v>1</v>
      </c>
      <c r="V300" s="20">
        <v>61.26</v>
      </c>
      <c r="W300" s="11">
        <v>4.1399999999999997</v>
      </c>
      <c r="X300" s="20">
        <v>3.97</v>
      </c>
      <c r="Y300" s="20">
        <v>0</v>
      </c>
      <c r="Z300" s="20">
        <v>42.7</v>
      </c>
      <c r="AA300" s="533"/>
      <c r="AB300" s="533"/>
    </row>
    <row r="301" spans="2:28" ht="14.5" x14ac:dyDescent="0.35">
      <c r="B301" s="443">
        <v>44751</v>
      </c>
      <c r="C301" s="2" t="s">
        <v>5</v>
      </c>
      <c r="D301" s="35" t="s">
        <v>31</v>
      </c>
      <c r="E301" s="2" t="s">
        <v>26</v>
      </c>
      <c r="F301" s="4" t="s">
        <v>0</v>
      </c>
      <c r="G301" s="431">
        <v>63.1</v>
      </c>
      <c r="H301" s="429">
        <v>2.2999999999999998</v>
      </c>
      <c r="I301" s="431">
        <v>2.4</v>
      </c>
      <c r="J301" s="433">
        <v>2</v>
      </c>
      <c r="K301" s="432">
        <v>17</v>
      </c>
      <c r="L301" s="436">
        <v>22</v>
      </c>
      <c r="P301" s="533"/>
      <c r="Q301" s="520">
        <v>44768</v>
      </c>
      <c r="R301" s="4" t="s">
        <v>4</v>
      </c>
      <c r="S301" s="35" t="s">
        <v>11</v>
      </c>
      <c r="T301" s="2" t="s">
        <v>26</v>
      </c>
      <c r="U301" s="4" t="s">
        <v>1</v>
      </c>
      <c r="V301" s="492">
        <v>62.2</v>
      </c>
      <c r="W301" s="492">
        <v>4.3</v>
      </c>
      <c r="X301" s="492">
        <v>2.1</v>
      </c>
      <c r="Y301" s="492">
        <v>10</v>
      </c>
      <c r="Z301" s="492">
        <v>50.9</v>
      </c>
      <c r="AA301" s="533"/>
      <c r="AB301" s="533"/>
    </row>
    <row r="302" spans="2:28" ht="14.5" x14ac:dyDescent="0.35">
      <c r="B302" s="443">
        <v>44751</v>
      </c>
      <c r="C302" s="2" t="s">
        <v>5</v>
      </c>
      <c r="D302" s="35" t="s">
        <v>31</v>
      </c>
      <c r="E302" s="2" t="s">
        <v>26</v>
      </c>
      <c r="F302" s="4" t="s">
        <v>0</v>
      </c>
      <c r="G302" s="431">
        <v>63.2</v>
      </c>
      <c r="H302" s="431">
        <v>2.2999999999999998</v>
      </c>
      <c r="I302" s="431">
        <v>2.2999999999999998</v>
      </c>
      <c r="J302" s="434">
        <v>2</v>
      </c>
      <c r="K302" s="432">
        <v>16</v>
      </c>
      <c r="L302" s="437">
        <v>24</v>
      </c>
      <c r="P302" s="533"/>
      <c r="Q302" s="519">
        <v>44769</v>
      </c>
      <c r="R302" s="4" t="s">
        <v>4</v>
      </c>
      <c r="S302" s="35" t="s">
        <v>11</v>
      </c>
      <c r="T302" s="2" t="s">
        <v>26</v>
      </c>
      <c r="U302" s="4" t="s">
        <v>1</v>
      </c>
      <c r="V302" s="491">
        <v>60.7</v>
      </c>
      <c r="W302" s="491">
        <v>5.2</v>
      </c>
      <c r="X302" s="491">
        <v>2.8</v>
      </c>
      <c r="Y302" s="491">
        <v>10.9</v>
      </c>
      <c r="Z302" s="491">
        <v>39.799999999999997</v>
      </c>
      <c r="AA302" s="533"/>
      <c r="AB302" s="533"/>
    </row>
    <row r="303" spans="2:28" ht="14.5" x14ac:dyDescent="0.35">
      <c r="B303" s="443">
        <v>44753</v>
      </c>
      <c r="C303" s="2" t="s">
        <v>5</v>
      </c>
      <c r="D303" s="35" t="s">
        <v>31</v>
      </c>
      <c r="E303" s="2" t="s">
        <v>26</v>
      </c>
      <c r="F303" s="4" t="s">
        <v>0</v>
      </c>
      <c r="G303" s="431">
        <v>63.1</v>
      </c>
      <c r="H303" s="429">
        <v>2.2000000000000002</v>
      </c>
      <c r="I303" s="431">
        <v>2.5</v>
      </c>
      <c r="J303" s="432">
        <v>4</v>
      </c>
      <c r="K303" s="435">
        <v>17</v>
      </c>
      <c r="L303" s="436">
        <v>29</v>
      </c>
      <c r="P303" s="533"/>
      <c r="Q303" s="520">
        <v>44769</v>
      </c>
      <c r="R303" s="4" t="s">
        <v>4</v>
      </c>
      <c r="S303" s="35" t="s">
        <v>11</v>
      </c>
      <c r="T303" s="2" t="s">
        <v>26</v>
      </c>
      <c r="U303" s="4" t="s">
        <v>1</v>
      </c>
      <c r="V303" s="492">
        <v>62.9</v>
      </c>
      <c r="W303" s="492">
        <v>2.4</v>
      </c>
      <c r="X303" s="492">
        <v>2.1</v>
      </c>
      <c r="Y303" s="492">
        <v>12.4</v>
      </c>
      <c r="Z303" s="492">
        <v>37.700000000000003</v>
      </c>
      <c r="AA303" s="533"/>
      <c r="AB303" s="533"/>
    </row>
    <row r="304" spans="2:28" ht="14.5" x14ac:dyDescent="0.35">
      <c r="B304" s="443">
        <v>44754</v>
      </c>
      <c r="C304" s="2" t="s">
        <v>5</v>
      </c>
      <c r="D304" s="35" t="s">
        <v>31</v>
      </c>
      <c r="E304" s="2" t="s">
        <v>26</v>
      </c>
      <c r="F304" s="4" t="s">
        <v>0</v>
      </c>
      <c r="G304" s="431">
        <v>63.2</v>
      </c>
      <c r="H304" s="431">
        <v>2.9</v>
      </c>
      <c r="I304" s="431">
        <v>2.5</v>
      </c>
      <c r="J304" s="432">
        <v>2</v>
      </c>
      <c r="K304" s="432">
        <v>12</v>
      </c>
      <c r="L304" s="440">
        <v>32</v>
      </c>
      <c r="P304" s="533"/>
      <c r="Q304" s="519">
        <v>44772</v>
      </c>
      <c r="R304" s="4" t="s">
        <v>4</v>
      </c>
      <c r="S304" s="35" t="s">
        <v>11</v>
      </c>
      <c r="T304" s="2" t="s">
        <v>26</v>
      </c>
      <c r="U304" s="4" t="s">
        <v>1</v>
      </c>
      <c r="V304" s="521">
        <v>60.4</v>
      </c>
      <c r="W304" s="521">
        <v>3.5</v>
      </c>
      <c r="X304" s="521">
        <v>1.5</v>
      </c>
      <c r="Y304" s="521">
        <v>4.9000000000000004</v>
      </c>
      <c r="Z304" s="521">
        <v>40.200000000000003</v>
      </c>
      <c r="AA304" s="533"/>
      <c r="AB304" s="533"/>
    </row>
    <row r="305" spans="2:28" ht="14.5" x14ac:dyDescent="0.35">
      <c r="B305" s="445">
        <v>44755</v>
      </c>
      <c r="C305" s="2" t="s">
        <v>5</v>
      </c>
      <c r="D305" s="35" t="s">
        <v>31</v>
      </c>
      <c r="E305" s="2" t="s">
        <v>26</v>
      </c>
      <c r="F305" s="4" t="s">
        <v>0</v>
      </c>
      <c r="G305" s="431">
        <v>63.1</v>
      </c>
      <c r="H305" s="429">
        <v>2.1</v>
      </c>
      <c r="I305" s="429">
        <v>2.7</v>
      </c>
      <c r="J305" s="432">
        <v>3</v>
      </c>
      <c r="K305" s="432">
        <v>17</v>
      </c>
      <c r="L305" s="436">
        <v>35</v>
      </c>
      <c r="P305" s="533"/>
      <c r="Q305" s="519">
        <v>44773</v>
      </c>
      <c r="R305" s="4" t="s">
        <v>4</v>
      </c>
      <c r="S305" s="35" t="s">
        <v>11</v>
      </c>
      <c r="T305" s="2" t="s">
        <v>26</v>
      </c>
      <c r="U305" s="4" t="s">
        <v>1</v>
      </c>
      <c r="V305" s="521">
        <v>62.4</v>
      </c>
      <c r="W305" s="521">
        <v>4.5</v>
      </c>
      <c r="X305" s="521">
        <v>1.8</v>
      </c>
      <c r="Y305" s="521">
        <v>16.2</v>
      </c>
      <c r="Z305" s="521">
        <v>37.700000000000003</v>
      </c>
      <c r="AA305" s="157"/>
      <c r="AB305" s="533"/>
    </row>
    <row r="306" spans="2:28" ht="14.5" x14ac:dyDescent="0.35">
      <c r="B306" s="443">
        <v>44757</v>
      </c>
      <c r="C306" s="2" t="s">
        <v>5</v>
      </c>
      <c r="D306" s="35" t="s">
        <v>31</v>
      </c>
      <c r="E306" s="2" t="s">
        <v>26</v>
      </c>
      <c r="F306" s="4" t="s">
        <v>0</v>
      </c>
      <c r="G306" s="431">
        <v>63.1</v>
      </c>
      <c r="H306" s="429">
        <v>2.2999999999999998</v>
      </c>
      <c r="I306" s="431">
        <v>2.5</v>
      </c>
      <c r="J306" s="432">
        <v>4</v>
      </c>
      <c r="K306" s="432">
        <v>9</v>
      </c>
      <c r="L306" s="437">
        <v>38</v>
      </c>
      <c r="P306" s="533"/>
      <c r="Q306" s="520">
        <v>44773</v>
      </c>
      <c r="R306" s="4" t="s">
        <v>4</v>
      </c>
      <c r="S306" s="35" t="s">
        <v>11</v>
      </c>
      <c r="T306" s="2" t="s">
        <v>26</v>
      </c>
      <c r="U306" s="4" t="s">
        <v>1</v>
      </c>
      <c r="V306" s="522">
        <v>62.5</v>
      </c>
      <c r="W306" s="493">
        <v>4</v>
      </c>
      <c r="X306" s="522">
        <v>1.8</v>
      </c>
      <c r="Y306" s="522">
        <v>6.4</v>
      </c>
      <c r="Z306" s="522">
        <v>41.8</v>
      </c>
      <c r="AA306" s="157"/>
      <c r="AB306" s="533"/>
    </row>
    <row r="307" spans="2:28" ht="14.5" x14ac:dyDescent="0.35">
      <c r="B307" s="445">
        <v>44758</v>
      </c>
      <c r="C307" s="2" t="s">
        <v>5</v>
      </c>
      <c r="D307" s="35" t="s">
        <v>31</v>
      </c>
      <c r="E307" s="2" t="s">
        <v>26</v>
      </c>
      <c r="F307" s="4" t="s">
        <v>0</v>
      </c>
      <c r="G307" s="429">
        <v>63.2</v>
      </c>
      <c r="H307" s="429">
        <v>2.2000000000000002</v>
      </c>
      <c r="I307" s="429">
        <v>2.4</v>
      </c>
      <c r="J307" s="432">
        <v>2</v>
      </c>
      <c r="K307" s="435">
        <v>8</v>
      </c>
      <c r="L307" s="441">
        <v>39</v>
      </c>
      <c r="P307" s="533"/>
      <c r="Q307" s="519">
        <v>44771</v>
      </c>
      <c r="R307" s="4" t="s">
        <v>4</v>
      </c>
      <c r="S307" s="35" t="s">
        <v>9</v>
      </c>
      <c r="T307" s="2" t="s">
        <v>26</v>
      </c>
      <c r="U307" s="4" t="s">
        <v>1</v>
      </c>
      <c r="V307" s="157">
        <v>63.3</v>
      </c>
      <c r="W307" s="491">
        <v>3.1</v>
      </c>
      <c r="X307" s="491">
        <v>2.2000000000000002</v>
      </c>
      <c r="Y307" s="491">
        <v>5.7</v>
      </c>
      <c r="Z307" s="491">
        <v>50</v>
      </c>
      <c r="AA307" s="157"/>
      <c r="AB307" s="533"/>
    </row>
    <row r="308" spans="2:28" ht="14.5" x14ac:dyDescent="0.35">
      <c r="B308" s="443">
        <v>44759</v>
      </c>
      <c r="C308" s="2" t="s">
        <v>5</v>
      </c>
      <c r="D308" s="35" t="s">
        <v>31</v>
      </c>
      <c r="E308" s="2" t="s">
        <v>26</v>
      </c>
      <c r="F308" s="4" t="s">
        <v>0</v>
      </c>
      <c r="G308" s="431">
        <v>63.2</v>
      </c>
      <c r="H308" s="431">
        <v>2.2000000000000002</v>
      </c>
      <c r="I308" s="431">
        <v>2.5</v>
      </c>
      <c r="J308" s="434">
        <v>2</v>
      </c>
      <c r="K308" s="435">
        <v>10</v>
      </c>
      <c r="L308" s="436">
        <v>42</v>
      </c>
      <c r="P308" s="533"/>
      <c r="Q308" s="512">
        <v>44768</v>
      </c>
      <c r="R308" s="4" t="s">
        <v>30</v>
      </c>
      <c r="S308" s="35" t="s">
        <v>9</v>
      </c>
      <c r="T308" s="2" t="s">
        <v>26</v>
      </c>
      <c r="U308" s="4" t="s">
        <v>1</v>
      </c>
      <c r="V308" s="516">
        <v>61.22</v>
      </c>
      <c r="W308" s="514">
        <v>5.25</v>
      </c>
      <c r="X308" s="515">
        <v>3.11</v>
      </c>
      <c r="Y308" s="517">
        <v>6.5217391304347823</v>
      </c>
      <c r="Z308" s="517">
        <v>45.652173913043477</v>
      </c>
      <c r="AA308" s="324"/>
      <c r="AB308" s="533"/>
    </row>
    <row r="309" spans="2:28" ht="14.5" x14ac:dyDescent="0.35">
      <c r="B309" s="443">
        <v>44760</v>
      </c>
      <c r="C309" s="2" t="s">
        <v>5</v>
      </c>
      <c r="D309" s="35" t="s">
        <v>31</v>
      </c>
      <c r="E309" s="2" t="s">
        <v>26</v>
      </c>
      <c r="F309" s="4" t="s">
        <v>0</v>
      </c>
      <c r="G309" s="431">
        <v>63.1</v>
      </c>
      <c r="H309" s="431">
        <v>2.2999999999999998</v>
      </c>
      <c r="I309" s="431">
        <v>2.5</v>
      </c>
      <c r="J309" s="435">
        <v>2</v>
      </c>
      <c r="K309" s="435">
        <v>13</v>
      </c>
      <c r="L309" s="436">
        <v>46</v>
      </c>
      <c r="P309" s="533"/>
      <c r="Q309" s="512">
        <v>44768</v>
      </c>
      <c r="R309" s="4" t="s">
        <v>30</v>
      </c>
      <c r="S309" s="35" t="s">
        <v>9</v>
      </c>
      <c r="T309" s="2" t="s">
        <v>26</v>
      </c>
      <c r="U309" s="4" t="s">
        <v>1</v>
      </c>
      <c r="V309" s="516">
        <v>63.1</v>
      </c>
      <c r="W309" s="514">
        <v>3.27</v>
      </c>
      <c r="X309" s="515">
        <v>2.0499999999999998</v>
      </c>
      <c r="Y309" s="517">
        <v>5.9171597633136095</v>
      </c>
      <c r="Z309" s="517">
        <v>47.928994082840234</v>
      </c>
      <c r="AA309" s="324"/>
      <c r="AB309" s="533"/>
    </row>
    <row r="310" spans="2:28" ht="14.5" x14ac:dyDescent="0.35">
      <c r="B310" s="443">
        <v>44762</v>
      </c>
      <c r="C310" s="2" t="s">
        <v>5</v>
      </c>
      <c r="D310" s="35" t="s">
        <v>31</v>
      </c>
      <c r="E310" s="2" t="s">
        <v>26</v>
      </c>
      <c r="F310" s="4" t="s">
        <v>0</v>
      </c>
      <c r="G310" s="429">
        <v>63.2</v>
      </c>
      <c r="H310" s="429">
        <v>2.2000000000000002</v>
      </c>
      <c r="I310" s="429">
        <v>2.5</v>
      </c>
      <c r="J310" s="435">
        <v>4</v>
      </c>
      <c r="K310" s="435">
        <v>21</v>
      </c>
      <c r="L310" s="442">
        <v>49</v>
      </c>
      <c r="P310" s="533"/>
      <c r="Q310" s="512">
        <v>44769</v>
      </c>
      <c r="R310" s="4" t="s">
        <v>30</v>
      </c>
      <c r="S310" s="35" t="s">
        <v>9</v>
      </c>
      <c r="T310" s="2" t="s">
        <v>26</v>
      </c>
      <c r="U310" s="4" t="s">
        <v>1</v>
      </c>
      <c r="V310" s="516">
        <v>64.349999999999994</v>
      </c>
      <c r="W310" s="514">
        <v>2.2599999999999998</v>
      </c>
      <c r="X310" s="515">
        <v>1.3</v>
      </c>
      <c r="Y310" s="517">
        <v>5.6</v>
      </c>
      <c r="Z310" s="517">
        <v>46.4</v>
      </c>
      <c r="AA310" s="324"/>
      <c r="AB310" s="533"/>
    </row>
    <row r="311" spans="2:28" ht="14.5" x14ac:dyDescent="0.35">
      <c r="B311" s="445">
        <v>44763</v>
      </c>
      <c r="C311" s="2" t="s">
        <v>5</v>
      </c>
      <c r="D311" s="35" t="s">
        <v>31</v>
      </c>
      <c r="E311" s="2" t="s">
        <v>26</v>
      </c>
      <c r="F311" s="4" t="s">
        <v>0</v>
      </c>
      <c r="G311" s="429">
        <v>63.1</v>
      </c>
      <c r="H311" s="429">
        <v>2.4</v>
      </c>
      <c r="I311" s="429">
        <v>2.4</v>
      </c>
      <c r="J311" s="435">
        <v>3</v>
      </c>
      <c r="K311" s="435">
        <v>10</v>
      </c>
      <c r="L311" s="441">
        <v>52</v>
      </c>
      <c r="P311" s="533"/>
      <c r="Q311" s="512">
        <v>44769</v>
      </c>
      <c r="R311" s="4" t="s">
        <v>30</v>
      </c>
      <c r="S311" s="35" t="s">
        <v>9</v>
      </c>
      <c r="T311" s="2" t="s">
        <v>26</v>
      </c>
      <c r="U311" s="4" t="s">
        <v>1</v>
      </c>
      <c r="V311" s="516">
        <v>61.36</v>
      </c>
      <c r="W311" s="514">
        <v>4.72</v>
      </c>
      <c r="X311" s="515">
        <v>3.24</v>
      </c>
      <c r="Y311" s="517">
        <v>6.3380281690140841</v>
      </c>
      <c r="Z311" s="517">
        <v>43.661971830985919</v>
      </c>
      <c r="AA311" s="324"/>
      <c r="AB311" s="533"/>
    </row>
    <row r="312" spans="2:28" ht="14.5" x14ac:dyDescent="0.35">
      <c r="B312" s="445">
        <v>44765</v>
      </c>
      <c r="C312" s="2" t="s">
        <v>5</v>
      </c>
      <c r="D312" s="35" t="s">
        <v>31</v>
      </c>
      <c r="E312" s="2" t="s">
        <v>26</v>
      </c>
      <c r="F312" s="4" t="s">
        <v>0</v>
      </c>
      <c r="G312" s="431">
        <v>63.1</v>
      </c>
      <c r="H312" s="431">
        <v>2.2999999999999998</v>
      </c>
      <c r="I312" s="431">
        <v>2.4</v>
      </c>
      <c r="J312" s="435">
        <v>3</v>
      </c>
      <c r="K312" s="435">
        <v>11</v>
      </c>
      <c r="L312" s="436">
        <v>66</v>
      </c>
      <c r="P312" s="533"/>
      <c r="Q312" s="512">
        <v>44769</v>
      </c>
      <c r="R312" s="4" t="s">
        <v>30</v>
      </c>
      <c r="S312" s="35" t="s">
        <v>9</v>
      </c>
      <c r="T312" s="2" t="s">
        <v>26</v>
      </c>
      <c r="U312" s="4" t="s">
        <v>1</v>
      </c>
      <c r="V312" s="516">
        <v>64.34</v>
      </c>
      <c r="W312" s="514">
        <v>2.4300000000000002</v>
      </c>
      <c r="X312" s="515">
        <v>1.32</v>
      </c>
      <c r="Y312" s="517">
        <v>7.096774193548387</v>
      </c>
      <c r="Z312" s="517">
        <v>46.451612903225808</v>
      </c>
      <c r="AA312" s="324"/>
      <c r="AB312" s="533"/>
    </row>
    <row r="313" spans="2:28" ht="14.5" x14ac:dyDescent="0.35">
      <c r="B313" s="446">
        <v>44766</v>
      </c>
      <c r="C313" s="2" t="s">
        <v>5</v>
      </c>
      <c r="D313" s="35" t="s">
        <v>31</v>
      </c>
      <c r="E313" s="2" t="s">
        <v>26</v>
      </c>
      <c r="F313" s="4" t="s">
        <v>0</v>
      </c>
      <c r="G313" s="431">
        <v>63</v>
      </c>
      <c r="H313" s="431">
        <v>2.2999999999999998</v>
      </c>
      <c r="I313" s="431">
        <v>2.5</v>
      </c>
      <c r="J313" s="435">
        <v>1</v>
      </c>
      <c r="K313" s="435">
        <v>8</v>
      </c>
      <c r="L313" s="436">
        <v>58</v>
      </c>
      <c r="P313" s="533"/>
      <c r="Q313" s="512">
        <v>44770</v>
      </c>
      <c r="R313" s="4" t="s">
        <v>30</v>
      </c>
      <c r="S313" s="35" t="s">
        <v>9</v>
      </c>
      <c r="T313" s="2" t="s">
        <v>26</v>
      </c>
      <c r="U313" s="4" t="s">
        <v>1</v>
      </c>
      <c r="V313" s="516">
        <v>63.63</v>
      </c>
      <c r="W313" s="514">
        <v>2.72</v>
      </c>
      <c r="X313" s="515">
        <v>1.53</v>
      </c>
      <c r="Y313" s="517">
        <v>7.0063694267515935</v>
      </c>
      <c r="Z313" s="517">
        <v>43.312101910828027</v>
      </c>
      <c r="AA313" s="324"/>
      <c r="AB313" s="533"/>
    </row>
    <row r="314" spans="2:28" ht="14.5" x14ac:dyDescent="0.35">
      <c r="B314" s="446">
        <v>44767</v>
      </c>
      <c r="C314" s="2" t="s">
        <v>5</v>
      </c>
      <c r="D314" s="35" t="s">
        <v>31</v>
      </c>
      <c r="E314" s="2" t="s">
        <v>26</v>
      </c>
      <c r="F314" s="4" t="s">
        <v>0</v>
      </c>
      <c r="G314" s="431">
        <v>63.1</v>
      </c>
      <c r="H314" s="428">
        <v>2.2000000000000002</v>
      </c>
      <c r="I314" s="431">
        <v>2.6</v>
      </c>
      <c r="J314" s="433">
        <v>2</v>
      </c>
      <c r="K314" s="432">
        <v>14</v>
      </c>
      <c r="L314" s="436">
        <v>61</v>
      </c>
      <c r="P314" s="533"/>
      <c r="Q314" s="512">
        <v>44771</v>
      </c>
      <c r="R314" s="4" t="s">
        <v>30</v>
      </c>
      <c r="S314" s="35" t="s">
        <v>9</v>
      </c>
      <c r="T314" s="2" t="s">
        <v>26</v>
      </c>
      <c r="U314" s="4" t="s">
        <v>1</v>
      </c>
      <c r="V314" s="516">
        <v>64.540000000000006</v>
      </c>
      <c r="W314" s="514">
        <v>1.56</v>
      </c>
      <c r="X314" s="515">
        <v>1.31</v>
      </c>
      <c r="Y314" s="517">
        <v>6.666666666666667</v>
      </c>
      <c r="Z314" s="517">
        <v>45.925925925925924</v>
      </c>
      <c r="AA314" s="324"/>
      <c r="AB314" s="533"/>
    </row>
    <row r="315" spans="2:28" ht="14.5" x14ac:dyDescent="0.35">
      <c r="B315" s="446">
        <v>44767</v>
      </c>
      <c r="C315" s="2" t="s">
        <v>5</v>
      </c>
      <c r="D315" s="35" t="s">
        <v>31</v>
      </c>
      <c r="E315" s="2" t="s">
        <v>26</v>
      </c>
      <c r="F315" s="4" t="s">
        <v>0</v>
      </c>
      <c r="G315" s="431">
        <v>63.2</v>
      </c>
      <c r="H315" s="431">
        <v>2.2999999999999998</v>
      </c>
      <c r="I315" s="431">
        <v>2.4</v>
      </c>
      <c r="J315" s="435">
        <v>4</v>
      </c>
      <c r="K315" s="435">
        <v>13</v>
      </c>
      <c r="L315" s="436">
        <v>64</v>
      </c>
      <c r="P315" s="533"/>
      <c r="Q315" s="512">
        <v>44772</v>
      </c>
      <c r="R315" s="4" t="s">
        <v>30</v>
      </c>
      <c r="S315" s="35" t="s">
        <v>9</v>
      </c>
      <c r="T315" s="2" t="s">
        <v>26</v>
      </c>
      <c r="U315" s="4" t="s">
        <v>1</v>
      </c>
      <c r="V315" s="516">
        <v>62.467999999999989</v>
      </c>
      <c r="W315" s="514">
        <v>3.63</v>
      </c>
      <c r="X315" s="515">
        <v>2.5499999999999998</v>
      </c>
      <c r="Y315" s="517">
        <v>6.4285714285714297</v>
      </c>
      <c r="Z315" s="517">
        <v>48.571428571428569</v>
      </c>
      <c r="AA315" s="324"/>
      <c r="AB315" s="533"/>
    </row>
    <row r="316" spans="2:28" ht="15.5" x14ac:dyDescent="0.25">
      <c r="B316" s="195">
        <v>44743</v>
      </c>
      <c r="C316" s="2" t="s">
        <v>5</v>
      </c>
      <c r="D316" s="35" t="s">
        <v>10</v>
      </c>
      <c r="E316" s="2" t="s">
        <v>26</v>
      </c>
      <c r="F316" s="4" t="s">
        <v>0</v>
      </c>
      <c r="G316" s="165">
        <v>61.9</v>
      </c>
      <c r="H316" s="165">
        <v>2.9</v>
      </c>
      <c r="I316" s="165">
        <v>3.3</v>
      </c>
      <c r="J316" s="524">
        <v>5</v>
      </c>
      <c r="K316" s="162">
        <v>21</v>
      </c>
      <c r="L316" s="162">
        <v>71</v>
      </c>
      <c r="P316" s="533"/>
      <c r="Q316" s="512">
        <v>44773</v>
      </c>
      <c r="R316" s="4" t="s">
        <v>30</v>
      </c>
      <c r="S316" s="35" t="s">
        <v>9</v>
      </c>
      <c r="T316" s="2" t="s">
        <v>26</v>
      </c>
      <c r="U316" s="4" t="s">
        <v>1</v>
      </c>
      <c r="V316" s="516">
        <v>61.34</v>
      </c>
      <c r="W316" s="514">
        <v>4.95</v>
      </c>
      <c r="X316" s="515">
        <v>3.18</v>
      </c>
      <c r="Y316" s="513">
        <v>5.7971014492753632</v>
      </c>
      <c r="Z316" s="513">
        <v>47.826086956521742</v>
      </c>
      <c r="AA316" s="324"/>
      <c r="AB316" s="533"/>
    </row>
    <row r="317" spans="2:28" ht="15.5" x14ac:dyDescent="0.35">
      <c r="B317" s="208">
        <v>44744</v>
      </c>
      <c r="C317" s="2" t="s">
        <v>5</v>
      </c>
      <c r="D317" s="35" t="s">
        <v>10</v>
      </c>
      <c r="E317" s="2" t="s">
        <v>26</v>
      </c>
      <c r="F317" s="4" t="s">
        <v>0</v>
      </c>
      <c r="G317" s="168">
        <v>61.9</v>
      </c>
      <c r="H317" s="169">
        <v>2.1</v>
      </c>
      <c r="I317" s="169">
        <v>4.4000000000000004</v>
      </c>
      <c r="J317" s="529">
        <v>12</v>
      </c>
      <c r="K317" s="168">
        <v>23</v>
      </c>
      <c r="L317" s="162">
        <v>1</v>
      </c>
      <c r="P317" s="533"/>
      <c r="Q317" s="512">
        <v>44770</v>
      </c>
      <c r="R317" s="4" t="s">
        <v>30</v>
      </c>
      <c r="S317" s="35" t="s">
        <v>11</v>
      </c>
      <c r="T317" s="2" t="s">
        <v>26</v>
      </c>
      <c r="U317" s="4" t="s">
        <v>1</v>
      </c>
      <c r="V317" s="516">
        <v>63.3</v>
      </c>
      <c r="W317" s="514">
        <v>2.71</v>
      </c>
      <c r="X317" s="515">
        <v>1.99</v>
      </c>
      <c r="Y317" s="517">
        <v>6.5789473684210522</v>
      </c>
      <c r="Z317" s="517">
        <v>46.05263157894737</v>
      </c>
      <c r="AA317" s="324"/>
      <c r="AB317" s="533"/>
    </row>
    <row r="318" spans="2:28" ht="15.5" x14ac:dyDescent="0.35">
      <c r="B318" s="208">
        <v>44745</v>
      </c>
      <c r="C318" s="2" t="s">
        <v>5</v>
      </c>
      <c r="D318" s="35" t="s">
        <v>10</v>
      </c>
      <c r="E318" s="2" t="s">
        <v>26</v>
      </c>
      <c r="F318" s="4" t="s">
        <v>0</v>
      </c>
      <c r="G318" s="168">
        <v>62</v>
      </c>
      <c r="H318" s="169">
        <v>3.2</v>
      </c>
      <c r="I318" s="169">
        <v>3.1</v>
      </c>
      <c r="J318" s="524">
        <v>13</v>
      </c>
      <c r="K318" s="168">
        <v>21</v>
      </c>
      <c r="L318" s="162">
        <v>4</v>
      </c>
      <c r="P318" s="533"/>
      <c r="Q318" s="512">
        <v>44772</v>
      </c>
      <c r="R318" s="4" t="s">
        <v>30</v>
      </c>
      <c r="S318" s="35" t="s">
        <v>11</v>
      </c>
      <c r="T318" s="2" t="s">
        <v>26</v>
      </c>
      <c r="U318" s="4" t="s">
        <v>1</v>
      </c>
      <c r="V318" s="516">
        <v>61.201000000000001</v>
      </c>
      <c r="W318" s="514">
        <v>4.7699999999999996</v>
      </c>
      <c r="X318" s="515">
        <v>3.29</v>
      </c>
      <c r="Y318" s="517">
        <v>6.6225165562913908</v>
      </c>
      <c r="Z318" s="517">
        <v>45.695364238410605</v>
      </c>
      <c r="AA318" s="324"/>
      <c r="AB318" s="533"/>
    </row>
    <row r="319" spans="2:28" ht="15.5" x14ac:dyDescent="0.35">
      <c r="B319" s="208">
        <v>44746</v>
      </c>
      <c r="C319" s="2" t="s">
        <v>5</v>
      </c>
      <c r="D319" s="35" t="s">
        <v>10</v>
      </c>
      <c r="E319" s="2" t="s">
        <v>26</v>
      </c>
      <c r="F319" s="4" t="s">
        <v>0</v>
      </c>
      <c r="G319" s="168">
        <v>61.8</v>
      </c>
      <c r="H319" s="169">
        <v>3.4</v>
      </c>
      <c r="I319" s="169">
        <v>3.2</v>
      </c>
      <c r="J319" s="524">
        <v>12</v>
      </c>
      <c r="K319" s="168">
        <v>21</v>
      </c>
      <c r="L319" s="162">
        <v>5</v>
      </c>
      <c r="P319" s="533"/>
      <c r="Q319" s="512">
        <v>44773</v>
      </c>
      <c r="R319" s="4" t="s">
        <v>30</v>
      </c>
      <c r="S319" s="35" t="s">
        <v>11</v>
      </c>
      <c r="T319" s="2" t="s">
        <v>26</v>
      </c>
      <c r="U319" s="4" t="s">
        <v>1</v>
      </c>
      <c r="V319" s="516">
        <v>62.78</v>
      </c>
      <c r="W319" s="514">
        <v>4.04</v>
      </c>
      <c r="X319" s="515">
        <v>1.71</v>
      </c>
      <c r="Y319" s="517">
        <v>8.8435374149659864</v>
      </c>
      <c r="Z319" s="517">
        <v>37.414965986394563</v>
      </c>
      <c r="AA319" s="324"/>
      <c r="AB319" s="533"/>
    </row>
    <row r="320" spans="2:28" ht="15.5" x14ac:dyDescent="0.35">
      <c r="B320" s="208">
        <v>44747</v>
      </c>
      <c r="C320" s="2" t="s">
        <v>5</v>
      </c>
      <c r="D320" s="35" t="s">
        <v>10</v>
      </c>
      <c r="E320" s="2" t="s">
        <v>26</v>
      </c>
      <c r="F320" s="4" t="s">
        <v>0</v>
      </c>
      <c r="G320" s="168">
        <v>61.6</v>
      </c>
      <c r="H320" s="169">
        <v>4.4000000000000004</v>
      </c>
      <c r="I320" s="169">
        <v>2.5</v>
      </c>
      <c r="J320" s="524">
        <v>11</v>
      </c>
      <c r="K320" s="168">
        <v>20</v>
      </c>
      <c r="L320" s="162">
        <v>8</v>
      </c>
      <c r="P320" s="533"/>
      <c r="Q320" s="3">
        <v>44769</v>
      </c>
      <c r="R320" s="4" t="s">
        <v>60</v>
      </c>
      <c r="S320" s="35" t="s">
        <v>11</v>
      </c>
      <c r="T320" s="2" t="s">
        <v>26</v>
      </c>
      <c r="U320" s="4" t="s">
        <v>1</v>
      </c>
      <c r="V320" s="157">
        <v>65.78</v>
      </c>
      <c r="W320" s="321">
        <v>1.99</v>
      </c>
      <c r="X320" s="320">
        <v>1.51</v>
      </c>
      <c r="Y320" s="323">
        <v>0</v>
      </c>
      <c r="Z320" s="322">
        <v>64.5</v>
      </c>
      <c r="AA320" s="324"/>
      <c r="AB320" s="533"/>
    </row>
    <row r="321" spans="2:28" ht="15.5" x14ac:dyDescent="0.35">
      <c r="B321" s="208">
        <v>44749</v>
      </c>
      <c r="C321" s="2" t="s">
        <v>5</v>
      </c>
      <c r="D321" s="35" t="s">
        <v>10</v>
      </c>
      <c r="E321" s="2" t="s">
        <v>26</v>
      </c>
      <c r="F321" s="4" t="s">
        <v>0</v>
      </c>
      <c r="G321" s="168">
        <v>61.8</v>
      </c>
      <c r="H321" s="171">
        <v>3.2</v>
      </c>
      <c r="I321" s="169">
        <v>3.4</v>
      </c>
      <c r="J321" s="529">
        <v>12</v>
      </c>
      <c r="K321" s="168">
        <v>19</v>
      </c>
      <c r="L321" s="162">
        <v>11</v>
      </c>
      <c r="P321" s="533"/>
      <c r="Q321" s="3">
        <v>44769</v>
      </c>
      <c r="R321" s="4" t="s">
        <v>5</v>
      </c>
      <c r="S321" s="35" t="s">
        <v>146</v>
      </c>
      <c r="T321" s="2" t="s">
        <v>26</v>
      </c>
      <c r="U321" s="4" t="s">
        <v>1</v>
      </c>
      <c r="V321" s="524">
        <v>62.2</v>
      </c>
      <c r="W321" s="524">
        <v>2.7</v>
      </c>
      <c r="X321" s="524">
        <v>3.2</v>
      </c>
      <c r="Y321" s="524">
        <v>6</v>
      </c>
      <c r="Z321" s="524">
        <v>36</v>
      </c>
      <c r="AA321" s="30"/>
      <c r="AB321" s="533"/>
    </row>
    <row r="322" spans="2:28" ht="15.5" x14ac:dyDescent="0.35">
      <c r="B322" s="208">
        <v>44750</v>
      </c>
      <c r="C322" s="2" t="s">
        <v>5</v>
      </c>
      <c r="D322" s="35" t="s">
        <v>10</v>
      </c>
      <c r="E322" s="2" t="s">
        <v>26</v>
      </c>
      <c r="F322" s="4" t="s">
        <v>0</v>
      </c>
      <c r="G322" s="168">
        <v>61.5</v>
      </c>
      <c r="H322" s="171">
        <v>3.5</v>
      </c>
      <c r="I322" s="169">
        <v>3.3</v>
      </c>
      <c r="J322" s="529">
        <v>13</v>
      </c>
      <c r="K322" s="168">
        <v>15</v>
      </c>
      <c r="L322" s="162">
        <v>12</v>
      </c>
      <c r="P322" s="533"/>
      <c r="Q322" s="3">
        <v>44772</v>
      </c>
      <c r="R322" s="4" t="s">
        <v>5</v>
      </c>
      <c r="S322" s="35" t="s">
        <v>146</v>
      </c>
      <c r="T322" s="2" t="s">
        <v>26</v>
      </c>
      <c r="U322" s="4" t="s">
        <v>1</v>
      </c>
      <c r="V322" s="525">
        <v>62.3</v>
      </c>
      <c r="W322" s="524">
        <v>3</v>
      </c>
      <c r="X322" s="525">
        <v>2.7</v>
      </c>
      <c r="Y322" s="524">
        <v>5</v>
      </c>
      <c r="Z322" s="524">
        <v>37</v>
      </c>
      <c r="AA322" s="30"/>
      <c r="AB322" s="533"/>
    </row>
    <row r="323" spans="2:28" ht="15.5" x14ac:dyDescent="0.35">
      <c r="B323" s="208">
        <v>44750</v>
      </c>
      <c r="C323" s="2" t="s">
        <v>5</v>
      </c>
      <c r="D323" s="35" t="s">
        <v>10</v>
      </c>
      <c r="E323" s="2" t="s">
        <v>26</v>
      </c>
      <c r="F323" s="4" t="s">
        <v>0</v>
      </c>
      <c r="G323" s="168">
        <v>62.8</v>
      </c>
      <c r="H323" s="169">
        <v>2.2000000000000002</v>
      </c>
      <c r="I323" s="169">
        <v>3</v>
      </c>
      <c r="J323" s="530">
        <v>9</v>
      </c>
      <c r="K323" s="168">
        <v>23</v>
      </c>
      <c r="L323" s="162">
        <v>13</v>
      </c>
      <c r="P323" s="533"/>
      <c r="Q323" s="3">
        <v>44772</v>
      </c>
      <c r="R323" s="4" t="s">
        <v>5</v>
      </c>
      <c r="S323" s="35" t="s">
        <v>146</v>
      </c>
      <c r="T323" s="2" t="s">
        <v>26</v>
      </c>
      <c r="U323" s="4" t="s">
        <v>1</v>
      </c>
      <c r="V323" s="530">
        <v>62.2</v>
      </c>
      <c r="W323" s="530">
        <v>2.7</v>
      </c>
      <c r="X323" s="530">
        <v>3.1</v>
      </c>
      <c r="Y323" s="524">
        <v>8</v>
      </c>
      <c r="Z323" s="531">
        <v>37</v>
      </c>
      <c r="AA323" s="30"/>
      <c r="AB323" s="533"/>
    </row>
    <row r="324" spans="2:28" ht="15.5" x14ac:dyDescent="0.35">
      <c r="B324" s="208">
        <v>44752</v>
      </c>
      <c r="C324" s="2" t="s">
        <v>5</v>
      </c>
      <c r="D324" s="35" t="s">
        <v>10</v>
      </c>
      <c r="E324" s="2" t="s">
        <v>26</v>
      </c>
      <c r="F324" s="4" t="s">
        <v>0</v>
      </c>
      <c r="G324" s="168">
        <v>61.7</v>
      </c>
      <c r="H324" s="169">
        <v>3</v>
      </c>
      <c r="I324" s="169">
        <v>3.8</v>
      </c>
      <c r="J324" s="530">
        <v>4</v>
      </c>
      <c r="K324" s="168">
        <v>23</v>
      </c>
      <c r="L324" s="162">
        <v>15</v>
      </c>
      <c r="P324" s="533"/>
      <c r="Q324" s="3">
        <v>44768</v>
      </c>
      <c r="R324" s="4" t="s">
        <v>5</v>
      </c>
      <c r="S324" s="35" t="s">
        <v>27</v>
      </c>
      <c r="T324" s="2" t="s">
        <v>26</v>
      </c>
      <c r="U324" s="4" t="s">
        <v>1</v>
      </c>
      <c r="V324" s="524">
        <v>59.2</v>
      </c>
      <c r="W324" s="530">
        <v>6.7</v>
      </c>
      <c r="X324" s="530">
        <v>3.4</v>
      </c>
      <c r="Y324" s="529">
        <v>7</v>
      </c>
      <c r="Z324" s="532">
        <v>45</v>
      </c>
      <c r="AA324" s="30"/>
      <c r="AB324" s="533"/>
    </row>
    <row r="325" spans="2:28" ht="16" thickBot="1" x14ac:dyDescent="0.3">
      <c r="B325" s="193">
        <v>44753</v>
      </c>
      <c r="C325" s="2" t="s">
        <v>5</v>
      </c>
      <c r="D325" s="35" t="s">
        <v>10</v>
      </c>
      <c r="E325" s="2" t="s">
        <v>26</v>
      </c>
      <c r="F325" s="4" t="s">
        <v>0</v>
      </c>
      <c r="G325" s="187">
        <v>61.7</v>
      </c>
      <c r="H325" s="187">
        <v>2.4</v>
      </c>
      <c r="I325" s="187">
        <v>4.3</v>
      </c>
      <c r="J325" s="530">
        <v>13</v>
      </c>
      <c r="K325" s="187">
        <v>21</v>
      </c>
      <c r="L325" s="187">
        <v>18</v>
      </c>
      <c r="P325" s="533"/>
      <c r="Q325" s="3">
        <v>44770</v>
      </c>
      <c r="R325" s="4" t="s">
        <v>5</v>
      </c>
      <c r="S325" s="35" t="s">
        <v>27</v>
      </c>
      <c r="T325" s="2" t="s">
        <v>26</v>
      </c>
      <c r="U325" s="4" t="s">
        <v>1</v>
      </c>
      <c r="V325" s="530">
        <v>60.8</v>
      </c>
      <c r="W325" s="530">
        <v>5</v>
      </c>
      <c r="X325" s="524">
        <v>2.9</v>
      </c>
      <c r="Y325" s="529">
        <v>5</v>
      </c>
      <c r="Z325" s="532">
        <v>45</v>
      </c>
      <c r="AA325" s="30"/>
      <c r="AB325" s="533"/>
    </row>
    <row r="326" spans="2:28" ht="15.5" x14ac:dyDescent="0.25">
      <c r="B326" s="196">
        <v>44753</v>
      </c>
      <c r="C326" s="2" t="s">
        <v>5</v>
      </c>
      <c r="D326" s="35" t="s">
        <v>10</v>
      </c>
      <c r="E326" s="2" t="s">
        <v>26</v>
      </c>
      <c r="F326" s="4" t="s">
        <v>0</v>
      </c>
      <c r="G326" s="158">
        <v>62.1</v>
      </c>
      <c r="H326" s="158">
        <v>2.9</v>
      </c>
      <c r="I326" s="158">
        <v>3.3</v>
      </c>
      <c r="J326" s="524">
        <v>7</v>
      </c>
      <c r="K326" s="158">
        <v>28</v>
      </c>
      <c r="L326" s="158">
        <v>20</v>
      </c>
      <c r="P326" s="533"/>
      <c r="Q326" s="3">
        <v>44770</v>
      </c>
      <c r="R326" s="4" t="s">
        <v>5</v>
      </c>
      <c r="S326" s="35" t="s">
        <v>27</v>
      </c>
      <c r="T326" s="2" t="s">
        <v>26</v>
      </c>
      <c r="U326" s="4" t="s">
        <v>1</v>
      </c>
      <c r="V326" s="530">
        <v>57.9</v>
      </c>
      <c r="W326" s="530">
        <v>9.4</v>
      </c>
      <c r="X326" s="524">
        <v>2.7</v>
      </c>
      <c r="Y326" s="529"/>
      <c r="Z326" s="532"/>
      <c r="AA326" s="30"/>
      <c r="AB326" s="533"/>
    </row>
    <row r="327" spans="2:28" ht="14.5" x14ac:dyDescent="0.25">
      <c r="B327" s="197">
        <v>44755</v>
      </c>
      <c r="C327" s="2" t="s">
        <v>5</v>
      </c>
      <c r="D327" s="35" t="s">
        <v>10</v>
      </c>
      <c r="E327" s="2" t="s">
        <v>26</v>
      </c>
      <c r="F327" s="4" t="s">
        <v>0</v>
      </c>
      <c r="G327" s="157">
        <v>61.8</v>
      </c>
      <c r="H327" s="157">
        <v>2.2000000000000002</v>
      </c>
      <c r="I327" s="157">
        <v>4.4000000000000004</v>
      </c>
      <c r="J327" s="524">
        <v>10</v>
      </c>
      <c r="K327" s="157">
        <v>18</v>
      </c>
      <c r="L327" s="159">
        <v>24</v>
      </c>
      <c r="P327" s="533"/>
      <c r="Q327" s="3">
        <v>44772</v>
      </c>
      <c r="R327" s="4" t="s">
        <v>5</v>
      </c>
      <c r="S327" s="35" t="s">
        <v>27</v>
      </c>
      <c r="T327" s="2" t="s">
        <v>26</v>
      </c>
      <c r="U327" s="4" t="s">
        <v>1</v>
      </c>
      <c r="V327" s="530">
        <v>58.1</v>
      </c>
      <c r="W327" s="530">
        <v>9.3000000000000007</v>
      </c>
      <c r="X327" s="530">
        <v>2.5</v>
      </c>
      <c r="Y327" s="524">
        <v>10</v>
      </c>
      <c r="Z327" s="532">
        <v>37</v>
      </c>
      <c r="AA327" s="30"/>
      <c r="AB327" s="533"/>
    </row>
    <row r="328" spans="2:28" ht="15.5" x14ac:dyDescent="0.25">
      <c r="B328" s="194">
        <v>44755</v>
      </c>
      <c r="C328" s="2" t="s">
        <v>5</v>
      </c>
      <c r="D328" s="35" t="s">
        <v>10</v>
      </c>
      <c r="E328" s="2" t="s">
        <v>26</v>
      </c>
      <c r="F328" s="4" t="s">
        <v>0</v>
      </c>
      <c r="G328" s="165">
        <v>62.2</v>
      </c>
      <c r="H328" s="165">
        <v>2.2999999999999998</v>
      </c>
      <c r="I328" s="162">
        <v>3.7</v>
      </c>
      <c r="J328" s="524">
        <v>9</v>
      </c>
      <c r="K328" s="162">
        <v>15</v>
      </c>
      <c r="L328" s="162">
        <v>26</v>
      </c>
      <c r="P328" s="533"/>
      <c r="Q328" s="3">
        <v>44769</v>
      </c>
      <c r="R328" s="4" t="s">
        <v>5</v>
      </c>
      <c r="S328" s="35" t="s">
        <v>2</v>
      </c>
      <c r="T328" s="2" t="s">
        <v>26</v>
      </c>
      <c r="U328" s="4" t="s">
        <v>1</v>
      </c>
      <c r="V328" s="530">
        <v>59.5</v>
      </c>
      <c r="W328" s="530">
        <v>6.4</v>
      </c>
      <c r="X328" s="530">
        <v>3.1</v>
      </c>
      <c r="Y328" s="529">
        <v>5</v>
      </c>
      <c r="Z328" s="531">
        <v>42</v>
      </c>
      <c r="AA328" s="30"/>
      <c r="AB328" s="533"/>
    </row>
    <row r="329" spans="2:28" ht="15.5" x14ac:dyDescent="0.25">
      <c r="B329" s="194">
        <v>44756</v>
      </c>
      <c r="C329" s="2" t="s">
        <v>5</v>
      </c>
      <c r="D329" s="35" t="s">
        <v>10</v>
      </c>
      <c r="E329" s="2" t="s">
        <v>26</v>
      </c>
      <c r="F329" s="4" t="s">
        <v>0</v>
      </c>
      <c r="G329" s="162">
        <v>62</v>
      </c>
      <c r="H329" s="162">
        <v>3.5</v>
      </c>
      <c r="I329" s="162">
        <v>2.9</v>
      </c>
      <c r="J329" s="530">
        <v>12</v>
      </c>
      <c r="K329" s="162">
        <v>13</v>
      </c>
      <c r="L329" s="162">
        <v>29</v>
      </c>
      <c r="P329" s="533"/>
      <c r="Q329" s="3">
        <v>44768</v>
      </c>
      <c r="R329" s="4" t="s">
        <v>5</v>
      </c>
      <c r="S329" s="35" t="s">
        <v>31</v>
      </c>
      <c r="T329" s="2" t="s">
        <v>26</v>
      </c>
      <c r="U329" s="4" t="s">
        <v>1</v>
      </c>
      <c r="V329" s="524">
        <v>62.8</v>
      </c>
      <c r="W329" s="524">
        <v>3</v>
      </c>
      <c r="X329" s="524">
        <v>2</v>
      </c>
      <c r="Y329" s="530">
        <v>5</v>
      </c>
      <c r="Z329" s="530">
        <v>42</v>
      </c>
      <c r="AA329" s="30"/>
      <c r="AB329" s="533"/>
    </row>
    <row r="330" spans="2:28" ht="15.5" x14ac:dyDescent="0.35">
      <c r="B330" s="198">
        <v>44757</v>
      </c>
      <c r="C330" s="2" t="s">
        <v>5</v>
      </c>
      <c r="D330" s="35" t="s">
        <v>10</v>
      </c>
      <c r="E330" s="2" t="s">
        <v>26</v>
      </c>
      <c r="F330" s="4" t="s">
        <v>0</v>
      </c>
      <c r="G330" s="183">
        <v>62.6</v>
      </c>
      <c r="H330" s="183">
        <v>2.5</v>
      </c>
      <c r="I330" s="173">
        <v>3</v>
      </c>
      <c r="J330" s="530">
        <v>2</v>
      </c>
      <c r="K330" s="173">
        <v>20</v>
      </c>
      <c r="L330" s="172">
        <v>30</v>
      </c>
      <c r="P330" s="533"/>
      <c r="Q330" s="3">
        <v>44769</v>
      </c>
      <c r="R330" s="4" t="s">
        <v>5</v>
      </c>
      <c r="S330" s="35" t="s">
        <v>31</v>
      </c>
      <c r="T330" s="2" t="s">
        <v>26</v>
      </c>
      <c r="U330" s="4" t="s">
        <v>1</v>
      </c>
      <c r="V330" s="524">
        <v>62.8</v>
      </c>
      <c r="W330" s="524">
        <v>2.4</v>
      </c>
      <c r="X330" s="525">
        <v>2.6</v>
      </c>
      <c r="Y330" s="530">
        <v>5</v>
      </c>
      <c r="Z330" s="530">
        <v>37</v>
      </c>
      <c r="AA330" s="30"/>
      <c r="AB330" s="533"/>
    </row>
    <row r="331" spans="2:28" ht="15.5" x14ac:dyDescent="0.35">
      <c r="B331" s="199">
        <v>44759</v>
      </c>
      <c r="C331" s="2" t="s">
        <v>5</v>
      </c>
      <c r="D331" s="35" t="s">
        <v>10</v>
      </c>
      <c r="E331" s="2" t="s">
        <v>26</v>
      </c>
      <c r="F331" s="4" t="s">
        <v>0</v>
      </c>
      <c r="G331" s="181">
        <v>62.4</v>
      </c>
      <c r="H331" s="184">
        <v>2.5</v>
      </c>
      <c r="I331" s="181">
        <v>3.2</v>
      </c>
      <c r="J331" s="524">
        <v>11</v>
      </c>
      <c r="K331" s="181">
        <v>20</v>
      </c>
      <c r="L331" s="180">
        <v>35</v>
      </c>
      <c r="P331" s="533"/>
      <c r="Q331" s="3">
        <v>44769</v>
      </c>
      <c r="R331" s="4" t="s">
        <v>5</v>
      </c>
      <c r="S331" s="35" t="s">
        <v>31</v>
      </c>
      <c r="T331" s="2" t="s">
        <v>26</v>
      </c>
      <c r="U331" s="4" t="s">
        <v>1</v>
      </c>
      <c r="V331" s="524">
        <v>63</v>
      </c>
      <c r="W331" s="524">
        <v>2.6</v>
      </c>
      <c r="X331" s="524">
        <v>2.1</v>
      </c>
      <c r="Y331" s="530">
        <v>4</v>
      </c>
      <c r="Z331" s="530">
        <v>39</v>
      </c>
      <c r="AA331" s="30"/>
      <c r="AB331" s="533"/>
    </row>
    <row r="332" spans="2:28" ht="15.5" x14ac:dyDescent="0.25">
      <c r="B332" s="200">
        <v>44760</v>
      </c>
      <c r="C332" s="2" t="s">
        <v>5</v>
      </c>
      <c r="D332" s="35" t="s">
        <v>10</v>
      </c>
      <c r="E332" s="2" t="s">
        <v>26</v>
      </c>
      <c r="F332" s="4" t="s">
        <v>0</v>
      </c>
      <c r="G332" s="185">
        <v>60</v>
      </c>
      <c r="H332" s="185">
        <v>2.8</v>
      </c>
      <c r="I332" s="185">
        <v>6.4</v>
      </c>
      <c r="J332" s="524">
        <v>8</v>
      </c>
      <c r="K332" s="185">
        <v>27</v>
      </c>
      <c r="L332" s="185">
        <v>38</v>
      </c>
      <c r="P332" s="533"/>
      <c r="Q332" s="3">
        <v>44769</v>
      </c>
      <c r="R332" s="4" t="s">
        <v>5</v>
      </c>
      <c r="S332" s="35" t="s">
        <v>31</v>
      </c>
      <c r="T332" s="2" t="s">
        <v>26</v>
      </c>
      <c r="U332" s="4" t="s">
        <v>1</v>
      </c>
      <c r="V332" s="524">
        <v>62.9</v>
      </c>
      <c r="W332" s="524">
        <v>2.2999999999999998</v>
      </c>
      <c r="X332" s="525">
        <v>2.6</v>
      </c>
      <c r="Y332" s="530">
        <v>5</v>
      </c>
      <c r="Z332" s="530">
        <v>35</v>
      </c>
      <c r="AA332" s="30"/>
      <c r="AB332" s="533"/>
    </row>
    <row r="333" spans="2:28" ht="16" thickBot="1" x14ac:dyDescent="0.3">
      <c r="B333" s="195">
        <v>44761</v>
      </c>
      <c r="C333" s="2" t="s">
        <v>5</v>
      </c>
      <c r="D333" s="35" t="s">
        <v>10</v>
      </c>
      <c r="E333" s="2" t="s">
        <v>26</v>
      </c>
      <c r="F333" s="4" t="s">
        <v>0</v>
      </c>
      <c r="G333" s="186">
        <v>55.5</v>
      </c>
      <c r="H333" s="186">
        <v>13</v>
      </c>
      <c r="I333" s="186">
        <v>3</v>
      </c>
      <c r="J333" s="524">
        <v>13</v>
      </c>
      <c r="K333" s="182">
        <v>13</v>
      </c>
      <c r="L333" s="182">
        <v>42</v>
      </c>
      <c r="P333" s="533"/>
      <c r="Q333" s="3">
        <v>44770</v>
      </c>
      <c r="R333" s="4" t="s">
        <v>5</v>
      </c>
      <c r="S333" s="35" t="s">
        <v>31</v>
      </c>
      <c r="T333" s="2" t="s">
        <v>26</v>
      </c>
      <c r="U333" s="4" t="s">
        <v>1</v>
      </c>
      <c r="V333" s="524">
        <v>63</v>
      </c>
      <c r="W333" s="525">
        <v>2.5</v>
      </c>
      <c r="X333" s="524">
        <v>2.2000000000000002</v>
      </c>
      <c r="Y333" s="524">
        <v>4</v>
      </c>
      <c r="Z333" s="524">
        <v>40</v>
      </c>
      <c r="AA333" s="30"/>
      <c r="AB333" s="533"/>
    </row>
    <row r="334" spans="2:28" ht="16" thickBot="1" x14ac:dyDescent="0.3">
      <c r="B334" s="201">
        <v>44762</v>
      </c>
      <c r="C334" s="2" t="s">
        <v>5</v>
      </c>
      <c r="D334" s="35" t="s">
        <v>10</v>
      </c>
      <c r="E334" s="2" t="s">
        <v>26</v>
      </c>
      <c r="F334" s="4" t="s">
        <v>0</v>
      </c>
      <c r="G334" s="163">
        <v>56.8</v>
      </c>
      <c r="H334" s="163">
        <v>9.1999999999999993</v>
      </c>
      <c r="I334" s="161">
        <v>4.8</v>
      </c>
      <c r="J334" s="524">
        <v>4</v>
      </c>
      <c r="K334" s="161">
        <v>21</v>
      </c>
      <c r="L334" s="156">
        <v>44</v>
      </c>
      <c r="P334" s="533"/>
      <c r="Q334" s="3">
        <v>44770</v>
      </c>
      <c r="R334" s="4" t="s">
        <v>5</v>
      </c>
      <c r="S334" s="35" t="s">
        <v>31</v>
      </c>
      <c r="T334" s="2" t="s">
        <v>26</v>
      </c>
      <c r="U334" s="4" t="s">
        <v>1</v>
      </c>
      <c r="V334" s="524">
        <v>62.4</v>
      </c>
      <c r="W334" s="525">
        <v>2.9</v>
      </c>
      <c r="X334" s="525">
        <v>2.7</v>
      </c>
      <c r="Y334" s="524">
        <v>3</v>
      </c>
      <c r="Z334" s="524">
        <v>40</v>
      </c>
      <c r="AA334" s="30"/>
      <c r="AB334" s="533"/>
    </row>
    <row r="335" spans="2:28" ht="14.5" x14ac:dyDescent="0.35">
      <c r="B335" s="208">
        <v>44764</v>
      </c>
      <c r="C335" s="2" t="s">
        <v>5</v>
      </c>
      <c r="D335" s="35" t="s">
        <v>10</v>
      </c>
      <c r="E335" s="2" t="s">
        <v>26</v>
      </c>
      <c r="F335" s="4" t="s">
        <v>0</v>
      </c>
      <c r="G335" s="73">
        <v>55.7</v>
      </c>
      <c r="H335" s="73">
        <v>12.3</v>
      </c>
      <c r="I335" s="73">
        <v>3.1</v>
      </c>
      <c r="J335" s="524">
        <v>10</v>
      </c>
      <c r="K335" s="210">
        <v>33</v>
      </c>
      <c r="L335" s="207">
        <v>49</v>
      </c>
      <c r="P335" s="533"/>
      <c r="Q335" s="3">
        <v>44771</v>
      </c>
      <c r="R335" s="4" t="s">
        <v>5</v>
      </c>
      <c r="S335" s="35" t="s">
        <v>31</v>
      </c>
      <c r="T335" s="2" t="s">
        <v>26</v>
      </c>
      <c r="U335" s="4" t="s">
        <v>1</v>
      </c>
      <c r="V335" s="524">
        <v>62.7</v>
      </c>
      <c r="W335" s="524">
        <v>2.4</v>
      </c>
      <c r="X335" s="525">
        <v>2.8</v>
      </c>
      <c r="Y335" s="524">
        <v>2</v>
      </c>
      <c r="Z335" s="524">
        <v>42</v>
      </c>
      <c r="AA335" s="30"/>
      <c r="AB335" s="533"/>
    </row>
    <row r="336" spans="2:28" ht="14.5" x14ac:dyDescent="0.35">
      <c r="B336" s="208">
        <v>44765</v>
      </c>
      <c r="C336" s="2" t="s">
        <v>5</v>
      </c>
      <c r="D336" s="35" t="s">
        <v>10</v>
      </c>
      <c r="E336" s="2" t="s">
        <v>26</v>
      </c>
      <c r="F336" s="4" t="s">
        <v>0</v>
      </c>
      <c r="G336" s="73">
        <v>59.1</v>
      </c>
      <c r="H336" s="73">
        <v>6</v>
      </c>
      <c r="I336" s="73">
        <v>4.5</v>
      </c>
      <c r="J336" s="524">
        <v>12</v>
      </c>
      <c r="K336" s="210">
        <v>22</v>
      </c>
      <c r="L336" s="207">
        <v>53</v>
      </c>
      <c r="P336" s="533"/>
      <c r="Q336" s="3">
        <v>44771</v>
      </c>
      <c r="R336" s="4" t="s">
        <v>5</v>
      </c>
      <c r="S336" s="35" t="s">
        <v>31</v>
      </c>
      <c r="T336" s="2" t="s">
        <v>26</v>
      </c>
      <c r="U336" s="4" t="s">
        <v>1</v>
      </c>
      <c r="V336" s="524">
        <v>63</v>
      </c>
      <c r="W336" s="525">
        <v>2.2000000000000002</v>
      </c>
      <c r="X336" s="525">
        <v>2.5</v>
      </c>
      <c r="Y336" s="524">
        <v>3</v>
      </c>
      <c r="Z336" s="524">
        <v>36</v>
      </c>
      <c r="AA336" s="30"/>
      <c r="AB336" s="533"/>
    </row>
    <row r="337" spans="2:28" ht="14.5" x14ac:dyDescent="0.35">
      <c r="B337" s="208">
        <v>44768</v>
      </c>
      <c r="C337" s="2" t="s">
        <v>5</v>
      </c>
      <c r="D337" s="35" t="s">
        <v>10</v>
      </c>
      <c r="E337" s="2" t="s">
        <v>26</v>
      </c>
      <c r="F337" s="4" t="s">
        <v>0</v>
      </c>
      <c r="G337" s="73">
        <v>62.1</v>
      </c>
      <c r="H337" s="73">
        <v>3.1</v>
      </c>
      <c r="I337" s="73">
        <v>3</v>
      </c>
      <c r="J337" s="524">
        <v>3</v>
      </c>
      <c r="K337" s="210">
        <v>22</v>
      </c>
      <c r="L337" s="207">
        <v>57</v>
      </c>
      <c r="P337" s="533"/>
      <c r="Q337" s="3">
        <v>44772</v>
      </c>
      <c r="R337" s="4" t="s">
        <v>5</v>
      </c>
      <c r="S337" s="35" t="s">
        <v>31</v>
      </c>
      <c r="T337" s="2" t="s">
        <v>26</v>
      </c>
      <c r="U337" s="4" t="s">
        <v>1</v>
      </c>
      <c r="V337" s="524">
        <v>62.9</v>
      </c>
      <c r="W337" s="525">
        <v>2.2999999999999998</v>
      </c>
      <c r="X337" s="525">
        <v>2.6</v>
      </c>
      <c r="Y337" s="524">
        <v>3</v>
      </c>
      <c r="Z337" s="524">
        <v>40</v>
      </c>
      <c r="AA337" s="30"/>
      <c r="AB337" s="533"/>
    </row>
    <row r="338" spans="2:28" ht="14.5" x14ac:dyDescent="0.35">
      <c r="B338" s="208">
        <v>44744</v>
      </c>
      <c r="C338" s="4" t="s">
        <v>5</v>
      </c>
      <c r="D338" s="35" t="s">
        <v>146</v>
      </c>
      <c r="E338" s="2" t="s">
        <v>26</v>
      </c>
      <c r="F338" s="4" t="s">
        <v>0</v>
      </c>
      <c r="G338" s="73">
        <v>62.8</v>
      </c>
      <c r="H338" s="73">
        <v>2.4</v>
      </c>
      <c r="I338" s="73">
        <v>2.8</v>
      </c>
      <c r="J338" s="206">
        <v>5</v>
      </c>
      <c r="K338" s="210">
        <v>22</v>
      </c>
      <c r="L338" s="207">
        <v>2</v>
      </c>
      <c r="P338" s="533"/>
      <c r="Q338" s="3">
        <v>44772</v>
      </c>
      <c r="R338" s="4" t="s">
        <v>5</v>
      </c>
      <c r="S338" s="35" t="s">
        <v>31</v>
      </c>
      <c r="T338" s="2" t="s">
        <v>26</v>
      </c>
      <c r="U338" s="4" t="s">
        <v>1</v>
      </c>
      <c r="V338" s="525">
        <v>63</v>
      </c>
      <c r="W338" s="525">
        <v>2.1</v>
      </c>
      <c r="X338" s="525">
        <v>2.6</v>
      </c>
      <c r="Y338" s="530">
        <v>3</v>
      </c>
      <c r="Z338" s="530">
        <v>41</v>
      </c>
      <c r="AA338" s="30"/>
      <c r="AB338" s="533"/>
    </row>
    <row r="339" spans="2:28" ht="14.5" x14ac:dyDescent="0.35">
      <c r="B339" s="208">
        <v>44748</v>
      </c>
      <c r="C339" s="4" t="s">
        <v>5</v>
      </c>
      <c r="D339" s="35" t="s">
        <v>146</v>
      </c>
      <c r="E339" s="2" t="s">
        <v>26</v>
      </c>
      <c r="F339" s="4" t="s">
        <v>0</v>
      </c>
      <c r="G339" s="73">
        <v>62.6</v>
      </c>
      <c r="H339" s="73">
        <v>2.8</v>
      </c>
      <c r="I339" s="73">
        <v>2.7</v>
      </c>
      <c r="J339" s="206">
        <v>3</v>
      </c>
      <c r="K339" s="210">
        <v>17</v>
      </c>
      <c r="L339" s="207">
        <v>10</v>
      </c>
      <c r="P339" s="533"/>
      <c r="Q339" s="3">
        <v>44772</v>
      </c>
      <c r="R339" s="4" t="s">
        <v>5</v>
      </c>
      <c r="S339" s="35" t="s">
        <v>31</v>
      </c>
      <c r="T339" s="2" t="s">
        <v>26</v>
      </c>
      <c r="U339" s="4" t="s">
        <v>1</v>
      </c>
      <c r="V339" s="524">
        <v>62.8</v>
      </c>
      <c r="W339" s="525">
        <v>2.7</v>
      </c>
      <c r="X339" s="524">
        <v>2.2999999999999998</v>
      </c>
      <c r="Y339" s="524">
        <v>4</v>
      </c>
      <c r="Z339" s="524">
        <v>43</v>
      </c>
      <c r="AA339" s="30"/>
      <c r="AB339" s="533"/>
    </row>
    <row r="340" spans="2:28" ht="15.5" x14ac:dyDescent="0.35">
      <c r="B340" s="208">
        <v>44752</v>
      </c>
      <c r="C340" s="4" t="s">
        <v>5</v>
      </c>
      <c r="D340" s="35" t="s">
        <v>146</v>
      </c>
      <c r="E340" s="2" t="s">
        <v>26</v>
      </c>
      <c r="F340" s="4" t="s">
        <v>0</v>
      </c>
      <c r="G340" s="73">
        <v>62.6</v>
      </c>
      <c r="H340" s="73">
        <v>2.8</v>
      </c>
      <c r="I340" s="73">
        <v>2.7</v>
      </c>
      <c r="J340" s="206">
        <v>7</v>
      </c>
      <c r="K340" s="210">
        <v>11</v>
      </c>
      <c r="L340" s="207">
        <v>17</v>
      </c>
      <c r="P340" s="325"/>
      <c r="Q340" s="3"/>
      <c r="R340" s="4"/>
      <c r="S340" s="35"/>
      <c r="T340" s="4"/>
      <c r="U340" s="4"/>
      <c r="V340" s="168"/>
      <c r="W340" s="171"/>
      <c r="X340" s="167"/>
      <c r="Y340" s="168"/>
      <c r="Z340" s="168"/>
      <c r="AA340" s="30"/>
      <c r="AB340" s="325"/>
    </row>
    <row r="341" spans="2:28" ht="15.5" x14ac:dyDescent="0.35">
      <c r="B341" s="208">
        <v>44754</v>
      </c>
      <c r="C341" s="4" t="s">
        <v>5</v>
      </c>
      <c r="D341" s="35" t="s">
        <v>146</v>
      </c>
      <c r="E341" s="2" t="s">
        <v>26</v>
      </c>
      <c r="F341" s="4" t="s">
        <v>0</v>
      </c>
      <c r="G341" s="73">
        <v>62.7</v>
      </c>
      <c r="H341" s="73">
        <v>2.4</v>
      </c>
      <c r="I341" s="73">
        <v>2.9</v>
      </c>
      <c r="J341" s="206">
        <v>5</v>
      </c>
      <c r="K341" s="210">
        <v>22</v>
      </c>
      <c r="L341" s="207">
        <v>21</v>
      </c>
      <c r="P341" s="325"/>
      <c r="Q341" s="3"/>
      <c r="R341" s="4"/>
      <c r="S341" s="35"/>
      <c r="T341" s="4"/>
      <c r="U341" s="4"/>
      <c r="V341" s="171"/>
      <c r="W341" s="171"/>
      <c r="X341" s="171"/>
      <c r="Y341" s="162"/>
      <c r="Z341" s="168"/>
      <c r="AA341" s="30"/>
      <c r="AB341" s="325"/>
    </row>
    <row r="342" spans="2:28" ht="15.5" x14ac:dyDescent="0.35">
      <c r="B342" s="208">
        <v>44758</v>
      </c>
      <c r="C342" s="4" t="s">
        <v>5</v>
      </c>
      <c r="D342" s="35" t="s">
        <v>146</v>
      </c>
      <c r="E342" s="2" t="s">
        <v>26</v>
      </c>
      <c r="F342" s="4" t="s">
        <v>0</v>
      </c>
      <c r="G342" s="73">
        <v>62.7</v>
      </c>
      <c r="H342" s="73">
        <v>2.4</v>
      </c>
      <c r="I342" s="73">
        <v>2.9</v>
      </c>
      <c r="J342" s="206">
        <v>2</v>
      </c>
      <c r="K342" s="210">
        <v>10</v>
      </c>
      <c r="L342" s="207">
        <v>31</v>
      </c>
      <c r="P342" s="325"/>
      <c r="Q342" s="3"/>
      <c r="R342" s="4"/>
      <c r="S342" s="35"/>
      <c r="T342" s="4"/>
      <c r="U342" s="4"/>
      <c r="V342" s="168"/>
      <c r="W342" s="169"/>
      <c r="X342" s="169"/>
      <c r="Y342" s="162"/>
      <c r="Z342" s="168"/>
      <c r="AA342" s="30"/>
      <c r="AB342" s="325"/>
    </row>
    <row r="343" spans="2:28" ht="15.5" x14ac:dyDescent="0.35">
      <c r="B343" s="208">
        <v>44759</v>
      </c>
      <c r="C343" s="4" t="s">
        <v>5</v>
      </c>
      <c r="D343" s="35" t="s">
        <v>146</v>
      </c>
      <c r="E343" s="2" t="s">
        <v>26</v>
      </c>
      <c r="F343" s="4" t="s">
        <v>0</v>
      </c>
      <c r="G343" s="73">
        <v>62.7</v>
      </c>
      <c r="H343" s="73">
        <v>2.5</v>
      </c>
      <c r="I343" s="73">
        <v>4.9000000000000004</v>
      </c>
      <c r="J343" s="206">
        <v>3</v>
      </c>
      <c r="K343" s="210">
        <v>14</v>
      </c>
      <c r="L343" s="207">
        <v>37</v>
      </c>
      <c r="P343" s="325"/>
      <c r="Q343" s="3"/>
      <c r="R343" s="4"/>
      <c r="S343" s="35"/>
      <c r="T343" s="4"/>
      <c r="U343" s="4"/>
      <c r="V343" s="176"/>
      <c r="W343" s="177"/>
      <c r="X343" s="175"/>
      <c r="Y343" s="174"/>
      <c r="Z343" s="168"/>
      <c r="AA343" s="30"/>
      <c r="AB343" s="325"/>
    </row>
    <row r="344" spans="2:28" ht="15.5" x14ac:dyDescent="0.35">
      <c r="B344" s="208">
        <v>44761</v>
      </c>
      <c r="C344" s="4" t="s">
        <v>5</v>
      </c>
      <c r="D344" s="35" t="s">
        <v>146</v>
      </c>
      <c r="E344" s="2" t="s">
        <v>26</v>
      </c>
      <c r="F344" s="4" t="s">
        <v>0</v>
      </c>
      <c r="G344" s="73">
        <v>62.6</v>
      </c>
      <c r="H344" s="73">
        <v>2.7</v>
      </c>
      <c r="I344" s="73">
        <v>2.8</v>
      </c>
      <c r="J344" s="206">
        <v>6</v>
      </c>
      <c r="K344" s="210">
        <v>15</v>
      </c>
      <c r="L344" s="207">
        <v>41</v>
      </c>
      <c r="P344" s="325"/>
      <c r="Q344" s="3"/>
      <c r="R344" s="4"/>
      <c r="S344" s="35"/>
      <c r="T344" s="4"/>
      <c r="U344" s="4"/>
      <c r="V344" s="176"/>
      <c r="W344" s="175"/>
      <c r="X344" s="177"/>
      <c r="Y344" s="174"/>
      <c r="Z344" s="168"/>
      <c r="AA344" s="30"/>
      <c r="AB344" s="325"/>
    </row>
    <row r="345" spans="2:28" ht="15.5" x14ac:dyDescent="0.35">
      <c r="B345" s="208">
        <v>44763</v>
      </c>
      <c r="C345" s="4" t="s">
        <v>5</v>
      </c>
      <c r="D345" s="35" t="s">
        <v>146</v>
      </c>
      <c r="E345" s="2" t="s">
        <v>26</v>
      </c>
      <c r="F345" s="4" t="s">
        <v>0</v>
      </c>
      <c r="G345" s="73">
        <v>62.6</v>
      </c>
      <c r="H345" s="73">
        <v>2.7</v>
      </c>
      <c r="I345" s="73">
        <v>2.8</v>
      </c>
      <c r="J345" s="206">
        <v>2</v>
      </c>
      <c r="K345" s="210">
        <v>13</v>
      </c>
      <c r="L345" s="207">
        <v>46</v>
      </c>
      <c r="P345" s="325"/>
      <c r="Q345" s="3"/>
      <c r="R345" s="4"/>
      <c r="S345" s="35"/>
      <c r="T345" s="4"/>
      <c r="U345" s="4"/>
      <c r="V345" s="176"/>
      <c r="W345" s="175"/>
      <c r="X345" s="175"/>
      <c r="Y345" s="174"/>
      <c r="Z345" s="168"/>
      <c r="AA345" s="30"/>
      <c r="AB345" s="325"/>
    </row>
    <row r="346" spans="2:28" ht="14.5" x14ac:dyDescent="0.35">
      <c r="B346" s="208">
        <v>44764</v>
      </c>
      <c r="C346" s="4" t="s">
        <v>5</v>
      </c>
      <c r="D346" s="35" t="s">
        <v>146</v>
      </c>
      <c r="E346" s="2" t="s">
        <v>26</v>
      </c>
      <c r="F346" s="4" t="s">
        <v>0</v>
      </c>
      <c r="G346" s="73">
        <v>62.7</v>
      </c>
      <c r="H346" s="73">
        <v>2.5</v>
      </c>
      <c r="I346" s="73">
        <v>2.8</v>
      </c>
      <c r="J346" s="206">
        <v>6</v>
      </c>
      <c r="K346" s="210">
        <v>12</v>
      </c>
      <c r="L346" s="207">
        <v>51</v>
      </c>
      <c r="P346" s="325"/>
      <c r="Q346" s="3"/>
      <c r="R346" s="4"/>
      <c r="S346" s="35"/>
      <c r="T346" s="4"/>
      <c r="U346" s="4"/>
      <c r="V346" s="157"/>
      <c r="W346" s="157"/>
      <c r="X346" s="157"/>
      <c r="Y346" s="157"/>
      <c r="Z346" s="157"/>
      <c r="AA346" s="30"/>
      <c r="AB346" s="325"/>
    </row>
    <row r="347" spans="2:28" ht="14.5" x14ac:dyDescent="0.35">
      <c r="B347" s="208">
        <v>44766</v>
      </c>
      <c r="C347" s="4" t="s">
        <v>5</v>
      </c>
      <c r="D347" s="35" t="s">
        <v>146</v>
      </c>
      <c r="E347" s="2" t="s">
        <v>26</v>
      </c>
      <c r="F347" s="4" t="s">
        <v>0</v>
      </c>
      <c r="G347" s="73">
        <v>62.7</v>
      </c>
      <c r="H347" s="73">
        <v>2.6</v>
      </c>
      <c r="I347" s="73">
        <v>2.7</v>
      </c>
      <c r="J347" s="206">
        <v>8</v>
      </c>
      <c r="K347" s="210">
        <v>14</v>
      </c>
      <c r="L347" s="207">
        <v>55</v>
      </c>
      <c r="P347" s="325"/>
      <c r="Q347" s="3"/>
      <c r="R347" s="4"/>
      <c r="S347" s="35"/>
      <c r="T347" s="4"/>
      <c r="U347" s="4"/>
      <c r="V347" s="157"/>
      <c r="W347" s="157"/>
      <c r="X347" s="157"/>
      <c r="Y347" s="157"/>
      <c r="Z347" s="157"/>
      <c r="AA347" s="30"/>
      <c r="AB347" s="325"/>
    </row>
    <row r="348" spans="2:28" ht="14.5" x14ac:dyDescent="0.35">
      <c r="B348" s="208">
        <v>44743</v>
      </c>
      <c r="C348" s="4" t="s">
        <v>5</v>
      </c>
      <c r="D348" s="35" t="s">
        <v>146</v>
      </c>
      <c r="E348" s="2" t="s">
        <v>26</v>
      </c>
      <c r="F348" s="4" t="s">
        <v>1</v>
      </c>
      <c r="G348" s="73">
        <v>62.3</v>
      </c>
      <c r="H348" s="73">
        <v>3</v>
      </c>
      <c r="I348" s="73">
        <v>2.7</v>
      </c>
      <c r="J348" s="206">
        <v>8</v>
      </c>
      <c r="K348" s="210">
        <v>35</v>
      </c>
      <c r="L348" s="207"/>
      <c r="P348" s="325"/>
      <c r="Q348" s="3"/>
      <c r="R348" s="4"/>
      <c r="S348" s="35"/>
      <c r="T348" s="4"/>
      <c r="U348" s="4"/>
      <c r="V348" s="157"/>
      <c r="W348" s="160"/>
      <c r="X348" s="157"/>
      <c r="Y348" s="157"/>
      <c r="Z348" s="157"/>
      <c r="AA348" s="30"/>
      <c r="AB348" s="325"/>
    </row>
    <row r="349" spans="2:28" ht="15.5" x14ac:dyDescent="0.35">
      <c r="B349" s="208">
        <v>44744</v>
      </c>
      <c r="C349" s="4" t="s">
        <v>5</v>
      </c>
      <c r="D349" s="35" t="s">
        <v>146</v>
      </c>
      <c r="E349" s="2" t="s">
        <v>26</v>
      </c>
      <c r="F349" s="4" t="s">
        <v>1</v>
      </c>
      <c r="G349" s="73">
        <v>62.1</v>
      </c>
      <c r="H349" s="73">
        <v>3.1</v>
      </c>
      <c r="I349" s="73">
        <v>2.9</v>
      </c>
      <c r="J349" s="206">
        <v>11</v>
      </c>
      <c r="K349" s="210">
        <v>38</v>
      </c>
      <c r="L349" s="207"/>
      <c r="P349" s="325"/>
      <c r="Q349" s="3"/>
      <c r="R349" s="4"/>
      <c r="S349" s="35"/>
      <c r="T349" s="4"/>
      <c r="U349" s="4"/>
      <c r="V349" s="162"/>
      <c r="W349" s="165"/>
      <c r="X349" s="178"/>
      <c r="Y349" s="162"/>
      <c r="Z349" s="162"/>
      <c r="AA349" s="30"/>
      <c r="AB349" s="325"/>
    </row>
    <row r="350" spans="2:28" ht="15.5" x14ac:dyDescent="0.35">
      <c r="B350" s="208">
        <v>44746</v>
      </c>
      <c r="C350" s="4" t="s">
        <v>5</v>
      </c>
      <c r="D350" s="35" t="s">
        <v>146</v>
      </c>
      <c r="E350" s="2" t="s">
        <v>26</v>
      </c>
      <c r="F350" s="4" t="s">
        <v>1</v>
      </c>
      <c r="G350" s="73">
        <v>62.5</v>
      </c>
      <c r="H350" s="73">
        <v>2.8</v>
      </c>
      <c r="I350" s="73">
        <v>2.7</v>
      </c>
      <c r="J350" s="206">
        <v>6</v>
      </c>
      <c r="K350" s="210">
        <v>36</v>
      </c>
      <c r="L350" s="207"/>
      <c r="P350" s="325"/>
      <c r="Q350" s="188"/>
      <c r="R350" s="4"/>
      <c r="S350" s="35"/>
      <c r="T350" s="4"/>
      <c r="U350" s="4"/>
      <c r="V350" s="162"/>
      <c r="W350" s="178"/>
      <c r="X350" s="178"/>
      <c r="Y350" s="162"/>
      <c r="Z350" s="162"/>
      <c r="AA350" s="162"/>
      <c r="AB350" s="325"/>
    </row>
    <row r="351" spans="2:28" ht="15.5" x14ac:dyDescent="0.35">
      <c r="B351" s="208">
        <v>44746</v>
      </c>
      <c r="C351" s="4" t="s">
        <v>5</v>
      </c>
      <c r="D351" s="35" t="s">
        <v>146</v>
      </c>
      <c r="E351" s="2" t="s">
        <v>26</v>
      </c>
      <c r="F351" s="4" t="s">
        <v>1</v>
      </c>
      <c r="G351" s="73">
        <v>62.4</v>
      </c>
      <c r="H351" s="73">
        <v>2.8</v>
      </c>
      <c r="I351" s="73">
        <v>3</v>
      </c>
      <c r="J351" s="206">
        <v>4</v>
      </c>
      <c r="K351" s="210">
        <v>37</v>
      </c>
      <c r="L351" s="207"/>
      <c r="P351" s="325"/>
      <c r="Q351" s="188"/>
      <c r="R351" s="4"/>
      <c r="S351" s="35"/>
      <c r="T351" s="4"/>
      <c r="U351" s="4"/>
      <c r="V351" s="162"/>
      <c r="W351" s="165"/>
      <c r="X351" s="165"/>
      <c r="Y351" s="162"/>
      <c r="Z351" s="162"/>
      <c r="AA351" s="162"/>
      <c r="AB351" s="325"/>
    </row>
    <row r="352" spans="2:28" ht="15.5" x14ac:dyDescent="0.35">
      <c r="B352" s="208">
        <v>44748</v>
      </c>
      <c r="C352" s="4" t="s">
        <v>5</v>
      </c>
      <c r="D352" s="35" t="s">
        <v>146</v>
      </c>
      <c r="E352" s="2" t="s">
        <v>26</v>
      </c>
      <c r="F352" s="4" t="s">
        <v>1</v>
      </c>
      <c r="G352" s="73">
        <v>62.2</v>
      </c>
      <c r="H352" s="73">
        <v>2.8</v>
      </c>
      <c r="I352" s="73">
        <v>3.1</v>
      </c>
      <c r="J352" s="206">
        <v>5</v>
      </c>
      <c r="K352" s="210">
        <v>39</v>
      </c>
      <c r="L352" s="207"/>
      <c r="P352" s="325"/>
      <c r="Q352" s="188"/>
      <c r="R352" s="4"/>
      <c r="S352" s="35"/>
      <c r="T352" s="4"/>
      <c r="U352" s="4"/>
      <c r="V352" s="162"/>
      <c r="W352" s="165"/>
      <c r="X352" s="178"/>
      <c r="Y352" s="162"/>
      <c r="Z352" s="162"/>
      <c r="AA352" s="162"/>
      <c r="AB352" s="325"/>
    </row>
    <row r="353" spans="2:28" ht="15.5" x14ac:dyDescent="0.35">
      <c r="B353" s="208">
        <v>44751</v>
      </c>
      <c r="C353" s="4" t="s">
        <v>5</v>
      </c>
      <c r="D353" s="35" t="s">
        <v>146</v>
      </c>
      <c r="E353" s="2" t="s">
        <v>26</v>
      </c>
      <c r="F353" s="4" t="s">
        <v>1</v>
      </c>
      <c r="G353" s="73">
        <v>62.2</v>
      </c>
      <c r="H353" s="73">
        <v>3.1</v>
      </c>
      <c r="I353" s="73">
        <v>2.8</v>
      </c>
      <c r="J353" s="206">
        <v>7</v>
      </c>
      <c r="K353" s="210">
        <v>38</v>
      </c>
      <c r="L353" s="207"/>
      <c r="P353" s="325"/>
      <c r="Q353" s="188"/>
      <c r="R353" s="4"/>
      <c r="S353" s="35"/>
      <c r="T353" s="4"/>
      <c r="U353" s="4"/>
      <c r="V353" s="162"/>
      <c r="W353" s="165"/>
      <c r="X353" s="178"/>
      <c r="Y353" s="162"/>
      <c r="Z353" s="162"/>
      <c r="AA353" s="162"/>
      <c r="AB353" s="325"/>
    </row>
    <row r="354" spans="2:28" ht="15.5" x14ac:dyDescent="0.35">
      <c r="B354" s="208">
        <v>44752</v>
      </c>
      <c r="C354" s="4" t="s">
        <v>5</v>
      </c>
      <c r="D354" s="35" t="s">
        <v>146</v>
      </c>
      <c r="E354" s="2" t="s">
        <v>26</v>
      </c>
      <c r="F354" s="4" t="s">
        <v>1</v>
      </c>
      <c r="G354" s="73">
        <v>62.4</v>
      </c>
      <c r="H354" s="73">
        <v>2.6</v>
      </c>
      <c r="I354" s="73">
        <v>3</v>
      </c>
      <c r="J354" s="206">
        <v>4</v>
      </c>
      <c r="K354" s="210">
        <v>39</v>
      </c>
      <c r="L354" s="207"/>
      <c r="P354" s="325"/>
      <c r="Q354" s="188"/>
      <c r="R354" s="4"/>
      <c r="S354" s="35"/>
      <c r="T354" s="4"/>
      <c r="U354" s="4"/>
      <c r="V354" s="162"/>
      <c r="W354" s="165"/>
      <c r="X354" s="165"/>
      <c r="Y354" s="162"/>
      <c r="Z354" s="162"/>
      <c r="AA354" s="162"/>
      <c r="AB354" s="325"/>
    </row>
    <row r="355" spans="2:28" ht="15.5" x14ac:dyDescent="0.35">
      <c r="B355" s="208">
        <v>44754</v>
      </c>
      <c r="C355" s="4" t="s">
        <v>5</v>
      </c>
      <c r="D355" s="35" t="s">
        <v>146</v>
      </c>
      <c r="E355" s="2" t="s">
        <v>26</v>
      </c>
      <c r="F355" s="4" t="s">
        <v>1</v>
      </c>
      <c r="G355" s="73">
        <v>62.3</v>
      </c>
      <c r="H355" s="73">
        <v>2.7</v>
      </c>
      <c r="I355" s="73">
        <v>3</v>
      </c>
      <c r="J355" s="206">
        <v>6</v>
      </c>
      <c r="K355" s="210">
        <v>37</v>
      </c>
      <c r="L355" s="207"/>
      <c r="P355" s="325"/>
      <c r="Q355" s="208"/>
      <c r="R355" s="4"/>
      <c r="S355" s="35"/>
      <c r="T355" s="4"/>
      <c r="U355" s="4"/>
      <c r="V355" s="168"/>
      <c r="W355" s="171"/>
      <c r="X355" s="169"/>
      <c r="Y355" s="162"/>
      <c r="Z355" s="168"/>
      <c r="AA355" s="162"/>
      <c r="AB355" s="325"/>
    </row>
    <row r="356" spans="2:28" ht="15.5" x14ac:dyDescent="0.35">
      <c r="B356" s="208">
        <v>44754</v>
      </c>
      <c r="C356" s="4" t="s">
        <v>5</v>
      </c>
      <c r="D356" s="35" t="s">
        <v>146</v>
      </c>
      <c r="E356" s="2" t="s">
        <v>26</v>
      </c>
      <c r="F356" s="4" t="s">
        <v>1</v>
      </c>
      <c r="G356" s="73">
        <v>62.4</v>
      </c>
      <c r="H356" s="73">
        <v>2.7</v>
      </c>
      <c r="I356" s="73">
        <v>2.9</v>
      </c>
      <c r="J356" s="206">
        <v>4</v>
      </c>
      <c r="K356" s="210">
        <v>37</v>
      </c>
      <c r="L356" s="207"/>
      <c r="P356" s="325"/>
      <c r="Q356" s="208"/>
      <c r="R356" s="4"/>
      <c r="S356" s="35"/>
      <c r="T356" s="4"/>
      <c r="U356" s="4"/>
      <c r="V356" s="168"/>
      <c r="W356" s="171"/>
      <c r="X356" s="169"/>
      <c r="Y356" s="162"/>
      <c r="Z356" s="168"/>
      <c r="AA356" s="162"/>
      <c r="AB356" s="325"/>
    </row>
    <row r="357" spans="2:28" ht="15.5" x14ac:dyDescent="0.35">
      <c r="B357" s="208">
        <v>44754</v>
      </c>
      <c r="C357" s="4" t="s">
        <v>5</v>
      </c>
      <c r="D357" s="35" t="s">
        <v>146</v>
      </c>
      <c r="E357" s="2" t="s">
        <v>26</v>
      </c>
      <c r="F357" s="4" t="s">
        <v>1</v>
      </c>
      <c r="G357" s="73">
        <v>62.2</v>
      </c>
      <c r="H357" s="73">
        <v>2.5</v>
      </c>
      <c r="I357" s="73">
        <v>3.3</v>
      </c>
      <c r="J357" s="206">
        <v>3</v>
      </c>
      <c r="K357" s="210">
        <v>37</v>
      </c>
      <c r="L357" s="207"/>
      <c r="P357" s="325"/>
      <c r="Q357" s="208"/>
      <c r="R357" s="4"/>
      <c r="S357" s="35"/>
      <c r="T357" s="4"/>
      <c r="U357" s="4"/>
      <c r="V357" s="168"/>
      <c r="W357" s="171"/>
      <c r="X357" s="169"/>
      <c r="Y357" s="162"/>
      <c r="Z357" s="168"/>
      <c r="AA357" s="162"/>
      <c r="AB357" s="325"/>
    </row>
    <row r="358" spans="2:28" ht="15.5" x14ac:dyDescent="0.35">
      <c r="B358" s="208">
        <v>44755</v>
      </c>
      <c r="C358" s="4" t="s">
        <v>5</v>
      </c>
      <c r="D358" s="35" t="s">
        <v>146</v>
      </c>
      <c r="E358" s="2" t="s">
        <v>26</v>
      </c>
      <c r="F358" s="4" t="s">
        <v>1</v>
      </c>
      <c r="G358" s="73">
        <v>62.5</v>
      </c>
      <c r="H358" s="73">
        <v>2.4</v>
      </c>
      <c r="I358" s="73">
        <v>3</v>
      </c>
      <c r="J358" s="206">
        <v>5</v>
      </c>
      <c r="K358" s="210">
        <v>36</v>
      </c>
      <c r="L358" s="207"/>
      <c r="P358" s="325"/>
      <c r="Q358" s="208"/>
      <c r="R358" s="4"/>
      <c r="S358" s="35"/>
      <c r="T358" s="4"/>
      <c r="U358" s="4"/>
      <c r="V358" s="168"/>
      <c r="W358" s="171"/>
      <c r="X358" s="169"/>
      <c r="Y358" s="162"/>
      <c r="Z358" s="168"/>
      <c r="AA358" s="162"/>
      <c r="AB358" s="325"/>
    </row>
    <row r="359" spans="2:28" ht="15.5" x14ac:dyDescent="0.35">
      <c r="B359" s="208">
        <v>44756</v>
      </c>
      <c r="C359" s="4" t="s">
        <v>5</v>
      </c>
      <c r="D359" s="35" t="s">
        <v>146</v>
      </c>
      <c r="E359" s="2" t="s">
        <v>26</v>
      </c>
      <c r="F359" s="4" t="s">
        <v>1</v>
      </c>
      <c r="G359" s="73">
        <v>62.3</v>
      </c>
      <c r="H359" s="73">
        <v>2.6</v>
      </c>
      <c r="I359" s="73">
        <v>3.1</v>
      </c>
      <c r="J359" s="206">
        <v>6</v>
      </c>
      <c r="K359" s="210">
        <v>38</v>
      </c>
      <c r="L359" s="207"/>
      <c r="P359" s="325"/>
      <c r="Q359" s="209"/>
      <c r="R359" s="4"/>
      <c r="S359" s="35"/>
      <c r="T359" s="4"/>
      <c r="U359" s="4"/>
      <c r="V359" s="166"/>
      <c r="W359" s="170"/>
      <c r="X359" s="179"/>
      <c r="Y359" s="164"/>
      <c r="Z359" s="166"/>
      <c r="AA359" s="164"/>
      <c r="AB359" s="325"/>
    </row>
    <row r="360" spans="2:28" ht="15.5" x14ac:dyDescent="0.35">
      <c r="B360" s="208">
        <v>44757</v>
      </c>
      <c r="C360" s="4" t="s">
        <v>5</v>
      </c>
      <c r="D360" s="35" t="s">
        <v>146</v>
      </c>
      <c r="E360" s="2" t="s">
        <v>26</v>
      </c>
      <c r="F360" s="4" t="s">
        <v>1</v>
      </c>
      <c r="G360" s="73">
        <v>62.2</v>
      </c>
      <c r="H360" s="73">
        <v>2.7</v>
      </c>
      <c r="I360" s="73">
        <v>3.2</v>
      </c>
      <c r="J360" s="206">
        <v>6</v>
      </c>
      <c r="K360" s="210">
        <v>37</v>
      </c>
      <c r="L360" s="207"/>
      <c r="P360" s="325"/>
      <c r="Q360" s="191"/>
      <c r="R360" s="4"/>
      <c r="S360" s="35"/>
      <c r="T360" s="4"/>
      <c r="U360" s="4"/>
      <c r="V360" s="162"/>
      <c r="W360" s="165"/>
      <c r="X360" s="162"/>
      <c r="Y360" s="162"/>
      <c r="Z360" s="162"/>
      <c r="AA360" s="162"/>
      <c r="AB360" s="325"/>
    </row>
    <row r="361" spans="2:28" ht="15.5" x14ac:dyDescent="0.35">
      <c r="B361" s="208">
        <v>44758</v>
      </c>
      <c r="C361" s="4" t="s">
        <v>5</v>
      </c>
      <c r="D361" s="35" t="s">
        <v>146</v>
      </c>
      <c r="E361" s="2" t="s">
        <v>26</v>
      </c>
      <c r="F361" s="4" t="s">
        <v>1</v>
      </c>
      <c r="G361" s="73">
        <v>62.3</v>
      </c>
      <c r="H361" s="73">
        <v>2.6</v>
      </c>
      <c r="I361" s="73">
        <v>3.1</v>
      </c>
      <c r="J361" s="206">
        <v>2</v>
      </c>
      <c r="K361" s="210">
        <v>42</v>
      </c>
      <c r="L361" s="207"/>
      <c r="P361" s="325"/>
      <c r="Q361" s="191"/>
      <c r="R361" s="4"/>
      <c r="S361" s="35"/>
      <c r="T361" s="4"/>
      <c r="U361" s="4"/>
      <c r="V361" s="162"/>
      <c r="W361" s="165"/>
      <c r="X361" s="162"/>
      <c r="Y361" s="162"/>
      <c r="Z361" s="162"/>
      <c r="AA361" s="162"/>
      <c r="AB361" s="325"/>
    </row>
    <row r="362" spans="2:28" ht="15.5" x14ac:dyDescent="0.35">
      <c r="B362" s="208">
        <v>44760</v>
      </c>
      <c r="C362" s="4" t="s">
        <v>5</v>
      </c>
      <c r="D362" s="35" t="s">
        <v>146</v>
      </c>
      <c r="E362" s="2" t="s">
        <v>26</v>
      </c>
      <c r="F362" s="4" t="s">
        <v>1</v>
      </c>
      <c r="G362" s="73">
        <v>62.3</v>
      </c>
      <c r="H362" s="73">
        <v>2.8</v>
      </c>
      <c r="I362" s="73">
        <v>3</v>
      </c>
      <c r="J362" s="206">
        <v>8</v>
      </c>
      <c r="K362" s="210">
        <v>34</v>
      </c>
      <c r="L362" s="207"/>
      <c r="P362" s="325"/>
      <c r="Q362" s="191"/>
      <c r="R362" s="4"/>
      <c r="S362" s="35"/>
      <c r="T362" s="4"/>
      <c r="U362" s="4"/>
      <c r="V362" s="162"/>
      <c r="W362" s="165"/>
      <c r="X362" s="162"/>
      <c r="Y362" s="162"/>
      <c r="Z362" s="162"/>
      <c r="AA362" s="162"/>
      <c r="AB362" s="325"/>
    </row>
    <row r="363" spans="2:28" ht="15.5" x14ac:dyDescent="0.35">
      <c r="B363" s="208">
        <v>44761</v>
      </c>
      <c r="C363" s="4" t="s">
        <v>5</v>
      </c>
      <c r="D363" s="35" t="s">
        <v>146</v>
      </c>
      <c r="E363" s="2" t="s">
        <v>26</v>
      </c>
      <c r="F363" s="4" t="s">
        <v>1</v>
      </c>
      <c r="G363" s="73">
        <v>62.4</v>
      </c>
      <c r="H363" s="73">
        <v>2.9</v>
      </c>
      <c r="I363" s="73">
        <v>2.8</v>
      </c>
      <c r="J363" s="206">
        <v>2</v>
      </c>
      <c r="K363" s="210">
        <v>44</v>
      </c>
      <c r="L363" s="207"/>
      <c r="P363" s="325"/>
      <c r="Q363" s="191"/>
      <c r="R363" s="4"/>
      <c r="S363" s="35"/>
      <c r="T363" s="4"/>
      <c r="U363" s="4"/>
      <c r="V363" s="162"/>
      <c r="W363" s="165"/>
      <c r="X363" s="162"/>
      <c r="Y363" s="162"/>
      <c r="Z363" s="162"/>
      <c r="AA363" s="162"/>
      <c r="AB363" s="325"/>
    </row>
    <row r="364" spans="2:28" ht="15.5" x14ac:dyDescent="0.35">
      <c r="B364" s="208">
        <v>44762</v>
      </c>
      <c r="C364" s="4" t="s">
        <v>5</v>
      </c>
      <c r="D364" s="35" t="s">
        <v>146</v>
      </c>
      <c r="E364" s="2" t="s">
        <v>26</v>
      </c>
      <c r="F364" s="4" t="s">
        <v>1</v>
      </c>
      <c r="G364" s="73">
        <v>62.4</v>
      </c>
      <c r="H364" s="73">
        <v>2.7</v>
      </c>
      <c r="I364" s="73">
        <v>2.9</v>
      </c>
      <c r="J364" s="206">
        <v>2</v>
      </c>
      <c r="K364" s="210">
        <v>43</v>
      </c>
      <c r="L364" s="207"/>
      <c r="P364" s="325"/>
      <c r="Q364" s="192"/>
      <c r="R364" s="4"/>
      <c r="S364" s="35"/>
      <c r="T364" s="4"/>
      <c r="U364" s="4"/>
      <c r="V364" s="164"/>
      <c r="W364" s="164"/>
      <c r="X364" s="164"/>
      <c r="Y364" s="164"/>
      <c r="Z364" s="164"/>
      <c r="AA364" s="164"/>
      <c r="AB364" s="325"/>
    </row>
    <row r="365" spans="2:28" ht="15.5" x14ac:dyDescent="0.35">
      <c r="B365" s="208">
        <v>44762</v>
      </c>
      <c r="C365" s="4" t="s">
        <v>5</v>
      </c>
      <c r="D365" s="35" t="s">
        <v>146</v>
      </c>
      <c r="E365" s="2" t="s">
        <v>26</v>
      </c>
      <c r="F365" s="4" t="s">
        <v>1</v>
      </c>
      <c r="G365" s="73">
        <v>62.3</v>
      </c>
      <c r="H365" s="73">
        <v>3.1</v>
      </c>
      <c r="I365" s="73">
        <v>2.7</v>
      </c>
      <c r="J365" s="206">
        <v>8</v>
      </c>
      <c r="K365" s="210">
        <v>40</v>
      </c>
      <c r="L365" s="207"/>
      <c r="P365" s="325"/>
      <c r="Q365" s="191"/>
      <c r="R365" s="4"/>
      <c r="S365" s="35"/>
      <c r="T365" s="4"/>
      <c r="U365" s="4"/>
      <c r="V365" s="162"/>
      <c r="W365" s="165"/>
      <c r="X365" s="162"/>
      <c r="Y365" s="162"/>
      <c r="Z365" s="162"/>
      <c r="AA365" s="162"/>
      <c r="AB365" s="325"/>
    </row>
    <row r="366" spans="2:28" ht="15.5" x14ac:dyDescent="0.35">
      <c r="B366" s="208">
        <v>44763</v>
      </c>
      <c r="C366" s="4" t="s">
        <v>5</v>
      </c>
      <c r="D366" s="35" t="s">
        <v>146</v>
      </c>
      <c r="E366" s="2" t="s">
        <v>26</v>
      </c>
      <c r="F366" s="4" t="s">
        <v>1</v>
      </c>
      <c r="G366" s="73">
        <v>62.1</v>
      </c>
      <c r="H366" s="73">
        <v>3.2</v>
      </c>
      <c r="I366" s="73">
        <v>2.8</v>
      </c>
      <c r="J366" s="206">
        <v>8</v>
      </c>
      <c r="K366" s="210">
        <v>39</v>
      </c>
      <c r="L366" s="207"/>
      <c r="P366" s="325"/>
      <c r="Q366" s="191"/>
      <c r="R366" s="4"/>
      <c r="S366" s="35"/>
      <c r="T366" s="4"/>
      <c r="U366" s="4"/>
      <c r="V366" s="162"/>
      <c r="W366" s="165"/>
      <c r="X366" s="162"/>
      <c r="Y366" s="162"/>
      <c r="Z366" s="162"/>
      <c r="AA366" s="162"/>
      <c r="AB366" s="325"/>
    </row>
    <row r="367" spans="2:28" ht="15.5" x14ac:dyDescent="0.35">
      <c r="B367" s="208">
        <v>44764</v>
      </c>
      <c r="C367" s="4" t="s">
        <v>5</v>
      </c>
      <c r="D367" s="35" t="s">
        <v>146</v>
      </c>
      <c r="E367" s="2" t="s">
        <v>26</v>
      </c>
      <c r="F367" s="4" t="s">
        <v>1</v>
      </c>
      <c r="G367" s="73">
        <v>62.2</v>
      </c>
      <c r="H367" s="73">
        <v>2.9</v>
      </c>
      <c r="I367" s="73">
        <v>3</v>
      </c>
      <c r="J367" s="206">
        <v>7</v>
      </c>
      <c r="K367" s="210">
        <v>37</v>
      </c>
      <c r="L367" s="207"/>
      <c r="P367" s="325"/>
      <c r="Q367" s="191"/>
      <c r="R367" s="4"/>
      <c r="S367" s="35"/>
      <c r="T367" s="4"/>
      <c r="U367" s="4"/>
      <c r="V367" s="162"/>
      <c r="W367" s="165"/>
      <c r="X367" s="162"/>
      <c r="Y367" s="162"/>
      <c r="Z367" s="162"/>
      <c r="AA367" s="162"/>
      <c r="AB367" s="325"/>
    </row>
    <row r="368" spans="2:28" ht="15.5" x14ac:dyDescent="0.35">
      <c r="B368" s="208">
        <v>44765</v>
      </c>
      <c r="C368" s="4" t="s">
        <v>5</v>
      </c>
      <c r="D368" s="35" t="s">
        <v>146</v>
      </c>
      <c r="E368" s="2" t="s">
        <v>26</v>
      </c>
      <c r="F368" s="4" t="s">
        <v>1</v>
      </c>
      <c r="G368" s="73">
        <v>62.4</v>
      </c>
      <c r="H368" s="73">
        <v>2.7</v>
      </c>
      <c r="I368" s="73">
        <v>2.9</v>
      </c>
      <c r="J368" s="206"/>
      <c r="K368" s="210"/>
      <c r="L368" s="207"/>
      <c r="P368" s="325"/>
      <c r="Q368" s="188"/>
      <c r="R368" s="4"/>
      <c r="S368" s="35"/>
      <c r="T368" s="4"/>
      <c r="U368" s="4"/>
      <c r="V368" s="162"/>
      <c r="W368" s="165"/>
      <c r="X368" s="178"/>
      <c r="Y368" s="162"/>
      <c r="Z368" s="162"/>
      <c r="AA368" s="162"/>
      <c r="AB368" s="325"/>
    </row>
    <row r="369" spans="2:28" ht="15.5" x14ac:dyDescent="0.35">
      <c r="B369" s="208">
        <v>44766</v>
      </c>
      <c r="C369" s="4" t="s">
        <v>5</v>
      </c>
      <c r="D369" s="35" t="s">
        <v>146</v>
      </c>
      <c r="E369" s="2" t="s">
        <v>26</v>
      </c>
      <c r="F369" s="4" t="s">
        <v>1</v>
      </c>
      <c r="G369" s="73">
        <v>62</v>
      </c>
      <c r="H369" s="73">
        <v>3.4</v>
      </c>
      <c r="I369" s="73">
        <v>2.8</v>
      </c>
      <c r="J369" s="206">
        <v>5</v>
      </c>
      <c r="K369" s="210">
        <v>38</v>
      </c>
      <c r="L369" s="207"/>
      <c r="P369" s="325"/>
      <c r="Q369" s="188"/>
      <c r="R369" s="4"/>
      <c r="S369" s="35"/>
      <c r="T369" s="4"/>
      <c r="U369" s="4"/>
      <c r="V369" s="162"/>
      <c r="W369" s="178"/>
      <c r="X369" s="178"/>
      <c r="Y369" s="162"/>
      <c r="Z369" s="162"/>
      <c r="AA369" s="162"/>
      <c r="AB369" s="325"/>
    </row>
    <row r="370" spans="2:28" ht="15.5" x14ac:dyDescent="0.35">
      <c r="B370" s="208">
        <v>44768</v>
      </c>
      <c r="C370" s="4" t="s">
        <v>5</v>
      </c>
      <c r="D370" s="35" t="s">
        <v>146</v>
      </c>
      <c r="E370" s="2" t="s">
        <v>26</v>
      </c>
      <c r="F370" s="4" t="s">
        <v>1</v>
      </c>
      <c r="G370" s="73">
        <v>62.2</v>
      </c>
      <c r="H370" s="73">
        <v>2.7</v>
      </c>
      <c r="I370" s="73">
        <v>3.2</v>
      </c>
      <c r="J370" s="206">
        <v>9</v>
      </c>
      <c r="K370" s="210">
        <v>41</v>
      </c>
      <c r="L370" s="207"/>
      <c r="P370" s="325"/>
      <c r="Q370" s="188"/>
      <c r="R370" s="4"/>
      <c r="S370" s="35"/>
      <c r="T370" s="4"/>
      <c r="U370" s="4"/>
      <c r="V370" s="162"/>
      <c r="W370" s="165"/>
      <c r="X370" s="178"/>
      <c r="Y370" s="162"/>
      <c r="Z370" s="162"/>
      <c r="AA370" s="162"/>
      <c r="AB370" s="325"/>
    </row>
    <row r="371" spans="2:28" ht="15.5" x14ac:dyDescent="0.35">
      <c r="B371" s="208">
        <v>44750</v>
      </c>
      <c r="C371" s="4" t="s">
        <v>5</v>
      </c>
      <c r="D371" s="35" t="s">
        <v>27</v>
      </c>
      <c r="E371" s="2" t="s">
        <v>26</v>
      </c>
      <c r="F371" s="4" t="s">
        <v>1</v>
      </c>
      <c r="G371" s="73">
        <v>59.7</v>
      </c>
      <c r="H371" s="73">
        <v>6.8</v>
      </c>
      <c r="I371" s="73">
        <v>2.6</v>
      </c>
      <c r="J371" s="206">
        <v>8</v>
      </c>
      <c r="K371" s="210">
        <v>37</v>
      </c>
      <c r="L371" s="207"/>
      <c r="P371" s="325"/>
      <c r="Q371" s="195"/>
      <c r="R371" s="4"/>
      <c r="S371" s="35"/>
      <c r="T371" s="4"/>
      <c r="U371" s="4"/>
      <c r="V371" s="162"/>
      <c r="W371" s="165"/>
      <c r="X371" s="178"/>
      <c r="Y371" s="162"/>
      <c r="Z371" s="162"/>
      <c r="AA371" s="162"/>
      <c r="AB371" s="325"/>
    </row>
    <row r="372" spans="2:28" ht="15.5" x14ac:dyDescent="0.35">
      <c r="B372" s="208">
        <v>44765</v>
      </c>
      <c r="C372" s="4" t="s">
        <v>5</v>
      </c>
      <c r="D372" s="35" t="s">
        <v>27</v>
      </c>
      <c r="E372" s="2" t="s">
        <v>26</v>
      </c>
      <c r="F372" s="4" t="s">
        <v>1</v>
      </c>
      <c r="G372" s="73">
        <v>59.3</v>
      </c>
      <c r="H372" s="73">
        <v>6.5</v>
      </c>
      <c r="I372" s="73">
        <v>3.5</v>
      </c>
      <c r="J372" s="206">
        <v>8</v>
      </c>
      <c r="K372" s="210">
        <v>46</v>
      </c>
      <c r="L372" s="207"/>
      <c r="P372" s="211"/>
      <c r="Q372" s="200"/>
      <c r="R372" s="4"/>
      <c r="S372" s="35"/>
      <c r="T372" s="4"/>
      <c r="U372" s="4"/>
      <c r="V372" s="185"/>
      <c r="W372" s="185"/>
      <c r="X372" s="185"/>
      <c r="Y372" s="185"/>
      <c r="Z372" s="185"/>
      <c r="AA372" s="185"/>
      <c r="AB372" s="211"/>
    </row>
    <row r="373" spans="2:28" ht="16" thickBot="1" x14ac:dyDescent="0.4">
      <c r="B373" s="208">
        <v>44766</v>
      </c>
      <c r="C373" s="4" t="s">
        <v>5</v>
      </c>
      <c r="D373" s="35" t="s">
        <v>27</v>
      </c>
      <c r="E373" s="2" t="s">
        <v>26</v>
      </c>
      <c r="F373" s="4" t="s">
        <v>1</v>
      </c>
      <c r="G373" s="73">
        <v>58.5</v>
      </c>
      <c r="H373" s="73">
        <v>9.1999999999999993</v>
      </c>
      <c r="I373" s="73">
        <v>2</v>
      </c>
      <c r="J373" s="206">
        <v>10</v>
      </c>
      <c r="K373" s="210">
        <v>44</v>
      </c>
      <c r="L373" s="207"/>
      <c r="P373" s="211"/>
      <c r="Q373" s="195"/>
      <c r="R373" s="4"/>
      <c r="S373" s="35"/>
      <c r="T373" s="4"/>
      <c r="U373" s="4"/>
      <c r="V373" s="186"/>
      <c r="W373" s="186"/>
      <c r="X373" s="186"/>
      <c r="Y373" s="182"/>
      <c r="Z373" s="182"/>
      <c r="AA373" s="182"/>
      <c r="AB373" s="211"/>
    </row>
    <row r="374" spans="2:28" ht="16" thickBot="1" x14ac:dyDescent="0.4">
      <c r="B374" s="208">
        <v>44756</v>
      </c>
      <c r="C374" s="4" t="s">
        <v>5</v>
      </c>
      <c r="D374" s="35" t="s">
        <v>2</v>
      </c>
      <c r="E374" s="2" t="s">
        <v>26</v>
      </c>
      <c r="F374" s="4" t="s">
        <v>1</v>
      </c>
      <c r="G374" s="73">
        <v>59.3</v>
      </c>
      <c r="H374" s="73">
        <v>6.8</v>
      </c>
      <c r="I374" s="73">
        <v>3.2</v>
      </c>
      <c r="J374" s="206">
        <v>4</v>
      </c>
      <c r="K374" s="210">
        <v>37</v>
      </c>
      <c r="L374" s="207"/>
      <c r="P374" s="211"/>
      <c r="Q374" s="201"/>
      <c r="R374" s="4"/>
      <c r="S374" s="35"/>
      <c r="T374" s="4"/>
      <c r="U374" s="4"/>
      <c r="V374" s="163"/>
      <c r="W374" s="163"/>
      <c r="X374" s="161"/>
      <c r="Y374" s="161"/>
      <c r="Z374" s="161"/>
      <c r="AA374" s="156"/>
      <c r="AB374" s="211"/>
    </row>
    <row r="375" spans="2:28" ht="14.5" x14ac:dyDescent="0.35">
      <c r="B375" s="208">
        <v>44759</v>
      </c>
      <c r="C375" s="4" t="s">
        <v>5</v>
      </c>
      <c r="D375" s="35" t="s">
        <v>2</v>
      </c>
      <c r="E375" s="2" t="s">
        <v>26</v>
      </c>
      <c r="F375" s="4" t="s">
        <v>1</v>
      </c>
      <c r="G375" s="73">
        <v>61.3</v>
      </c>
      <c r="H375" s="73">
        <v>3.3</v>
      </c>
      <c r="I375" s="73">
        <v>3.8</v>
      </c>
      <c r="J375" s="206">
        <v>8</v>
      </c>
      <c r="K375" s="210">
        <v>43</v>
      </c>
      <c r="L375" s="207"/>
      <c r="P375" s="211"/>
      <c r="Q375" s="208"/>
      <c r="R375" s="4"/>
      <c r="S375" s="35"/>
      <c r="T375" s="4"/>
      <c r="U375" s="4"/>
      <c r="V375" s="211"/>
      <c r="W375" s="211"/>
      <c r="X375" s="211"/>
      <c r="Y375" s="206"/>
      <c r="Z375" s="210"/>
      <c r="AA375" s="207"/>
      <c r="AB375" s="211"/>
    </row>
    <row r="376" spans="2:28" ht="14.5" x14ac:dyDescent="0.35">
      <c r="B376" s="208">
        <v>44763</v>
      </c>
      <c r="C376" s="4" t="s">
        <v>5</v>
      </c>
      <c r="D376" s="35" t="s">
        <v>2</v>
      </c>
      <c r="E376" s="2" t="s">
        <v>26</v>
      </c>
      <c r="F376" s="4" t="s">
        <v>1</v>
      </c>
      <c r="G376" s="73">
        <v>58.6</v>
      </c>
      <c r="H376" s="73">
        <v>7.1</v>
      </c>
      <c r="I376" s="73">
        <v>4</v>
      </c>
      <c r="J376" s="206"/>
      <c r="K376" s="210"/>
      <c r="L376" s="207"/>
      <c r="P376" s="211"/>
      <c r="Q376" s="208"/>
      <c r="R376" s="4"/>
      <c r="S376" s="35"/>
      <c r="T376" s="4"/>
      <c r="U376" s="4"/>
      <c r="V376" s="211"/>
      <c r="W376" s="211"/>
      <c r="X376" s="211"/>
      <c r="Y376" s="206"/>
      <c r="Z376" s="210"/>
      <c r="AA376" s="207"/>
      <c r="AB376" s="211"/>
    </row>
    <row r="377" spans="2:28" ht="14.5" x14ac:dyDescent="0.35">
      <c r="B377" s="208">
        <v>44766</v>
      </c>
      <c r="C377" s="4" t="s">
        <v>5</v>
      </c>
      <c r="D377" s="35" t="s">
        <v>2</v>
      </c>
      <c r="E377" s="2" t="s">
        <v>26</v>
      </c>
      <c r="F377" s="4" t="s">
        <v>1</v>
      </c>
      <c r="G377" s="73">
        <v>59</v>
      </c>
      <c r="H377" s="73">
        <v>7.5</v>
      </c>
      <c r="I377" s="73">
        <v>3</v>
      </c>
      <c r="J377" s="206">
        <v>8</v>
      </c>
      <c r="K377" s="210">
        <v>36</v>
      </c>
      <c r="L377" s="207"/>
      <c r="P377" s="211"/>
      <c r="Q377" s="208"/>
      <c r="R377" s="4"/>
      <c r="S377" s="35"/>
      <c r="T377" s="4"/>
      <c r="U377" s="4"/>
      <c r="V377" s="211"/>
      <c r="W377" s="211"/>
      <c r="X377" s="211"/>
      <c r="Y377" s="206"/>
      <c r="Z377" s="210"/>
      <c r="AA377" s="207"/>
      <c r="AB377" s="211"/>
    </row>
    <row r="378" spans="2:28" ht="14.5" x14ac:dyDescent="0.35">
      <c r="B378" s="208">
        <v>44747</v>
      </c>
      <c r="C378" s="4" t="s">
        <v>5</v>
      </c>
      <c r="D378" s="35" t="s">
        <v>10</v>
      </c>
      <c r="E378" s="2" t="s">
        <v>26</v>
      </c>
      <c r="F378" s="4" t="s">
        <v>1</v>
      </c>
      <c r="G378" s="73">
        <v>60.8</v>
      </c>
      <c r="H378" s="73">
        <v>5.2</v>
      </c>
      <c r="I378" s="73">
        <v>2.7</v>
      </c>
      <c r="J378" s="206">
        <v>5</v>
      </c>
      <c r="K378" s="210">
        <v>39</v>
      </c>
      <c r="L378" s="207"/>
      <c r="P378" s="211"/>
      <c r="Q378" s="208"/>
      <c r="R378" s="4"/>
      <c r="S378" s="35"/>
      <c r="T378" s="4"/>
      <c r="U378" s="4"/>
      <c r="V378" s="211"/>
      <c r="W378" s="211"/>
      <c r="X378" s="211"/>
      <c r="Y378" s="206"/>
      <c r="Z378" s="210"/>
      <c r="AA378" s="207"/>
      <c r="AB378" s="211"/>
    </row>
    <row r="379" spans="2:28" ht="14.5" x14ac:dyDescent="0.35">
      <c r="B379" s="208">
        <v>44756</v>
      </c>
      <c r="C379" s="4" t="s">
        <v>5</v>
      </c>
      <c r="D379" s="35" t="s">
        <v>10</v>
      </c>
      <c r="E379" s="2" t="s">
        <v>26</v>
      </c>
      <c r="F379" s="4" t="s">
        <v>1</v>
      </c>
      <c r="G379" s="73">
        <v>58.5</v>
      </c>
      <c r="H379" s="73">
        <v>7.2</v>
      </c>
      <c r="I379" s="73">
        <v>3.9</v>
      </c>
      <c r="J379" s="206">
        <v>3</v>
      </c>
      <c r="K379" s="210">
        <v>39</v>
      </c>
      <c r="L379" s="207"/>
      <c r="P379" s="211"/>
      <c r="Q379" s="208"/>
      <c r="R379" s="4"/>
      <c r="S379" s="35"/>
      <c r="T379" s="4"/>
      <c r="U379" s="4"/>
      <c r="V379" s="211"/>
      <c r="W379" s="211"/>
      <c r="X379" s="211"/>
      <c r="Y379" s="206"/>
      <c r="Z379" s="210"/>
      <c r="AA379" s="207"/>
      <c r="AB379" s="211"/>
    </row>
    <row r="380" spans="2:28" ht="14.5" x14ac:dyDescent="0.35">
      <c r="B380" s="208">
        <v>44758</v>
      </c>
      <c r="C380" s="4" t="s">
        <v>5</v>
      </c>
      <c r="D380" s="35" t="s">
        <v>10</v>
      </c>
      <c r="E380" s="2" t="s">
        <v>26</v>
      </c>
      <c r="F380" s="4" t="s">
        <v>1</v>
      </c>
      <c r="G380" s="73">
        <v>58.6</v>
      </c>
      <c r="H380" s="73">
        <v>4.2</v>
      </c>
      <c r="I380" s="73">
        <v>6.8</v>
      </c>
      <c r="J380" s="206">
        <v>4</v>
      </c>
      <c r="K380" s="210">
        <v>38</v>
      </c>
      <c r="L380" s="207"/>
      <c r="P380" s="211"/>
      <c r="Q380" s="208"/>
      <c r="R380" s="4"/>
      <c r="S380" s="35"/>
      <c r="T380" s="4"/>
      <c r="U380" s="4"/>
      <c r="V380" s="211"/>
      <c r="W380" s="211"/>
      <c r="X380" s="211"/>
      <c r="Y380" s="206"/>
      <c r="Z380" s="210"/>
      <c r="AA380" s="207"/>
      <c r="AB380" s="211"/>
    </row>
    <row r="381" spans="2:28" ht="14.5" x14ac:dyDescent="0.35">
      <c r="B381" s="208">
        <v>44759</v>
      </c>
      <c r="C381" s="4" t="s">
        <v>5</v>
      </c>
      <c r="D381" s="35" t="s">
        <v>10</v>
      </c>
      <c r="E381" s="2" t="s">
        <v>26</v>
      </c>
      <c r="F381" s="4" t="s">
        <v>1</v>
      </c>
      <c r="G381" s="73">
        <v>61</v>
      </c>
      <c r="H381" s="73">
        <v>3.6</v>
      </c>
      <c r="I381" s="73">
        <v>4</v>
      </c>
      <c r="J381" s="206">
        <v>6</v>
      </c>
      <c r="K381" s="210">
        <v>44</v>
      </c>
      <c r="L381" s="207"/>
      <c r="P381" s="211"/>
      <c r="Q381" s="208"/>
      <c r="R381" s="4"/>
      <c r="S381" s="35"/>
      <c r="T381" s="4"/>
      <c r="U381" s="4"/>
      <c r="V381" s="211"/>
      <c r="W381" s="211"/>
      <c r="X381" s="211"/>
      <c r="Y381" s="206"/>
      <c r="Z381" s="210"/>
      <c r="AA381" s="207"/>
      <c r="AB381" s="211"/>
    </row>
    <row r="382" spans="2:28" ht="14.5" x14ac:dyDescent="0.35">
      <c r="B382" s="3">
        <v>44763</v>
      </c>
      <c r="C382" s="4" t="s">
        <v>5</v>
      </c>
      <c r="D382" s="35" t="s">
        <v>10</v>
      </c>
      <c r="E382" s="2" t="s">
        <v>26</v>
      </c>
      <c r="F382" s="4" t="s">
        <v>1</v>
      </c>
      <c r="G382" s="73">
        <v>58.5</v>
      </c>
      <c r="H382" s="73">
        <v>7.3</v>
      </c>
      <c r="I382" s="73">
        <v>3.9</v>
      </c>
      <c r="J382" s="32">
        <v>2</v>
      </c>
      <c r="K382" s="32">
        <v>44</v>
      </c>
      <c r="L382" s="30"/>
      <c r="P382" s="211"/>
      <c r="Q382" s="208"/>
      <c r="R382" s="4"/>
      <c r="S382" s="35"/>
      <c r="T382" s="4"/>
      <c r="U382" s="4"/>
      <c r="V382" s="211"/>
      <c r="W382" s="211"/>
      <c r="X382" s="211"/>
      <c r="Y382" s="206"/>
      <c r="Z382" s="210"/>
      <c r="AA382" s="207"/>
      <c r="AB382" s="211"/>
    </row>
    <row r="383" spans="2:28" ht="14.5" x14ac:dyDescent="0.35">
      <c r="B383" s="3">
        <v>44743</v>
      </c>
      <c r="C383" s="4" t="s">
        <v>5</v>
      </c>
      <c r="D383" s="35" t="s">
        <v>31</v>
      </c>
      <c r="E383" s="2" t="s">
        <v>26</v>
      </c>
      <c r="F383" s="4" t="s">
        <v>1</v>
      </c>
      <c r="G383" s="73">
        <v>62.9</v>
      </c>
      <c r="H383" s="73">
        <v>2.5</v>
      </c>
      <c r="I383" s="73">
        <v>2.4</v>
      </c>
      <c r="J383" s="32">
        <v>3</v>
      </c>
      <c r="K383" s="32">
        <v>44</v>
      </c>
      <c r="L383" s="30"/>
      <c r="P383" s="211"/>
      <c r="Q383" s="208"/>
      <c r="R383" s="4"/>
      <c r="S383" s="35"/>
      <c r="T383" s="4"/>
      <c r="U383" s="4"/>
      <c r="V383" s="211"/>
      <c r="W383" s="211"/>
      <c r="X383" s="211"/>
      <c r="Y383" s="206"/>
      <c r="Z383" s="210"/>
      <c r="AA383" s="207"/>
      <c r="AB383" s="211"/>
    </row>
    <row r="384" spans="2:28" ht="14.5" x14ac:dyDescent="0.35">
      <c r="B384" s="3">
        <v>44744</v>
      </c>
      <c r="C384" s="4" t="s">
        <v>5</v>
      </c>
      <c r="D384" s="35" t="s">
        <v>31</v>
      </c>
      <c r="E384" s="2" t="s">
        <v>26</v>
      </c>
      <c r="F384" s="4" t="s">
        <v>1</v>
      </c>
      <c r="G384" s="73">
        <v>62.9</v>
      </c>
      <c r="H384" s="73">
        <v>2.2999999999999998</v>
      </c>
      <c r="I384" s="73">
        <v>2.5</v>
      </c>
      <c r="J384" s="31">
        <v>3</v>
      </c>
      <c r="K384" s="31">
        <v>39</v>
      </c>
      <c r="L384" s="30"/>
      <c r="P384" s="211"/>
      <c r="Q384" s="208"/>
      <c r="R384" s="4"/>
      <c r="S384" s="35"/>
      <c r="T384" s="4"/>
      <c r="U384" s="4"/>
      <c r="V384" s="211"/>
      <c r="W384" s="211"/>
      <c r="X384" s="211"/>
      <c r="Y384" s="206"/>
      <c r="Z384" s="210"/>
      <c r="AA384" s="207"/>
      <c r="AB384" s="211"/>
    </row>
    <row r="385" spans="2:28" ht="14.5" x14ac:dyDescent="0.35">
      <c r="B385" s="3">
        <v>44744</v>
      </c>
      <c r="C385" s="4" t="s">
        <v>5</v>
      </c>
      <c r="D385" s="35" t="s">
        <v>31</v>
      </c>
      <c r="E385" s="2" t="s">
        <v>26</v>
      </c>
      <c r="F385" s="4" t="s">
        <v>1</v>
      </c>
      <c r="G385" s="73">
        <v>63</v>
      </c>
      <c r="H385" s="73">
        <v>2.1</v>
      </c>
      <c r="I385" s="73">
        <v>2.6</v>
      </c>
      <c r="J385" s="32">
        <v>4</v>
      </c>
      <c r="K385" s="32">
        <v>43</v>
      </c>
      <c r="L385" s="30"/>
      <c r="P385" s="211"/>
      <c r="Q385" s="208"/>
      <c r="R385" s="4"/>
      <c r="S385" s="35"/>
      <c r="T385" s="4"/>
      <c r="U385" s="4"/>
      <c r="V385" s="211"/>
      <c r="W385" s="211"/>
      <c r="X385" s="211"/>
      <c r="Y385" s="206"/>
      <c r="Z385" s="210"/>
      <c r="AA385" s="207"/>
      <c r="AB385" s="211"/>
    </row>
    <row r="386" spans="2:28" ht="14.5" x14ac:dyDescent="0.35">
      <c r="B386" s="3">
        <v>44745</v>
      </c>
      <c r="C386" s="4" t="s">
        <v>5</v>
      </c>
      <c r="D386" s="35" t="s">
        <v>31</v>
      </c>
      <c r="E386" s="2" t="s">
        <v>26</v>
      </c>
      <c r="F386" s="4" t="s">
        <v>1</v>
      </c>
      <c r="G386" s="73">
        <v>62.8</v>
      </c>
      <c r="H386" s="73">
        <v>2.2999999999999998</v>
      </c>
      <c r="I386" s="73">
        <v>2.7</v>
      </c>
      <c r="J386" s="32">
        <v>6</v>
      </c>
      <c r="K386" s="32">
        <v>41</v>
      </c>
      <c r="L386" s="30"/>
      <c r="P386" s="211"/>
      <c r="Q386" s="208"/>
      <c r="R386" s="4"/>
      <c r="S386" s="35"/>
      <c r="T386" s="4"/>
      <c r="U386" s="4"/>
      <c r="V386" s="211"/>
      <c r="W386" s="211"/>
      <c r="X386" s="211"/>
      <c r="Y386" s="206"/>
      <c r="Z386" s="210"/>
      <c r="AA386" s="207"/>
      <c r="AB386" s="211"/>
    </row>
    <row r="387" spans="2:28" ht="14.5" x14ac:dyDescent="0.35">
      <c r="B387" s="3">
        <v>44745</v>
      </c>
      <c r="C387" s="4" t="s">
        <v>5</v>
      </c>
      <c r="D387" s="35" t="s">
        <v>31</v>
      </c>
      <c r="E387" s="2" t="s">
        <v>26</v>
      </c>
      <c r="F387" s="4" t="s">
        <v>1</v>
      </c>
      <c r="G387" s="73">
        <v>62.9</v>
      </c>
      <c r="H387" s="73">
        <v>2.5</v>
      </c>
      <c r="I387" s="73">
        <v>2.4</v>
      </c>
      <c r="J387" s="32">
        <v>5</v>
      </c>
      <c r="K387" s="32">
        <v>37</v>
      </c>
      <c r="L387" s="30"/>
      <c r="P387" s="211"/>
      <c r="Q387" s="208"/>
      <c r="R387" s="4"/>
      <c r="S387" s="35"/>
      <c r="T387" s="4"/>
      <c r="U387" s="4"/>
      <c r="V387" s="211"/>
      <c r="W387" s="211"/>
      <c r="X387" s="211"/>
      <c r="Y387" s="206"/>
      <c r="Z387" s="210"/>
      <c r="AA387" s="207"/>
      <c r="AB387" s="211"/>
    </row>
    <row r="388" spans="2:28" ht="14.5" x14ac:dyDescent="0.35">
      <c r="B388" s="3">
        <v>44745</v>
      </c>
      <c r="C388" s="4" t="s">
        <v>5</v>
      </c>
      <c r="D388" s="35" t="s">
        <v>31</v>
      </c>
      <c r="E388" s="2" t="s">
        <v>26</v>
      </c>
      <c r="F388" s="4" t="s">
        <v>1</v>
      </c>
      <c r="G388" s="73">
        <v>63</v>
      </c>
      <c r="H388" s="73">
        <v>2.4</v>
      </c>
      <c r="I388" s="73">
        <v>2.4</v>
      </c>
      <c r="J388" s="32">
        <v>3</v>
      </c>
      <c r="K388" s="32">
        <v>38</v>
      </c>
      <c r="L388" s="30"/>
      <c r="P388" s="211"/>
      <c r="Q388" s="208"/>
      <c r="R388" s="4"/>
      <c r="S388" s="35"/>
      <c r="T388" s="4"/>
      <c r="U388" s="4"/>
      <c r="V388" s="211"/>
      <c r="W388" s="211"/>
      <c r="X388" s="211"/>
      <c r="Y388" s="206"/>
      <c r="Z388" s="210"/>
      <c r="AA388" s="207"/>
      <c r="AB388" s="211"/>
    </row>
    <row r="389" spans="2:28" ht="14.5" x14ac:dyDescent="0.35">
      <c r="B389" s="3">
        <v>44746</v>
      </c>
      <c r="C389" s="4" t="s">
        <v>5</v>
      </c>
      <c r="D389" s="35" t="s">
        <v>31</v>
      </c>
      <c r="E389" s="2" t="s">
        <v>26</v>
      </c>
      <c r="F389" s="4" t="s">
        <v>1</v>
      </c>
      <c r="G389" s="73">
        <v>63</v>
      </c>
      <c r="H389" s="73">
        <v>2.5</v>
      </c>
      <c r="I389" s="73">
        <v>2.2999999999999998</v>
      </c>
      <c r="J389" s="32">
        <v>5</v>
      </c>
      <c r="K389" s="32">
        <v>38</v>
      </c>
      <c r="L389" s="30"/>
      <c r="P389" s="211"/>
      <c r="Q389" s="208"/>
      <c r="R389" s="4"/>
      <c r="S389" s="35"/>
      <c r="T389" s="4"/>
      <c r="U389" s="4"/>
      <c r="V389" s="211"/>
      <c r="W389" s="211"/>
      <c r="X389" s="211"/>
      <c r="Y389" s="206"/>
      <c r="Z389" s="210"/>
      <c r="AA389" s="207"/>
      <c r="AB389" s="211"/>
    </row>
    <row r="390" spans="2:28" ht="14.5" x14ac:dyDescent="0.35">
      <c r="B390" s="3">
        <v>44746</v>
      </c>
      <c r="C390" s="4" t="s">
        <v>5</v>
      </c>
      <c r="D390" s="35" t="s">
        <v>31</v>
      </c>
      <c r="E390" s="2" t="s">
        <v>26</v>
      </c>
      <c r="F390" s="4" t="s">
        <v>1</v>
      </c>
      <c r="G390" s="73">
        <v>62.8</v>
      </c>
      <c r="H390" s="73">
        <v>2.9</v>
      </c>
      <c r="I390" s="73">
        <v>2.1</v>
      </c>
      <c r="J390" s="32">
        <v>5</v>
      </c>
      <c r="K390" s="32">
        <v>40</v>
      </c>
      <c r="L390" s="30"/>
      <c r="P390" s="211"/>
      <c r="Q390" s="208"/>
      <c r="R390" s="4"/>
      <c r="S390" s="35"/>
      <c r="T390" s="4"/>
      <c r="U390" s="4"/>
      <c r="V390" s="211"/>
      <c r="W390" s="211"/>
      <c r="X390" s="211"/>
      <c r="Y390" s="206"/>
      <c r="Z390" s="210"/>
      <c r="AA390" s="207"/>
      <c r="AB390" s="211"/>
    </row>
    <row r="391" spans="2:28" ht="14.5" x14ac:dyDescent="0.35">
      <c r="B391" s="3">
        <v>44747</v>
      </c>
      <c r="C391" s="4" t="s">
        <v>5</v>
      </c>
      <c r="D391" s="35" t="s">
        <v>31</v>
      </c>
      <c r="E391" s="2" t="s">
        <v>26</v>
      </c>
      <c r="F391" s="4" t="s">
        <v>1</v>
      </c>
      <c r="G391" s="73">
        <v>62.8</v>
      </c>
      <c r="H391" s="73">
        <v>3</v>
      </c>
      <c r="I391" s="73">
        <v>2.1</v>
      </c>
      <c r="J391" s="32"/>
      <c r="K391" s="32"/>
      <c r="L391" s="30"/>
      <c r="P391" s="211"/>
      <c r="Q391" s="208"/>
      <c r="R391" s="4"/>
      <c r="S391" s="35"/>
      <c r="T391" s="4"/>
      <c r="U391" s="4"/>
      <c r="V391" s="211"/>
      <c r="W391" s="211"/>
      <c r="X391" s="211"/>
      <c r="Y391" s="206"/>
      <c r="Z391" s="210"/>
      <c r="AA391" s="207"/>
      <c r="AB391" s="211"/>
    </row>
    <row r="392" spans="2:28" ht="14.5" x14ac:dyDescent="0.35">
      <c r="B392" s="3">
        <v>44747</v>
      </c>
      <c r="C392" s="4" t="s">
        <v>5</v>
      </c>
      <c r="D392" s="35" t="s">
        <v>31</v>
      </c>
      <c r="E392" s="2" t="s">
        <v>26</v>
      </c>
      <c r="F392" s="4" t="s">
        <v>1</v>
      </c>
      <c r="G392" s="73">
        <v>62.9</v>
      </c>
      <c r="H392" s="73">
        <v>2.4</v>
      </c>
      <c r="I392" s="73">
        <v>2.5</v>
      </c>
      <c r="J392" s="31">
        <v>4</v>
      </c>
      <c r="K392" s="73">
        <v>37</v>
      </c>
      <c r="L392" s="30"/>
      <c r="P392" s="211"/>
      <c r="Q392" s="208"/>
      <c r="R392" s="4"/>
      <c r="S392" s="35"/>
      <c r="T392" s="4"/>
      <c r="U392" s="4"/>
      <c r="V392" s="211"/>
      <c r="W392" s="211"/>
      <c r="X392" s="211"/>
      <c r="Y392" s="206"/>
      <c r="Z392" s="210"/>
      <c r="AA392" s="207"/>
      <c r="AB392" s="211"/>
    </row>
    <row r="393" spans="2:28" ht="14.5" x14ac:dyDescent="0.35">
      <c r="B393" s="3">
        <v>44748</v>
      </c>
      <c r="C393" s="4" t="s">
        <v>5</v>
      </c>
      <c r="D393" s="35" t="s">
        <v>31</v>
      </c>
      <c r="E393" s="2" t="s">
        <v>26</v>
      </c>
      <c r="F393" s="4" t="s">
        <v>1</v>
      </c>
      <c r="G393" s="73">
        <v>62.7</v>
      </c>
      <c r="H393" s="73">
        <v>2.7</v>
      </c>
      <c r="I393" s="73">
        <v>2.5</v>
      </c>
      <c r="J393" s="31">
        <v>3</v>
      </c>
      <c r="K393" s="73">
        <v>38</v>
      </c>
      <c r="L393" s="30"/>
      <c r="P393" s="211"/>
      <c r="Q393" s="208"/>
      <c r="R393" s="4"/>
      <c r="S393" s="35"/>
      <c r="T393" s="4"/>
      <c r="U393" s="4"/>
      <c r="V393" s="211"/>
      <c r="W393" s="211"/>
      <c r="X393" s="211"/>
      <c r="Y393" s="206"/>
      <c r="Z393" s="210"/>
      <c r="AA393" s="207"/>
      <c r="AB393" s="211"/>
    </row>
    <row r="394" spans="2:28" ht="14.5" x14ac:dyDescent="0.35">
      <c r="B394" s="3">
        <v>44748</v>
      </c>
      <c r="C394" s="4" t="s">
        <v>5</v>
      </c>
      <c r="D394" s="35" t="s">
        <v>31</v>
      </c>
      <c r="E394" s="2" t="s">
        <v>26</v>
      </c>
      <c r="F394" s="4" t="s">
        <v>1</v>
      </c>
      <c r="G394" s="73">
        <v>63</v>
      </c>
      <c r="H394" s="73">
        <v>2.4</v>
      </c>
      <c r="I394" s="73">
        <v>2.4</v>
      </c>
      <c r="J394" s="31"/>
      <c r="K394" s="73"/>
      <c r="L394" s="30"/>
      <c r="P394" s="211"/>
      <c r="Q394" s="208"/>
      <c r="R394" s="4"/>
      <c r="S394" s="35"/>
      <c r="T394" s="4"/>
      <c r="U394" s="4"/>
      <c r="V394" s="211"/>
      <c r="W394" s="211"/>
      <c r="X394" s="211"/>
      <c r="Y394" s="206"/>
      <c r="Z394" s="210"/>
      <c r="AA394" s="207"/>
      <c r="AB394" s="211"/>
    </row>
    <row r="395" spans="2:28" ht="14.5" x14ac:dyDescent="0.35">
      <c r="B395" s="3">
        <v>44749</v>
      </c>
      <c r="C395" s="4" t="s">
        <v>5</v>
      </c>
      <c r="D395" s="35" t="s">
        <v>31</v>
      </c>
      <c r="E395" s="2" t="s">
        <v>26</v>
      </c>
      <c r="F395" s="4" t="s">
        <v>1</v>
      </c>
      <c r="G395" s="73">
        <v>62.8</v>
      </c>
      <c r="H395" s="73">
        <v>2.4</v>
      </c>
      <c r="I395" s="73">
        <v>2.6</v>
      </c>
      <c r="J395" s="32">
        <v>7</v>
      </c>
      <c r="K395" s="73">
        <v>41</v>
      </c>
      <c r="L395" s="30"/>
      <c r="P395" s="211"/>
      <c r="Q395" s="208"/>
      <c r="R395" s="4"/>
      <c r="S395" s="35"/>
      <c r="T395" s="4"/>
      <c r="U395" s="4"/>
      <c r="V395" s="211"/>
      <c r="W395" s="211"/>
      <c r="X395" s="211"/>
      <c r="Y395" s="206"/>
      <c r="Z395" s="210"/>
      <c r="AA395" s="207"/>
      <c r="AB395" s="211"/>
    </row>
    <row r="396" spans="2:28" ht="14.5" x14ac:dyDescent="0.35">
      <c r="B396" s="3">
        <v>44750</v>
      </c>
      <c r="C396" s="4" t="s">
        <v>5</v>
      </c>
      <c r="D396" s="35" t="s">
        <v>31</v>
      </c>
      <c r="E396" s="2" t="s">
        <v>26</v>
      </c>
      <c r="F396" s="4" t="s">
        <v>1</v>
      </c>
      <c r="G396" s="73">
        <v>62.9</v>
      </c>
      <c r="H396" s="73">
        <v>2.2999999999999998</v>
      </c>
      <c r="I396" s="73">
        <v>2.6</v>
      </c>
      <c r="J396" s="31">
        <v>4</v>
      </c>
      <c r="K396" s="73">
        <v>32</v>
      </c>
      <c r="L396" s="30"/>
      <c r="P396" s="211"/>
      <c r="Q396" s="208"/>
      <c r="R396" s="4"/>
      <c r="S396" s="35"/>
      <c r="T396" s="4"/>
      <c r="U396" s="4"/>
      <c r="V396" s="211"/>
      <c r="W396" s="211"/>
      <c r="X396" s="211"/>
      <c r="Y396" s="206"/>
      <c r="Z396" s="210"/>
      <c r="AA396" s="207"/>
      <c r="AB396" s="211"/>
    </row>
    <row r="397" spans="2:28" ht="14.5" x14ac:dyDescent="0.35">
      <c r="B397" s="3">
        <v>44750</v>
      </c>
      <c r="C397" s="4" t="s">
        <v>5</v>
      </c>
      <c r="D397" s="35" t="s">
        <v>31</v>
      </c>
      <c r="E397" s="2" t="s">
        <v>26</v>
      </c>
      <c r="F397" s="4" t="s">
        <v>1</v>
      </c>
      <c r="G397" s="73">
        <v>62.9</v>
      </c>
      <c r="H397" s="73">
        <v>2.5</v>
      </c>
      <c r="I397" s="73">
        <v>2.4</v>
      </c>
      <c r="J397" s="31">
        <v>4</v>
      </c>
      <c r="K397" s="73">
        <v>40</v>
      </c>
      <c r="L397" s="30"/>
      <c r="P397" s="211"/>
      <c r="Q397" s="208"/>
      <c r="R397" s="4"/>
      <c r="S397" s="35"/>
      <c r="T397" s="4"/>
      <c r="U397" s="4"/>
      <c r="V397" s="211"/>
      <c r="W397" s="211"/>
      <c r="X397" s="211"/>
      <c r="Y397" s="206"/>
      <c r="Z397" s="210"/>
      <c r="AA397" s="207"/>
      <c r="AB397" s="211"/>
    </row>
    <row r="398" spans="2:28" ht="14.5" x14ac:dyDescent="0.35">
      <c r="B398" s="3">
        <v>44751</v>
      </c>
      <c r="C398" s="4" t="s">
        <v>5</v>
      </c>
      <c r="D398" s="35" t="s">
        <v>31</v>
      </c>
      <c r="E398" s="2" t="s">
        <v>26</v>
      </c>
      <c r="F398" s="4" t="s">
        <v>1</v>
      </c>
      <c r="G398" s="73">
        <v>63</v>
      </c>
      <c r="H398" s="73">
        <v>2.1</v>
      </c>
      <c r="I398" s="73">
        <v>2.6</v>
      </c>
      <c r="J398" s="31">
        <v>3</v>
      </c>
      <c r="K398" s="73">
        <v>40</v>
      </c>
      <c r="L398" s="30"/>
      <c r="P398" s="211"/>
      <c r="Q398" s="208"/>
      <c r="R398" s="4"/>
      <c r="S398" s="35"/>
      <c r="T398" s="4"/>
      <c r="U398" s="4"/>
      <c r="V398" s="211"/>
      <c r="W398" s="211"/>
      <c r="X398" s="211"/>
      <c r="Y398" s="206"/>
      <c r="Z398" s="210"/>
      <c r="AA398" s="207"/>
      <c r="AB398" s="211"/>
    </row>
    <row r="399" spans="2:28" ht="14.5" x14ac:dyDescent="0.35">
      <c r="B399" s="3">
        <v>44751</v>
      </c>
      <c r="C399" s="4" t="s">
        <v>5</v>
      </c>
      <c r="D399" s="35" t="s">
        <v>31</v>
      </c>
      <c r="E399" s="2" t="s">
        <v>26</v>
      </c>
      <c r="F399" s="4" t="s">
        <v>1</v>
      </c>
      <c r="G399" s="73">
        <v>62.8</v>
      </c>
      <c r="H399" s="73">
        <v>2.4</v>
      </c>
      <c r="I399" s="73">
        <v>2.6</v>
      </c>
      <c r="J399" s="31">
        <v>3</v>
      </c>
      <c r="K399" s="73">
        <v>42</v>
      </c>
      <c r="L399" s="30"/>
      <c r="P399" s="211"/>
      <c r="Q399" s="208"/>
      <c r="R399" s="4"/>
      <c r="S399" s="35"/>
      <c r="T399" s="4"/>
      <c r="U399" s="4"/>
      <c r="V399" s="211"/>
      <c r="W399" s="211"/>
      <c r="X399" s="211"/>
      <c r="Y399" s="206"/>
      <c r="Z399" s="210"/>
      <c r="AA399" s="207"/>
      <c r="AB399" s="211"/>
    </row>
    <row r="400" spans="2:28" ht="14.5" x14ac:dyDescent="0.35">
      <c r="B400" s="3">
        <v>44752</v>
      </c>
      <c r="C400" s="4" t="s">
        <v>5</v>
      </c>
      <c r="D400" s="35" t="s">
        <v>31</v>
      </c>
      <c r="E400" s="2" t="s">
        <v>26</v>
      </c>
      <c r="F400" s="4" t="s">
        <v>1</v>
      </c>
      <c r="G400" s="73">
        <v>62.9</v>
      </c>
      <c r="H400" s="73">
        <v>2.6</v>
      </c>
      <c r="I400" s="73">
        <v>2.2999999999999998</v>
      </c>
      <c r="J400" s="31">
        <v>3</v>
      </c>
      <c r="K400" s="73">
        <v>40</v>
      </c>
      <c r="L400" s="30"/>
      <c r="P400" s="211"/>
      <c r="Q400" s="208"/>
      <c r="R400" s="4"/>
      <c r="S400" s="35"/>
      <c r="T400" s="4"/>
      <c r="U400" s="4"/>
      <c r="V400" s="211"/>
      <c r="W400" s="211"/>
      <c r="X400" s="211"/>
      <c r="Y400" s="206"/>
      <c r="Z400" s="210"/>
      <c r="AA400" s="207"/>
      <c r="AB400" s="211"/>
    </row>
    <row r="401" spans="2:28" ht="14.5" x14ac:dyDescent="0.35">
      <c r="B401" s="3">
        <v>44753</v>
      </c>
      <c r="C401" s="4" t="s">
        <v>5</v>
      </c>
      <c r="D401" s="35" t="s">
        <v>31</v>
      </c>
      <c r="E401" s="2" t="s">
        <v>26</v>
      </c>
      <c r="F401" s="4" t="s">
        <v>1</v>
      </c>
      <c r="G401" s="73">
        <v>62.7</v>
      </c>
      <c r="H401" s="73">
        <v>2.5</v>
      </c>
      <c r="I401" s="73">
        <v>2.7</v>
      </c>
      <c r="J401" s="31">
        <v>3</v>
      </c>
      <c r="K401" s="73">
        <v>36</v>
      </c>
      <c r="L401" s="30"/>
      <c r="P401" s="211"/>
      <c r="Q401" s="208"/>
      <c r="R401" s="4"/>
      <c r="S401" s="35"/>
      <c r="T401" s="4"/>
      <c r="U401" s="4"/>
      <c r="V401" s="211"/>
      <c r="W401" s="211"/>
      <c r="X401" s="211"/>
      <c r="Y401" s="206"/>
      <c r="Z401" s="210"/>
      <c r="AA401" s="207"/>
      <c r="AB401" s="211"/>
    </row>
    <row r="402" spans="2:28" ht="14.5" x14ac:dyDescent="0.35">
      <c r="B402" s="3">
        <v>44753</v>
      </c>
      <c r="C402" s="4" t="s">
        <v>5</v>
      </c>
      <c r="D402" s="35" t="s">
        <v>31</v>
      </c>
      <c r="E402" s="2" t="s">
        <v>26</v>
      </c>
      <c r="F402" s="4" t="s">
        <v>1</v>
      </c>
      <c r="G402" s="73">
        <v>62.8</v>
      </c>
      <c r="H402" s="73">
        <v>2.2999999999999998</v>
      </c>
      <c r="I402" s="73">
        <v>2.7</v>
      </c>
      <c r="J402" s="31">
        <v>3</v>
      </c>
      <c r="K402" s="73">
        <v>37</v>
      </c>
      <c r="L402" s="30"/>
      <c r="Q402" s="5"/>
    </row>
    <row r="403" spans="2:28" ht="14.5" x14ac:dyDescent="0.35">
      <c r="B403" s="3">
        <v>44753</v>
      </c>
      <c r="C403" s="4" t="s">
        <v>5</v>
      </c>
      <c r="D403" s="35" t="s">
        <v>31</v>
      </c>
      <c r="E403" s="2" t="s">
        <v>26</v>
      </c>
      <c r="F403" s="4" t="s">
        <v>1</v>
      </c>
      <c r="G403" s="73">
        <v>62.8</v>
      </c>
      <c r="H403" s="73">
        <v>2.1</v>
      </c>
      <c r="I403" s="73">
        <v>2.9</v>
      </c>
      <c r="J403" s="31">
        <v>4</v>
      </c>
      <c r="K403" s="73">
        <v>39</v>
      </c>
      <c r="L403" s="30"/>
      <c r="Q403" s="5"/>
    </row>
    <row r="404" spans="2:28" ht="14.5" x14ac:dyDescent="0.35">
      <c r="B404" s="3">
        <v>44754</v>
      </c>
      <c r="C404" s="4" t="s">
        <v>5</v>
      </c>
      <c r="D404" s="35" t="s">
        <v>31</v>
      </c>
      <c r="E404" s="2" t="s">
        <v>26</v>
      </c>
      <c r="F404" s="4" t="s">
        <v>1</v>
      </c>
      <c r="G404" s="73">
        <v>62.9</v>
      </c>
      <c r="H404" s="73">
        <v>2.5</v>
      </c>
      <c r="I404" s="73">
        <v>2.2999999999999998</v>
      </c>
      <c r="J404" s="31">
        <v>4</v>
      </c>
      <c r="K404" s="73">
        <v>39</v>
      </c>
      <c r="L404" s="30"/>
      <c r="Q404" s="5"/>
    </row>
    <row r="405" spans="2:28" ht="14.5" x14ac:dyDescent="0.35">
      <c r="B405" s="3">
        <v>44754</v>
      </c>
      <c r="C405" s="4" t="s">
        <v>5</v>
      </c>
      <c r="D405" s="35" t="s">
        <v>31</v>
      </c>
      <c r="E405" s="2" t="s">
        <v>26</v>
      </c>
      <c r="F405" s="4" t="s">
        <v>1</v>
      </c>
      <c r="G405" s="73">
        <v>62.7</v>
      </c>
      <c r="H405" s="73">
        <v>2.7</v>
      </c>
      <c r="I405" s="73">
        <v>2.4</v>
      </c>
      <c r="J405" s="31">
        <v>5</v>
      </c>
      <c r="K405" s="73">
        <v>38</v>
      </c>
      <c r="L405" s="30"/>
      <c r="Q405" s="5"/>
    </row>
    <row r="406" spans="2:28" ht="14.5" x14ac:dyDescent="0.35">
      <c r="B406" s="3">
        <v>44755</v>
      </c>
      <c r="C406" s="4" t="s">
        <v>5</v>
      </c>
      <c r="D406" s="35" t="s">
        <v>31</v>
      </c>
      <c r="E406" s="2" t="s">
        <v>26</v>
      </c>
      <c r="F406" s="4" t="s">
        <v>1</v>
      </c>
      <c r="G406" s="73">
        <v>62.8</v>
      </c>
      <c r="H406" s="73">
        <v>2.6</v>
      </c>
      <c r="I406" s="73">
        <v>2.4</v>
      </c>
      <c r="J406" s="73">
        <v>3</v>
      </c>
      <c r="K406" s="73">
        <v>40</v>
      </c>
      <c r="L406" s="30"/>
      <c r="Q406" s="5"/>
    </row>
    <row r="407" spans="2:28" ht="14.5" x14ac:dyDescent="0.35">
      <c r="B407" s="3">
        <v>44755</v>
      </c>
      <c r="C407" s="4" t="s">
        <v>5</v>
      </c>
      <c r="D407" s="35" t="s">
        <v>31</v>
      </c>
      <c r="E407" s="2" t="s">
        <v>26</v>
      </c>
      <c r="F407" s="4" t="s">
        <v>1</v>
      </c>
      <c r="G407" s="73">
        <v>62.9</v>
      </c>
      <c r="H407" s="73">
        <v>2.2999999999999998</v>
      </c>
      <c r="I407" s="73">
        <v>2.5</v>
      </c>
      <c r="J407" s="73">
        <v>3</v>
      </c>
      <c r="K407" s="73">
        <v>41</v>
      </c>
      <c r="L407" s="30"/>
      <c r="Q407" s="5"/>
    </row>
    <row r="408" spans="2:28" ht="14.5" x14ac:dyDescent="0.35">
      <c r="B408" s="3">
        <v>44756</v>
      </c>
      <c r="C408" s="4" t="s">
        <v>5</v>
      </c>
      <c r="D408" s="35" t="s">
        <v>31</v>
      </c>
      <c r="E408" s="2" t="s">
        <v>26</v>
      </c>
      <c r="F408" s="4" t="s">
        <v>1</v>
      </c>
      <c r="G408" s="73">
        <v>62.8</v>
      </c>
      <c r="H408" s="73">
        <v>2.2000000000000002</v>
      </c>
      <c r="I408" s="73">
        <v>2.8</v>
      </c>
      <c r="J408" s="73">
        <v>2</v>
      </c>
      <c r="K408" s="73">
        <v>39</v>
      </c>
      <c r="L408" s="30"/>
      <c r="Q408" s="5"/>
    </row>
    <row r="409" spans="2:28" ht="14.5" x14ac:dyDescent="0.35">
      <c r="B409" s="3">
        <v>44756</v>
      </c>
      <c r="C409" s="4" t="s">
        <v>5</v>
      </c>
      <c r="D409" s="35" t="s">
        <v>31</v>
      </c>
      <c r="E409" s="2" t="s">
        <v>26</v>
      </c>
      <c r="F409" s="4" t="s">
        <v>1</v>
      </c>
      <c r="G409" s="73">
        <v>62.7</v>
      </c>
      <c r="H409" s="73">
        <v>2.7</v>
      </c>
      <c r="I409" s="73">
        <v>2.4</v>
      </c>
      <c r="J409" s="73">
        <v>3</v>
      </c>
      <c r="K409" s="73">
        <v>40</v>
      </c>
      <c r="L409" s="30"/>
      <c r="Q409" s="5"/>
    </row>
    <row r="410" spans="2:28" ht="14.5" x14ac:dyDescent="0.35">
      <c r="B410" s="3">
        <v>44758</v>
      </c>
      <c r="C410" s="4" t="s">
        <v>5</v>
      </c>
      <c r="D410" s="35" t="s">
        <v>31</v>
      </c>
      <c r="E410" s="2" t="s">
        <v>26</v>
      </c>
      <c r="F410" s="4" t="s">
        <v>1</v>
      </c>
      <c r="G410" s="73">
        <v>62.8</v>
      </c>
      <c r="H410" s="73">
        <v>2.4</v>
      </c>
      <c r="I410" s="73">
        <v>2.6</v>
      </c>
      <c r="J410" s="73">
        <v>2</v>
      </c>
      <c r="K410" s="73">
        <v>42</v>
      </c>
      <c r="L410" s="30"/>
      <c r="Q410" s="5"/>
    </row>
    <row r="411" spans="2:28" ht="14.5" x14ac:dyDescent="0.35">
      <c r="B411" s="3">
        <v>44759</v>
      </c>
      <c r="C411" s="4" t="s">
        <v>5</v>
      </c>
      <c r="D411" s="35" t="s">
        <v>31</v>
      </c>
      <c r="E411" s="2" t="s">
        <v>26</v>
      </c>
      <c r="F411" s="4" t="s">
        <v>1</v>
      </c>
      <c r="G411" s="73">
        <v>62.9</v>
      </c>
      <c r="H411" s="73">
        <v>2.2000000000000002</v>
      </c>
      <c r="I411" s="73">
        <v>2.7</v>
      </c>
      <c r="J411" s="73">
        <v>2</v>
      </c>
      <c r="K411" s="73">
        <v>35</v>
      </c>
      <c r="L411" s="30"/>
      <c r="Q411" s="5"/>
    </row>
    <row r="412" spans="2:28" ht="14.5" x14ac:dyDescent="0.35">
      <c r="B412" s="3">
        <v>44759</v>
      </c>
      <c r="C412" s="4" t="s">
        <v>5</v>
      </c>
      <c r="D412" s="35" t="s">
        <v>31</v>
      </c>
      <c r="E412" s="2" t="s">
        <v>26</v>
      </c>
      <c r="F412" s="4" t="s">
        <v>1</v>
      </c>
      <c r="G412" s="73">
        <v>62.8</v>
      </c>
      <c r="H412" s="73">
        <v>2.6</v>
      </c>
      <c r="I412" s="73">
        <v>2.4</v>
      </c>
      <c r="J412" s="73">
        <v>3</v>
      </c>
      <c r="K412" s="73">
        <v>38</v>
      </c>
      <c r="L412" s="30"/>
      <c r="Q412" s="5"/>
    </row>
    <row r="413" spans="2:28" ht="14.5" x14ac:dyDescent="0.35">
      <c r="B413" s="3">
        <v>44760</v>
      </c>
      <c r="C413" s="4" t="s">
        <v>5</v>
      </c>
      <c r="D413" s="35" t="s">
        <v>31</v>
      </c>
      <c r="E413" s="2" t="s">
        <v>26</v>
      </c>
      <c r="F413" s="4" t="s">
        <v>1</v>
      </c>
      <c r="G413" s="73">
        <v>62.9</v>
      </c>
      <c r="H413" s="73">
        <v>2.4</v>
      </c>
      <c r="I413" s="73">
        <v>2.5</v>
      </c>
      <c r="J413" s="73">
        <v>2</v>
      </c>
      <c r="K413" s="73">
        <v>42</v>
      </c>
      <c r="L413" s="30"/>
      <c r="Q413" s="5"/>
    </row>
    <row r="414" spans="2:28" ht="14.5" x14ac:dyDescent="0.35">
      <c r="B414" s="3">
        <v>44760</v>
      </c>
      <c r="C414" s="4" t="s">
        <v>5</v>
      </c>
      <c r="D414" s="35" t="s">
        <v>31</v>
      </c>
      <c r="E414" s="2" t="s">
        <v>26</v>
      </c>
      <c r="F414" s="4" t="s">
        <v>1</v>
      </c>
      <c r="G414" s="73">
        <v>62.9</v>
      </c>
      <c r="H414" s="73">
        <v>2.5</v>
      </c>
      <c r="I414" s="73">
        <v>2.4</v>
      </c>
      <c r="J414" s="73">
        <v>3</v>
      </c>
      <c r="K414" s="73">
        <v>42</v>
      </c>
      <c r="L414" s="30"/>
      <c r="Q414" s="5"/>
    </row>
    <row r="415" spans="2:28" ht="14.5" x14ac:dyDescent="0.35">
      <c r="B415" s="3">
        <v>44761</v>
      </c>
      <c r="C415" s="4" t="s">
        <v>5</v>
      </c>
      <c r="D415" s="35" t="s">
        <v>31</v>
      </c>
      <c r="E415" s="2" t="s">
        <v>26</v>
      </c>
      <c r="F415" s="4" t="s">
        <v>1</v>
      </c>
      <c r="G415" s="73">
        <v>62.9</v>
      </c>
      <c r="H415" s="73">
        <v>2.5</v>
      </c>
      <c r="I415" s="73">
        <v>2.4</v>
      </c>
      <c r="J415" s="73">
        <v>3</v>
      </c>
      <c r="K415" s="73">
        <v>45</v>
      </c>
      <c r="L415" s="30"/>
      <c r="Q415" s="5"/>
    </row>
    <row r="416" spans="2:28" ht="14.5" x14ac:dyDescent="0.35">
      <c r="B416" s="3">
        <v>44761</v>
      </c>
      <c r="C416" s="4" t="s">
        <v>5</v>
      </c>
      <c r="D416" s="35" t="s">
        <v>31</v>
      </c>
      <c r="E416" s="2" t="s">
        <v>26</v>
      </c>
      <c r="F416" s="4" t="s">
        <v>1</v>
      </c>
      <c r="G416" s="73">
        <v>63</v>
      </c>
      <c r="H416" s="73">
        <v>2.2999999999999998</v>
      </c>
      <c r="I416" s="73">
        <v>2.5</v>
      </c>
      <c r="J416" s="73">
        <v>2</v>
      </c>
      <c r="K416" s="73">
        <v>44</v>
      </c>
      <c r="L416" s="30"/>
      <c r="Q416" s="5"/>
    </row>
    <row r="417" spans="2:17" ht="14.5" x14ac:dyDescent="0.35">
      <c r="B417" s="3">
        <v>44762</v>
      </c>
      <c r="C417" s="4" t="s">
        <v>5</v>
      </c>
      <c r="D417" s="35" t="s">
        <v>31</v>
      </c>
      <c r="E417" s="2" t="s">
        <v>26</v>
      </c>
      <c r="F417" s="4" t="s">
        <v>1</v>
      </c>
      <c r="G417" s="73">
        <v>62.8</v>
      </c>
      <c r="H417" s="73">
        <v>2.5</v>
      </c>
      <c r="I417" s="73">
        <v>2.6</v>
      </c>
      <c r="J417" s="73"/>
      <c r="K417" s="73"/>
      <c r="L417" s="30"/>
      <c r="Q417" s="5"/>
    </row>
    <row r="418" spans="2:17" ht="14.5" x14ac:dyDescent="0.35">
      <c r="B418" s="3">
        <v>44763</v>
      </c>
      <c r="C418" s="4" t="s">
        <v>5</v>
      </c>
      <c r="D418" s="35" t="s">
        <v>31</v>
      </c>
      <c r="E418" s="2" t="s">
        <v>26</v>
      </c>
      <c r="F418" s="4" t="s">
        <v>1</v>
      </c>
      <c r="G418" s="73">
        <v>62.9</v>
      </c>
      <c r="H418" s="73">
        <v>2.2999999999999998</v>
      </c>
      <c r="I418" s="73">
        <v>2.6</v>
      </c>
      <c r="J418" s="73">
        <v>3</v>
      </c>
      <c r="K418" s="73">
        <v>35</v>
      </c>
      <c r="L418" s="30"/>
      <c r="Q418" s="5"/>
    </row>
    <row r="419" spans="2:17" ht="14.5" x14ac:dyDescent="0.35">
      <c r="B419" s="3">
        <v>44764</v>
      </c>
      <c r="C419" s="4" t="s">
        <v>5</v>
      </c>
      <c r="D419" s="35" t="s">
        <v>31</v>
      </c>
      <c r="E419" s="2" t="s">
        <v>26</v>
      </c>
      <c r="F419" s="4" t="s">
        <v>1</v>
      </c>
      <c r="G419" s="73">
        <v>62.8</v>
      </c>
      <c r="H419" s="73">
        <v>2.2999999999999998</v>
      </c>
      <c r="I419" s="73">
        <v>2.7</v>
      </c>
      <c r="J419" s="73">
        <v>2</v>
      </c>
      <c r="K419" s="73">
        <v>43</v>
      </c>
      <c r="L419" s="30"/>
      <c r="Q419" s="5"/>
    </row>
    <row r="420" spans="2:17" ht="14.5" x14ac:dyDescent="0.35">
      <c r="B420" s="3">
        <v>44764</v>
      </c>
      <c r="C420" s="4" t="s">
        <v>5</v>
      </c>
      <c r="D420" s="35" t="s">
        <v>31</v>
      </c>
      <c r="E420" s="2" t="s">
        <v>26</v>
      </c>
      <c r="F420" s="4" t="s">
        <v>1</v>
      </c>
      <c r="G420" s="73">
        <v>63</v>
      </c>
      <c r="H420" s="73">
        <v>2.2999999999999998</v>
      </c>
      <c r="I420" s="73">
        <v>2.5</v>
      </c>
      <c r="J420" s="73">
        <v>5</v>
      </c>
      <c r="K420" s="73">
        <v>36</v>
      </c>
      <c r="L420" s="30"/>
      <c r="Q420" s="5"/>
    </row>
    <row r="421" spans="2:17" ht="14.5" x14ac:dyDescent="0.35">
      <c r="B421" s="3">
        <v>44765</v>
      </c>
      <c r="C421" s="4" t="s">
        <v>5</v>
      </c>
      <c r="D421" s="35" t="s">
        <v>31</v>
      </c>
      <c r="E421" s="2" t="s">
        <v>26</v>
      </c>
      <c r="F421" s="4" t="s">
        <v>1</v>
      </c>
      <c r="G421" s="73">
        <v>62.9</v>
      </c>
      <c r="H421" s="73">
        <v>2.5</v>
      </c>
      <c r="I421" s="73">
        <v>2.4</v>
      </c>
      <c r="J421" s="73">
        <v>3</v>
      </c>
      <c r="K421" s="73">
        <v>41</v>
      </c>
      <c r="L421" s="30"/>
      <c r="Q421" s="5"/>
    </row>
    <row r="422" spans="2:17" ht="14.5" x14ac:dyDescent="0.35">
      <c r="B422" s="3">
        <v>44765</v>
      </c>
      <c r="C422" s="4" t="s">
        <v>5</v>
      </c>
      <c r="D422" s="35" t="s">
        <v>31</v>
      </c>
      <c r="E422" s="2" t="s">
        <v>26</v>
      </c>
      <c r="F422" s="4" t="s">
        <v>1</v>
      </c>
      <c r="G422" s="73">
        <v>62.7</v>
      </c>
      <c r="H422" s="73">
        <v>3</v>
      </c>
      <c r="I422" s="73">
        <v>2.1</v>
      </c>
      <c r="J422" s="73">
        <v>3</v>
      </c>
      <c r="K422" s="73">
        <v>43</v>
      </c>
      <c r="L422" s="30"/>
      <c r="Q422" s="5"/>
    </row>
    <row r="423" spans="2:17" ht="14.5" x14ac:dyDescent="0.35">
      <c r="B423" s="3">
        <v>44766</v>
      </c>
      <c r="C423" s="4" t="s">
        <v>5</v>
      </c>
      <c r="D423" s="35" t="s">
        <v>31</v>
      </c>
      <c r="E423" s="2" t="s">
        <v>26</v>
      </c>
      <c r="F423" s="4" t="s">
        <v>1</v>
      </c>
      <c r="G423" s="73">
        <v>62.8</v>
      </c>
      <c r="H423" s="73">
        <v>2.4</v>
      </c>
      <c r="I423" s="73">
        <v>2.6</v>
      </c>
      <c r="J423" s="73">
        <v>6</v>
      </c>
      <c r="K423" s="73">
        <v>35</v>
      </c>
      <c r="L423" s="30"/>
      <c r="Q423" s="5"/>
    </row>
    <row r="424" spans="2:17" ht="14.5" x14ac:dyDescent="0.35">
      <c r="B424" s="3">
        <v>44766</v>
      </c>
      <c r="C424" s="4" t="s">
        <v>5</v>
      </c>
      <c r="D424" s="35" t="s">
        <v>31</v>
      </c>
      <c r="E424" s="2" t="s">
        <v>26</v>
      </c>
      <c r="F424" s="4" t="s">
        <v>1</v>
      </c>
      <c r="G424" s="73">
        <v>63</v>
      </c>
      <c r="H424" s="73">
        <v>2.2999999999999998</v>
      </c>
      <c r="I424" s="73">
        <v>2.4</v>
      </c>
      <c r="J424" s="73">
        <v>3</v>
      </c>
      <c r="K424" s="73">
        <v>41</v>
      </c>
      <c r="L424" s="30"/>
      <c r="Q424" s="5"/>
    </row>
    <row r="425" spans="2:17" ht="14.5" x14ac:dyDescent="0.35">
      <c r="B425" s="3">
        <v>44767</v>
      </c>
      <c r="C425" s="4" t="s">
        <v>5</v>
      </c>
      <c r="D425" s="35" t="s">
        <v>31</v>
      </c>
      <c r="E425" s="2" t="s">
        <v>26</v>
      </c>
      <c r="F425" s="4" t="s">
        <v>1</v>
      </c>
      <c r="G425" s="73">
        <v>63</v>
      </c>
      <c r="H425" s="73">
        <v>2.2000000000000002</v>
      </c>
      <c r="I425" s="73">
        <v>2.5</v>
      </c>
      <c r="J425" s="73">
        <v>5</v>
      </c>
      <c r="K425" s="73">
        <v>40</v>
      </c>
      <c r="L425" s="30"/>
      <c r="Q425" s="5"/>
    </row>
    <row r="426" spans="2:17" ht="14.5" x14ac:dyDescent="0.35">
      <c r="B426" s="3">
        <v>44767</v>
      </c>
      <c r="C426" s="4" t="s">
        <v>5</v>
      </c>
      <c r="D426" s="35" t="s">
        <v>31</v>
      </c>
      <c r="E426" s="2" t="s">
        <v>26</v>
      </c>
      <c r="F426" s="4" t="s">
        <v>1</v>
      </c>
      <c r="G426" s="73">
        <v>62.8</v>
      </c>
      <c r="H426" s="73">
        <v>2.8</v>
      </c>
      <c r="I426" s="73">
        <v>2.2000000000000002</v>
      </c>
      <c r="J426" s="73">
        <v>4</v>
      </c>
      <c r="K426" s="73">
        <v>42</v>
      </c>
      <c r="L426" s="30"/>
      <c r="Q426" s="5"/>
    </row>
    <row r="427" spans="2:17" ht="14.5" x14ac:dyDescent="0.35">
      <c r="B427" s="3">
        <v>44765</v>
      </c>
      <c r="C427" s="4" t="s">
        <v>3</v>
      </c>
      <c r="D427" s="35" t="s">
        <v>27</v>
      </c>
      <c r="E427" s="2" t="s">
        <v>26</v>
      </c>
      <c r="F427" s="4" t="s">
        <v>0</v>
      </c>
      <c r="G427" s="73">
        <v>61.55</v>
      </c>
      <c r="H427" s="73">
        <v>5.36</v>
      </c>
      <c r="I427" s="73">
        <v>2.66</v>
      </c>
      <c r="J427" s="73">
        <v>18.3</v>
      </c>
      <c r="K427" s="73">
        <v>27.1</v>
      </c>
      <c r="L427" s="30">
        <v>785</v>
      </c>
      <c r="Q427" s="5"/>
    </row>
    <row r="428" spans="2:17" ht="14.5" x14ac:dyDescent="0.35">
      <c r="B428" s="3">
        <v>44766</v>
      </c>
      <c r="C428" s="4" t="s">
        <v>3</v>
      </c>
      <c r="D428" s="35" t="s">
        <v>27</v>
      </c>
      <c r="E428" s="2" t="s">
        <v>26</v>
      </c>
      <c r="F428" s="4" t="s">
        <v>0</v>
      </c>
      <c r="G428" s="73">
        <v>59.76</v>
      </c>
      <c r="H428" s="73">
        <v>8.27</v>
      </c>
      <c r="I428" s="73">
        <v>2.42</v>
      </c>
      <c r="J428" s="73">
        <v>12.3</v>
      </c>
      <c r="K428" s="73">
        <v>28.2</v>
      </c>
      <c r="L428" s="30">
        <v>791</v>
      </c>
      <c r="Q428" s="5"/>
    </row>
    <row r="429" spans="2:17" ht="14.5" x14ac:dyDescent="0.35">
      <c r="B429" s="3">
        <v>44767</v>
      </c>
      <c r="C429" s="4" t="s">
        <v>3</v>
      </c>
      <c r="D429" s="35" t="s">
        <v>27</v>
      </c>
      <c r="E429" s="2" t="s">
        <v>26</v>
      </c>
      <c r="F429" s="4" t="s">
        <v>0</v>
      </c>
      <c r="G429" s="73">
        <v>61.35</v>
      </c>
      <c r="H429" s="73">
        <v>5.89</v>
      </c>
      <c r="I429" s="73">
        <v>2.52</v>
      </c>
      <c r="J429" s="73">
        <v>16.2</v>
      </c>
      <c r="K429" s="73">
        <v>19.399999999999999</v>
      </c>
      <c r="L429" s="30">
        <v>795</v>
      </c>
      <c r="Q429" s="5"/>
    </row>
    <row r="430" spans="2:17" ht="14.5" x14ac:dyDescent="0.35">
      <c r="B430" s="3">
        <v>44768</v>
      </c>
      <c r="C430" s="4" t="s">
        <v>3</v>
      </c>
      <c r="D430" s="35" t="s">
        <v>27</v>
      </c>
      <c r="E430" s="2" t="s">
        <v>26</v>
      </c>
      <c r="F430" s="4" t="s">
        <v>0</v>
      </c>
      <c r="G430" s="73">
        <v>61.36</v>
      </c>
      <c r="H430" s="73">
        <v>6.08</v>
      </c>
      <c r="I430" s="73">
        <v>2.44</v>
      </c>
      <c r="J430" s="73">
        <v>20.5</v>
      </c>
      <c r="K430" s="73">
        <v>25.5</v>
      </c>
      <c r="L430" s="30">
        <v>809</v>
      </c>
      <c r="Q430" s="5"/>
    </row>
    <row r="431" spans="2:17" ht="14.5" x14ac:dyDescent="0.35">
      <c r="B431" s="3">
        <v>44770</v>
      </c>
      <c r="C431" s="4" t="s">
        <v>3</v>
      </c>
      <c r="D431" s="35" t="s">
        <v>27</v>
      </c>
      <c r="E431" s="2" t="s">
        <v>26</v>
      </c>
      <c r="F431" s="4" t="s">
        <v>0</v>
      </c>
      <c r="G431" s="73">
        <v>56.23</v>
      </c>
      <c r="H431" s="73">
        <v>13.9</v>
      </c>
      <c r="I431" s="73">
        <v>1.56</v>
      </c>
      <c r="J431" s="73">
        <v>27.7</v>
      </c>
      <c r="K431" s="73">
        <v>17.2</v>
      </c>
      <c r="L431" s="30">
        <v>809</v>
      </c>
      <c r="Q431" s="5"/>
    </row>
    <row r="432" spans="2:17" ht="14.5" x14ac:dyDescent="0.35">
      <c r="B432" s="3">
        <v>44770</v>
      </c>
      <c r="C432" s="4" t="s">
        <v>3</v>
      </c>
      <c r="D432" s="35" t="s">
        <v>27</v>
      </c>
      <c r="E432" s="2" t="s">
        <v>26</v>
      </c>
      <c r="F432" s="4" t="s">
        <v>0</v>
      </c>
      <c r="G432" s="73">
        <v>60.9</v>
      </c>
      <c r="H432" s="73">
        <v>5.86</v>
      </c>
      <c r="I432" s="73">
        <v>2.52</v>
      </c>
      <c r="J432" s="73">
        <v>23.5</v>
      </c>
      <c r="K432" s="73">
        <v>19.2</v>
      </c>
      <c r="L432" s="30">
        <v>814</v>
      </c>
      <c r="Q432" s="5"/>
    </row>
    <row r="433" spans="2:17" ht="14.5" x14ac:dyDescent="0.35">
      <c r="B433" s="3">
        <v>44649</v>
      </c>
      <c r="C433" s="4" t="s">
        <v>3</v>
      </c>
      <c r="D433" s="35" t="s">
        <v>27</v>
      </c>
      <c r="E433" s="2" t="s">
        <v>26</v>
      </c>
      <c r="F433" s="4" t="s">
        <v>0</v>
      </c>
      <c r="G433" s="73">
        <v>60.76</v>
      </c>
      <c r="H433" s="73">
        <v>6.12</v>
      </c>
      <c r="I433" s="73">
        <v>2.74</v>
      </c>
      <c r="J433" s="73">
        <v>13.2</v>
      </c>
      <c r="K433" s="73">
        <v>22.1</v>
      </c>
      <c r="L433" s="30">
        <v>819</v>
      </c>
      <c r="Q433" s="5"/>
    </row>
    <row r="434" spans="2:17" ht="14.5" x14ac:dyDescent="0.35">
      <c r="B434" s="3">
        <v>44768</v>
      </c>
      <c r="C434" s="4" t="s">
        <v>3</v>
      </c>
      <c r="D434" s="35" t="s">
        <v>27</v>
      </c>
      <c r="E434" s="2" t="s">
        <v>26</v>
      </c>
      <c r="F434" s="4" t="s">
        <v>1</v>
      </c>
      <c r="G434" s="73">
        <v>59.87</v>
      </c>
      <c r="H434" s="73">
        <v>8.09</v>
      </c>
      <c r="I434" s="73">
        <v>2.74</v>
      </c>
      <c r="J434" s="73">
        <v>6.5</v>
      </c>
      <c r="K434" s="73">
        <v>45.2</v>
      </c>
      <c r="L434" s="30">
        <v>799</v>
      </c>
      <c r="Q434" s="5"/>
    </row>
    <row r="435" spans="2:17" ht="14.5" x14ac:dyDescent="0.35">
      <c r="B435" s="3">
        <v>44768</v>
      </c>
      <c r="C435" s="4" t="s">
        <v>3</v>
      </c>
      <c r="D435" s="35" t="s">
        <v>27</v>
      </c>
      <c r="E435" s="2" t="s">
        <v>26</v>
      </c>
      <c r="F435" s="4" t="s">
        <v>1</v>
      </c>
      <c r="G435" s="73">
        <v>59.83</v>
      </c>
      <c r="H435" s="73">
        <v>8.2899999999999991</v>
      </c>
      <c r="I435" s="73">
        <v>2.61</v>
      </c>
      <c r="J435" s="73"/>
      <c r="K435" s="73"/>
      <c r="L435" s="30">
        <v>801</v>
      </c>
      <c r="Q435" s="5"/>
    </row>
    <row r="436" spans="2:17" ht="14.5" x14ac:dyDescent="0.35">
      <c r="B436" s="3">
        <v>44769</v>
      </c>
      <c r="C436" s="4" t="s">
        <v>3</v>
      </c>
      <c r="D436" s="35" t="s">
        <v>27</v>
      </c>
      <c r="E436" s="2" t="s">
        <v>26</v>
      </c>
      <c r="F436" s="4" t="s">
        <v>1</v>
      </c>
      <c r="G436" s="73">
        <v>60.23</v>
      </c>
      <c r="H436" s="73">
        <v>7.15</v>
      </c>
      <c r="I436" s="73">
        <v>2.37</v>
      </c>
      <c r="J436" s="73">
        <v>5.2</v>
      </c>
      <c r="K436" s="73">
        <v>45</v>
      </c>
      <c r="L436" s="30">
        <v>807</v>
      </c>
      <c r="Q436" s="5"/>
    </row>
    <row r="437" spans="2:17" ht="14.5" x14ac:dyDescent="0.35">
      <c r="B437" s="3">
        <v>44770</v>
      </c>
      <c r="C437" s="4" t="s">
        <v>3</v>
      </c>
      <c r="D437" s="35" t="s">
        <v>27</v>
      </c>
      <c r="E437" s="2" t="s">
        <v>26</v>
      </c>
      <c r="F437" s="4" t="s">
        <v>1</v>
      </c>
      <c r="G437" s="73">
        <v>60.3</v>
      </c>
      <c r="H437" s="73">
        <v>6.58</v>
      </c>
      <c r="I437" s="73">
        <v>2.73</v>
      </c>
      <c r="J437" s="73"/>
      <c r="K437" s="73"/>
      <c r="L437" s="30">
        <v>811</v>
      </c>
      <c r="Q437" s="5"/>
    </row>
    <row r="438" spans="2:17" ht="14.5" x14ac:dyDescent="0.35">
      <c r="B438" s="3">
        <v>44772</v>
      </c>
      <c r="C438" s="4" t="s">
        <v>3</v>
      </c>
      <c r="D438" s="35" t="s">
        <v>27</v>
      </c>
      <c r="E438" s="2" t="s">
        <v>26</v>
      </c>
      <c r="F438" s="4" t="s">
        <v>1</v>
      </c>
      <c r="G438" s="73">
        <v>59.56</v>
      </c>
      <c r="H438" s="73">
        <v>8.02</v>
      </c>
      <c r="I438" s="73">
        <v>2.66</v>
      </c>
      <c r="J438" s="73">
        <v>5.6</v>
      </c>
      <c r="K438" s="73">
        <v>45.1</v>
      </c>
      <c r="L438" s="30">
        <v>818</v>
      </c>
      <c r="Q438" s="5"/>
    </row>
    <row r="439" spans="2:17" ht="14.5" x14ac:dyDescent="0.35">
      <c r="B439" s="3">
        <v>44765</v>
      </c>
      <c r="C439" s="4" t="s">
        <v>3</v>
      </c>
      <c r="D439" s="35" t="s">
        <v>27</v>
      </c>
      <c r="E439" s="2" t="s">
        <v>26</v>
      </c>
      <c r="F439" s="4" t="s">
        <v>1</v>
      </c>
      <c r="G439" s="73">
        <v>61.2</v>
      </c>
      <c r="H439" s="73">
        <v>5.68</v>
      </c>
      <c r="I439" s="73">
        <v>2.89</v>
      </c>
      <c r="J439" s="73">
        <v>6.5</v>
      </c>
      <c r="K439" s="73">
        <v>40.299999999999997</v>
      </c>
      <c r="L439" s="30"/>
      <c r="Q439" s="5"/>
    </row>
    <row r="440" spans="2:17" ht="14.5" x14ac:dyDescent="0.35">
      <c r="B440" s="3">
        <v>44766</v>
      </c>
      <c r="C440" s="4" t="s">
        <v>3</v>
      </c>
      <c r="D440" s="35" t="s">
        <v>27</v>
      </c>
      <c r="E440" s="2" t="s">
        <v>26</v>
      </c>
      <c r="F440" s="4" t="s">
        <v>1</v>
      </c>
      <c r="G440" s="73">
        <v>59.23</v>
      </c>
      <c r="H440" s="73">
        <v>9.11</v>
      </c>
      <c r="I440" s="73">
        <v>2.64</v>
      </c>
      <c r="J440" s="73">
        <v>4.0999999999999996</v>
      </c>
      <c r="K440" s="73">
        <v>42.4</v>
      </c>
      <c r="L440" s="30"/>
      <c r="Q440" s="5"/>
    </row>
    <row r="441" spans="2:17" ht="14.5" x14ac:dyDescent="0.35">
      <c r="B441" s="3">
        <v>44764</v>
      </c>
      <c r="C441" s="4" t="s">
        <v>3</v>
      </c>
      <c r="D441" s="35" t="s">
        <v>2</v>
      </c>
      <c r="E441" s="2" t="s">
        <v>26</v>
      </c>
      <c r="F441" s="4" t="s">
        <v>0</v>
      </c>
      <c r="G441" s="73">
        <v>61.68</v>
      </c>
      <c r="H441" s="73">
        <v>4.96</v>
      </c>
      <c r="I441" s="73">
        <v>2.85</v>
      </c>
      <c r="J441" s="73">
        <v>12.4</v>
      </c>
      <c r="K441" s="73">
        <v>30.5</v>
      </c>
      <c r="L441" s="30">
        <v>784</v>
      </c>
      <c r="Q441" s="5"/>
    </row>
    <row r="442" spans="2:17" ht="14.5" x14ac:dyDescent="0.35">
      <c r="B442" s="3">
        <v>44766</v>
      </c>
      <c r="C442" s="4" t="s">
        <v>3</v>
      </c>
      <c r="D442" s="35" t="s">
        <v>2</v>
      </c>
      <c r="E442" s="2" t="s">
        <v>26</v>
      </c>
      <c r="F442" s="4" t="s">
        <v>0</v>
      </c>
      <c r="G442" s="73">
        <v>61.73</v>
      </c>
      <c r="H442" s="73">
        <v>5.0999999999999996</v>
      </c>
      <c r="I442" s="73">
        <v>2.67</v>
      </c>
      <c r="J442" s="73">
        <v>8.1999999999999993</v>
      </c>
      <c r="K442" s="73">
        <v>26.2</v>
      </c>
      <c r="L442" s="30">
        <v>790</v>
      </c>
      <c r="Q442" s="5"/>
    </row>
    <row r="443" spans="2:17" ht="14.5" x14ac:dyDescent="0.35">
      <c r="B443" s="3">
        <v>44767</v>
      </c>
      <c r="C443" s="4" t="s">
        <v>3</v>
      </c>
      <c r="D443" s="35" t="s">
        <v>2</v>
      </c>
      <c r="E443" s="2" t="s">
        <v>26</v>
      </c>
      <c r="F443" s="4" t="s">
        <v>0</v>
      </c>
      <c r="G443" s="73">
        <v>60.41</v>
      </c>
      <c r="H443" s="73">
        <v>7.12</v>
      </c>
      <c r="I443" s="73">
        <v>2.75</v>
      </c>
      <c r="J443" s="73">
        <v>17.600000000000001</v>
      </c>
      <c r="K443" s="73">
        <v>36.299999999999997</v>
      </c>
      <c r="L443" s="30">
        <v>798</v>
      </c>
      <c r="Q443" s="5"/>
    </row>
    <row r="444" spans="2:17" ht="14.5" x14ac:dyDescent="0.35">
      <c r="B444" s="3">
        <v>44769</v>
      </c>
      <c r="C444" s="4" t="s">
        <v>3</v>
      </c>
      <c r="D444" s="35" t="s">
        <v>2</v>
      </c>
      <c r="E444" s="2" t="s">
        <v>26</v>
      </c>
      <c r="F444" s="4" t="s">
        <v>0</v>
      </c>
      <c r="G444" s="73">
        <v>61.52</v>
      </c>
      <c r="H444" s="73">
        <v>5.26</v>
      </c>
      <c r="I444" s="73">
        <v>2.71</v>
      </c>
      <c r="J444" s="73">
        <v>14.3</v>
      </c>
      <c r="K444" s="73">
        <v>37.700000000000003</v>
      </c>
      <c r="L444" s="30">
        <v>804</v>
      </c>
      <c r="Q444" s="5"/>
    </row>
    <row r="445" spans="2:17" ht="14.5" x14ac:dyDescent="0.35">
      <c r="B445" s="3">
        <v>44770</v>
      </c>
      <c r="C445" s="4" t="s">
        <v>3</v>
      </c>
      <c r="D445" s="35" t="s">
        <v>2</v>
      </c>
      <c r="E445" s="2" t="s">
        <v>26</v>
      </c>
      <c r="F445" s="4" t="s">
        <v>0</v>
      </c>
      <c r="G445" s="73">
        <v>57.91</v>
      </c>
      <c r="H445" s="73">
        <v>11.13</v>
      </c>
      <c r="I445" s="73">
        <v>1.72</v>
      </c>
      <c r="J445" s="73">
        <v>14.2</v>
      </c>
      <c r="K445" s="73">
        <v>29.5</v>
      </c>
      <c r="L445" s="30">
        <v>810</v>
      </c>
      <c r="Q445" s="5"/>
    </row>
    <row r="446" spans="2:17" ht="14.5" x14ac:dyDescent="0.35">
      <c r="B446" s="3">
        <v>44771</v>
      </c>
      <c r="C446" s="4" t="s">
        <v>3</v>
      </c>
      <c r="D446" s="35" t="s">
        <v>2</v>
      </c>
      <c r="E446" s="2" t="s">
        <v>26</v>
      </c>
      <c r="F446" s="4" t="s">
        <v>0</v>
      </c>
      <c r="G446" s="73">
        <v>61.06</v>
      </c>
      <c r="H446" s="73">
        <v>5.55</v>
      </c>
      <c r="I446" s="73">
        <v>2.69</v>
      </c>
      <c r="J446" s="73">
        <v>16.5</v>
      </c>
      <c r="K446" s="73">
        <v>30.3</v>
      </c>
      <c r="L446" s="30">
        <v>815</v>
      </c>
      <c r="Q446" s="5"/>
    </row>
    <row r="447" spans="2:17" ht="14.5" x14ac:dyDescent="0.35">
      <c r="B447" s="3">
        <v>44765</v>
      </c>
      <c r="C447" s="4" t="s">
        <v>3</v>
      </c>
      <c r="D447" s="35" t="s">
        <v>2</v>
      </c>
      <c r="E447" s="2" t="s">
        <v>26</v>
      </c>
      <c r="F447" s="4" t="s">
        <v>1</v>
      </c>
      <c r="G447" s="73">
        <v>60.83</v>
      </c>
      <c r="H447" s="73">
        <v>6.47</v>
      </c>
      <c r="I447" s="73">
        <v>2.9</v>
      </c>
      <c r="J447" s="73">
        <v>5.5</v>
      </c>
      <c r="K447" s="73">
        <v>39.299999999999997</v>
      </c>
      <c r="L447" s="30">
        <v>786</v>
      </c>
      <c r="Q447" s="5"/>
    </row>
    <row r="448" spans="2:17" ht="14.5" x14ac:dyDescent="0.35">
      <c r="B448" s="3">
        <v>44766</v>
      </c>
      <c r="C448" s="4" t="s">
        <v>3</v>
      </c>
      <c r="D448" s="35" t="s">
        <v>2</v>
      </c>
      <c r="E448" s="2" t="s">
        <v>26</v>
      </c>
      <c r="F448" s="4" t="s">
        <v>1</v>
      </c>
      <c r="G448" s="73">
        <v>60.75</v>
      </c>
      <c r="H448" s="73">
        <v>6.37</v>
      </c>
      <c r="I448" s="73">
        <v>3.1</v>
      </c>
      <c r="J448" s="73">
        <v>4.5999999999999996</v>
      </c>
      <c r="K448" s="73">
        <v>42.3</v>
      </c>
      <c r="L448" s="30">
        <v>788</v>
      </c>
      <c r="Q448" s="5"/>
    </row>
    <row r="449" spans="2:17" ht="14.5" x14ac:dyDescent="0.35">
      <c r="B449" s="3">
        <v>44766</v>
      </c>
      <c r="C449" s="4" t="s">
        <v>3</v>
      </c>
      <c r="D449" s="35" t="s">
        <v>2</v>
      </c>
      <c r="E449" s="2" t="s">
        <v>26</v>
      </c>
      <c r="F449" s="4" t="s">
        <v>1</v>
      </c>
      <c r="G449" s="73">
        <v>61.07</v>
      </c>
      <c r="H449" s="73">
        <v>5.97</v>
      </c>
      <c r="I449" s="73">
        <v>3.14</v>
      </c>
      <c r="J449" s="73">
        <v>5.3</v>
      </c>
      <c r="K449" s="73">
        <v>45.2</v>
      </c>
      <c r="L449" s="30">
        <v>793</v>
      </c>
      <c r="Q449" s="5"/>
    </row>
    <row r="450" spans="2:17" ht="14.5" x14ac:dyDescent="0.35">
      <c r="B450" s="3">
        <v>44767</v>
      </c>
      <c r="C450" s="4" t="s">
        <v>3</v>
      </c>
      <c r="D450" s="35" t="s">
        <v>2</v>
      </c>
      <c r="E450" s="2" t="s">
        <v>26</v>
      </c>
      <c r="F450" s="4" t="s">
        <v>1</v>
      </c>
      <c r="G450" s="73">
        <v>60.87</v>
      </c>
      <c r="H450" s="73">
        <v>6.86</v>
      </c>
      <c r="I450" s="73">
        <v>2.5499999999999998</v>
      </c>
      <c r="J450" s="73">
        <v>4.7</v>
      </c>
      <c r="K450" s="73">
        <v>42.6</v>
      </c>
      <c r="L450" s="30">
        <v>796</v>
      </c>
      <c r="Q450" s="5"/>
    </row>
    <row r="451" spans="2:17" ht="14.5" x14ac:dyDescent="0.35">
      <c r="B451" s="3">
        <v>44768</v>
      </c>
      <c r="C451" s="4" t="s">
        <v>3</v>
      </c>
      <c r="D451" s="35" t="s">
        <v>2</v>
      </c>
      <c r="E451" s="2" t="s">
        <v>26</v>
      </c>
      <c r="F451" s="4" t="s">
        <v>1</v>
      </c>
      <c r="G451" s="73">
        <v>60.65</v>
      </c>
      <c r="H451" s="73">
        <v>6.58</v>
      </c>
      <c r="I451" s="73">
        <v>3.04</v>
      </c>
      <c r="J451" s="73">
        <v>5.2</v>
      </c>
      <c r="K451" s="73">
        <v>44.3</v>
      </c>
      <c r="L451" s="30">
        <v>800</v>
      </c>
      <c r="Q451" s="5"/>
    </row>
    <row r="452" spans="2:17" ht="14.5" x14ac:dyDescent="0.35">
      <c r="B452" s="3">
        <v>44768</v>
      </c>
      <c r="C452" s="4" t="s">
        <v>3</v>
      </c>
      <c r="D452" s="35" t="s">
        <v>2</v>
      </c>
      <c r="E452" s="2" t="s">
        <v>26</v>
      </c>
      <c r="F452" s="4" t="s">
        <v>1</v>
      </c>
      <c r="G452" s="73">
        <v>60.24</v>
      </c>
      <c r="H452" s="73">
        <v>7.27</v>
      </c>
      <c r="I452" s="73">
        <v>3.03</v>
      </c>
      <c r="J452" s="73"/>
      <c r="K452" s="73"/>
      <c r="L452" s="30">
        <v>802</v>
      </c>
      <c r="Q452" s="5"/>
    </row>
    <row r="453" spans="2:17" ht="14.5" x14ac:dyDescent="0.35">
      <c r="B453" s="3">
        <v>44769</v>
      </c>
      <c r="C453" s="4" t="s">
        <v>3</v>
      </c>
      <c r="D453" s="35" t="s">
        <v>2</v>
      </c>
      <c r="E453" s="2" t="s">
        <v>26</v>
      </c>
      <c r="F453" s="4" t="s">
        <v>1</v>
      </c>
      <c r="G453" s="73">
        <v>60.22</v>
      </c>
      <c r="H453" s="73">
        <v>7.39</v>
      </c>
      <c r="I453" s="73">
        <v>2.54</v>
      </c>
      <c r="J453" s="73"/>
      <c r="K453" s="73"/>
      <c r="L453" s="30">
        <v>805</v>
      </c>
      <c r="Q453" s="5"/>
    </row>
    <row r="454" spans="2:17" ht="14.5" x14ac:dyDescent="0.35">
      <c r="B454" s="3">
        <v>44770</v>
      </c>
      <c r="C454" s="4" t="s">
        <v>3</v>
      </c>
      <c r="D454" s="35" t="s">
        <v>2</v>
      </c>
      <c r="E454" s="2" t="s">
        <v>26</v>
      </c>
      <c r="F454" s="4" t="s">
        <v>1</v>
      </c>
      <c r="G454" s="73">
        <v>60.15</v>
      </c>
      <c r="H454" s="73">
        <v>6.97</v>
      </c>
      <c r="I454" s="73">
        <v>2.5499999999999998</v>
      </c>
      <c r="J454" s="73">
        <v>4.7</v>
      </c>
      <c r="K454" s="73">
        <v>43.6</v>
      </c>
      <c r="L454" s="30">
        <v>812</v>
      </c>
      <c r="Q454" s="5"/>
    </row>
    <row r="455" spans="2:17" ht="14.5" x14ac:dyDescent="0.35">
      <c r="B455" s="3">
        <v>44772</v>
      </c>
      <c r="C455" s="4" t="s">
        <v>3</v>
      </c>
      <c r="D455" s="35" t="s">
        <v>2</v>
      </c>
      <c r="E455" s="2" t="s">
        <v>26</v>
      </c>
      <c r="F455" s="4" t="s">
        <v>1</v>
      </c>
      <c r="G455" s="73">
        <v>59.08</v>
      </c>
      <c r="H455" s="73">
        <v>8.52</v>
      </c>
      <c r="I455" s="73">
        <v>2.71</v>
      </c>
      <c r="J455" s="73">
        <v>5.0999999999999996</v>
      </c>
      <c r="K455" s="73">
        <v>44.3</v>
      </c>
      <c r="L455" s="30">
        <v>817</v>
      </c>
      <c r="Q455" s="5"/>
    </row>
    <row r="456" spans="2:17" ht="14.5" x14ac:dyDescent="0.35">
      <c r="B456" s="3">
        <v>44772</v>
      </c>
      <c r="C456" s="4" t="s">
        <v>3</v>
      </c>
      <c r="D456" s="35" t="s">
        <v>2</v>
      </c>
      <c r="E456" s="2" t="s">
        <v>26</v>
      </c>
      <c r="F456" s="4" t="s">
        <v>1</v>
      </c>
      <c r="G456" s="73">
        <v>60.14</v>
      </c>
      <c r="H456" s="73">
        <v>7.05</v>
      </c>
      <c r="I456" s="73">
        <v>2.69</v>
      </c>
      <c r="J456" s="73"/>
      <c r="K456" s="73"/>
      <c r="L456" s="30">
        <v>826</v>
      </c>
      <c r="Q456" s="5"/>
    </row>
    <row r="457" spans="2:17" ht="14.5" x14ac:dyDescent="0.35">
      <c r="B457" s="3">
        <v>44765</v>
      </c>
      <c r="C457" s="4" t="s">
        <v>3</v>
      </c>
      <c r="D457" s="35" t="s">
        <v>9</v>
      </c>
      <c r="E457" s="2" t="s">
        <v>26</v>
      </c>
      <c r="F457" s="4" t="s">
        <v>1</v>
      </c>
      <c r="G457" s="73">
        <v>60.85</v>
      </c>
      <c r="H457" s="73">
        <v>6.44</v>
      </c>
      <c r="I457" s="73">
        <v>2.88</v>
      </c>
      <c r="J457" s="73">
        <v>4.2</v>
      </c>
      <c r="K457" s="73">
        <v>44.1</v>
      </c>
      <c r="L457" s="30"/>
      <c r="Q457" s="5"/>
    </row>
    <row r="458" spans="2:17" ht="14.5" x14ac:dyDescent="0.35">
      <c r="B458" s="3">
        <v>44766</v>
      </c>
      <c r="C458" s="4" t="s">
        <v>3</v>
      </c>
      <c r="D458" s="35" t="s">
        <v>9</v>
      </c>
      <c r="E458" s="2" t="s">
        <v>26</v>
      </c>
      <c r="F458" s="4" t="s">
        <v>1</v>
      </c>
      <c r="G458" s="73">
        <v>60.77</v>
      </c>
      <c r="H458" s="73">
        <v>6.48</v>
      </c>
      <c r="I458" s="73">
        <v>2.96</v>
      </c>
      <c r="J458" s="73">
        <v>6.6</v>
      </c>
      <c r="K458" s="73">
        <v>47.2</v>
      </c>
      <c r="L458" s="30"/>
      <c r="Q458" s="5"/>
    </row>
    <row r="459" spans="2:17" ht="14.5" x14ac:dyDescent="0.35">
      <c r="B459" s="538">
        <v>44767</v>
      </c>
      <c r="C459" s="539" t="s">
        <v>3</v>
      </c>
      <c r="D459" s="540" t="s">
        <v>9</v>
      </c>
      <c r="E459" s="541" t="s">
        <v>26</v>
      </c>
      <c r="F459" s="539" t="s">
        <v>1</v>
      </c>
      <c r="G459" s="541">
        <v>60.61</v>
      </c>
      <c r="H459" s="541">
        <v>6.0720000000000001</v>
      </c>
      <c r="I459" s="541">
        <v>3.06</v>
      </c>
      <c r="J459" s="73">
        <v>3.5</v>
      </c>
      <c r="K459" s="73">
        <v>43.1</v>
      </c>
      <c r="L459" s="30"/>
      <c r="Q459" s="5"/>
    </row>
    <row r="460" spans="2:17" ht="14.5" x14ac:dyDescent="0.35">
      <c r="B460" s="3">
        <v>44768</v>
      </c>
      <c r="C460" s="4" t="s">
        <v>3</v>
      </c>
      <c r="D460" s="35" t="s">
        <v>9</v>
      </c>
      <c r="E460" s="2" t="s">
        <v>26</v>
      </c>
      <c r="F460" s="4" t="s">
        <v>1</v>
      </c>
      <c r="G460" s="73">
        <v>60.43</v>
      </c>
      <c r="H460" s="73">
        <v>6.75</v>
      </c>
      <c r="I460" s="73">
        <v>3.18</v>
      </c>
      <c r="J460" s="73"/>
      <c r="K460" s="73"/>
      <c r="L460" s="30"/>
      <c r="Q460" s="5"/>
    </row>
    <row r="461" spans="2:17" ht="14.5" x14ac:dyDescent="0.35">
      <c r="B461" s="3">
        <v>44769</v>
      </c>
      <c r="C461" s="4" t="s">
        <v>3</v>
      </c>
      <c r="D461" s="35" t="s">
        <v>9</v>
      </c>
      <c r="E461" s="2" t="s">
        <v>26</v>
      </c>
      <c r="F461" s="4" t="s">
        <v>1</v>
      </c>
      <c r="G461" s="73">
        <v>60.04</v>
      </c>
      <c r="H461" s="73">
        <v>6.38</v>
      </c>
      <c r="I461" s="73">
        <v>3.29</v>
      </c>
      <c r="J461" s="73">
        <v>3.2</v>
      </c>
      <c r="K461" s="73">
        <v>49.3</v>
      </c>
      <c r="L461" s="30"/>
      <c r="Q461" s="5"/>
    </row>
    <row r="462" spans="2:17" ht="14.5" x14ac:dyDescent="0.35">
      <c r="B462" s="3">
        <v>44772</v>
      </c>
      <c r="C462" s="4" t="s">
        <v>3</v>
      </c>
      <c r="D462" s="35" t="s">
        <v>9</v>
      </c>
      <c r="E462" s="2" t="s">
        <v>26</v>
      </c>
      <c r="F462" s="4" t="s">
        <v>1</v>
      </c>
      <c r="G462" s="73">
        <v>60.62</v>
      </c>
      <c r="H462" s="73">
        <v>6.15</v>
      </c>
      <c r="I462" s="73">
        <v>2.81</v>
      </c>
      <c r="J462" s="73">
        <v>3.6</v>
      </c>
      <c r="K462" s="73">
        <v>43.2</v>
      </c>
      <c r="L462" s="30"/>
      <c r="Q462" s="5"/>
    </row>
    <row r="463" spans="2:17" ht="14.5" x14ac:dyDescent="0.35">
      <c r="B463" s="3">
        <v>44770</v>
      </c>
      <c r="C463" s="4" t="s">
        <v>3</v>
      </c>
      <c r="D463" s="35" t="s">
        <v>11</v>
      </c>
      <c r="E463" s="2" t="s">
        <v>26</v>
      </c>
      <c r="F463" s="4" t="s">
        <v>0</v>
      </c>
      <c r="G463" s="73">
        <v>61.49</v>
      </c>
      <c r="H463" s="73">
        <v>4.32</v>
      </c>
      <c r="I463" s="73">
        <v>3.21</v>
      </c>
      <c r="J463" s="73">
        <v>15.4</v>
      </c>
      <c r="K463" s="73">
        <v>26.5</v>
      </c>
      <c r="L463" s="30"/>
      <c r="Q463" s="5"/>
    </row>
    <row r="464" spans="2:17" ht="14.5" x14ac:dyDescent="0.35">
      <c r="B464" s="3">
        <v>44771</v>
      </c>
      <c r="C464" s="4" t="s">
        <v>3</v>
      </c>
      <c r="D464" s="35" t="s">
        <v>11</v>
      </c>
      <c r="E464" s="2" t="s">
        <v>26</v>
      </c>
      <c r="F464" s="4" t="s">
        <v>0</v>
      </c>
      <c r="G464" s="73">
        <v>60.18</v>
      </c>
      <c r="H464" s="73">
        <v>7.32</v>
      </c>
      <c r="I464" s="73">
        <v>2.38</v>
      </c>
      <c r="J464" s="73">
        <v>16.2</v>
      </c>
      <c r="K464" s="73">
        <v>25.5</v>
      </c>
      <c r="L464" s="30"/>
      <c r="Q464" s="5"/>
    </row>
    <row r="465" spans="2:17" ht="14.5" x14ac:dyDescent="0.35">
      <c r="B465" s="3">
        <v>44770</v>
      </c>
      <c r="C465" s="4" t="s">
        <v>3</v>
      </c>
      <c r="D465" s="35" t="s">
        <v>11</v>
      </c>
      <c r="E465" s="2" t="s">
        <v>26</v>
      </c>
      <c r="F465" s="4" t="s">
        <v>1</v>
      </c>
      <c r="G465" s="73">
        <v>60.73</v>
      </c>
      <c r="H465" s="73">
        <v>5.54</v>
      </c>
      <c r="I465" s="73">
        <v>3.25</v>
      </c>
      <c r="J465" s="73">
        <v>6.7</v>
      </c>
      <c r="K465" s="73">
        <v>40.5</v>
      </c>
      <c r="L465" s="30"/>
      <c r="Q465" s="5"/>
    </row>
    <row r="466" spans="2:17" ht="14.5" x14ac:dyDescent="0.35">
      <c r="B466" s="3">
        <v>44771</v>
      </c>
      <c r="C466" s="4" t="s">
        <v>3</v>
      </c>
      <c r="D466" s="35" t="s">
        <v>11</v>
      </c>
      <c r="E466" s="2" t="s">
        <v>26</v>
      </c>
      <c r="F466" s="4" t="s">
        <v>1</v>
      </c>
      <c r="G466" s="73">
        <v>61.09</v>
      </c>
      <c r="H466" s="73">
        <v>5.59</v>
      </c>
      <c r="I466" s="73">
        <v>2.89</v>
      </c>
      <c r="J466" s="73"/>
      <c r="K466" s="73"/>
      <c r="L466" s="30"/>
      <c r="Q466" s="5"/>
    </row>
    <row r="467" spans="2:17" ht="14.5" x14ac:dyDescent="0.35">
      <c r="B467" s="3">
        <v>44771</v>
      </c>
      <c r="C467" s="4" t="s">
        <v>3</v>
      </c>
      <c r="D467" s="35" t="s">
        <v>10</v>
      </c>
      <c r="E467" s="2" t="s">
        <v>26</v>
      </c>
      <c r="F467" s="4" t="s">
        <v>1</v>
      </c>
      <c r="G467" s="73">
        <v>59.87</v>
      </c>
      <c r="H467" s="73">
        <v>5.34</v>
      </c>
      <c r="I467" s="73">
        <v>4.78</v>
      </c>
      <c r="J467" s="73">
        <v>5.2</v>
      </c>
      <c r="K467" s="73">
        <v>45.3</v>
      </c>
      <c r="L467" s="30"/>
      <c r="Q467" s="5"/>
    </row>
    <row r="468" spans="2:17" ht="14.5" x14ac:dyDescent="0.35">
      <c r="B468" s="5">
        <v>44743</v>
      </c>
      <c r="C468" s="4" t="s">
        <v>60</v>
      </c>
      <c r="D468" s="35" t="s">
        <v>27</v>
      </c>
      <c r="E468" s="2" t="s">
        <v>26</v>
      </c>
      <c r="F468" s="4" t="s">
        <v>1</v>
      </c>
      <c r="G468" s="13">
        <v>58.67</v>
      </c>
      <c r="H468" s="7">
        <v>8.93</v>
      </c>
      <c r="I468" s="6">
        <v>3.82</v>
      </c>
      <c r="J468" s="17">
        <v>12</v>
      </c>
      <c r="K468" s="17">
        <v>42.9</v>
      </c>
      <c r="Q468" s="5"/>
    </row>
    <row r="469" spans="2:17" ht="14.5" x14ac:dyDescent="0.35">
      <c r="B469" s="21">
        <v>44744</v>
      </c>
      <c r="C469" s="4" t="s">
        <v>60</v>
      </c>
      <c r="D469" s="35" t="s">
        <v>27</v>
      </c>
      <c r="E469" s="2" t="s">
        <v>26</v>
      </c>
      <c r="F469" s="4" t="s">
        <v>1</v>
      </c>
      <c r="G469" s="13">
        <v>53.45</v>
      </c>
      <c r="H469" s="7">
        <v>16.47</v>
      </c>
      <c r="I469" s="6">
        <v>3.61</v>
      </c>
      <c r="J469" s="17">
        <v>8.1</v>
      </c>
      <c r="K469" s="17">
        <v>42.8</v>
      </c>
      <c r="Q469" s="5"/>
    </row>
    <row r="470" spans="2:17" ht="14.5" x14ac:dyDescent="0.35">
      <c r="B470" s="21">
        <v>44744</v>
      </c>
      <c r="C470" s="4" t="s">
        <v>60</v>
      </c>
      <c r="D470" s="35" t="s">
        <v>27</v>
      </c>
      <c r="E470" s="2" t="s">
        <v>26</v>
      </c>
      <c r="F470" s="4" t="s">
        <v>1</v>
      </c>
      <c r="G470" s="13">
        <v>56.38</v>
      </c>
      <c r="H470" s="7">
        <v>8.77</v>
      </c>
      <c r="I470" s="6">
        <v>5.23</v>
      </c>
      <c r="J470" s="17">
        <v>13.1</v>
      </c>
      <c r="K470" s="17">
        <v>28.5</v>
      </c>
      <c r="Q470" s="5"/>
    </row>
    <row r="471" spans="2:17" ht="14.5" x14ac:dyDescent="0.35">
      <c r="B471" s="21">
        <v>44745</v>
      </c>
      <c r="C471" s="4" t="s">
        <v>60</v>
      </c>
      <c r="D471" s="35" t="s">
        <v>27</v>
      </c>
      <c r="E471" s="2" t="s">
        <v>26</v>
      </c>
      <c r="F471" s="4" t="s">
        <v>1</v>
      </c>
      <c r="G471" s="13">
        <v>58.33</v>
      </c>
      <c r="H471" s="7">
        <v>8.44</v>
      </c>
      <c r="I471" s="6">
        <v>4.05</v>
      </c>
      <c r="J471" s="17">
        <v>10.9</v>
      </c>
      <c r="K471" s="17">
        <v>31.8</v>
      </c>
      <c r="Q471" s="5"/>
    </row>
    <row r="472" spans="2:17" ht="14.5" x14ac:dyDescent="0.35">
      <c r="B472" s="21">
        <v>44747</v>
      </c>
      <c r="C472" s="4" t="s">
        <v>60</v>
      </c>
      <c r="D472" s="35" t="s">
        <v>27</v>
      </c>
      <c r="E472" s="2" t="s">
        <v>26</v>
      </c>
      <c r="F472" s="4" t="s">
        <v>1</v>
      </c>
      <c r="G472" s="14">
        <v>56.86</v>
      </c>
      <c r="H472" s="9">
        <v>11.67</v>
      </c>
      <c r="I472" s="8">
        <v>3.03</v>
      </c>
      <c r="J472" s="18">
        <v>9.5</v>
      </c>
      <c r="K472" s="18">
        <v>41.2</v>
      </c>
      <c r="Q472" s="5"/>
    </row>
    <row r="473" spans="2:17" ht="14.5" x14ac:dyDescent="0.35">
      <c r="B473" s="5">
        <v>44749</v>
      </c>
      <c r="C473" s="4" t="s">
        <v>60</v>
      </c>
      <c r="D473" s="35" t="s">
        <v>27</v>
      </c>
      <c r="E473" s="2" t="s">
        <v>26</v>
      </c>
      <c r="F473" s="4" t="s">
        <v>1</v>
      </c>
      <c r="G473" s="13">
        <v>57.31</v>
      </c>
      <c r="H473" s="7">
        <v>11.86</v>
      </c>
      <c r="I473" s="7">
        <v>2.79</v>
      </c>
      <c r="J473" s="17">
        <v>9.3000000000000007</v>
      </c>
      <c r="K473" s="17">
        <v>44.55</v>
      </c>
      <c r="Q473" s="5"/>
    </row>
    <row r="474" spans="2:17" ht="14.5" x14ac:dyDescent="0.35">
      <c r="B474" s="5">
        <v>44750</v>
      </c>
      <c r="C474" s="4" t="s">
        <v>60</v>
      </c>
      <c r="D474" s="35" t="s">
        <v>27</v>
      </c>
      <c r="E474" s="2" t="s">
        <v>26</v>
      </c>
      <c r="F474" s="4" t="s">
        <v>1</v>
      </c>
      <c r="G474" s="13">
        <v>59.4</v>
      </c>
      <c r="H474" s="7">
        <v>7.39</v>
      </c>
      <c r="I474" s="7">
        <v>3.34</v>
      </c>
      <c r="J474" s="17">
        <v>5.6</v>
      </c>
      <c r="K474" s="17">
        <v>52.1</v>
      </c>
      <c r="Q474" s="5"/>
    </row>
    <row r="475" spans="2:17" ht="14.5" x14ac:dyDescent="0.35">
      <c r="B475" s="21">
        <v>44751</v>
      </c>
      <c r="C475" s="4" t="s">
        <v>60</v>
      </c>
      <c r="D475" s="35" t="s">
        <v>27</v>
      </c>
      <c r="E475" s="2" t="s">
        <v>26</v>
      </c>
      <c r="F475" s="4" t="s">
        <v>1</v>
      </c>
      <c r="G475" s="14">
        <v>55.49</v>
      </c>
      <c r="H475" s="8">
        <v>12.9</v>
      </c>
      <c r="I475" s="8">
        <v>3.8</v>
      </c>
      <c r="J475" s="18">
        <v>13.3</v>
      </c>
      <c r="K475" s="18">
        <v>31.5</v>
      </c>
      <c r="Q475" s="5"/>
    </row>
    <row r="476" spans="2:17" ht="15.5" x14ac:dyDescent="0.35">
      <c r="B476" s="5">
        <v>44753</v>
      </c>
      <c r="C476" s="4" t="s">
        <v>60</v>
      </c>
      <c r="D476" s="35" t="s">
        <v>27</v>
      </c>
      <c r="E476" s="2" t="s">
        <v>26</v>
      </c>
      <c r="F476" s="4" t="s">
        <v>1</v>
      </c>
      <c r="G476" s="15">
        <v>62.55</v>
      </c>
      <c r="H476" s="10">
        <v>3.48</v>
      </c>
      <c r="I476" s="10">
        <v>2.19</v>
      </c>
      <c r="J476" s="19">
        <v>14.9</v>
      </c>
      <c r="K476" s="19">
        <v>47.2</v>
      </c>
      <c r="Q476" s="5"/>
    </row>
    <row r="477" spans="2:17" ht="15.5" x14ac:dyDescent="0.35">
      <c r="B477" s="5">
        <v>44754</v>
      </c>
      <c r="C477" s="4" t="s">
        <v>60</v>
      </c>
      <c r="D477" s="35" t="s">
        <v>27</v>
      </c>
      <c r="E477" s="2" t="s">
        <v>26</v>
      </c>
      <c r="F477" s="4" t="s">
        <v>1</v>
      </c>
      <c r="G477" s="15">
        <v>60.47</v>
      </c>
      <c r="H477" s="10">
        <v>6.93</v>
      </c>
      <c r="I477" s="10">
        <v>2.19</v>
      </c>
      <c r="J477" s="19">
        <v>6.6</v>
      </c>
      <c r="K477" s="19">
        <v>53.2</v>
      </c>
      <c r="Q477" s="5"/>
    </row>
    <row r="478" spans="2:17" ht="15.5" x14ac:dyDescent="0.35">
      <c r="B478" s="22">
        <v>44757</v>
      </c>
      <c r="C478" s="4" t="s">
        <v>60</v>
      </c>
      <c r="D478" s="35" t="s">
        <v>31</v>
      </c>
      <c r="E478" s="2" t="s">
        <v>26</v>
      </c>
      <c r="F478" s="4" t="s">
        <v>1</v>
      </c>
      <c r="G478" s="16">
        <v>61.26</v>
      </c>
      <c r="H478" s="11">
        <v>4.1399999999999997</v>
      </c>
      <c r="I478" s="12">
        <v>3.97</v>
      </c>
      <c r="J478" s="20">
        <v>0</v>
      </c>
      <c r="K478" s="20">
        <v>42.7</v>
      </c>
      <c r="Q478" s="5"/>
    </row>
    <row r="479" spans="2:17" ht="14.5" x14ac:dyDescent="0.35">
      <c r="B479" s="448">
        <v>44768</v>
      </c>
      <c r="C479" s="4" t="s">
        <v>4</v>
      </c>
      <c r="D479" s="35" t="s">
        <v>11</v>
      </c>
      <c r="E479" s="2" t="s">
        <v>26</v>
      </c>
      <c r="F479" s="4" t="s">
        <v>1</v>
      </c>
      <c r="G479" s="452">
        <v>62.2</v>
      </c>
      <c r="H479" s="456">
        <v>4.3</v>
      </c>
      <c r="I479" s="456">
        <v>2.1</v>
      </c>
      <c r="J479" s="461">
        <v>10</v>
      </c>
      <c r="K479" s="461">
        <v>50.9</v>
      </c>
      <c r="Q479" s="5"/>
    </row>
    <row r="480" spans="2:17" ht="14.5" x14ac:dyDescent="0.35">
      <c r="B480" s="480">
        <v>44769</v>
      </c>
      <c r="C480" s="4" t="s">
        <v>4</v>
      </c>
      <c r="D480" s="35" t="s">
        <v>11</v>
      </c>
      <c r="E480" s="2" t="s">
        <v>26</v>
      </c>
      <c r="F480" s="4" t="s">
        <v>1</v>
      </c>
      <c r="G480" s="451">
        <v>60.7</v>
      </c>
      <c r="H480" s="455">
        <v>5.2</v>
      </c>
      <c r="I480" s="455">
        <v>2.8</v>
      </c>
      <c r="J480" s="460">
        <v>10.9</v>
      </c>
      <c r="K480" s="460">
        <v>39.799999999999997</v>
      </c>
      <c r="Q480" s="5"/>
    </row>
    <row r="481" spans="2:17" ht="14.5" x14ac:dyDescent="0.35">
      <c r="B481" s="448">
        <v>44769</v>
      </c>
      <c r="C481" s="4" t="s">
        <v>4</v>
      </c>
      <c r="D481" s="35" t="s">
        <v>11</v>
      </c>
      <c r="E481" s="2" t="s">
        <v>26</v>
      </c>
      <c r="F481" s="4" t="s">
        <v>1</v>
      </c>
      <c r="G481" s="452">
        <v>62.9</v>
      </c>
      <c r="H481" s="456">
        <v>2.4</v>
      </c>
      <c r="I481" s="456">
        <v>2.1</v>
      </c>
      <c r="J481" s="461">
        <v>12.4</v>
      </c>
      <c r="K481" s="461">
        <v>37.700000000000003</v>
      </c>
      <c r="Q481" s="5"/>
    </row>
    <row r="482" spans="2:17" ht="14.5" x14ac:dyDescent="0.35">
      <c r="B482" s="480">
        <v>44772</v>
      </c>
      <c r="C482" s="4" t="s">
        <v>4</v>
      </c>
      <c r="D482" s="35" t="s">
        <v>11</v>
      </c>
      <c r="E482" s="2" t="s">
        <v>26</v>
      </c>
      <c r="F482" s="4" t="s">
        <v>1</v>
      </c>
      <c r="G482" s="449">
        <v>60.4</v>
      </c>
      <c r="H482" s="453">
        <v>3.5</v>
      </c>
      <c r="I482" s="453">
        <v>1.5</v>
      </c>
      <c r="J482" s="458">
        <v>4.9000000000000004</v>
      </c>
      <c r="K482" s="458">
        <v>40.200000000000003</v>
      </c>
      <c r="Q482" s="5"/>
    </row>
    <row r="483" spans="2:17" ht="14.5" x14ac:dyDescent="0.35">
      <c r="B483" s="480">
        <v>44773</v>
      </c>
      <c r="C483" s="4" t="s">
        <v>4</v>
      </c>
      <c r="D483" s="35" t="s">
        <v>11</v>
      </c>
      <c r="E483" s="2" t="s">
        <v>26</v>
      </c>
      <c r="F483" s="4" t="s">
        <v>1</v>
      </c>
      <c r="G483" s="449">
        <v>62.4</v>
      </c>
      <c r="H483" s="453">
        <v>4.5</v>
      </c>
      <c r="I483" s="453">
        <v>1.8</v>
      </c>
      <c r="J483" s="458">
        <v>16.2</v>
      </c>
      <c r="K483" s="458">
        <v>37.700000000000003</v>
      </c>
      <c r="L483" s="78"/>
      <c r="Q483" s="5"/>
    </row>
    <row r="484" spans="2:17" ht="14.5" x14ac:dyDescent="0.35">
      <c r="B484" s="448">
        <v>44773</v>
      </c>
      <c r="C484" s="4" t="s">
        <v>4</v>
      </c>
      <c r="D484" s="35" t="s">
        <v>11</v>
      </c>
      <c r="E484" s="2" t="s">
        <v>26</v>
      </c>
      <c r="F484" s="4" t="s">
        <v>1</v>
      </c>
      <c r="G484" s="450">
        <v>62.5</v>
      </c>
      <c r="H484" s="457">
        <v>4</v>
      </c>
      <c r="I484" s="454">
        <v>1.8</v>
      </c>
      <c r="J484" s="459">
        <v>6.4</v>
      </c>
      <c r="K484" s="459">
        <v>41.8</v>
      </c>
      <c r="L484" s="78"/>
      <c r="Q484" s="5"/>
    </row>
    <row r="485" spans="2:17" ht="15.5" x14ac:dyDescent="0.35">
      <c r="B485" s="448">
        <v>44768</v>
      </c>
      <c r="C485" s="4" t="s">
        <v>4</v>
      </c>
      <c r="D485" s="35" t="s">
        <v>11</v>
      </c>
      <c r="E485" s="2" t="s">
        <v>26</v>
      </c>
      <c r="F485" s="4" t="s">
        <v>0</v>
      </c>
      <c r="G485" s="478">
        <v>62.1</v>
      </c>
      <c r="H485" s="478">
        <v>4.5</v>
      </c>
      <c r="I485" s="479">
        <v>1.6</v>
      </c>
      <c r="J485" s="478">
        <v>10.5</v>
      </c>
      <c r="K485" s="478">
        <v>15.9</v>
      </c>
      <c r="L485" s="447"/>
      <c r="M485" s="447"/>
      <c r="Q485" s="5"/>
    </row>
    <row r="486" spans="2:17" ht="15.5" x14ac:dyDescent="0.35">
      <c r="B486" s="480">
        <v>44768</v>
      </c>
      <c r="C486" s="4" t="s">
        <v>4</v>
      </c>
      <c r="D486" s="35" t="s">
        <v>11</v>
      </c>
      <c r="E486" s="2" t="s">
        <v>26</v>
      </c>
      <c r="F486" s="4" t="s">
        <v>0</v>
      </c>
      <c r="G486" s="474">
        <v>61.2</v>
      </c>
      <c r="H486" s="474">
        <v>6.2</v>
      </c>
      <c r="I486" s="477">
        <v>1.4</v>
      </c>
      <c r="J486" s="474">
        <v>33.799999999999997</v>
      </c>
      <c r="K486" s="474">
        <v>8.6999999999999993</v>
      </c>
      <c r="L486" s="447"/>
      <c r="M486" s="447"/>
      <c r="Q486" s="5"/>
    </row>
    <row r="487" spans="2:17" ht="15.5" x14ac:dyDescent="0.35">
      <c r="B487" s="480">
        <v>44768</v>
      </c>
      <c r="C487" s="4" t="s">
        <v>4</v>
      </c>
      <c r="D487" s="35" t="s">
        <v>11</v>
      </c>
      <c r="E487" s="2" t="s">
        <v>26</v>
      </c>
      <c r="F487" s="4" t="s">
        <v>0</v>
      </c>
      <c r="G487" s="474">
        <v>63.3</v>
      </c>
      <c r="H487" s="474">
        <v>2.2000000000000002</v>
      </c>
      <c r="I487" s="477">
        <v>1.5</v>
      </c>
      <c r="J487" s="474">
        <v>13.8</v>
      </c>
      <c r="K487" s="474">
        <v>8.6</v>
      </c>
      <c r="L487" s="447"/>
      <c r="M487" s="447"/>
      <c r="Q487" s="5"/>
    </row>
    <row r="488" spans="2:17" ht="15.5" x14ac:dyDescent="0.35">
      <c r="B488" s="480">
        <v>44769</v>
      </c>
      <c r="C488" s="4" t="s">
        <v>4</v>
      </c>
      <c r="D488" s="35" t="s">
        <v>11</v>
      </c>
      <c r="E488" s="2" t="s">
        <v>26</v>
      </c>
      <c r="F488" s="4" t="s">
        <v>0</v>
      </c>
      <c r="G488" s="474">
        <v>62.4</v>
      </c>
      <c r="H488" s="474">
        <v>2.8</v>
      </c>
      <c r="I488" s="477">
        <v>2.2000000000000002</v>
      </c>
      <c r="J488" s="474">
        <v>22.8</v>
      </c>
      <c r="K488" s="474">
        <v>10.9</v>
      </c>
      <c r="L488" s="447"/>
      <c r="M488" s="447"/>
      <c r="Q488" s="5"/>
    </row>
    <row r="489" spans="2:17" ht="15.5" x14ac:dyDescent="0.35">
      <c r="B489" s="448">
        <v>44769</v>
      </c>
      <c r="C489" s="4" t="s">
        <v>4</v>
      </c>
      <c r="D489" s="35" t="s">
        <v>11</v>
      </c>
      <c r="E489" s="2" t="s">
        <v>26</v>
      </c>
      <c r="F489" s="4" t="s">
        <v>0</v>
      </c>
      <c r="G489" s="478">
        <v>62.9</v>
      </c>
      <c r="H489" s="478">
        <v>2.4</v>
      </c>
      <c r="I489" s="479">
        <v>2.1</v>
      </c>
      <c r="J489" s="478">
        <v>32.200000000000003</v>
      </c>
      <c r="K489" s="478">
        <v>8.3000000000000007</v>
      </c>
      <c r="L489" s="447"/>
      <c r="M489" s="447"/>
      <c r="Q489" s="5"/>
    </row>
    <row r="490" spans="2:17" ht="15.5" x14ac:dyDescent="0.35">
      <c r="B490" s="481">
        <v>44769</v>
      </c>
      <c r="C490" s="4" t="s">
        <v>4</v>
      </c>
      <c r="D490" s="35" t="s">
        <v>11</v>
      </c>
      <c r="E490" s="2" t="s">
        <v>26</v>
      </c>
      <c r="F490" s="4" t="s">
        <v>0</v>
      </c>
      <c r="G490" s="475">
        <v>60.2</v>
      </c>
      <c r="H490" s="475">
        <v>4.3</v>
      </c>
      <c r="I490" s="476">
        <v>3.1</v>
      </c>
      <c r="J490" s="475">
        <v>20.100000000000001</v>
      </c>
      <c r="K490" s="475">
        <v>11.8</v>
      </c>
      <c r="L490" s="447"/>
      <c r="M490" s="447"/>
      <c r="Q490" s="5"/>
    </row>
    <row r="491" spans="2:17" ht="15.5" x14ac:dyDescent="0.35">
      <c r="B491" s="481">
        <v>44770</v>
      </c>
      <c r="C491" s="4" t="s">
        <v>4</v>
      </c>
      <c r="D491" s="35" t="s">
        <v>11</v>
      </c>
      <c r="E491" s="2" t="s">
        <v>26</v>
      </c>
      <c r="F491" s="4" t="s">
        <v>0</v>
      </c>
      <c r="G491" s="475">
        <v>63.6</v>
      </c>
      <c r="H491" s="475">
        <v>1.9</v>
      </c>
      <c r="I491" s="476">
        <v>1.7</v>
      </c>
      <c r="J491" s="475">
        <v>20.5</v>
      </c>
      <c r="K491" s="475">
        <v>11.3</v>
      </c>
      <c r="L491" s="447"/>
      <c r="M491" s="447"/>
      <c r="Q491" s="5"/>
    </row>
    <row r="492" spans="2:17" ht="15.5" x14ac:dyDescent="0.35">
      <c r="B492" s="480">
        <v>44772</v>
      </c>
      <c r="C492" s="4" t="s">
        <v>4</v>
      </c>
      <c r="D492" s="35" t="s">
        <v>11</v>
      </c>
      <c r="E492" s="2" t="s">
        <v>26</v>
      </c>
      <c r="F492" s="4" t="s">
        <v>0</v>
      </c>
      <c r="G492" s="474">
        <v>62</v>
      </c>
      <c r="H492" s="474">
        <v>4.7</v>
      </c>
      <c r="I492" s="477">
        <v>1.8</v>
      </c>
      <c r="J492" s="474">
        <v>18.399999999999999</v>
      </c>
      <c r="K492" s="474">
        <v>16.8</v>
      </c>
      <c r="L492" s="447"/>
      <c r="M492" s="447"/>
      <c r="Q492" s="5"/>
    </row>
    <row r="493" spans="2:17" ht="15.5" x14ac:dyDescent="0.35">
      <c r="B493" s="480">
        <v>44772</v>
      </c>
      <c r="C493" s="4" t="s">
        <v>4</v>
      </c>
      <c r="D493" s="35" t="s">
        <v>11</v>
      </c>
      <c r="E493" s="2" t="s">
        <v>26</v>
      </c>
      <c r="F493" s="4" t="s">
        <v>0</v>
      </c>
      <c r="G493" s="474">
        <v>63.5</v>
      </c>
      <c r="H493" s="474">
        <v>3.3</v>
      </c>
      <c r="I493" s="477">
        <v>1.7</v>
      </c>
      <c r="J493" s="474">
        <v>7.7</v>
      </c>
      <c r="K493" s="474">
        <v>12.6</v>
      </c>
      <c r="L493" s="447"/>
      <c r="M493" s="447"/>
      <c r="Q493" s="5"/>
    </row>
    <row r="494" spans="2:17" ht="15.5" x14ac:dyDescent="0.35">
      <c r="B494" s="480">
        <v>44772</v>
      </c>
      <c r="C494" s="4" t="s">
        <v>4</v>
      </c>
      <c r="D494" s="35" t="s">
        <v>11</v>
      </c>
      <c r="E494" s="2" t="s">
        <v>26</v>
      </c>
      <c r="F494" s="4" t="s">
        <v>0</v>
      </c>
      <c r="G494" s="474">
        <v>62.2</v>
      </c>
      <c r="H494" s="474">
        <v>4.5</v>
      </c>
      <c r="I494" s="477">
        <v>1.4</v>
      </c>
      <c r="J494" s="474">
        <v>13.6</v>
      </c>
      <c r="K494" s="474">
        <v>11.4</v>
      </c>
      <c r="L494" s="447"/>
      <c r="M494" s="447"/>
      <c r="Q494" s="5"/>
    </row>
    <row r="495" spans="2:17" ht="15.5" x14ac:dyDescent="0.35">
      <c r="B495" s="480">
        <v>44773</v>
      </c>
      <c r="C495" s="4" t="s">
        <v>4</v>
      </c>
      <c r="D495" s="35" t="s">
        <v>11</v>
      </c>
      <c r="E495" s="2" t="s">
        <v>26</v>
      </c>
      <c r="F495" s="4" t="s">
        <v>0</v>
      </c>
      <c r="G495" s="474">
        <v>60.5</v>
      </c>
      <c r="H495" s="474">
        <v>5.8</v>
      </c>
      <c r="I495" s="477">
        <v>2</v>
      </c>
      <c r="J495" s="474">
        <v>12.6</v>
      </c>
      <c r="K495" s="474">
        <v>19.899999999999999</v>
      </c>
      <c r="L495" s="447"/>
      <c r="M495" s="447"/>
      <c r="Q495" s="5"/>
    </row>
    <row r="496" spans="2:17" ht="14.5" x14ac:dyDescent="0.35">
      <c r="B496" s="482">
        <v>44771</v>
      </c>
      <c r="C496" s="4" t="s">
        <v>4</v>
      </c>
      <c r="D496" s="35" t="s">
        <v>9</v>
      </c>
      <c r="E496" s="2" t="s">
        <v>26</v>
      </c>
      <c r="F496" s="4" t="s">
        <v>0</v>
      </c>
      <c r="G496" s="483">
        <v>63.8</v>
      </c>
      <c r="H496" s="485">
        <v>3</v>
      </c>
      <c r="I496" s="484">
        <v>1.6</v>
      </c>
      <c r="J496" s="486">
        <v>4.5</v>
      </c>
      <c r="K496" s="487">
        <v>12.5</v>
      </c>
      <c r="L496" s="78"/>
      <c r="Q496" s="5"/>
    </row>
    <row r="497" spans="2:17" ht="14.5" x14ac:dyDescent="0.35">
      <c r="B497" s="480">
        <v>44771</v>
      </c>
      <c r="C497" s="4" t="s">
        <v>4</v>
      </c>
      <c r="D497" s="35" t="s">
        <v>9</v>
      </c>
      <c r="E497" s="2" t="s">
        <v>26</v>
      </c>
      <c r="F497" s="4" t="s">
        <v>1</v>
      </c>
      <c r="G497" s="77">
        <v>63.3</v>
      </c>
      <c r="H497" s="488">
        <v>3.1</v>
      </c>
      <c r="I497" s="488">
        <v>2.2000000000000002</v>
      </c>
      <c r="J497" s="489">
        <v>5.7</v>
      </c>
      <c r="K497" s="489">
        <v>50</v>
      </c>
      <c r="L497" s="78"/>
      <c r="Q497" s="5"/>
    </row>
    <row r="498" spans="2:17" ht="14.5" x14ac:dyDescent="0.35">
      <c r="B498" s="501">
        <v>44768</v>
      </c>
      <c r="C498" s="4" t="s">
        <v>30</v>
      </c>
      <c r="D498" s="35" t="s">
        <v>9</v>
      </c>
      <c r="E498" s="2" t="s">
        <v>26</v>
      </c>
      <c r="F498" s="4" t="s">
        <v>1</v>
      </c>
      <c r="G498" s="494">
        <v>61.22</v>
      </c>
      <c r="H498" s="495">
        <v>5.25</v>
      </c>
      <c r="I498" s="496">
        <v>3.11</v>
      </c>
      <c r="J498" s="500">
        <v>6.5217391304347823</v>
      </c>
      <c r="K498" s="498">
        <v>45.652173913043477</v>
      </c>
      <c r="L498" s="324"/>
      <c r="Q498" s="5"/>
    </row>
    <row r="499" spans="2:17" ht="14.5" x14ac:dyDescent="0.35">
      <c r="B499" s="501">
        <v>44768</v>
      </c>
      <c r="C499" s="4" t="s">
        <v>30</v>
      </c>
      <c r="D499" s="35" t="s">
        <v>9</v>
      </c>
      <c r="E499" s="2" t="s">
        <v>26</v>
      </c>
      <c r="F499" s="4" t="s">
        <v>1</v>
      </c>
      <c r="G499" s="494">
        <v>63.1</v>
      </c>
      <c r="H499" s="495">
        <v>3.27</v>
      </c>
      <c r="I499" s="496">
        <v>2.0499999999999998</v>
      </c>
      <c r="J499" s="500">
        <v>5.9171597633136095</v>
      </c>
      <c r="K499" s="498">
        <v>47.928994082840234</v>
      </c>
      <c r="L499" s="324"/>
      <c r="Q499" s="5"/>
    </row>
    <row r="500" spans="2:17" ht="14.5" x14ac:dyDescent="0.35">
      <c r="B500" s="501">
        <v>44769</v>
      </c>
      <c r="C500" s="4" t="s">
        <v>30</v>
      </c>
      <c r="D500" s="35" t="s">
        <v>9</v>
      </c>
      <c r="E500" s="2" t="s">
        <v>26</v>
      </c>
      <c r="F500" s="4" t="s">
        <v>1</v>
      </c>
      <c r="G500" s="494">
        <v>64.349999999999994</v>
      </c>
      <c r="H500" s="495">
        <v>2.2599999999999998</v>
      </c>
      <c r="I500" s="496">
        <v>1.3</v>
      </c>
      <c r="J500" s="500">
        <v>5.6</v>
      </c>
      <c r="K500" s="498">
        <v>46.4</v>
      </c>
      <c r="L500" s="324"/>
      <c r="Q500" s="5"/>
    </row>
    <row r="501" spans="2:17" ht="14.5" x14ac:dyDescent="0.35">
      <c r="B501" s="501">
        <v>44769</v>
      </c>
      <c r="C501" s="4" t="s">
        <v>30</v>
      </c>
      <c r="D501" s="35" t="s">
        <v>9</v>
      </c>
      <c r="E501" s="2" t="s">
        <v>26</v>
      </c>
      <c r="F501" s="4" t="s">
        <v>1</v>
      </c>
      <c r="G501" s="494">
        <v>61.36</v>
      </c>
      <c r="H501" s="495">
        <v>4.72</v>
      </c>
      <c r="I501" s="496">
        <v>3.24</v>
      </c>
      <c r="J501" s="500">
        <v>6.3380281690140841</v>
      </c>
      <c r="K501" s="498">
        <v>43.661971830985919</v>
      </c>
      <c r="L501" s="324"/>
      <c r="Q501" s="5"/>
    </row>
    <row r="502" spans="2:17" ht="14.5" x14ac:dyDescent="0.35">
      <c r="B502" s="501">
        <v>44769</v>
      </c>
      <c r="C502" s="4" t="s">
        <v>30</v>
      </c>
      <c r="D502" s="35" t="s">
        <v>9</v>
      </c>
      <c r="E502" s="2" t="s">
        <v>26</v>
      </c>
      <c r="F502" s="4" t="s">
        <v>1</v>
      </c>
      <c r="G502" s="494">
        <v>64.34</v>
      </c>
      <c r="H502" s="495">
        <v>2.4300000000000002</v>
      </c>
      <c r="I502" s="496">
        <v>1.32</v>
      </c>
      <c r="J502" s="500">
        <v>7.096774193548387</v>
      </c>
      <c r="K502" s="498">
        <v>46.451612903225808</v>
      </c>
      <c r="L502" s="324"/>
      <c r="Q502" s="5"/>
    </row>
    <row r="503" spans="2:17" ht="14.5" x14ac:dyDescent="0.35">
      <c r="B503" s="501">
        <v>44770</v>
      </c>
      <c r="C503" s="4" t="s">
        <v>30</v>
      </c>
      <c r="D503" s="35" t="s">
        <v>9</v>
      </c>
      <c r="E503" s="2" t="s">
        <v>26</v>
      </c>
      <c r="F503" s="4" t="s">
        <v>1</v>
      </c>
      <c r="G503" s="494">
        <v>63.63</v>
      </c>
      <c r="H503" s="495">
        <v>2.72</v>
      </c>
      <c r="I503" s="496">
        <v>1.53</v>
      </c>
      <c r="J503" s="500">
        <v>7.0063694267515935</v>
      </c>
      <c r="K503" s="498">
        <v>43.312101910828027</v>
      </c>
      <c r="L503" s="324"/>
      <c r="Q503" s="5"/>
    </row>
    <row r="504" spans="2:17" ht="14.5" x14ac:dyDescent="0.35">
      <c r="B504" s="501">
        <v>44771</v>
      </c>
      <c r="C504" s="4" t="s">
        <v>30</v>
      </c>
      <c r="D504" s="35" t="s">
        <v>9</v>
      </c>
      <c r="E504" s="2" t="s">
        <v>26</v>
      </c>
      <c r="F504" s="4" t="s">
        <v>1</v>
      </c>
      <c r="G504" s="494">
        <v>64.540000000000006</v>
      </c>
      <c r="H504" s="495">
        <v>1.56</v>
      </c>
      <c r="I504" s="496">
        <v>1.31</v>
      </c>
      <c r="J504" s="500">
        <v>6.666666666666667</v>
      </c>
      <c r="K504" s="498">
        <v>45.925925925925924</v>
      </c>
      <c r="L504" s="324"/>
      <c r="Q504" s="5"/>
    </row>
    <row r="505" spans="2:17" ht="14.5" x14ac:dyDescent="0.35">
      <c r="B505" s="501">
        <v>44772</v>
      </c>
      <c r="C505" s="4" t="s">
        <v>30</v>
      </c>
      <c r="D505" s="35" t="s">
        <v>9</v>
      </c>
      <c r="E505" s="2" t="s">
        <v>26</v>
      </c>
      <c r="F505" s="4" t="s">
        <v>1</v>
      </c>
      <c r="G505" s="494">
        <v>62.467999999999989</v>
      </c>
      <c r="H505" s="495">
        <v>3.63</v>
      </c>
      <c r="I505" s="496">
        <v>2.5499999999999998</v>
      </c>
      <c r="J505" s="500">
        <v>6.4285714285714297</v>
      </c>
      <c r="K505" s="498">
        <v>48.571428571428569</v>
      </c>
      <c r="L505" s="324"/>
      <c r="Q505" s="5"/>
    </row>
    <row r="506" spans="2:17" ht="14.5" x14ac:dyDescent="0.35">
      <c r="B506" s="501">
        <v>44773</v>
      </c>
      <c r="C506" s="4" t="s">
        <v>30</v>
      </c>
      <c r="D506" s="35" t="s">
        <v>9</v>
      </c>
      <c r="E506" s="2" t="s">
        <v>26</v>
      </c>
      <c r="F506" s="4" t="s">
        <v>1</v>
      </c>
      <c r="G506" s="494">
        <v>61.34</v>
      </c>
      <c r="H506" s="495">
        <v>4.95</v>
      </c>
      <c r="I506" s="496">
        <v>3.18</v>
      </c>
      <c r="J506" s="499">
        <v>5.7971014492753632</v>
      </c>
      <c r="K506" s="497">
        <v>47.826086956521742</v>
      </c>
      <c r="L506" s="324"/>
      <c r="Q506" s="5"/>
    </row>
    <row r="507" spans="2:17" ht="14.5" x14ac:dyDescent="0.35">
      <c r="B507" s="502">
        <v>44770</v>
      </c>
      <c r="C507" s="4" t="s">
        <v>30</v>
      </c>
      <c r="D507" s="35" t="s">
        <v>11</v>
      </c>
      <c r="E507" s="2" t="s">
        <v>26</v>
      </c>
      <c r="F507" s="4" t="s">
        <v>1</v>
      </c>
      <c r="G507" s="503">
        <v>63.3</v>
      </c>
      <c r="H507" s="504">
        <v>2.71</v>
      </c>
      <c r="I507" s="505">
        <v>1.99</v>
      </c>
      <c r="J507" s="506">
        <v>6.5789473684210522</v>
      </c>
      <c r="K507" s="507">
        <v>46.05263157894737</v>
      </c>
      <c r="L507" s="324"/>
      <c r="Q507" s="5"/>
    </row>
    <row r="508" spans="2:17" ht="14.5" x14ac:dyDescent="0.35">
      <c r="B508" s="502">
        <v>44772</v>
      </c>
      <c r="C508" s="4" t="s">
        <v>30</v>
      </c>
      <c r="D508" s="35" t="s">
        <v>11</v>
      </c>
      <c r="E508" s="2" t="s">
        <v>26</v>
      </c>
      <c r="F508" s="4" t="s">
        <v>1</v>
      </c>
      <c r="G508" s="503">
        <v>61.201000000000001</v>
      </c>
      <c r="H508" s="504">
        <v>4.7699999999999996</v>
      </c>
      <c r="I508" s="505">
        <v>3.29</v>
      </c>
      <c r="J508" s="506">
        <v>6.6225165562913908</v>
      </c>
      <c r="K508" s="507">
        <v>45.695364238410605</v>
      </c>
      <c r="L508" s="324"/>
      <c r="Q508" s="5"/>
    </row>
    <row r="509" spans="2:17" ht="14.5" x14ac:dyDescent="0.35">
      <c r="B509" s="502">
        <v>44773</v>
      </c>
      <c r="C509" s="4" t="s">
        <v>30</v>
      </c>
      <c r="D509" s="35" t="s">
        <v>11</v>
      </c>
      <c r="E509" s="2" t="s">
        <v>26</v>
      </c>
      <c r="F509" s="4" t="s">
        <v>1</v>
      </c>
      <c r="G509" s="503">
        <v>62.78</v>
      </c>
      <c r="H509" s="504">
        <v>4.04</v>
      </c>
      <c r="I509" s="505">
        <v>1.71</v>
      </c>
      <c r="J509" s="506">
        <v>8.8435374149659864</v>
      </c>
      <c r="K509" s="507">
        <v>37.414965986394563</v>
      </c>
      <c r="L509" s="324"/>
      <c r="Q509" s="5"/>
    </row>
    <row r="510" spans="2:17" ht="14.5" x14ac:dyDescent="0.35">
      <c r="B510" s="512">
        <v>44768</v>
      </c>
      <c r="C510" s="4" t="s">
        <v>30</v>
      </c>
      <c r="D510" s="35" t="s">
        <v>9</v>
      </c>
      <c r="E510" s="2" t="s">
        <v>26</v>
      </c>
      <c r="F510" s="4" t="s">
        <v>0</v>
      </c>
      <c r="G510" s="516">
        <v>62.5</v>
      </c>
      <c r="H510" s="518">
        <v>5.56</v>
      </c>
      <c r="I510" s="515">
        <v>1.08</v>
      </c>
      <c r="J510" s="427">
        <v>12.244897959183675</v>
      </c>
      <c r="K510" s="523">
        <v>11.22448979591837</v>
      </c>
      <c r="L510" s="324"/>
      <c r="Q510" s="5"/>
    </row>
    <row r="511" spans="2:17" ht="14.5" x14ac:dyDescent="0.35">
      <c r="B511" s="512">
        <v>44769</v>
      </c>
      <c r="C511" s="4" t="s">
        <v>30</v>
      </c>
      <c r="D511" s="35" t="s">
        <v>9</v>
      </c>
      <c r="E511" s="2" t="s">
        <v>26</v>
      </c>
      <c r="F511" s="4" t="s">
        <v>0</v>
      </c>
      <c r="G511" s="516">
        <v>64.489999999999995</v>
      </c>
      <c r="H511" s="518">
        <v>2.16</v>
      </c>
      <c r="I511" s="515">
        <v>1.1000000000000001</v>
      </c>
      <c r="J511" s="427">
        <v>0</v>
      </c>
      <c r="K511" s="523">
        <v>18.978102189781026</v>
      </c>
      <c r="L511" s="324"/>
      <c r="Q511" s="5"/>
    </row>
    <row r="512" spans="2:17" ht="14.5" x14ac:dyDescent="0.35">
      <c r="B512" s="512">
        <v>44769</v>
      </c>
      <c r="C512" s="4" t="s">
        <v>30</v>
      </c>
      <c r="D512" s="35" t="s">
        <v>9</v>
      </c>
      <c r="E512" s="2" t="s">
        <v>26</v>
      </c>
      <c r="F512" s="4" t="s">
        <v>0</v>
      </c>
      <c r="G512" s="516">
        <v>64.540000000000006</v>
      </c>
      <c r="H512" s="518">
        <v>2.21</v>
      </c>
      <c r="I512" s="515">
        <v>1.1399999999999999</v>
      </c>
      <c r="J512" s="427">
        <v>0</v>
      </c>
      <c r="K512" s="523">
        <v>18.18181818181818</v>
      </c>
      <c r="L512" s="324"/>
      <c r="Q512" s="5"/>
    </row>
    <row r="513" spans="2:17" ht="14.5" x14ac:dyDescent="0.35">
      <c r="B513" s="512">
        <v>44769</v>
      </c>
      <c r="C513" s="4" t="s">
        <v>30</v>
      </c>
      <c r="D513" s="35" t="s">
        <v>9</v>
      </c>
      <c r="E513" s="2" t="s">
        <v>26</v>
      </c>
      <c r="F513" s="4" t="s">
        <v>0</v>
      </c>
      <c r="G513" s="516">
        <v>64.16</v>
      </c>
      <c r="H513" s="518">
        <v>2.2999999999999998</v>
      </c>
      <c r="I513" s="515">
        <v>1.3</v>
      </c>
      <c r="J513" s="427">
        <v>0</v>
      </c>
      <c r="K513" s="523">
        <v>9.0909090909090899</v>
      </c>
      <c r="L513" s="324"/>
      <c r="Q513" s="5"/>
    </row>
    <row r="514" spans="2:17" ht="14.5" x14ac:dyDescent="0.35">
      <c r="B514" s="512">
        <v>44770</v>
      </c>
      <c r="C514" s="4" t="s">
        <v>30</v>
      </c>
      <c r="D514" s="35" t="s">
        <v>9</v>
      </c>
      <c r="E514" s="2" t="s">
        <v>26</v>
      </c>
      <c r="F514" s="4" t="s">
        <v>0</v>
      </c>
      <c r="G514" s="516">
        <v>64.09</v>
      </c>
      <c r="H514" s="518">
        <v>2.2400000000000002</v>
      </c>
      <c r="I514" s="515">
        <v>1.5</v>
      </c>
      <c r="J514" s="427">
        <v>0</v>
      </c>
      <c r="K514" s="523">
        <v>16.93548387096774</v>
      </c>
      <c r="L514" s="324"/>
      <c r="Q514" s="5"/>
    </row>
    <row r="515" spans="2:17" ht="14.5" x14ac:dyDescent="0.35">
      <c r="B515" s="512">
        <v>44770</v>
      </c>
      <c r="C515" s="4" t="s">
        <v>30</v>
      </c>
      <c r="D515" s="35" t="s">
        <v>11</v>
      </c>
      <c r="E515" s="2" t="s">
        <v>26</v>
      </c>
      <c r="F515" s="4" t="s">
        <v>0</v>
      </c>
      <c r="G515" s="516">
        <v>63.94</v>
      </c>
      <c r="H515" s="518">
        <v>2.2200000000000002</v>
      </c>
      <c r="I515" s="515">
        <v>1.82</v>
      </c>
      <c r="J515" s="427">
        <v>15.060240963855421</v>
      </c>
      <c r="K515" s="523">
        <v>10.843373493975903</v>
      </c>
      <c r="L515" s="324"/>
      <c r="Q515" s="5"/>
    </row>
    <row r="516" spans="2:17" ht="14.5" x14ac:dyDescent="0.35">
      <c r="B516" s="512">
        <v>44771</v>
      </c>
      <c r="C516" s="4" t="s">
        <v>30</v>
      </c>
      <c r="D516" s="35" t="s">
        <v>11</v>
      </c>
      <c r="E516" s="2" t="s">
        <v>26</v>
      </c>
      <c r="F516" s="4" t="s">
        <v>0</v>
      </c>
      <c r="G516" s="516">
        <v>64.7</v>
      </c>
      <c r="H516" s="518">
        <v>1.46</v>
      </c>
      <c r="I516" s="515">
        <v>1.22</v>
      </c>
      <c r="J516" s="427">
        <v>11.688311688311689</v>
      </c>
      <c r="K516" s="523">
        <v>11.038961038961041</v>
      </c>
      <c r="L516" s="324"/>
      <c r="Q516" s="5"/>
    </row>
    <row r="517" spans="2:17" ht="14.5" x14ac:dyDescent="0.35">
      <c r="B517" s="512">
        <v>44772</v>
      </c>
      <c r="C517" s="4" t="s">
        <v>30</v>
      </c>
      <c r="D517" s="35" t="s">
        <v>9</v>
      </c>
      <c r="E517" s="2" t="s">
        <v>26</v>
      </c>
      <c r="F517" s="4" t="s">
        <v>0</v>
      </c>
      <c r="G517" s="516">
        <v>61.047000000000004</v>
      </c>
      <c r="H517" s="518">
        <v>5.26</v>
      </c>
      <c r="I517" s="515">
        <v>3.25</v>
      </c>
      <c r="J517" s="493">
        <v>0</v>
      </c>
      <c r="K517" s="523">
        <v>13.761467889908257</v>
      </c>
      <c r="L517" s="324"/>
      <c r="Q517" s="5"/>
    </row>
    <row r="518" spans="2:17" ht="14.5" x14ac:dyDescent="0.35">
      <c r="B518" s="512">
        <v>44773</v>
      </c>
      <c r="C518" s="4" t="s">
        <v>30</v>
      </c>
      <c r="D518" s="2" t="s">
        <v>11</v>
      </c>
      <c r="E518" s="2" t="s">
        <v>26</v>
      </c>
      <c r="F518" s="4" t="s">
        <v>0</v>
      </c>
      <c r="G518" s="516">
        <v>64.459999999999994</v>
      </c>
      <c r="H518" s="518">
        <v>1.85</v>
      </c>
      <c r="I518" s="515">
        <v>1.63</v>
      </c>
      <c r="J518" s="490">
        <v>0</v>
      </c>
      <c r="K518" s="523">
        <v>14.285714285714285</v>
      </c>
      <c r="L518" s="324"/>
      <c r="Q518" s="5"/>
    </row>
    <row r="519" spans="2:17" ht="14.5" x14ac:dyDescent="0.35">
      <c r="B519" s="3">
        <v>44769</v>
      </c>
      <c r="C519" s="4" t="s">
        <v>60</v>
      </c>
      <c r="D519" s="35" t="s">
        <v>11</v>
      </c>
      <c r="E519" s="2" t="s">
        <v>26</v>
      </c>
      <c r="F519" s="4" t="s">
        <v>1</v>
      </c>
      <c r="G519" s="77">
        <v>65.78</v>
      </c>
      <c r="H519" s="321">
        <v>1.99</v>
      </c>
      <c r="I519" s="320">
        <v>1.51</v>
      </c>
      <c r="J519" s="323">
        <v>0</v>
      </c>
      <c r="K519" s="322">
        <v>64.5</v>
      </c>
      <c r="L519" s="324"/>
      <c r="Q519" s="5"/>
    </row>
    <row r="520" spans="2:17" ht="14.5" x14ac:dyDescent="0.35">
      <c r="B520" s="3">
        <v>44768</v>
      </c>
      <c r="C520" s="4" t="s">
        <v>5</v>
      </c>
      <c r="D520" s="35" t="s">
        <v>31</v>
      </c>
      <c r="E520" s="2" t="s">
        <v>26</v>
      </c>
      <c r="F520" s="4" t="s">
        <v>0</v>
      </c>
      <c r="G520" s="524">
        <v>63.1</v>
      </c>
      <c r="H520" s="524">
        <v>2.2000000000000002</v>
      </c>
      <c r="I520" s="524">
        <v>2.5</v>
      </c>
      <c r="J520" s="524">
        <v>2</v>
      </c>
      <c r="K520" s="524">
        <v>12</v>
      </c>
      <c r="L520" s="324"/>
      <c r="Q520" s="5"/>
    </row>
    <row r="521" spans="2:17" ht="14.5" x14ac:dyDescent="0.35">
      <c r="B521" s="3">
        <v>44770</v>
      </c>
      <c r="C521" s="4" t="s">
        <v>5</v>
      </c>
      <c r="D521" s="35" t="s">
        <v>31</v>
      </c>
      <c r="E521" s="2" t="s">
        <v>26</v>
      </c>
      <c r="F521" s="4" t="s">
        <v>0</v>
      </c>
      <c r="G521" s="524">
        <v>63.1</v>
      </c>
      <c r="H521" s="524">
        <v>2.5</v>
      </c>
      <c r="I521" s="525">
        <v>2.2999999999999998</v>
      </c>
      <c r="J521" s="524">
        <v>2</v>
      </c>
      <c r="K521" s="524">
        <v>16</v>
      </c>
      <c r="L521" s="324"/>
      <c r="Q521" s="5"/>
    </row>
    <row r="522" spans="2:17" ht="14.5" x14ac:dyDescent="0.35">
      <c r="B522" s="3">
        <v>44771</v>
      </c>
      <c r="C522" s="4" t="s">
        <v>5</v>
      </c>
      <c r="D522" s="35" t="s">
        <v>31</v>
      </c>
      <c r="E522" s="2" t="s">
        <v>26</v>
      </c>
      <c r="F522" s="4" t="s">
        <v>0</v>
      </c>
      <c r="G522" s="524">
        <v>63.2</v>
      </c>
      <c r="H522" s="524">
        <v>2.5</v>
      </c>
      <c r="I522" s="525">
        <v>2.2000000000000002</v>
      </c>
      <c r="J522" s="524">
        <v>4</v>
      </c>
      <c r="K522" s="524">
        <v>16</v>
      </c>
      <c r="L522" s="324"/>
      <c r="Q522" s="5"/>
    </row>
    <row r="523" spans="2:17" ht="14.5" x14ac:dyDescent="0.35">
      <c r="B523" s="3">
        <v>44772</v>
      </c>
      <c r="C523" s="4" t="s">
        <v>5</v>
      </c>
      <c r="D523" s="35" t="s">
        <v>31</v>
      </c>
      <c r="E523" s="2" t="s">
        <v>26</v>
      </c>
      <c r="F523" s="4" t="s">
        <v>0</v>
      </c>
      <c r="G523" s="524">
        <v>63.3</v>
      </c>
      <c r="H523" s="524">
        <v>2.1</v>
      </c>
      <c r="I523" s="525">
        <v>2.4</v>
      </c>
      <c r="J523" s="524">
        <v>6</v>
      </c>
      <c r="K523" s="524">
        <v>12</v>
      </c>
      <c r="L523" s="324"/>
      <c r="Q523" s="5"/>
    </row>
    <row r="524" spans="2:17" ht="14.5" x14ac:dyDescent="0.35">
      <c r="B524" s="3">
        <v>44773</v>
      </c>
      <c r="C524" s="4" t="s">
        <v>5</v>
      </c>
      <c r="D524" s="35" t="s">
        <v>31</v>
      </c>
      <c r="E524" s="2" t="s">
        <v>26</v>
      </c>
      <c r="F524" s="4" t="s">
        <v>0</v>
      </c>
      <c r="G524" s="524">
        <v>63.2</v>
      </c>
      <c r="H524" s="524">
        <v>2.4</v>
      </c>
      <c r="I524" s="525">
        <v>2.2999999999999998</v>
      </c>
      <c r="J524" s="524">
        <v>2</v>
      </c>
      <c r="K524" s="524">
        <v>15</v>
      </c>
      <c r="L524" s="324"/>
      <c r="Q524" s="5"/>
    </row>
    <row r="525" spans="2:17" ht="14.5" x14ac:dyDescent="0.35">
      <c r="B525" s="3">
        <v>44770</v>
      </c>
      <c r="C525" s="4" t="s">
        <v>5</v>
      </c>
      <c r="D525" s="35" t="s">
        <v>10</v>
      </c>
      <c r="E525" s="2" t="s">
        <v>26</v>
      </c>
      <c r="F525" s="4" t="s">
        <v>0</v>
      </c>
      <c r="G525" s="527">
        <v>62.1</v>
      </c>
      <c r="H525" s="524">
        <v>2.8</v>
      </c>
      <c r="I525" s="525">
        <v>3.4</v>
      </c>
      <c r="J525" s="524">
        <v>8</v>
      </c>
      <c r="K525" s="524">
        <v>17</v>
      </c>
      <c r="L525" s="324"/>
      <c r="Q525" s="5"/>
    </row>
    <row r="526" spans="2:17" ht="14.5" x14ac:dyDescent="0.35">
      <c r="B526" s="3">
        <v>44771</v>
      </c>
      <c r="C526" s="4" t="s">
        <v>5</v>
      </c>
      <c r="D526" s="35" t="s">
        <v>10</v>
      </c>
      <c r="E526" s="2" t="s">
        <v>26</v>
      </c>
      <c r="F526" s="4" t="s">
        <v>0</v>
      </c>
      <c r="G526" s="527">
        <v>61.5</v>
      </c>
      <c r="H526" s="524">
        <v>3.4</v>
      </c>
      <c r="I526" s="524">
        <v>3.6</v>
      </c>
      <c r="J526" s="524">
        <v>12</v>
      </c>
      <c r="K526" s="524">
        <v>17</v>
      </c>
      <c r="L526" s="324"/>
      <c r="Q526" s="5"/>
    </row>
    <row r="527" spans="2:17" ht="14.5" x14ac:dyDescent="0.35">
      <c r="B527" s="3">
        <v>44772</v>
      </c>
      <c r="C527" s="4" t="s">
        <v>5</v>
      </c>
      <c r="D527" s="35" t="s">
        <v>10</v>
      </c>
      <c r="E527" s="2" t="s">
        <v>26</v>
      </c>
      <c r="F527" s="4" t="s">
        <v>0</v>
      </c>
      <c r="G527" s="528">
        <v>62.4</v>
      </c>
      <c r="H527" s="524">
        <v>2.5</v>
      </c>
      <c r="I527" s="525">
        <v>3.3</v>
      </c>
      <c r="J527" s="524">
        <v>6</v>
      </c>
      <c r="K527" s="524">
        <v>20</v>
      </c>
      <c r="L527" s="324"/>
      <c r="Q527" s="5"/>
    </row>
    <row r="528" spans="2:17" ht="14.5" x14ac:dyDescent="0.35">
      <c r="B528" s="3">
        <v>44769</v>
      </c>
      <c r="C528" s="4" t="s">
        <v>5</v>
      </c>
      <c r="D528" s="35" t="s">
        <v>146</v>
      </c>
      <c r="E528" s="2" t="s">
        <v>26</v>
      </c>
      <c r="F528" s="4" t="s">
        <v>0</v>
      </c>
      <c r="G528" s="524">
        <v>62.2</v>
      </c>
      <c r="H528" s="524">
        <v>3</v>
      </c>
      <c r="I528" s="525">
        <v>2.7</v>
      </c>
      <c r="J528" s="524">
        <v>4</v>
      </c>
      <c r="K528" s="531">
        <v>12</v>
      </c>
      <c r="L528" s="324"/>
      <c r="Q528" s="5"/>
    </row>
    <row r="529" spans="2:17" ht="14.5" x14ac:dyDescent="0.35">
      <c r="B529" s="3">
        <v>44771</v>
      </c>
      <c r="C529" s="4" t="s">
        <v>5</v>
      </c>
      <c r="D529" s="35" t="s">
        <v>146</v>
      </c>
      <c r="E529" s="2" t="s">
        <v>26</v>
      </c>
      <c r="F529" s="4" t="s">
        <v>0</v>
      </c>
      <c r="G529" s="530">
        <v>62.6</v>
      </c>
      <c r="H529" s="530">
        <v>2.9</v>
      </c>
      <c r="I529" s="530">
        <v>2.6</v>
      </c>
      <c r="J529" s="524">
        <v>7</v>
      </c>
      <c r="K529" s="531">
        <v>15</v>
      </c>
      <c r="L529" s="30"/>
      <c r="Q529" s="5"/>
    </row>
    <row r="530" spans="2:17" ht="14.5" x14ac:dyDescent="0.35">
      <c r="B530" s="3">
        <v>44769</v>
      </c>
      <c r="C530" s="4" t="s">
        <v>5</v>
      </c>
      <c r="D530" s="35" t="s">
        <v>146</v>
      </c>
      <c r="E530" s="2" t="s">
        <v>26</v>
      </c>
      <c r="F530" s="4" t="s">
        <v>1</v>
      </c>
      <c r="G530" s="524">
        <v>62.2</v>
      </c>
      <c r="H530" s="524">
        <v>2.7</v>
      </c>
      <c r="I530" s="524">
        <v>3.2</v>
      </c>
      <c r="J530" s="524">
        <v>6</v>
      </c>
      <c r="K530" s="524">
        <v>36</v>
      </c>
      <c r="L530" s="30"/>
      <c r="Q530" s="5"/>
    </row>
    <row r="531" spans="2:17" ht="14.5" x14ac:dyDescent="0.35">
      <c r="B531" s="3">
        <v>44772</v>
      </c>
      <c r="C531" s="4" t="s">
        <v>5</v>
      </c>
      <c r="D531" s="35" t="s">
        <v>146</v>
      </c>
      <c r="E531" s="2" t="s">
        <v>26</v>
      </c>
      <c r="F531" s="4" t="s">
        <v>1</v>
      </c>
      <c r="G531" s="525">
        <v>62.3</v>
      </c>
      <c r="H531" s="524">
        <v>3</v>
      </c>
      <c r="I531" s="525">
        <v>2.7</v>
      </c>
      <c r="J531" s="524">
        <v>5</v>
      </c>
      <c r="K531" s="524">
        <v>37</v>
      </c>
      <c r="L531" s="30"/>
      <c r="Q531" s="5"/>
    </row>
    <row r="532" spans="2:17" ht="14.5" x14ac:dyDescent="0.35">
      <c r="B532" s="3">
        <v>44772</v>
      </c>
      <c r="C532" s="4" t="s">
        <v>5</v>
      </c>
      <c r="D532" s="35" t="s">
        <v>146</v>
      </c>
      <c r="E532" s="2" t="s">
        <v>26</v>
      </c>
      <c r="F532" s="4" t="s">
        <v>1</v>
      </c>
      <c r="G532" s="530">
        <v>62.2</v>
      </c>
      <c r="H532" s="530">
        <v>2.7</v>
      </c>
      <c r="I532" s="530">
        <v>3.1</v>
      </c>
      <c r="J532" s="524">
        <v>8</v>
      </c>
      <c r="K532" s="531">
        <v>37</v>
      </c>
      <c r="L532" s="30"/>
      <c r="Q532" s="5"/>
    </row>
    <row r="533" spans="2:17" ht="14.5" x14ac:dyDescent="0.35">
      <c r="B533" s="3">
        <v>44768</v>
      </c>
      <c r="C533" s="4" t="s">
        <v>5</v>
      </c>
      <c r="D533" s="35" t="s">
        <v>27</v>
      </c>
      <c r="E533" s="2" t="s">
        <v>26</v>
      </c>
      <c r="F533" s="4" t="s">
        <v>1</v>
      </c>
      <c r="G533" s="524">
        <v>59.2</v>
      </c>
      <c r="H533" s="530">
        <v>6.7</v>
      </c>
      <c r="I533" s="530">
        <v>3.4</v>
      </c>
      <c r="J533" s="529">
        <v>7</v>
      </c>
      <c r="K533" s="532">
        <v>45</v>
      </c>
      <c r="L533" s="30"/>
      <c r="Q533" s="5"/>
    </row>
    <row r="534" spans="2:17" ht="14.5" x14ac:dyDescent="0.35">
      <c r="B534" s="3">
        <v>44770</v>
      </c>
      <c r="C534" s="4" t="s">
        <v>5</v>
      </c>
      <c r="D534" s="35" t="s">
        <v>27</v>
      </c>
      <c r="E534" s="2" t="s">
        <v>26</v>
      </c>
      <c r="F534" s="4" t="s">
        <v>1</v>
      </c>
      <c r="G534" s="530">
        <v>60.8</v>
      </c>
      <c r="H534" s="530">
        <v>5</v>
      </c>
      <c r="I534" s="524">
        <v>2.9</v>
      </c>
      <c r="J534" s="529">
        <v>5</v>
      </c>
      <c r="K534" s="532">
        <v>45</v>
      </c>
      <c r="L534" s="30"/>
      <c r="Q534" s="5"/>
    </row>
    <row r="535" spans="2:17" ht="14.5" x14ac:dyDescent="0.35">
      <c r="B535" s="3">
        <v>44770</v>
      </c>
      <c r="C535" s="4" t="s">
        <v>5</v>
      </c>
      <c r="D535" s="35" t="s">
        <v>27</v>
      </c>
      <c r="E535" s="2" t="s">
        <v>26</v>
      </c>
      <c r="F535" s="4" t="s">
        <v>1</v>
      </c>
      <c r="G535" s="530">
        <v>57.9</v>
      </c>
      <c r="H535" s="530">
        <v>9.4</v>
      </c>
      <c r="I535" s="524">
        <v>2.7</v>
      </c>
      <c r="J535" s="529"/>
      <c r="K535" s="532"/>
      <c r="L535" s="30"/>
      <c r="Q535" s="5"/>
    </row>
    <row r="536" spans="2:17" ht="14.5" x14ac:dyDescent="0.35">
      <c r="B536" s="3">
        <v>44772</v>
      </c>
      <c r="C536" s="4" t="s">
        <v>5</v>
      </c>
      <c r="D536" s="35" t="s">
        <v>27</v>
      </c>
      <c r="E536" s="2" t="s">
        <v>26</v>
      </c>
      <c r="F536" s="4" t="s">
        <v>1</v>
      </c>
      <c r="G536" s="530">
        <v>58.1</v>
      </c>
      <c r="H536" s="530">
        <v>9.3000000000000007</v>
      </c>
      <c r="I536" s="530">
        <v>2.5</v>
      </c>
      <c r="J536" s="524">
        <v>10</v>
      </c>
      <c r="K536" s="532">
        <v>37</v>
      </c>
      <c r="L536" s="30"/>
      <c r="Q536" s="5"/>
    </row>
    <row r="537" spans="2:17" ht="14.5" x14ac:dyDescent="0.35">
      <c r="B537" s="3">
        <v>44769</v>
      </c>
      <c r="C537" s="4" t="s">
        <v>5</v>
      </c>
      <c r="D537" s="35" t="s">
        <v>2</v>
      </c>
      <c r="E537" s="2" t="s">
        <v>26</v>
      </c>
      <c r="F537" s="4" t="s">
        <v>1</v>
      </c>
      <c r="G537" s="530">
        <v>59.5</v>
      </c>
      <c r="H537" s="530">
        <v>6.4</v>
      </c>
      <c r="I537" s="530">
        <v>3.1</v>
      </c>
      <c r="J537" s="529">
        <v>5</v>
      </c>
      <c r="K537" s="531">
        <v>42</v>
      </c>
      <c r="L537" s="30"/>
      <c r="Q537" s="5"/>
    </row>
    <row r="538" spans="2:17" ht="14.5" x14ac:dyDescent="0.35">
      <c r="B538" s="3">
        <v>44768</v>
      </c>
      <c r="C538" s="4" t="s">
        <v>5</v>
      </c>
      <c r="D538" s="35" t="s">
        <v>31</v>
      </c>
      <c r="E538" s="2" t="s">
        <v>26</v>
      </c>
      <c r="F538" s="4" t="s">
        <v>1</v>
      </c>
      <c r="G538" s="524">
        <v>62.8</v>
      </c>
      <c r="H538" s="524">
        <v>3</v>
      </c>
      <c r="I538" s="524">
        <v>2</v>
      </c>
      <c r="J538" s="530">
        <v>5</v>
      </c>
      <c r="K538" s="530">
        <v>42</v>
      </c>
      <c r="L538" s="30"/>
      <c r="Q538" s="5"/>
    </row>
    <row r="539" spans="2:17" ht="14.5" x14ac:dyDescent="0.35">
      <c r="B539" s="3">
        <v>44769</v>
      </c>
      <c r="C539" s="4" t="s">
        <v>5</v>
      </c>
      <c r="D539" s="35" t="s">
        <v>31</v>
      </c>
      <c r="E539" s="2" t="s">
        <v>26</v>
      </c>
      <c r="F539" s="4" t="s">
        <v>1</v>
      </c>
      <c r="G539" s="524">
        <v>62.8</v>
      </c>
      <c r="H539" s="524">
        <v>2.4</v>
      </c>
      <c r="I539" s="525">
        <v>2.6</v>
      </c>
      <c r="J539" s="530">
        <v>5</v>
      </c>
      <c r="K539" s="530">
        <v>37</v>
      </c>
      <c r="L539" s="30"/>
      <c r="Q539" s="5"/>
    </row>
    <row r="540" spans="2:17" ht="14.5" x14ac:dyDescent="0.35">
      <c r="B540" s="3">
        <v>44769</v>
      </c>
      <c r="C540" s="4" t="s">
        <v>5</v>
      </c>
      <c r="D540" s="35" t="s">
        <v>31</v>
      </c>
      <c r="E540" s="2" t="s">
        <v>26</v>
      </c>
      <c r="F540" s="4" t="s">
        <v>1</v>
      </c>
      <c r="G540" s="524">
        <v>63</v>
      </c>
      <c r="H540" s="524">
        <v>2.6</v>
      </c>
      <c r="I540" s="524">
        <v>2.1</v>
      </c>
      <c r="J540" s="530">
        <v>4</v>
      </c>
      <c r="K540" s="530">
        <v>39</v>
      </c>
      <c r="L540" s="30"/>
      <c r="Q540" s="5"/>
    </row>
    <row r="541" spans="2:17" ht="14.5" x14ac:dyDescent="0.35">
      <c r="B541" s="3">
        <v>44769</v>
      </c>
      <c r="C541" s="4" t="s">
        <v>5</v>
      </c>
      <c r="D541" s="35" t="s">
        <v>31</v>
      </c>
      <c r="E541" s="2" t="s">
        <v>26</v>
      </c>
      <c r="F541" s="4" t="s">
        <v>1</v>
      </c>
      <c r="G541" s="524">
        <v>62.9</v>
      </c>
      <c r="H541" s="524">
        <v>2.2999999999999998</v>
      </c>
      <c r="I541" s="525">
        <v>2.6</v>
      </c>
      <c r="J541" s="530">
        <v>5</v>
      </c>
      <c r="K541" s="530">
        <v>35</v>
      </c>
      <c r="L541" s="30"/>
      <c r="Q541" s="5"/>
    </row>
    <row r="542" spans="2:17" ht="14.5" x14ac:dyDescent="0.35">
      <c r="B542" s="3">
        <v>44770</v>
      </c>
      <c r="C542" s="4" t="s">
        <v>5</v>
      </c>
      <c r="D542" s="35" t="s">
        <v>31</v>
      </c>
      <c r="E542" s="2" t="s">
        <v>26</v>
      </c>
      <c r="F542" s="4" t="s">
        <v>1</v>
      </c>
      <c r="G542" s="524">
        <v>63</v>
      </c>
      <c r="H542" s="525">
        <v>2.5</v>
      </c>
      <c r="I542" s="524">
        <v>2.2000000000000002</v>
      </c>
      <c r="J542" s="524">
        <v>4</v>
      </c>
      <c r="K542" s="524">
        <v>40</v>
      </c>
      <c r="L542" s="30"/>
      <c r="Q542" s="5"/>
    </row>
    <row r="543" spans="2:17" ht="14.5" x14ac:dyDescent="0.35">
      <c r="B543" s="3">
        <v>44770</v>
      </c>
      <c r="C543" s="4" t="s">
        <v>5</v>
      </c>
      <c r="D543" s="35" t="s">
        <v>31</v>
      </c>
      <c r="E543" s="2" t="s">
        <v>26</v>
      </c>
      <c r="F543" s="4" t="s">
        <v>1</v>
      </c>
      <c r="G543" s="524">
        <v>62.4</v>
      </c>
      <c r="H543" s="525">
        <v>2.9</v>
      </c>
      <c r="I543" s="525">
        <v>2.7</v>
      </c>
      <c r="J543" s="524">
        <v>3</v>
      </c>
      <c r="K543" s="524">
        <v>40</v>
      </c>
      <c r="L543" s="30"/>
      <c r="Q543" s="5"/>
    </row>
    <row r="544" spans="2:17" ht="14.5" x14ac:dyDescent="0.35">
      <c r="B544" s="3">
        <v>44771</v>
      </c>
      <c r="C544" s="4" t="s">
        <v>5</v>
      </c>
      <c r="D544" s="35" t="s">
        <v>31</v>
      </c>
      <c r="E544" s="2" t="s">
        <v>26</v>
      </c>
      <c r="F544" s="4" t="s">
        <v>1</v>
      </c>
      <c r="G544" s="524">
        <v>62.7</v>
      </c>
      <c r="H544" s="524">
        <v>2.4</v>
      </c>
      <c r="I544" s="525">
        <v>2.8</v>
      </c>
      <c r="J544" s="524">
        <v>2</v>
      </c>
      <c r="K544" s="524">
        <v>42</v>
      </c>
      <c r="L544" s="30"/>
      <c r="Q544" s="5"/>
    </row>
    <row r="545" spans="2:17" ht="14.5" x14ac:dyDescent="0.35">
      <c r="B545" s="3">
        <v>44771</v>
      </c>
      <c r="C545" s="4" t="s">
        <v>5</v>
      </c>
      <c r="D545" s="35" t="s">
        <v>31</v>
      </c>
      <c r="E545" s="2" t="s">
        <v>26</v>
      </c>
      <c r="F545" s="4" t="s">
        <v>1</v>
      </c>
      <c r="G545" s="524">
        <v>63</v>
      </c>
      <c r="H545" s="525">
        <v>2.2000000000000002</v>
      </c>
      <c r="I545" s="525">
        <v>2.5</v>
      </c>
      <c r="J545" s="524">
        <v>3</v>
      </c>
      <c r="K545" s="524">
        <v>36</v>
      </c>
      <c r="L545" s="30"/>
      <c r="Q545" s="5"/>
    </row>
    <row r="546" spans="2:17" ht="14.5" x14ac:dyDescent="0.35">
      <c r="B546" s="3">
        <v>44772</v>
      </c>
      <c r="C546" s="4" t="s">
        <v>5</v>
      </c>
      <c r="D546" s="35" t="s">
        <v>31</v>
      </c>
      <c r="E546" s="2" t="s">
        <v>26</v>
      </c>
      <c r="F546" s="4" t="s">
        <v>1</v>
      </c>
      <c r="G546" s="524">
        <v>62.9</v>
      </c>
      <c r="H546" s="525">
        <v>2.2999999999999998</v>
      </c>
      <c r="I546" s="525">
        <v>2.6</v>
      </c>
      <c r="J546" s="524">
        <v>3</v>
      </c>
      <c r="K546" s="524">
        <v>40</v>
      </c>
      <c r="L546" s="30"/>
      <c r="Q546" s="5"/>
    </row>
    <row r="547" spans="2:17" ht="14.5" x14ac:dyDescent="0.35">
      <c r="B547" s="3">
        <v>44772</v>
      </c>
      <c r="C547" s="4" t="s">
        <v>5</v>
      </c>
      <c r="D547" s="35" t="s">
        <v>31</v>
      </c>
      <c r="E547" s="2" t="s">
        <v>26</v>
      </c>
      <c r="F547" s="4" t="s">
        <v>1</v>
      </c>
      <c r="G547" s="525">
        <v>63</v>
      </c>
      <c r="H547" s="525">
        <v>2.1</v>
      </c>
      <c r="I547" s="525">
        <v>2.6</v>
      </c>
      <c r="J547" s="530">
        <v>3</v>
      </c>
      <c r="K547" s="530">
        <v>41</v>
      </c>
      <c r="L547" s="30"/>
      <c r="Q547" s="5"/>
    </row>
    <row r="548" spans="2:17" ht="14.5" x14ac:dyDescent="0.35">
      <c r="B548" s="3">
        <v>44772</v>
      </c>
      <c r="C548" s="4" t="s">
        <v>5</v>
      </c>
      <c r="D548" s="35" t="s">
        <v>31</v>
      </c>
      <c r="E548" s="2" t="s">
        <v>26</v>
      </c>
      <c r="F548" s="4" t="s">
        <v>1</v>
      </c>
      <c r="G548" s="524">
        <v>62.8</v>
      </c>
      <c r="H548" s="525">
        <v>2.7</v>
      </c>
      <c r="I548" s="524">
        <v>2.2999999999999998</v>
      </c>
      <c r="J548" s="524">
        <v>4</v>
      </c>
      <c r="K548" s="524">
        <v>43</v>
      </c>
      <c r="L548" s="30"/>
      <c r="Q548" s="5"/>
    </row>
    <row r="549" spans="2:17" ht="14.5" x14ac:dyDescent="0.35">
      <c r="B549" s="3"/>
      <c r="C549" s="4"/>
      <c r="D549" s="35"/>
      <c r="E549" s="2"/>
      <c r="F549" s="4"/>
      <c r="G549" s="79"/>
      <c r="H549" s="91"/>
      <c r="I549" s="90"/>
      <c r="J549" s="107"/>
      <c r="K549" s="107"/>
      <c r="L549" s="30"/>
      <c r="Q549" s="5"/>
    </row>
    <row r="550" spans="2:17" ht="14.5" x14ac:dyDescent="0.35">
      <c r="B550" s="3"/>
      <c r="C550" s="4"/>
      <c r="D550" s="35"/>
      <c r="E550" s="2"/>
      <c r="F550" s="4"/>
      <c r="G550" s="80"/>
      <c r="H550" s="92"/>
      <c r="I550" s="92"/>
      <c r="J550" s="108"/>
      <c r="K550" s="108"/>
      <c r="L550" s="30"/>
      <c r="Q550" s="5"/>
    </row>
    <row r="551" spans="2:17" ht="14.5" x14ac:dyDescent="0.35">
      <c r="B551" s="3"/>
      <c r="C551" s="4"/>
      <c r="D551" s="35"/>
      <c r="E551" s="2"/>
      <c r="F551" s="4"/>
      <c r="G551" s="79"/>
      <c r="H551" s="91"/>
      <c r="I551" s="90"/>
      <c r="J551" s="107"/>
      <c r="K551" s="107"/>
      <c r="L551" s="30"/>
      <c r="Q551" s="5"/>
    </row>
    <row r="552" spans="2:17" ht="14.5" x14ac:dyDescent="0.35">
      <c r="B552" s="3"/>
      <c r="C552" s="4"/>
      <c r="D552" s="35"/>
      <c r="E552" s="2"/>
      <c r="F552" s="4"/>
      <c r="G552" s="79"/>
      <c r="H552" s="94"/>
      <c r="I552" s="94"/>
      <c r="J552" s="107"/>
      <c r="K552" s="107"/>
      <c r="L552" s="30"/>
      <c r="Q552" s="5"/>
    </row>
    <row r="553" spans="2:17" ht="15.5" x14ac:dyDescent="0.35">
      <c r="B553" s="3"/>
      <c r="C553" s="4"/>
      <c r="D553" s="35"/>
      <c r="E553" s="2"/>
      <c r="F553" s="4"/>
      <c r="G553" s="82"/>
      <c r="H553" s="97"/>
      <c r="I553" s="97"/>
      <c r="J553" s="110"/>
      <c r="K553" s="111"/>
      <c r="L553" s="30"/>
      <c r="Q553" s="5"/>
    </row>
    <row r="554" spans="2:17" ht="15.5" x14ac:dyDescent="0.35">
      <c r="B554" s="3"/>
      <c r="C554" s="4"/>
      <c r="D554" s="35"/>
      <c r="E554" s="2"/>
      <c r="F554" s="4"/>
      <c r="G554" s="81"/>
      <c r="H554" s="98"/>
      <c r="I554" s="98"/>
      <c r="J554" s="112"/>
      <c r="K554" s="112"/>
      <c r="L554" s="30"/>
      <c r="Q554" s="5"/>
    </row>
    <row r="555" spans="2:17" ht="15.5" x14ac:dyDescent="0.35">
      <c r="B555" s="3"/>
      <c r="C555" s="4"/>
      <c r="D555" s="35"/>
      <c r="E555" s="2"/>
      <c r="F555" s="4"/>
      <c r="G555" s="81"/>
      <c r="H555" s="99"/>
      <c r="I555" s="98"/>
      <c r="J555" s="109"/>
      <c r="K555" s="112"/>
      <c r="L555" s="30"/>
      <c r="Q555" s="5"/>
    </row>
    <row r="556" spans="2:17" ht="15.5" x14ac:dyDescent="0.35">
      <c r="B556" s="3"/>
      <c r="C556" s="4"/>
      <c r="D556" s="35"/>
      <c r="E556" s="2"/>
      <c r="F556" s="4"/>
      <c r="G556" s="81"/>
      <c r="H556" s="98"/>
      <c r="I556" s="98"/>
      <c r="J556" s="109"/>
      <c r="K556" s="112"/>
      <c r="L556" s="30"/>
      <c r="Q556" s="5"/>
    </row>
    <row r="557" spans="2:17" ht="15.5" x14ac:dyDescent="0.35">
      <c r="B557" s="3"/>
      <c r="C557" s="4"/>
      <c r="D557" s="35"/>
      <c r="E557" s="2"/>
      <c r="F557" s="4"/>
      <c r="G557" s="81"/>
      <c r="H557" s="98"/>
      <c r="I557" s="98"/>
      <c r="J557" s="109"/>
      <c r="K557" s="112"/>
      <c r="L557" s="30"/>
      <c r="Q557" s="5"/>
    </row>
    <row r="558" spans="2:17" ht="15.5" x14ac:dyDescent="0.35">
      <c r="B558" s="3"/>
      <c r="C558" s="4"/>
      <c r="D558" s="35"/>
      <c r="E558" s="2"/>
      <c r="F558" s="4"/>
      <c r="G558" s="81"/>
      <c r="H558" s="98"/>
      <c r="I558" s="98"/>
      <c r="J558" s="109"/>
      <c r="K558" s="112"/>
      <c r="L558" s="30"/>
      <c r="Q558" s="5"/>
    </row>
    <row r="559" spans="2:17" ht="15.5" x14ac:dyDescent="0.35">
      <c r="B559" s="3"/>
      <c r="C559" s="4"/>
      <c r="D559" s="35"/>
      <c r="E559" s="2"/>
      <c r="F559" s="4"/>
      <c r="G559" s="81"/>
      <c r="H559" s="98"/>
      <c r="I559" s="98"/>
      <c r="J559" s="109"/>
      <c r="K559" s="112"/>
      <c r="L559" s="30"/>
      <c r="Q559" s="5"/>
    </row>
    <row r="560" spans="2:17" ht="15.5" x14ac:dyDescent="0.35">
      <c r="B560" s="3"/>
      <c r="C560" s="4"/>
      <c r="D560" s="35"/>
      <c r="E560" s="2"/>
      <c r="F560" s="4"/>
      <c r="G560" s="81"/>
      <c r="H560" s="98"/>
      <c r="I560" s="98"/>
      <c r="J560" s="109"/>
      <c r="K560" s="112"/>
      <c r="L560" s="30"/>
      <c r="Q560" s="5"/>
    </row>
    <row r="561" spans="2:17" ht="15.5" x14ac:dyDescent="0.35">
      <c r="B561" s="3"/>
      <c r="C561" s="4"/>
      <c r="D561" s="35"/>
      <c r="E561" s="2"/>
      <c r="F561" s="4"/>
      <c r="G561" s="86"/>
      <c r="H561" s="96"/>
      <c r="I561" s="98"/>
      <c r="J561" s="109"/>
      <c r="K561" s="112"/>
      <c r="L561" s="30"/>
      <c r="Q561" s="5"/>
    </row>
    <row r="562" spans="2:17" ht="15.5" x14ac:dyDescent="0.35">
      <c r="B562" s="3"/>
      <c r="C562" s="4"/>
      <c r="D562" s="35"/>
      <c r="E562" s="2"/>
      <c r="F562" s="4"/>
      <c r="G562" s="82"/>
      <c r="H562" s="100"/>
      <c r="I562" s="97"/>
      <c r="J562" s="110"/>
      <c r="K562" s="111"/>
      <c r="L562" s="30"/>
      <c r="Q562" s="5"/>
    </row>
    <row r="563" spans="2:17" ht="15.5" x14ac:dyDescent="0.35">
      <c r="B563" s="3"/>
      <c r="C563" s="4"/>
      <c r="D563" s="35"/>
      <c r="E563" s="2"/>
      <c r="F563" s="4"/>
      <c r="G563" s="81"/>
      <c r="H563" s="99"/>
      <c r="I563" s="98"/>
      <c r="J563" s="109"/>
      <c r="K563" s="112"/>
      <c r="L563" s="30"/>
      <c r="Q563" s="5"/>
    </row>
    <row r="564" spans="2:17" ht="15.5" x14ac:dyDescent="0.35">
      <c r="B564" s="3"/>
      <c r="C564" s="4"/>
      <c r="D564" s="35"/>
      <c r="E564" s="2"/>
      <c r="F564" s="4"/>
      <c r="G564" s="81"/>
      <c r="H564" s="99"/>
      <c r="I564" s="98"/>
      <c r="J564" s="109"/>
      <c r="K564" s="112"/>
      <c r="L564" s="30"/>
      <c r="Q564" s="5"/>
    </row>
    <row r="565" spans="2:17" ht="15.5" x14ac:dyDescent="0.35">
      <c r="B565" s="3"/>
      <c r="C565" s="4"/>
      <c r="D565" s="35"/>
      <c r="E565" s="2"/>
      <c r="F565" s="4"/>
      <c r="G565" s="85"/>
      <c r="H565" s="93"/>
      <c r="I565" s="99"/>
      <c r="J565" s="109"/>
      <c r="K565" s="109"/>
      <c r="L565" s="30"/>
      <c r="Q565" s="5"/>
    </row>
    <row r="566" spans="2:17" ht="15.5" x14ac:dyDescent="0.35">
      <c r="B566" s="3"/>
      <c r="C566" s="4"/>
      <c r="D566" s="35"/>
      <c r="E566" s="2"/>
      <c r="F566" s="4"/>
      <c r="G566" s="81"/>
      <c r="H566" s="99"/>
      <c r="I566" s="98"/>
      <c r="J566" s="109"/>
      <c r="K566" s="112"/>
      <c r="L566" s="30"/>
      <c r="Q566" s="5"/>
    </row>
    <row r="567" spans="2:17" ht="15.5" x14ac:dyDescent="0.35">
      <c r="B567" s="3"/>
      <c r="C567" s="4"/>
      <c r="D567" s="35"/>
      <c r="E567" s="2"/>
      <c r="F567" s="4"/>
      <c r="G567" s="81"/>
      <c r="H567" s="99"/>
      <c r="I567" s="99"/>
      <c r="J567" s="109"/>
      <c r="K567" s="112"/>
      <c r="L567" s="30"/>
      <c r="Q567" s="5"/>
    </row>
    <row r="568" spans="2:17" ht="15.5" x14ac:dyDescent="0.35">
      <c r="B568" s="3"/>
      <c r="C568" s="4"/>
      <c r="D568" s="35"/>
      <c r="E568" s="2"/>
      <c r="F568" s="4"/>
      <c r="G568" s="81"/>
      <c r="H568" s="99"/>
      <c r="I568" s="98"/>
      <c r="J568" s="109"/>
      <c r="K568" s="112"/>
      <c r="L568" s="30"/>
      <c r="Q568" s="5"/>
    </row>
    <row r="569" spans="2:17" ht="15.5" x14ac:dyDescent="0.35">
      <c r="B569" s="3"/>
      <c r="C569" s="4"/>
      <c r="D569" s="35"/>
      <c r="E569" s="2"/>
      <c r="F569" s="4"/>
      <c r="G569" s="84"/>
      <c r="H569" s="100"/>
      <c r="I569" s="97"/>
      <c r="J569" s="110"/>
      <c r="K569" s="111"/>
      <c r="L569" s="30"/>
      <c r="Q569" s="5"/>
    </row>
    <row r="570" spans="2:17" ht="15.5" x14ac:dyDescent="0.35">
      <c r="B570" s="3"/>
      <c r="C570" s="4"/>
      <c r="D570" s="35"/>
      <c r="E570" s="2"/>
      <c r="F570" s="4"/>
      <c r="G570" s="86"/>
      <c r="H570" s="99"/>
      <c r="I570" s="98"/>
      <c r="J570" s="109"/>
      <c r="K570" s="112"/>
      <c r="L570" s="30"/>
      <c r="Q570" s="5"/>
    </row>
    <row r="571" spans="2:17" ht="15.5" x14ac:dyDescent="0.35">
      <c r="B571" s="3"/>
      <c r="C571" s="4"/>
      <c r="D571" s="35"/>
      <c r="E571" s="2"/>
      <c r="F571" s="4"/>
      <c r="G571" s="87"/>
      <c r="H571" s="101"/>
      <c r="I571" s="98"/>
      <c r="J571" s="109"/>
      <c r="K571" s="112"/>
      <c r="L571" s="30"/>
      <c r="Q571" s="5"/>
    </row>
    <row r="572" spans="2:17" ht="15.5" x14ac:dyDescent="0.35">
      <c r="B572" s="3"/>
      <c r="C572" s="4"/>
      <c r="D572" s="35"/>
      <c r="E572" s="2"/>
      <c r="F572" s="4"/>
      <c r="G572" s="87"/>
      <c r="H572" s="101"/>
      <c r="I572" s="98"/>
      <c r="J572" s="109"/>
      <c r="K572" s="112"/>
      <c r="L572" s="30"/>
      <c r="Q572" s="5"/>
    </row>
    <row r="573" spans="2:17" ht="15.5" x14ac:dyDescent="0.35">
      <c r="B573" s="3"/>
      <c r="C573" s="4"/>
      <c r="D573" s="35"/>
      <c r="E573" s="2"/>
      <c r="F573" s="4"/>
      <c r="G573" s="86"/>
      <c r="H573" s="101"/>
      <c r="I573" s="98"/>
      <c r="J573" s="112"/>
      <c r="K573" s="112"/>
      <c r="L573" s="30"/>
      <c r="Q573" s="5"/>
    </row>
    <row r="574" spans="2:17" ht="15.5" x14ac:dyDescent="0.35">
      <c r="B574" s="3"/>
      <c r="C574" s="4"/>
      <c r="D574" s="35"/>
      <c r="E574" s="2"/>
      <c r="F574" s="4"/>
      <c r="G574" s="87"/>
      <c r="H574" s="101"/>
      <c r="I574" s="101"/>
      <c r="J574" s="109"/>
      <c r="K574" s="112"/>
      <c r="L574" s="30"/>
      <c r="Q574" s="5"/>
    </row>
    <row r="575" spans="2:17" ht="15.5" x14ac:dyDescent="0.35">
      <c r="B575" s="3"/>
      <c r="C575" s="4"/>
      <c r="D575" s="35"/>
      <c r="E575" s="2"/>
      <c r="F575" s="4"/>
      <c r="G575" s="86"/>
      <c r="H575" s="99"/>
      <c r="I575" s="99"/>
      <c r="J575" s="109"/>
      <c r="K575" s="112"/>
      <c r="L575" s="30"/>
      <c r="Q575" s="5"/>
    </row>
    <row r="576" spans="2:17" ht="15.5" x14ac:dyDescent="0.35">
      <c r="B576" s="3"/>
      <c r="C576" s="4"/>
      <c r="D576" s="35"/>
      <c r="E576" s="2"/>
      <c r="F576" s="4"/>
      <c r="G576" s="88"/>
      <c r="H576" s="103"/>
      <c r="I576" s="102"/>
      <c r="J576" s="113"/>
      <c r="K576" s="112"/>
      <c r="L576" s="30"/>
      <c r="Q576" s="5"/>
    </row>
    <row r="577" spans="2:17" ht="15.5" x14ac:dyDescent="0.35">
      <c r="B577" s="3"/>
      <c r="C577" s="4"/>
      <c r="D577" s="35"/>
      <c r="E577" s="2"/>
      <c r="F577" s="4"/>
      <c r="G577" s="88"/>
      <c r="H577" s="102"/>
      <c r="I577" s="103"/>
      <c r="J577" s="113"/>
      <c r="K577" s="112"/>
      <c r="L577" s="30"/>
      <c r="Q577" s="5"/>
    </row>
    <row r="578" spans="2:17" ht="15.5" x14ac:dyDescent="0.35">
      <c r="B578" s="3"/>
      <c r="C578" s="4"/>
      <c r="D578" s="35"/>
      <c r="E578" s="2"/>
      <c r="F578" s="4"/>
      <c r="G578" s="88"/>
      <c r="H578" s="102"/>
      <c r="I578" s="102"/>
      <c r="J578" s="113"/>
      <c r="K578" s="112"/>
      <c r="L578" s="30"/>
      <c r="Q578" s="5"/>
    </row>
    <row r="579" spans="2:17" ht="14.5" x14ac:dyDescent="0.35">
      <c r="B579" s="3"/>
      <c r="C579" s="4"/>
      <c r="D579" s="35"/>
      <c r="E579" s="2"/>
      <c r="F579" s="4"/>
      <c r="G579" s="79"/>
      <c r="H579" s="90"/>
      <c r="I579" s="90"/>
      <c r="J579" s="107"/>
      <c r="K579" s="107"/>
      <c r="L579" s="30"/>
      <c r="Q579" s="5"/>
    </row>
    <row r="580" spans="2:17" ht="14.5" x14ac:dyDescent="0.35">
      <c r="B580" s="3"/>
      <c r="C580" s="4"/>
      <c r="D580" s="35"/>
      <c r="E580" s="2"/>
      <c r="F580" s="4"/>
      <c r="G580" s="79"/>
      <c r="H580" s="90"/>
      <c r="I580" s="90"/>
      <c r="J580" s="107"/>
      <c r="K580" s="107"/>
      <c r="L580" s="30"/>
      <c r="Q580" s="5"/>
    </row>
    <row r="581" spans="2:17" ht="14.5" x14ac:dyDescent="0.35">
      <c r="B581" s="3"/>
      <c r="C581" s="4"/>
      <c r="D581" s="35"/>
      <c r="E581" s="2"/>
      <c r="F581" s="4"/>
      <c r="G581" s="79"/>
      <c r="H581" s="91"/>
      <c r="I581" s="90"/>
      <c r="J581" s="107"/>
      <c r="K581" s="107"/>
      <c r="L581" s="30"/>
      <c r="Q581" s="5"/>
    </row>
    <row r="582" spans="2:17" ht="15.5" x14ac:dyDescent="0.35">
      <c r="B582" s="3"/>
      <c r="C582" s="4"/>
      <c r="D582" s="35"/>
      <c r="E582" s="2"/>
      <c r="F582" s="4"/>
      <c r="G582" s="81"/>
      <c r="H582" s="96"/>
      <c r="I582" s="104"/>
      <c r="J582" s="109"/>
      <c r="K582" s="109"/>
      <c r="L582" s="30"/>
      <c r="Q582" s="5"/>
    </row>
    <row r="583" spans="2:17" ht="15.5" x14ac:dyDescent="0.35">
      <c r="B583" s="188"/>
      <c r="C583" s="4"/>
      <c r="D583" s="35"/>
      <c r="E583" s="2"/>
      <c r="F583" s="4"/>
      <c r="G583" s="81"/>
      <c r="H583" s="104"/>
      <c r="I583" s="104"/>
      <c r="J583" s="109"/>
      <c r="K583" s="109"/>
      <c r="L583" s="115"/>
      <c r="Q583" s="5"/>
    </row>
    <row r="584" spans="2:17" ht="15.5" x14ac:dyDescent="0.35">
      <c r="B584" s="188"/>
      <c r="C584" s="4"/>
      <c r="D584" s="35"/>
      <c r="E584" s="2"/>
      <c r="F584" s="4"/>
      <c r="G584" s="81"/>
      <c r="H584" s="96"/>
      <c r="I584" s="96"/>
      <c r="J584" s="109"/>
      <c r="K584" s="109"/>
      <c r="L584" s="115"/>
      <c r="Q584" s="5"/>
    </row>
    <row r="585" spans="2:17" ht="15.5" x14ac:dyDescent="0.35">
      <c r="B585" s="188"/>
      <c r="C585" s="4"/>
      <c r="D585" s="35"/>
      <c r="E585" s="2"/>
      <c r="F585" s="4"/>
      <c r="G585" s="81"/>
      <c r="H585" s="96"/>
      <c r="I585" s="104"/>
      <c r="J585" s="109"/>
      <c r="K585" s="109"/>
      <c r="L585" s="115"/>
      <c r="Q585" s="5"/>
    </row>
    <row r="586" spans="2:17" ht="15.5" x14ac:dyDescent="0.35">
      <c r="B586" s="188"/>
      <c r="C586" s="4"/>
      <c r="D586" s="35"/>
      <c r="E586" s="2"/>
      <c r="F586" s="4"/>
      <c r="G586" s="81"/>
      <c r="H586" s="96"/>
      <c r="I586" s="104"/>
      <c r="J586" s="109"/>
      <c r="K586" s="109"/>
      <c r="L586" s="115"/>
      <c r="Q586" s="5"/>
    </row>
    <row r="587" spans="2:17" ht="15.5" x14ac:dyDescent="0.35">
      <c r="B587" s="188"/>
      <c r="C587" s="4"/>
      <c r="D587" s="35"/>
      <c r="E587" s="2"/>
      <c r="F587" s="4"/>
      <c r="G587" s="81"/>
      <c r="H587" s="96"/>
      <c r="I587" s="96"/>
      <c r="J587" s="109"/>
      <c r="K587" s="109"/>
      <c r="L587" s="115"/>
      <c r="Q587" s="5"/>
    </row>
    <row r="588" spans="2:17" ht="15.5" x14ac:dyDescent="0.35">
      <c r="B588" s="189"/>
      <c r="C588" s="4"/>
      <c r="D588" s="35"/>
      <c r="E588" s="2"/>
      <c r="F588" s="4"/>
      <c r="G588" s="86"/>
      <c r="H588" s="101"/>
      <c r="I588" s="99"/>
      <c r="J588" s="109"/>
      <c r="K588" s="112"/>
      <c r="L588" s="115"/>
      <c r="Q588" s="5"/>
    </row>
    <row r="589" spans="2:17" ht="15.5" x14ac:dyDescent="0.35">
      <c r="B589" s="189"/>
      <c r="C589" s="4"/>
      <c r="D589" s="35"/>
      <c r="E589" s="2"/>
      <c r="F589" s="4"/>
      <c r="G589" s="86"/>
      <c r="H589" s="101"/>
      <c r="I589" s="99"/>
      <c r="J589" s="109"/>
      <c r="K589" s="112"/>
      <c r="L589" s="115"/>
      <c r="Q589" s="5"/>
    </row>
    <row r="590" spans="2:17" ht="15.5" x14ac:dyDescent="0.35">
      <c r="B590" s="189"/>
      <c r="C590" s="4"/>
      <c r="D590" s="35"/>
      <c r="E590" s="2"/>
      <c r="F590" s="4"/>
      <c r="G590" s="86"/>
      <c r="H590" s="101"/>
      <c r="I590" s="99"/>
      <c r="J590" s="109"/>
      <c r="K590" s="112"/>
      <c r="L590" s="115"/>
      <c r="Q590" s="5"/>
    </row>
    <row r="591" spans="2:17" ht="15.5" x14ac:dyDescent="0.35">
      <c r="B591" s="189"/>
      <c r="C591" s="4"/>
      <c r="D591" s="35"/>
      <c r="E591" s="2"/>
      <c r="F591" s="4"/>
      <c r="G591" s="86"/>
      <c r="H591" s="101"/>
      <c r="I591" s="99"/>
      <c r="J591" s="109"/>
      <c r="K591" s="112"/>
      <c r="L591" s="115"/>
      <c r="Q591" s="5"/>
    </row>
    <row r="592" spans="2:17" ht="15.5" x14ac:dyDescent="0.35">
      <c r="B592" s="190"/>
      <c r="C592" s="4"/>
      <c r="D592" s="35"/>
      <c r="E592" s="2"/>
      <c r="F592" s="4"/>
      <c r="G592" s="84"/>
      <c r="H592" s="100"/>
      <c r="I592" s="105"/>
      <c r="J592" s="110"/>
      <c r="K592" s="111"/>
      <c r="L592" s="116"/>
      <c r="Q592" s="5"/>
    </row>
    <row r="593" spans="2:17" ht="15.5" x14ac:dyDescent="0.35">
      <c r="B593" s="191"/>
      <c r="C593" s="4"/>
      <c r="D593" s="35"/>
      <c r="E593" s="2"/>
      <c r="F593" s="4"/>
      <c r="G593" s="81"/>
      <c r="H593" s="96"/>
      <c r="I593" s="93"/>
      <c r="J593" s="109"/>
      <c r="K593" s="109"/>
      <c r="L593" s="115"/>
      <c r="Q593" s="5"/>
    </row>
    <row r="594" spans="2:17" ht="15.5" x14ac:dyDescent="0.35">
      <c r="B594" s="191"/>
      <c r="C594" s="4"/>
      <c r="D594" s="35"/>
      <c r="E594" s="2"/>
      <c r="F594" s="4"/>
      <c r="G594" s="81"/>
      <c r="H594" s="96"/>
      <c r="I594" s="93"/>
      <c r="J594" s="109"/>
      <c r="K594" s="109"/>
      <c r="L594" s="115"/>
      <c r="Q594" s="5"/>
    </row>
    <row r="595" spans="2:17" ht="15.5" x14ac:dyDescent="0.35">
      <c r="B595" s="191"/>
      <c r="C595" s="4"/>
      <c r="D595" s="35"/>
      <c r="E595" s="2"/>
      <c r="F595" s="4"/>
      <c r="G595" s="81"/>
      <c r="H595" s="96"/>
      <c r="I595" s="93"/>
      <c r="J595" s="109"/>
      <c r="K595" s="109"/>
      <c r="L595" s="115"/>
      <c r="Q595" s="5"/>
    </row>
    <row r="596" spans="2:17" ht="15.5" x14ac:dyDescent="0.35">
      <c r="B596" s="191"/>
      <c r="C596" s="4"/>
      <c r="D596" s="35"/>
      <c r="E596" s="2"/>
      <c r="F596" s="4"/>
      <c r="G596" s="81"/>
      <c r="H596" s="96"/>
      <c r="I596" s="93"/>
      <c r="J596" s="109"/>
      <c r="K596" s="109"/>
      <c r="L596" s="115"/>
      <c r="Q596" s="5"/>
    </row>
    <row r="597" spans="2:17" ht="15.5" x14ac:dyDescent="0.35">
      <c r="B597" s="192"/>
      <c r="C597" s="4"/>
      <c r="D597" s="35"/>
      <c r="E597" s="2"/>
      <c r="F597" s="4"/>
      <c r="G597" s="82"/>
      <c r="H597" s="95"/>
      <c r="I597" s="95"/>
      <c r="J597" s="110"/>
      <c r="K597" s="110"/>
      <c r="L597" s="116"/>
      <c r="Q597" s="5"/>
    </row>
    <row r="598" spans="2:17" ht="15.5" x14ac:dyDescent="0.35">
      <c r="B598" s="191"/>
      <c r="C598" s="4"/>
      <c r="D598" s="35"/>
      <c r="E598" s="2"/>
      <c r="F598" s="4"/>
      <c r="G598" s="81"/>
      <c r="H598" s="96"/>
      <c r="I598" s="93"/>
      <c r="J598" s="109"/>
      <c r="K598" s="109"/>
      <c r="L598" s="115"/>
      <c r="Q598" s="5"/>
    </row>
    <row r="599" spans="2:17" ht="15.5" x14ac:dyDescent="0.35">
      <c r="B599" s="191"/>
      <c r="C599" s="4"/>
      <c r="D599" s="35"/>
      <c r="E599" s="2"/>
      <c r="F599" s="4"/>
      <c r="G599" s="81"/>
      <c r="H599" s="96"/>
      <c r="I599" s="93"/>
      <c r="J599" s="109"/>
      <c r="K599" s="109"/>
      <c r="L599" s="115"/>
      <c r="Q599" s="5"/>
    </row>
    <row r="600" spans="2:17" ht="15.5" x14ac:dyDescent="0.35">
      <c r="B600" s="191"/>
      <c r="C600" s="4"/>
      <c r="D600" s="35"/>
      <c r="E600" s="2"/>
      <c r="F600" s="4"/>
      <c r="G600" s="81"/>
      <c r="H600" s="96"/>
      <c r="I600" s="93"/>
      <c r="J600" s="109"/>
      <c r="K600" s="109"/>
      <c r="L600" s="115"/>
      <c r="Q600" s="5"/>
    </row>
    <row r="601" spans="2:17" ht="15.5" x14ac:dyDescent="0.35">
      <c r="B601" s="188"/>
      <c r="C601" s="4"/>
      <c r="D601" s="35"/>
      <c r="E601" s="2"/>
      <c r="F601" s="4"/>
      <c r="G601" s="81"/>
      <c r="H601" s="96"/>
      <c r="I601" s="104"/>
      <c r="J601" s="109"/>
      <c r="K601" s="109"/>
      <c r="L601" s="115"/>
      <c r="Q601" s="5"/>
    </row>
    <row r="602" spans="2:17" ht="15.5" x14ac:dyDescent="0.35">
      <c r="B602" s="188"/>
      <c r="C602" s="4"/>
      <c r="D602" s="35"/>
      <c r="E602" s="2"/>
      <c r="F602" s="4"/>
      <c r="G602" s="81"/>
      <c r="H602" s="104"/>
      <c r="I602" s="104"/>
      <c r="J602" s="109"/>
      <c r="K602" s="109"/>
      <c r="L602" s="115"/>
      <c r="M602" s="28"/>
      <c r="Q602" s="5"/>
    </row>
    <row r="603" spans="2:17" ht="15.5" x14ac:dyDescent="0.35">
      <c r="B603" s="188"/>
      <c r="C603" s="4"/>
      <c r="D603" s="35"/>
      <c r="E603" s="2"/>
      <c r="F603" s="4"/>
      <c r="G603" s="81"/>
      <c r="H603" s="96"/>
      <c r="I603" s="104"/>
      <c r="J603" s="109"/>
      <c r="K603" s="109"/>
      <c r="L603" s="115"/>
      <c r="M603" s="28"/>
      <c r="Q603" s="5"/>
    </row>
    <row r="604" spans="2:17" ht="15.5" x14ac:dyDescent="0.25">
      <c r="B604" s="195"/>
      <c r="C604" s="4"/>
      <c r="D604" s="35"/>
      <c r="E604" s="2"/>
      <c r="F604" s="4"/>
      <c r="G604" s="81"/>
      <c r="H604" s="96"/>
      <c r="I604" s="104"/>
      <c r="J604" s="109"/>
      <c r="K604" s="109"/>
      <c r="L604" s="115"/>
      <c r="M604" s="28"/>
    </row>
    <row r="605" spans="2:17" ht="15.5" x14ac:dyDescent="0.25">
      <c r="B605" s="195"/>
      <c r="C605" s="4"/>
      <c r="D605" s="35"/>
      <c r="E605" s="2"/>
      <c r="F605" s="4"/>
      <c r="G605" s="83"/>
      <c r="H605" s="96"/>
      <c r="I605" s="96"/>
      <c r="J605" s="109"/>
      <c r="K605" s="109"/>
      <c r="L605" s="115"/>
      <c r="M605" s="28"/>
    </row>
    <row r="606" spans="2:17" ht="15.5" x14ac:dyDescent="0.35">
      <c r="B606" s="189"/>
      <c r="C606" s="4"/>
      <c r="D606" s="35"/>
      <c r="E606" s="2"/>
      <c r="F606" s="4"/>
      <c r="G606" s="86"/>
      <c r="H606" s="99"/>
      <c r="I606" s="99"/>
      <c r="J606" s="112"/>
      <c r="K606" s="112"/>
      <c r="L606" s="115"/>
      <c r="M606" s="28"/>
    </row>
    <row r="607" spans="2:17" ht="15.5" x14ac:dyDescent="0.35">
      <c r="B607" s="189"/>
      <c r="C607" s="4"/>
      <c r="D607" s="35"/>
      <c r="E607" s="2"/>
      <c r="F607" s="4"/>
      <c r="G607" s="86"/>
      <c r="H607" s="99"/>
      <c r="I607" s="99"/>
      <c r="J607" s="109"/>
      <c r="K607" s="112"/>
      <c r="L607" s="115"/>
      <c r="M607" s="28"/>
    </row>
    <row r="608" spans="2:17" ht="15.5" x14ac:dyDescent="0.35">
      <c r="B608" s="189"/>
      <c r="C608" s="4"/>
      <c r="D608" s="35"/>
      <c r="E608" s="2"/>
      <c r="F608" s="4"/>
      <c r="G608" s="86"/>
      <c r="H608" s="99"/>
      <c r="I608" s="99"/>
      <c r="J608" s="109"/>
      <c r="K608" s="112"/>
      <c r="L608" s="115"/>
      <c r="M608" s="28"/>
    </row>
    <row r="609" spans="2:13" ht="15.5" x14ac:dyDescent="0.35">
      <c r="B609" s="189"/>
      <c r="C609" s="4"/>
      <c r="D609" s="35"/>
      <c r="E609" s="2"/>
      <c r="F609" s="4"/>
      <c r="G609" s="86"/>
      <c r="H609" s="99"/>
      <c r="I609" s="99"/>
      <c r="J609" s="109"/>
      <c r="K609" s="112"/>
      <c r="L609" s="115"/>
      <c r="M609" s="28"/>
    </row>
    <row r="610" spans="2:13" ht="15.5" x14ac:dyDescent="0.35">
      <c r="B610" s="189"/>
      <c r="C610" s="4"/>
      <c r="D610" s="35"/>
      <c r="E610" s="2"/>
      <c r="F610" s="4"/>
      <c r="G610" s="86"/>
      <c r="H610" s="101"/>
      <c r="I610" s="99"/>
      <c r="J610" s="109"/>
      <c r="K610" s="112"/>
      <c r="L610" s="115"/>
      <c r="M610" s="28"/>
    </row>
    <row r="611" spans="2:13" ht="15.5" x14ac:dyDescent="0.35">
      <c r="B611" s="189"/>
      <c r="C611" s="4"/>
      <c r="D611" s="35"/>
      <c r="E611" s="2"/>
      <c r="F611" s="4"/>
      <c r="G611" s="86"/>
      <c r="H611" s="101"/>
      <c r="I611" s="99"/>
      <c r="J611" s="109"/>
      <c r="K611" s="112"/>
      <c r="L611" s="115"/>
      <c r="M611" s="28"/>
    </row>
    <row r="612" spans="2:13" ht="15.5" x14ac:dyDescent="0.35">
      <c r="B612" s="189"/>
      <c r="C612" s="4"/>
      <c r="D612" s="35"/>
      <c r="E612" s="2"/>
      <c r="F612" s="4"/>
      <c r="G612" s="86"/>
      <c r="H612" s="99"/>
      <c r="I612" s="99"/>
      <c r="J612" s="109"/>
      <c r="K612" s="112"/>
      <c r="L612" s="115"/>
      <c r="M612" s="28"/>
    </row>
    <row r="613" spans="2:13" ht="15.5" x14ac:dyDescent="0.35">
      <c r="B613" s="189"/>
      <c r="C613" s="4"/>
      <c r="D613" s="35"/>
      <c r="E613" s="2"/>
      <c r="F613" s="4"/>
      <c r="G613" s="86"/>
      <c r="H613" s="99"/>
      <c r="I613" s="99"/>
      <c r="J613" s="109"/>
      <c r="K613" s="112"/>
      <c r="L613" s="115"/>
      <c r="M613" s="28"/>
    </row>
    <row r="614" spans="2:13" ht="16" thickBot="1" x14ac:dyDescent="0.3">
      <c r="B614" s="193"/>
      <c r="C614" s="4"/>
      <c r="D614" s="35"/>
      <c r="E614" s="2"/>
      <c r="F614" s="4"/>
      <c r="G614" s="89"/>
      <c r="H614" s="106"/>
      <c r="I614" s="106"/>
      <c r="J614" s="114"/>
      <c r="K614" s="114"/>
      <c r="L614" s="117"/>
    </row>
    <row r="615" spans="2:13" ht="15.5" x14ac:dyDescent="0.25">
      <c r="B615" s="196"/>
      <c r="C615" s="4"/>
      <c r="D615" s="35"/>
      <c r="E615" s="2"/>
      <c r="F615" s="4"/>
      <c r="G615" s="121"/>
      <c r="H615" s="123"/>
      <c r="I615" s="123"/>
      <c r="J615" s="125"/>
      <c r="K615" s="127"/>
      <c r="L615" s="118"/>
    </row>
    <row r="616" spans="2:13" ht="14.5" x14ac:dyDescent="0.25">
      <c r="B616" s="197"/>
      <c r="C616" s="4"/>
      <c r="D616" s="35"/>
      <c r="E616" s="2"/>
      <c r="F616" s="4"/>
      <c r="G616" s="120"/>
      <c r="H616" s="122"/>
      <c r="I616" s="122"/>
      <c r="J616" s="124"/>
      <c r="K616" s="126"/>
      <c r="L616" s="119"/>
    </row>
    <row r="617" spans="2:13" ht="15.5" x14ac:dyDescent="0.25">
      <c r="B617" s="194"/>
      <c r="C617" s="4"/>
      <c r="D617" s="35"/>
      <c r="E617" s="2"/>
      <c r="F617" s="4"/>
      <c r="G617" s="129"/>
      <c r="H617" s="135"/>
      <c r="I617" s="134"/>
      <c r="J617" s="142"/>
      <c r="K617" s="142"/>
      <c r="L617" s="147"/>
    </row>
    <row r="618" spans="2:13" ht="15.5" x14ac:dyDescent="0.25">
      <c r="B618" s="194"/>
      <c r="C618" s="4"/>
      <c r="D618" s="35"/>
      <c r="E618" s="2"/>
      <c r="F618" s="4"/>
      <c r="G618" s="128"/>
      <c r="H618" s="134"/>
      <c r="I618" s="134"/>
      <c r="J618" s="142"/>
      <c r="K618" s="142"/>
      <c r="L618" s="147"/>
    </row>
    <row r="619" spans="2:13" ht="15.5" x14ac:dyDescent="0.35">
      <c r="B619" s="198"/>
      <c r="C619" s="4"/>
      <c r="D619" s="35"/>
      <c r="E619" s="2"/>
      <c r="F619" s="4"/>
      <c r="G619" s="131"/>
      <c r="H619" s="138"/>
      <c r="I619" s="136"/>
      <c r="J619" s="143"/>
      <c r="K619" s="143"/>
      <c r="L619" s="148"/>
    </row>
    <row r="620" spans="2:13" ht="15.5" x14ac:dyDescent="0.35">
      <c r="B620" s="199"/>
      <c r="C620" s="4"/>
      <c r="D620" s="35"/>
      <c r="E620" s="2"/>
      <c r="F620" s="4"/>
      <c r="G620" s="130"/>
      <c r="H620" s="139"/>
      <c r="I620" s="137"/>
      <c r="J620" s="144"/>
      <c r="K620" s="144"/>
      <c r="L620" s="149"/>
    </row>
    <row r="621" spans="2:13" ht="15.5" x14ac:dyDescent="0.25">
      <c r="B621" s="200"/>
      <c r="C621" s="4"/>
      <c r="D621" s="35"/>
      <c r="E621" s="2"/>
      <c r="F621" s="4"/>
      <c r="G621" s="132"/>
      <c r="H621" s="140"/>
      <c r="I621" s="140"/>
      <c r="J621" s="146"/>
      <c r="K621" s="146"/>
      <c r="L621" s="151"/>
    </row>
    <row r="622" spans="2:13" ht="16" thickBot="1" x14ac:dyDescent="0.3">
      <c r="B622" s="195"/>
      <c r="C622" s="4"/>
      <c r="D622" s="35"/>
      <c r="E622" s="2"/>
      <c r="F622" s="4"/>
      <c r="G622" s="133"/>
      <c r="H622" s="141"/>
      <c r="I622" s="141"/>
      <c r="J622" s="145"/>
      <c r="K622" s="145"/>
      <c r="L622" s="150"/>
    </row>
    <row r="623" spans="2:13" ht="16" thickBot="1" x14ac:dyDescent="0.3">
      <c r="B623" s="201"/>
      <c r="C623" s="4"/>
      <c r="D623" s="35"/>
      <c r="E623" s="2"/>
      <c r="F623" s="4"/>
      <c r="G623" s="152"/>
      <c r="H623" s="154"/>
      <c r="I623" s="153"/>
      <c r="J623" s="155"/>
      <c r="K623" s="155"/>
      <c r="L623" s="156"/>
    </row>
    <row r="624" spans="2:13" ht="14.5" x14ac:dyDescent="0.35">
      <c r="B624" s="208"/>
      <c r="C624" s="4"/>
      <c r="D624" s="35"/>
      <c r="E624" s="2"/>
      <c r="F624" s="4"/>
      <c r="J624" s="203"/>
      <c r="K624" s="204"/>
      <c r="L624" s="205"/>
    </row>
    <row r="625" spans="2:12" ht="14.5" x14ac:dyDescent="0.35">
      <c r="B625" s="208"/>
      <c r="C625" s="4"/>
      <c r="D625" s="35"/>
      <c r="E625" s="2"/>
      <c r="F625" s="4"/>
      <c r="J625" s="203"/>
      <c r="K625" s="204"/>
      <c r="L625" s="205"/>
    </row>
    <row r="626" spans="2:12" ht="14.5" x14ac:dyDescent="0.35">
      <c r="B626" s="208"/>
      <c r="C626" s="4"/>
      <c r="D626" s="35"/>
      <c r="E626" s="2"/>
      <c r="F626" s="4"/>
      <c r="J626" s="203"/>
      <c r="K626" s="204"/>
      <c r="L626" s="205"/>
    </row>
    <row r="627" spans="2:12" ht="14.5" x14ac:dyDescent="0.35">
      <c r="B627" s="208"/>
      <c r="C627" s="4"/>
      <c r="D627" s="35"/>
      <c r="E627" s="2"/>
      <c r="F627" s="4"/>
      <c r="J627" s="203"/>
      <c r="K627" s="204"/>
      <c r="L627" s="205"/>
    </row>
    <row r="628" spans="2:12" ht="14.5" x14ac:dyDescent="0.35">
      <c r="B628" s="208"/>
      <c r="C628" s="4"/>
      <c r="D628" s="35"/>
      <c r="E628" s="2"/>
      <c r="F628" s="4"/>
      <c r="J628" s="203"/>
      <c r="K628" s="204"/>
      <c r="L628" s="205"/>
    </row>
    <row r="629" spans="2:12" ht="14.5" x14ac:dyDescent="0.35">
      <c r="B629" s="208"/>
      <c r="C629" s="4"/>
      <c r="D629" s="35"/>
      <c r="E629" s="2"/>
      <c r="F629" s="4"/>
      <c r="J629" s="203"/>
      <c r="K629" s="204"/>
      <c r="L629" s="205"/>
    </row>
    <row r="630" spans="2:12" ht="14.5" x14ac:dyDescent="0.35">
      <c r="B630" s="208"/>
      <c r="C630" s="4"/>
      <c r="D630" s="35"/>
      <c r="E630" s="2"/>
      <c r="F630" s="4"/>
      <c r="J630" s="203"/>
      <c r="K630" s="204"/>
      <c r="L630" s="205"/>
    </row>
    <row r="631" spans="2:12" ht="14.5" x14ac:dyDescent="0.35">
      <c r="B631" s="208"/>
      <c r="C631" s="4"/>
      <c r="D631" s="35"/>
      <c r="E631" s="2"/>
      <c r="F631" s="4"/>
      <c r="J631" s="203"/>
      <c r="K631" s="204"/>
      <c r="L631" s="205"/>
    </row>
    <row r="632" spans="2:12" ht="14.5" x14ac:dyDescent="0.35">
      <c r="B632" s="208"/>
      <c r="C632" s="4"/>
      <c r="D632" s="35"/>
      <c r="E632" s="2"/>
      <c r="F632" s="4"/>
      <c r="J632" s="203"/>
      <c r="K632" s="204"/>
      <c r="L632" s="205"/>
    </row>
    <row r="633" spans="2:12" ht="14.5" x14ac:dyDescent="0.35">
      <c r="B633" s="208"/>
      <c r="C633" s="4"/>
      <c r="D633" s="35"/>
      <c r="E633" s="2"/>
      <c r="F633" s="4"/>
      <c r="J633" s="203"/>
      <c r="K633" s="204"/>
      <c r="L633" s="205"/>
    </row>
    <row r="634" spans="2:12" ht="14.5" x14ac:dyDescent="0.35">
      <c r="B634" s="208"/>
      <c r="C634" s="4"/>
      <c r="D634" s="35"/>
      <c r="E634" s="2"/>
      <c r="F634" s="4"/>
      <c r="J634" s="203"/>
      <c r="K634" s="204"/>
      <c r="L634" s="205"/>
    </row>
    <row r="635" spans="2:12" ht="14.5" x14ac:dyDescent="0.35">
      <c r="B635" s="208"/>
      <c r="C635" s="4"/>
      <c r="D635" s="35"/>
      <c r="E635" s="2"/>
      <c r="F635" s="4"/>
      <c r="J635" s="203"/>
      <c r="K635" s="204"/>
      <c r="L635" s="205"/>
    </row>
    <row r="636" spans="2:12" ht="14.5" x14ac:dyDescent="0.35">
      <c r="B636" s="208"/>
      <c r="C636" s="4"/>
      <c r="D636" s="35"/>
      <c r="E636" s="2"/>
      <c r="F636" s="4"/>
      <c r="J636" s="203"/>
      <c r="K636" s="204"/>
      <c r="L636" s="205"/>
    </row>
    <row r="637" spans="2:12" ht="14.5" x14ac:dyDescent="0.35">
      <c r="B637" s="208"/>
      <c r="C637" s="4"/>
      <c r="D637" s="35"/>
      <c r="E637" s="2"/>
      <c r="F637" s="4"/>
      <c r="J637" s="203"/>
      <c r="K637" s="204"/>
      <c r="L637" s="205"/>
    </row>
    <row r="638" spans="2:12" ht="14.5" x14ac:dyDescent="0.35">
      <c r="B638" s="208"/>
      <c r="C638" s="4"/>
      <c r="D638" s="35"/>
      <c r="E638" s="2"/>
      <c r="F638" s="4"/>
      <c r="J638" s="203"/>
      <c r="K638" s="204"/>
      <c r="L638" s="205"/>
    </row>
    <row r="639" spans="2:12" ht="14.5" x14ac:dyDescent="0.35">
      <c r="B639" s="208"/>
      <c r="C639" s="4"/>
      <c r="D639" s="35"/>
      <c r="E639" s="2"/>
      <c r="F639" s="4"/>
      <c r="J639" s="203"/>
      <c r="K639" s="204"/>
      <c r="L639" s="205"/>
    </row>
    <row r="640" spans="2:12" ht="14.5" x14ac:dyDescent="0.35">
      <c r="B640" s="208"/>
      <c r="C640" s="4"/>
      <c r="D640" s="35"/>
      <c r="E640" s="2"/>
      <c r="F640" s="4"/>
      <c r="J640" s="203"/>
      <c r="K640" s="204"/>
      <c r="L640" s="205"/>
    </row>
    <row r="641" spans="2:12" ht="14.5" x14ac:dyDescent="0.35">
      <c r="B641" s="208"/>
      <c r="C641" s="4"/>
      <c r="D641" s="35"/>
      <c r="E641" s="2"/>
      <c r="F641" s="4"/>
      <c r="J641" s="203"/>
      <c r="K641" s="204"/>
      <c r="L641" s="205"/>
    </row>
    <row r="642" spans="2:12" ht="14.5" x14ac:dyDescent="0.35">
      <c r="B642" s="208"/>
      <c r="C642" s="4"/>
      <c r="D642" s="35"/>
      <c r="E642" s="2"/>
      <c r="F642" s="4"/>
      <c r="J642" s="203"/>
      <c r="K642" s="204"/>
      <c r="L642" s="205"/>
    </row>
    <row r="643" spans="2:12" ht="14.5" x14ac:dyDescent="0.35">
      <c r="B643" s="208"/>
      <c r="C643" s="4"/>
      <c r="D643" s="35"/>
      <c r="E643" s="2"/>
      <c r="F643" s="4"/>
      <c r="J643" s="203"/>
      <c r="K643" s="204"/>
      <c r="L643" s="205"/>
    </row>
    <row r="644" spans="2:12" ht="14.5" x14ac:dyDescent="0.35">
      <c r="B644" s="208"/>
      <c r="C644" s="4"/>
      <c r="D644" s="35"/>
      <c r="E644" s="2"/>
      <c r="F644" s="4"/>
      <c r="J644" s="203"/>
      <c r="K644" s="204"/>
      <c r="L644" s="205"/>
    </row>
    <row r="645" spans="2:12" ht="14.5" x14ac:dyDescent="0.35">
      <c r="B645" s="208"/>
      <c r="C645" s="4"/>
      <c r="D645" s="35"/>
      <c r="E645" s="2"/>
      <c r="F645" s="4"/>
      <c r="J645" s="203"/>
      <c r="K645" s="204"/>
      <c r="L645" s="205"/>
    </row>
    <row r="646" spans="2:12" ht="14.5" x14ac:dyDescent="0.35">
      <c r="B646" s="208"/>
      <c r="C646" s="4"/>
      <c r="D646" s="35"/>
      <c r="E646" s="2"/>
      <c r="F646" s="4"/>
      <c r="J646" s="203"/>
      <c r="K646" s="204"/>
      <c r="L646" s="205"/>
    </row>
    <row r="647" spans="2:12" ht="14.5" x14ac:dyDescent="0.35">
      <c r="B647" s="208"/>
      <c r="C647" s="4"/>
      <c r="D647" s="35"/>
      <c r="E647" s="2"/>
      <c r="F647" s="4"/>
      <c r="J647" s="203"/>
      <c r="K647" s="204"/>
      <c r="L647" s="205"/>
    </row>
    <row r="648" spans="2:12" ht="14.5" x14ac:dyDescent="0.35">
      <c r="B648" s="208"/>
      <c r="C648" s="4"/>
      <c r="D648" s="35"/>
      <c r="E648" s="2"/>
      <c r="F648" s="4"/>
      <c r="J648" s="203"/>
      <c r="K648" s="204"/>
      <c r="L648" s="205"/>
    </row>
    <row r="649" spans="2:12" ht="14.5" x14ac:dyDescent="0.35">
      <c r="B649" s="208"/>
      <c r="C649" s="4"/>
      <c r="D649" s="35"/>
      <c r="E649" s="2"/>
      <c r="F649" s="4"/>
      <c r="J649" s="203"/>
      <c r="K649" s="204"/>
      <c r="L649" s="205"/>
    </row>
    <row r="650" spans="2:12" ht="14.5" x14ac:dyDescent="0.35">
      <c r="B650" s="208"/>
      <c r="C650" s="4"/>
      <c r="D650" s="35"/>
      <c r="E650" s="2"/>
      <c r="F650" s="4"/>
      <c r="J650" s="203"/>
      <c r="K650" s="204"/>
      <c r="L650" s="205"/>
    </row>
    <row r="651" spans="2:12" ht="14.5" x14ac:dyDescent="0.35">
      <c r="B651" s="208"/>
      <c r="C651" s="4"/>
      <c r="D651" s="34"/>
      <c r="E651" s="2"/>
      <c r="F651" s="4"/>
      <c r="J651" s="203"/>
      <c r="K651" s="204"/>
      <c r="L651" s="205"/>
    </row>
    <row r="652" spans="2:12" ht="14.5" x14ac:dyDescent="0.35">
      <c r="B652" s="208"/>
      <c r="C652" s="4"/>
      <c r="D652" s="34"/>
      <c r="E652" s="2"/>
      <c r="F652" s="4"/>
      <c r="J652" s="203"/>
      <c r="K652" s="204"/>
      <c r="L652" s="205"/>
    </row>
    <row r="653" spans="2:12" ht="14.5" x14ac:dyDescent="0.35">
      <c r="B653" s="208"/>
      <c r="C653" s="4"/>
      <c r="D653" s="34"/>
      <c r="E653" s="2"/>
      <c r="F653" s="4"/>
      <c r="J653" s="203"/>
      <c r="K653" s="204"/>
      <c r="L653" s="205"/>
    </row>
    <row r="654" spans="2:12" ht="14.5" x14ac:dyDescent="0.35">
      <c r="B654" s="208"/>
      <c r="C654" s="4"/>
      <c r="D654" s="34"/>
      <c r="E654" s="2"/>
      <c r="F654" s="4"/>
      <c r="J654" s="203"/>
      <c r="K654" s="204"/>
      <c r="L654" s="205"/>
    </row>
    <row r="655" spans="2:12" ht="14.5" x14ac:dyDescent="0.35">
      <c r="B655" s="208"/>
      <c r="C655" s="4"/>
      <c r="D655" s="34"/>
      <c r="E655" s="2"/>
      <c r="F655" s="4"/>
      <c r="J655" s="203"/>
      <c r="K655" s="204"/>
      <c r="L655" s="205"/>
    </row>
    <row r="656" spans="2:12" ht="14.5" x14ac:dyDescent="0.35">
      <c r="B656" s="208"/>
      <c r="C656" s="4"/>
      <c r="D656" s="34"/>
      <c r="E656" s="2"/>
      <c r="F656" s="4"/>
      <c r="J656" s="203"/>
      <c r="K656" s="204"/>
      <c r="L656" s="205"/>
    </row>
    <row r="657" spans="2:12" ht="14.5" x14ac:dyDescent="0.35">
      <c r="B657" s="208"/>
      <c r="C657" s="4"/>
      <c r="D657" s="34"/>
      <c r="E657" s="2"/>
      <c r="F657" s="4"/>
      <c r="J657" s="203"/>
      <c r="K657" s="204"/>
      <c r="L657" s="205"/>
    </row>
    <row r="658" spans="2:12" ht="14.5" x14ac:dyDescent="0.35">
      <c r="B658" s="208"/>
      <c r="C658" s="4"/>
      <c r="D658" s="34"/>
      <c r="E658" s="2"/>
      <c r="F658" s="4"/>
      <c r="J658" s="203"/>
      <c r="K658" s="204"/>
      <c r="L658" s="205"/>
    </row>
    <row r="659" spans="2:12" ht="14.5" x14ac:dyDescent="0.35">
      <c r="B659" s="208"/>
      <c r="C659" s="4"/>
      <c r="D659" s="34"/>
      <c r="E659" s="2"/>
      <c r="F659" s="4"/>
      <c r="J659" s="203"/>
      <c r="K659" s="204"/>
      <c r="L659" s="205"/>
    </row>
    <row r="660" spans="2:12" ht="14.5" x14ac:dyDescent="0.35">
      <c r="B660" s="208"/>
      <c r="C660" s="4"/>
      <c r="D660" s="34"/>
      <c r="E660" s="2"/>
      <c r="F660" s="4"/>
      <c r="J660" s="203"/>
      <c r="K660" s="204"/>
      <c r="L660" s="205"/>
    </row>
    <row r="661" spans="2:12" ht="14.5" x14ac:dyDescent="0.35">
      <c r="B661" s="208"/>
      <c r="C661" s="4"/>
      <c r="D661" s="34"/>
      <c r="E661" s="2"/>
      <c r="F661" s="4"/>
      <c r="J661" s="203"/>
      <c r="K661" s="204"/>
      <c r="L661" s="205"/>
    </row>
    <row r="662" spans="2:12" ht="14.5" x14ac:dyDescent="0.35">
      <c r="B662" s="208"/>
      <c r="C662" s="4"/>
      <c r="D662" s="34"/>
      <c r="E662" s="2"/>
      <c r="F662" s="4"/>
      <c r="J662" s="203"/>
      <c r="K662" s="204"/>
      <c r="L662" s="205"/>
    </row>
    <row r="663" spans="2:12" ht="14.5" x14ac:dyDescent="0.35">
      <c r="B663" s="208"/>
      <c r="C663" s="4"/>
      <c r="D663" s="34"/>
      <c r="E663" s="2"/>
      <c r="F663" s="4"/>
      <c r="J663" s="203"/>
      <c r="K663" s="204"/>
      <c r="L663" s="205"/>
    </row>
    <row r="664" spans="2:12" ht="14.5" x14ac:dyDescent="0.35">
      <c r="B664" s="208"/>
      <c r="C664" s="4"/>
      <c r="D664" s="34"/>
      <c r="E664" s="2"/>
      <c r="F664" s="4"/>
      <c r="J664" s="203"/>
      <c r="K664" s="204"/>
      <c r="L664" s="205"/>
    </row>
    <row r="665" spans="2:12" ht="14.5" x14ac:dyDescent="0.35">
      <c r="B665" s="208"/>
      <c r="C665" s="4"/>
      <c r="D665" s="34"/>
      <c r="E665" s="2"/>
      <c r="F665" s="4"/>
      <c r="J665" s="203"/>
      <c r="K665" s="204"/>
      <c r="L665" s="205"/>
    </row>
    <row r="666" spans="2:12" ht="14.5" x14ac:dyDescent="0.35">
      <c r="B666" s="208"/>
      <c r="C666" s="4"/>
      <c r="D666" s="34"/>
      <c r="E666" s="2"/>
      <c r="F666" s="4"/>
      <c r="J666" s="203"/>
      <c r="K666" s="204"/>
      <c r="L666" s="205"/>
    </row>
    <row r="667" spans="2:12" ht="14.5" x14ac:dyDescent="0.35">
      <c r="B667" s="208"/>
      <c r="C667" s="4"/>
      <c r="D667" s="34"/>
      <c r="E667" s="2"/>
      <c r="F667" s="4"/>
      <c r="J667" s="203"/>
      <c r="K667" s="204"/>
      <c r="L667" s="205"/>
    </row>
    <row r="668" spans="2:12" ht="14.5" x14ac:dyDescent="0.35">
      <c r="B668" s="208"/>
      <c r="C668" s="4"/>
      <c r="D668" s="34"/>
      <c r="E668" s="2"/>
      <c r="F668" s="4"/>
      <c r="J668" s="203"/>
      <c r="K668" s="204"/>
      <c r="L668" s="205"/>
    </row>
    <row r="669" spans="2:12" ht="14.5" x14ac:dyDescent="0.35">
      <c r="B669" s="208"/>
      <c r="C669" s="4"/>
      <c r="D669" s="34"/>
      <c r="E669" s="2"/>
      <c r="F669" s="4"/>
      <c r="J669" s="203"/>
      <c r="K669" s="204"/>
      <c r="L669" s="205"/>
    </row>
    <row r="670" spans="2:12" ht="14.5" x14ac:dyDescent="0.35">
      <c r="B670" s="208"/>
      <c r="C670" s="4"/>
      <c r="D670" s="34"/>
      <c r="E670" s="2"/>
      <c r="F670" s="4"/>
      <c r="J670" s="203"/>
      <c r="K670" s="204"/>
      <c r="L670" s="205"/>
    </row>
    <row r="671" spans="2:12" x14ac:dyDescent="0.25">
      <c r="B671" s="3"/>
      <c r="C671" s="4"/>
      <c r="D671" s="202"/>
      <c r="E671" s="2"/>
      <c r="F671" s="4"/>
      <c r="J671" s="32"/>
      <c r="K671" s="32"/>
      <c r="L671" s="30"/>
    </row>
    <row r="672" spans="2:12" x14ac:dyDescent="0.25">
      <c r="B672" s="3"/>
      <c r="C672" s="4"/>
      <c r="D672" s="202"/>
      <c r="E672" s="2"/>
      <c r="F672" s="4"/>
      <c r="J672" s="32"/>
      <c r="K672" s="32"/>
      <c r="L672" s="30"/>
    </row>
    <row r="673" spans="2:12" x14ac:dyDescent="0.25">
      <c r="B673" s="3"/>
      <c r="C673" s="4"/>
      <c r="D673" s="202"/>
      <c r="E673" s="2"/>
      <c r="F673" s="4"/>
      <c r="J673" s="31"/>
      <c r="K673" s="31"/>
      <c r="L673" s="30"/>
    </row>
    <row r="674" spans="2:12" x14ac:dyDescent="0.25">
      <c r="B674" s="3"/>
      <c r="C674" s="4"/>
      <c r="D674" s="202"/>
      <c r="E674" s="2"/>
      <c r="F674" s="4"/>
      <c r="J674" s="32"/>
      <c r="K674" s="32"/>
      <c r="L674" s="30"/>
    </row>
    <row r="675" spans="2:12" x14ac:dyDescent="0.25">
      <c r="B675" s="3"/>
      <c r="C675" s="4"/>
      <c r="D675" s="202"/>
      <c r="E675" s="2"/>
      <c r="F675" s="4"/>
      <c r="J675" s="32"/>
      <c r="K675" s="32"/>
      <c r="L675" s="30"/>
    </row>
    <row r="676" spans="2:12" x14ac:dyDescent="0.25">
      <c r="B676" s="3"/>
      <c r="C676" s="4"/>
      <c r="D676" s="202"/>
      <c r="E676" s="2"/>
      <c r="F676" s="4"/>
      <c r="J676" s="32"/>
      <c r="K676" s="32"/>
      <c r="L676" s="30"/>
    </row>
    <row r="677" spans="2:12" x14ac:dyDescent="0.25">
      <c r="B677" s="3"/>
      <c r="C677" s="4"/>
      <c r="D677" s="202"/>
      <c r="E677" s="2"/>
      <c r="F677" s="4"/>
      <c r="J677" s="32"/>
      <c r="K677" s="32"/>
      <c r="L677" s="30"/>
    </row>
    <row r="678" spans="2:12" x14ac:dyDescent="0.25">
      <c r="B678" s="3"/>
      <c r="C678" s="4"/>
      <c r="D678" s="202"/>
      <c r="E678" s="2"/>
      <c r="F678" s="4"/>
      <c r="J678" s="32"/>
      <c r="K678" s="32"/>
      <c r="L678" s="30"/>
    </row>
    <row r="679" spans="2:12" x14ac:dyDescent="0.25">
      <c r="B679" s="3"/>
      <c r="C679" s="4"/>
      <c r="D679" s="202"/>
      <c r="E679" s="2"/>
      <c r="F679" s="4"/>
      <c r="J679" s="32"/>
      <c r="K679" s="32"/>
      <c r="L679" s="30"/>
    </row>
    <row r="680" spans="2:12" x14ac:dyDescent="0.25">
      <c r="B680" s="3"/>
      <c r="C680" s="4"/>
      <c r="D680" s="202"/>
      <c r="E680" s="2"/>
      <c r="F680" s="4"/>
      <c r="J680" s="32"/>
      <c r="K680" s="32"/>
      <c r="L680" s="30"/>
    </row>
    <row r="681" spans="2:12" x14ac:dyDescent="0.25">
      <c r="B681" s="3"/>
      <c r="C681" s="4"/>
      <c r="D681" s="202"/>
      <c r="E681" s="2"/>
      <c r="F681" s="4"/>
      <c r="J681" s="31"/>
      <c r="L681" s="30"/>
    </row>
    <row r="682" spans="2:12" x14ac:dyDescent="0.25">
      <c r="B682" s="3"/>
      <c r="C682" s="4"/>
      <c r="D682" s="202"/>
      <c r="E682" s="2"/>
      <c r="F682" s="4"/>
      <c r="J682" s="31"/>
      <c r="L682" s="30"/>
    </row>
    <row r="683" spans="2:12" x14ac:dyDescent="0.25">
      <c r="B683" s="3"/>
      <c r="C683" s="4"/>
      <c r="D683" s="202"/>
      <c r="E683" s="2"/>
      <c r="F683" s="4"/>
      <c r="J683" s="31"/>
      <c r="L683" s="30"/>
    </row>
    <row r="684" spans="2:12" x14ac:dyDescent="0.25">
      <c r="B684" s="3"/>
      <c r="C684" s="4"/>
      <c r="D684" s="202"/>
      <c r="E684" s="2"/>
      <c r="F684" s="4"/>
      <c r="J684" s="32"/>
      <c r="L684" s="30"/>
    </row>
    <row r="685" spans="2:12" x14ac:dyDescent="0.25">
      <c r="B685" s="3"/>
      <c r="C685" s="4"/>
      <c r="D685" s="202"/>
      <c r="E685" s="2"/>
      <c r="F685" s="4"/>
      <c r="J685" s="31"/>
      <c r="L685" s="30"/>
    </row>
    <row r="686" spans="2:12" x14ac:dyDescent="0.25">
      <c r="B686" s="3"/>
      <c r="C686" s="4"/>
      <c r="D686" s="202"/>
      <c r="E686" s="2"/>
      <c r="F686" s="4"/>
      <c r="J686" s="31"/>
      <c r="L686" s="30"/>
    </row>
    <row r="687" spans="2:12" x14ac:dyDescent="0.25">
      <c r="B687" s="3"/>
      <c r="C687" s="4"/>
      <c r="D687" s="202"/>
      <c r="E687" s="2"/>
      <c r="F687" s="4"/>
      <c r="J687" s="31"/>
      <c r="L687" s="30"/>
    </row>
    <row r="688" spans="2:12" x14ac:dyDescent="0.25">
      <c r="B688" s="3"/>
      <c r="C688" s="4"/>
      <c r="D688" s="202"/>
      <c r="E688" s="2"/>
      <c r="F688" s="4"/>
      <c r="J688" s="31"/>
      <c r="L688" s="30"/>
    </row>
    <row r="689" spans="2:12" x14ac:dyDescent="0.25">
      <c r="B689" s="3"/>
      <c r="C689" s="4"/>
      <c r="D689" s="202"/>
      <c r="E689" s="2"/>
      <c r="F689" s="4"/>
      <c r="J689" s="31"/>
      <c r="L689" s="30"/>
    </row>
    <row r="690" spans="2:12" x14ac:dyDescent="0.25">
      <c r="B690" s="3"/>
      <c r="C690" s="4"/>
      <c r="D690" s="202"/>
      <c r="E690" s="2"/>
      <c r="F690" s="4"/>
      <c r="J690" s="31"/>
      <c r="L690" s="30"/>
    </row>
    <row r="691" spans="2:12" x14ac:dyDescent="0.25">
      <c r="B691" s="3"/>
      <c r="C691" s="4"/>
      <c r="D691" s="202"/>
      <c r="E691" s="2"/>
      <c r="F691" s="4"/>
      <c r="J691" s="31"/>
      <c r="L691" s="30"/>
    </row>
    <row r="692" spans="2:12" x14ac:dyDescent="0.25">
      <c r="B692" s="3"/>
      <c r="C692" s="4"/>
      <c r="D692" s="202"/>
      <c r="E692" s="2"/>
      <c r="F692" s="4"/>
      <c r="J692" s="31"/>
      <c r="L692" s="30"/>
    </row>
    <row r="693" spans="2:12" x14ac:dyDescent="0.25">
      <c r="B693" s="3"/>
      <c r="C693" s="4"/>
      <c r="D693" s="202"/>
      <c r="E693" s="2"/>
      <c r="F693" s="4"/>
      <c r="J693" s="31"/>
      <c r="L693" s="30"/>
    </row>
    <row r="694" spans="2:12" x14ac:dyDescent="0.25">
      <c r="B694" s="3"/>
      <c r="C694" s="4"/>
      <c r="D694" s="202"/>
      <c r="E694" s="2"/>
      <c r="F694" s="4"/>
      <c r="J694" s="31"/>
      <c r="L694" s="30"/>
    </row>
    <row r="695" spans="2:12" x14ac:dyDescent="0.25">
      <c r="B695" s="3"/>
      <c r="C695" s="4"/>
      <c r="D695" s="202"/>
      <c r="E695" s="2"/>
      <c r="F695" s="4"/>
      <c r="L695" s="30"/>
    </row>
    <row r="696" spans="2:12" x14ac:dyDescent="0.25">
      <c r="B696" s="3"/>
      <c r="C696" s="4"/>
      <c r="D696" s="202"/>
      <c r="E696" s="2"/>
      <c r="F696" s="4"/>
      <c r="L696" s="30"/>
    </row>
    <row r="697" spans="2:12" x14ac:dyDescent="0.25">
      <c r="B697" s="3"/>
      <c r="C697" s="4"/>
      <c r="D697" s="202"/>
      <c r="E697" s="2"/>
      <c r="F697" s="4"/>
      <c r="L697" s="30"/>
    </row>
    <row r="698" spans="2:12" x14ac:dyDescent="0.25">
      <c r="B698" s="3"/>
      <c r="C698" s="4"/>
      <c r="D698" s="202"/>
      <c r="E698" s="2"/>
      <c r="F698" s="4"/>
      <c r="L698" s="30"/>
    </row>
    <row r="699" spans="2:12" x14ac:dyDescent="0.25">
      <c r="B699" s="3"/>
      <c r="C699" s="4"/>
      <c r="D699" s="202"/>
      <c r="E699" s="2"/>
      <c r="F699" s="4"/>
      <c r="L699" s="30"/>
    </row>
    <row r="700" spans="2:12" x14ac:dyDescent="0.25">
      <c r="B700" s="3"/>
      <c r="C700" s="4"/>
      <c r="D700" s="202"/>
      <c r="E700" s="2"/>
      <c r="F700" s="4"/>
      <c r="L700" s="30"/>
    </row>
    <row r="701" spans="2:12" x14ac:dyDescent="0.25">
      <c r="B701" s="3"/>
      <c r="C701" s="4"/>
      <c r="D701" s="202"/>
      <c r="E701" s="2"/>
      <c r="F701" s="4"/>
      <c r="L701" s="30"/>
    </row>
    <row r="702" spans="2:12" x14ac:dyDescent="0.25">
      <c r="B702" s="3"/>
      <c r="C702" s="4"/>
      <c r="D702" s="202"/>
      <c r="E702" s="2"/>
      <c r="F702" s="4"/>
      <c r="L702" s="30"/>
    </row>
    <row r="703" spans="2:12" x14ac:dyDescent="0.25">
      <c r="B703" s="3"/>
      <c r="C703" s="4"/>
      <c r="D703" s="202"/>
      <c r="E703" s="2"/>
      <c r="F703" s="4"/>
      <c r="L703" s="30"/>
    </row>
    <row r="704" spans="2:12" x14ac:dyDescent="0.25">
      <c r="B704" s="3"/>
      <c r="C704" s="4"/>
      <c r="D704" s="202"/>
      <c r="E704" s="2"/>
      <c r="F704" s="4"/>
      <c r="L704" s="30"/>
    </row>
    <row r="705" spans="2:12" x14ac:dyDescent="0.25">
      <c r="B705" s="3"/>
      <c r="C705" s="4"/>
      <c r="D705" s="202"/>
      <c r="E705" s="2"/>
      <c r="F705" s="4"/>
      <c r="L705" s="30"/>
    </row>
    <row r="706" spans="2:12" x14ac:dyDescent="0.25">
      <c r="B706" s="3"/>
      <c r="C706" s="4"/>
      <c r="D706" s="202"/>
      <c r="E706" s="2"/>
      <c r="F706" s="4"/>
      <c r="L706" s="30"/>
    </row>
    <row r="707" spans="2:12" x14ac:dyDescent="0.25">
      <c r="B707" s="3"/>
      <c r="C707" s="4"/>
      <c r="D707" s="202"/>
      <c r="E707" s="2"/>
      <c r="F707" s="4"/>
      <c r="L707" s="30"/>
    </row>
    <row r="708" spans="2:12" x14ac:dyDescent="0.25">
      <c r="B708" s="3"/>
      <c r="C708" s="4"/>
      <c r="D708" s="202"/>
      <c r="E708" s="2"/>
      <c r="F708" s="4"/>
      <c r="L708" s="30"/>
    </row>
    <row r="709" spans="2:12" x14ac:dyDescent="0.25">
      <c r="B709" s="3"/>
      <c r="C709" s="4"/>
      <c r="D709" s="202"/>
      <c r="E709" s="2"/>
      <c r="F709" s="4"/>
      <c r="L709" s="30"/>
    </row>
    <row r="710" spans="2:12" x14ac:dyDescent="0.25">
      <c r="B710" s="3"/>
      <c r="C710" s="4"/>
      <c r="D710" s="202"/>
      <c r="E710" s="2"/>
      <c r="F710" s="4"/>
      <c r="L710" s="30"/>
    </row>
    <row r="711" spans="2:12" x14ac:dyDescent="0.25">
      <c r="B711" s="3"/>
      <c r="C711" s="4"/>
      <c r="D711" s="202"/>
      <c r="E711" s="2"/>
      <c r="F711" s="4"/>
      <c r="L711" s="30"/>
    </row>
    <row r="712" spans="2:12" x14ac:dyDescent="0.25">
      <c r="B712" s="3"/>
      <c r="C712" s="4"/>
      <c r="D712" s="202"/>
      <c r="E712" s="2"/>
      <c r="F712" s="4"/>
      <c r="L712" s="30"/>
    </row>
    <row r="713" spans="2:12" x14ac:dyDescent="0.25">
      <c r="B713" s="3"/>
      <c r="C713" s="4"/>
      <c r="D713" s="202"/>
      <c r="E713" s="2"/>
      <c r="F713" s="4"/>
      <c r="L713" s="30"/>
    </row>
    <row r="714" spans="2:12" x14ac:dyDescent="0.25">
      <c r="B714" s="3"/>
      <c r="C714" s="4"/>
      <c r="D714" s="202"/>
      <c r="E714" s="2"/>
      <c r="F714" s="4"/>
      <c r="L714" s="30"/>
    </row>
    <row r="715" spans="2:12" x14ac:dyDescent="0.25">
      <c r="B715" s="3"/>
      <c r="C715" s="4"/>
      <c r="D715" s="202"/>
      <c r="E715" s="2"/>
      <c r="F715" s="4"/>
      <c r="L715" s="30"/>
    </row>
    <row r="716" spans="2:12" x14ac:dyDescent="0.25">
      <c r="B716" s="3"/>
      <c r="C716" s="4"/>
      <c r="D716" s="202"/>
      <c r="E716" s="2"/>
      <c r="F716" s="4"/>
      <c r="L716" s="30"/>
    </row>
    <row r="717" spans="2:12" x14ac:dyDescent="0.25">
      <c r="B717" s="3"/>
      <c r="C717" s="4"/>
      <c r="D717" s="202"/>
      <c r="E717" s="2"/>
      <c r="F717" s="4"/>
      <c r="L717" s="30"/>
    </row>
    <row r="718" spans="2:12" x14ac:dyDescent="0.25">
      <c r="B718" s="3"/>
      <c r="C718" s="4"/>
      <c r="D718" s="202"/>
      <c r="E718" s="2"/>
      <c r="F718" s="4"/>
      <c r="L718" s="30"/>
    </row>
    <row r="719" spans="2:12" x14ac:dyDescent="0.25">
      <c r="B719" s="3"/>
      <c r="C719" s="4"/>
      <c r="D719" s="202"/>
      <c r="E719" s="2"/>
      <c r="F719" s="4"/>
      <c r="L719" s="30"/>
    </row>
    <row r="720" spans="2:12" x14ac:dyDescent="0.25">
      <c r="B720" s="3"/>
      <c r="C720" s="4"/>
      <c r="D720" s="202"/>
      <c r="E720" s="2"/>
      <c r="F720" s="4"/>
      <c r="L720" s="30"/>
    </row>
    <row r="721" spans="2:12" x14ac:dyDescent="0.25">
      <c r="B721" s="3"/>
      <c r="C721" s="4"/>
      <c r="D721" s="202"/>
      <c r="E721" s="2"/>
      <c r="F721" s="4"/>
      <c r="L721" s="30"/>
    </row>
    <row r="722" spans="2:12" x14ac:dyDescent="0.25">
      <c r="B722" s="3"/>
      <c r="C722" s="4"/>
      <c r="D722" s="202"/>
      <c r="E722" s="2"/>
      <c r="F722" s="4"/>
      <c r="L722" s="30"/>
    </row>
    <row r="723" spans="2:12" x14ac:dyDescent="0.25">
      <c r="B723" s="3"/>
      <c r="C723" s="4"/>
      <c r="D723" s="202"/>
      <c r="E723" s="2"/>
      <c r="F723" s="4"/>
      <c r="L723" s="30"/>
    </row>
    <row r="724" spans="2:12" x14ac:dyDescent="0.25">
      <c r="B724" s="3"/>
      <c r="C724" s="4"/>
      <c r="D724" s="202"/>
      <c r="E724" s="2"/>
      <c r="F724" s="4"/>
      <c r="L724" s="30"/>
    </row>
    <row r="725" spans="2:12" x14ac:dyDescent="0.25">
      <c r="B725" s="3"/>
      <c r="C725" s="4"/>
      <c r="D725" s="202"/>
      <c r="E725" s="2"/>
      <c r="F725" s="4"/>
      <c r="L725" s="30"/>
    </row>
    <row r="726" spans="2:12" x14ac:dyDescent="0.25">
      <c r="B726" s="3"/>
      <c r="C726" s="4"/>
      <c r="D726" s="202"/>
      <c r="E726" s="2"/>
      <c r="F726" s="4"/>
      <c r="L726" s="30"/>
    </row>
    <row r="727" spans="2:12" x14ac:dyDescent="0.25">
      <c r="B727" s="3"/>
      <c r="C727" s="4"/>
      <c r="D727" s="202"/>
      <c r="E727" s="2"/>
      <c r="F727" s="4"/>
      <c r="L727" s="30"/>
    </row>
    <row r="728" spans="2:12" x14ac:dyDescent="0.25">
      <c r="B728" s="3"/>
      <c r="C728" s="4"/>
      <c r="D728" s="202"/>
      <c r="E728" s="2"/>
      <c r="F728" s="4"/>
      <c r="L728" s="30"/>
    </row>
    <row r="729" spans="2:12" x14ac:dyDescent="0.25">
      <c r="B729" s="3"/>
      <c r="C729" s="4"/>
      <c r="D729" s="202"/>
      <c r="E729" s="2"/>
      <c r="F729" s="4"/>
      <c r="L729" s="30"/>
    </row>
    <row r="730" spans="2:12" x14ac:dyDescent="0.25">
      <c r="B730" s="3"/>
      <c r="C730" s="4"/>
      <c r="D730" s="202"/>
      <c r="E730" s="2"/>
      <c r="F730" s="4"/>
      <c r="L730" s="30"/>
    </row>
    <row r="731" spans="2:12" x14ac:dyDescent="0.25">
      <c r="B731" s="3"/>
      <c r="C731" s="4"/>
      <c r="D731" s="202"/>
      <c r="E731" s="2"/>
      <c r="F731" s="4"/>
      <c r="L731" s="30"/>
    </row>
    <row r="732" spans="2:12" x14ac:dyDescent="0.25">
      <c r="B732" s="3"/>
      <c r="C732" s="4"/>
      <c r="D732" s="202"/>
      <c r="E732" s="2"/>
      <c r="F732" s="4"/>
      <c r="L732" s="30"/>
    </row>
    <row r="733" spans="2:12" x14ac:dyDescent="0.25">
      <c r="B733" s="3"/>
      <c r="C733" s="4"/>
      <c r="D733" s="202"/>
      <c r="E733" s="2"/>
      <c r="F733" s="4"/>
      <c r="L733" s="30"/>
    </row>
    <row r="734" spans="2:12" x14ac:dyDescent="0.25">
      <c r="B734" s="3"/>
      <c r="C734" s="4"/>
      <c r="D734" s="202"/>
      <c r="E734" s="2"/>
      <c r="F734" s="4"/>
      <c r="L734" s="30"/>
    </row>
    <row r="735" spans="2:12" x14ac:dyDescent="0.25">
      <c r="B735" s="3"/>
      <c r="C735" s="4"/>
      <c r="D735" s="202"/>
      <c r="E735" s="2"/>
      <c r="F735" s="4"/>
      <c r="L735" s="30"/>
    </row>
    <row r="736" spans="2:12" x14ac:dyDescent="0.25">
      <c r="B736" s="3"/>
      <c r="C736" s="4"/>
      <c r="D736" s="202"/>
      <c r="E736" s="2"/>
      <c r="F736" s="4"/>
      <c r="L736" s="30"/>
    </row>
    <row r="737" spans="2:12" x14ac:dyDescent="0.25">
      <c r="B737" s="3"/>
      <c r="C737" s="4"/>
      <c r="D737" s="202"/>
      <c r="E737" s="2"/>
      <c r="F737" s="4"/>
      <c r="L737" s="30"/>
    </row>
    <row r="738" spans="2:12" x14ac:dyDescent="0.25">
      <c r="B738" s="3"/>
      <c r="C738" s="4"/>
      <c r="D738" s="202"/>
      <c r="E738" s="2"/>
      <c r="F738" s="4"/>
      <c r="L738" s="30"/>
    </row>
    <row r="739" spans="2:12" x14ac:dyDescent="0.25">
      <c r="B739" s="3"/>
      <c r="C739" s="4"/>
      <c r="D739" s="202"/>
      <c r="E739" s="2"/>
      <c r="F739" s="4"/>
      <c r="L739" s="30"/>
    </row>
    <row r="740" spans="2:12" x14ac:dyDescent="0.25">
      <c r="B740" s="3"/>
      <c r="C740" s="4"/>
      <c r="D740" s="202"/>
      <c r="E740" s="2"/>
      <c r="F740" s="4"/>
      <c r="L740" s="30"/>
    </row>
    <row r="741" spans="2:12" x14ac:dyDescent="0.25">
      <c r="B741" s="3"/>
      <c r="C741" s="4"/>
      <c r="D741" s="202"/>
      <c r="E741" s="2"/>
      <c r="F741" s="4"/>
      <c r="L741" s="30"/>
    </row>
    <row r="742" spans="2:12" x14ac:dyDescent="0.25">
      <c r="B742" s="3"/>
      <c r="C742" s="4"/>
      <c r="D742" s="202"/>
      <c r="E742" s="2"/>
      <c r="F742" s="4"/>
      <c r="L742" s="30"/>
    </row>
    <row r="743" spans="2:12" x14ac:dyDescent="0.25">
      <c r="B743" s="3"/>
      <c r="C743" s="4"/>
      <c r="D743" s="202"/>
      <c r="E743" s="2"/>
      <c r="F743" s="4"/>
      <c r="L743" s="30"/>
    </row>
    <row r="744" spans="2:12" x14ac:dyDescent="0.25">
      <c r="B744" s="3"/>
      <c r="C744" s="4"/>
      <c r="D744" s="202"/>
      <c r="E744" s="2"/>
      <c r="F744" s="4"/>
      <c r="L744" s="30"/>
    </row>
    <row r="745" spans="2:12" x14ac:dyDescent="0.25">
      <c r="B745" s="3"/>
      <c r="C745" s="4"/>
      <c r="D745" s="202"/>
      <c r="E745" s="2"/>
      <c r="F745" s="4"/>
      <c r="L745" s="30"/>
    </row>
    <row r="746" spans="2:12" x14ac:dyDescent="0.25">
      <c r="B746" s="3"/>
      <c r="C746" s="4"/>
      <c r="D746" s="202"/>
      <c r="E746" s="2"/>
      <c r="F746" s="4"/>
      <c r="L746" s="30"/>
    </row>
    <row r="747" spans="2:12" x14ac:dyDescent="0.25">
      <c r="B747" s="3"/>
      <c r="C747" s="4"/>
      <c r="D747" s="202"/>
      <c r="E747" s="2"/>
      <c r="F747" s="4"/>
      <c r="L747" s="30"/>
    </row>
    <row r="748" spans="2:12" x14ac:dyDescent="0.25">
      <c r="B748" s="3"/>
      <c r="C748" s="4"/>
      <c r="D748" s="202"/>
      <c r="E748" s="2"/>
      <c r="F748" s="4"/>
      <c r="L748" s="30"/>
    </row>
    <row r="749" spans="2:12" x14ac:dyDescent="0.25">
      <c r="B749" s="3"/>
      <c r="C749" s="4"/>
      <c r="D749" s="202"/>
      <c r="E749" s="2"/>
      <c r="F749" s="4"/>
      <c r="L749" s="30"/>
    </row>
    <row r="750" spans="2:12" x14ac:dyDescent="0.25">
      <c r="B750" s="3"/>
      <c r="C750" s="4"/>
      <c r="D750" s="202"/>
      <c r="E750" s="2"/>
      <c r="F750" s="4"/>
      <c r="L750" s="30"/>
    </row>
    <row r="751" spans="2:12" x14ac:dyDescent="0.25">
      <c r="B751" s="3"/>
      <c r="C751" s="4"/>
      <c r="D751" s="202"/>
      <c r="E751" s="2"/>
      <c r="F751" s="4"/>
      <c r="L751" s="30"/>
    </row>
    <row r="752" spans="2:12" x14ac:dyDescent="0.25">
      <c r="B752" s="3"/>
      <c r="C752" s="4"/>
      <c r="D752" s="202"/>
      <c r="E752" s="2"/>
      <c r="F752" s="4"/>
      <c r="L752" s="30"/>
    </row>
    <row r="753" spans="2:12" x14ac:dyDescent="0.25">
      <c r="B753" s="3"/>
      <c r="C753" s="4"/>
      <c r="D753" s="202"/>
      <c r="E753" s="2"/>
      <c r="F753" s="4"/>
      <c r="L753" s="30"/>
    </row>
    <row r="754" spans="2:12" x14ac:dyDescent="0.25">
      <c r="B754" s="3"/>
      <c r="C754" s="4"/>
      <c r="D754" s="202"/>
      <c r="E754" s="2"/>
      <c r="F754" s="4"/>
      <c r="L754" s="30"/>
    </row>
    <row r="755" spans="2:12" x14ac:dyDescent="0.25">
      <c r="B755" s="3"/>
      <c r="C755" s="4"/>
      <c r="D755" s="202"/>
      <c r="E755" s="2"/>
      <c r="F755" s="4"/>
      <c r="L755" s="30"/>
    </row>
    <row r="756" spans="2:12" x14ac:dyDescent="0.25">
      <c r="B756" s="3"/>
      <c r="C756" s="4"/>
      <c r="D756" s="202"/>
      <c r="E756" s="2"/>
      <c r="F756" s="4"/>
      <c r="L756" s="30"/>
    </row>
    <row r="757" spans="2:12" x14ac:dyDescent="0.25">
      <c r="C757" s="4"/>
      <c r="E757" s="2"/>
      <c r="F757" s="4"/>
    </row>
    <row r="758" spans="2:12" x14ac:dyDescent="0.25">
      <c r="C758" s="4"/>
      <c r="E758" s="2"/>
      <c r="F758" s="4"/>
    </row>
    <row r="759" spans="2:12" x14ac:dyDescent="0.25">
      <c r="C759" s="4"/>
      <c r="E759" s="2"/>
      <c r="F759" s="4"/>
    </row>
    <row r="760" spans="2:12" x14ac:dyDescent="0.25">
      <c r="C760" s="4"/>
      <c r="E760" s="2"/>
      <c r="F760" s="4"/>
    </row>
    <row r="761" spans="2:12" x14ac:dyDescent="0.25">
      <c r="C761" s="4"/>
      <c r="E761" s="2"/>
      <c r="F761" s="4"/>
    </row>
    <row r="762" spans="2:12" x14ac:dyDescent="0.25">
      <c r="C762" s="4"/>
      <c r="E762" s="2"/>
      <c r="F762" s="4"/>
    </row>
    <row r="763" spans="2:12" x14ac:dyDescent="0.25">
      <c r="C763" s="4"/>
      <c r="E763" s="2"/>
      <c r="F763" s="4"/>
    </row>
    <row r="764" spans="2:12" x14ac:dyDescent="0.25">
      <c r="C764" s="4"/>
      <c r="E764" s="2"/>
      <c r="F764" s="4"/>
    </row>
    <row r="765" spans="2:12" x14ac:dyDescent="0.25">
      <c r="C765" s="4"/>
      <c r="E765" s="2"/>
      <c r="F765" s="4"/>
    </row>
    <row r="766" spans="2:12" x14ac:dyDescent="0.25">
      <c r="C766" s="4"/>
      <c r="E766" s="2"/>
      <c r="F766" s="4"/>
    </row>
    <row r="767" spans="2:12" x14ac:dyDescent="0.25">
      <c r="C767" s="4"/>
      <c r="E767" s="2"/>
      <c r="F767" s="4"/>
    </row>
    <row r="768" spans="2:12" x14ac:dyDescent="0.25">
      <c r="C768" s="4"/>
      <c r="E768" s="2"/>
      <c r="F768" s="4"/>
    </row>
    <row r="769" spans="3:6" x14ac:dyDescent="0.25">
      <c r="C769" s="4"/>
      <c r="E769" s="2"/>
      <c r="F769" s="4"/>
    </row>
    <row r="770" spans="3:6" x14ac:dyDescent="0.25">
      <c r="C770" s="4"/>
      <c r="E770" s="2"/>
      <c r="F770" s="4"/>
    </row>
    <row r="771" spans="3:6" x14ac:dyDescent="0.25">
      <c r="C771" s="4"/>
      <c r="E771" s="2"/>
      <c r="F771" s="4"/>
    </row>
    <row r="772" spans="3:6" x14ac:dyDescent="0.25">
      <c r="C772" s="4"/>
      <c r="E772" s="2"/>
      <c r="F772" s="4"/>
    </row>
    <row r="773" spans="3:6" x14ac:dyDescent="0.25">
      <c r="C773" s="4"/>
      <c r="E773" s="2"/>
      <c r="F773" s="4"/>
    </row>
    <row r="774" spans="3:6" x14ac:dyDescent="0.25">
      <c r="C774" s="4"/>
      <c r="E774" s="2"/>
      <c r="F774" s="4"/>
    </row>
    <row r="775" spans="3:6" x14ac:dyDescent="0.25">
      <c r="C775" s="4"/>
      <c r="E775" s="2"/>
      <c r="F775" s="4"/>
    </row>
    <row r="776" spans="3:6" x14ac:dyDescent="0.25">
      <c r="C776" s="4"/>
      <c r="E776" s="2"/>
      <c r="F776" s="4"/>
    </row>
    <row r="777" spans="3:6" x14ac:dyDescent="0.25">
      <c r="C777" s="4"/>
      <c r="E777" s="2"/>
      <c r="F777" s="4"/>
    </row>
    <row r="778" spans="3:6" x14ac:dyDescent="0.25">
      <c r="C778" s="4"/>
      <c r="E778" s="2"/>
      <c r="F778" s="4"/>
    </row>
    <row r="779" spans="3:6" x14ac:dyDescent="0.25">
      <c r="C779" s="4"/>
      <c r="E779" s="2"/>
      <c r="F779" s="4"/>
    </row>
    <row r="780" spans="3:6" x14ac:dyDescent="0.25">
      <c r="C780" s="4"/>
      <c r="E780" s="2"/>
      <c r="F780" s="4"/>
    </row>
    <row r="781" spans="3:6" x14ac:dyDescent="0.25">
      <c r="C781" s="4"/>
      <c r="E781" s="2"/>
      <c r="F781" s="4"/>
    </row>
    <row r="782" spans="3:6" x14ac:dyDescent="0.25">
      <c r="C782" s="4"/>
      <c r="E782" s="2"/>
      <c r="F782" s="4"/>
    </row>
    <row r="783" spans="3:6" x14ac:dyDescent="0.25">
      <c r="C783" s="4"/>
      <c r="E783" s="2"/>
      <c r="F783" s="4"/>
    </row>
    <row r="784" spans="3:6" x14ac:dyDescent="0.25">
      <c r="C784" s="4"/>
      <c r="E784" s="2"/>
      <c r="F784" s="4"/>
    </row>
    <row r="785" spans="3:6" x14ac:dyDescent="0.25">
      <c r="C785" s="4"/>
      <c r="E785" s="2"/>
      <c r="F785" s="4"/>
    </row>
    <row r="786" spans="3:6" x14ac:dyDescent="0.25">
      <c r="C786" s="4"/>
      <c r="E786" s="2"/>
      <c r="F786" s="4"/>
    </row>
    <row r="787" spans="3:6" x14ac:dyDescent="0.25">
      <c r="C787" s="4"/>
      <c r="E787" s="2"/>
      <c r="F787" s="4"/>
    </row>
    <row r="788" spans="3:6" x14ac:dyDescent="0.25">
      <c r="C788" s="4"/>
      <c r="E788" s="2"/>
      <c r="F788" s="4"/>
    </row>
    <row r="789" spans="3:6" x14ac:dyDescent="0.25">
      <c r="C789" s="4"/>
      <c r="E789" s="2"/>
      <c r="F789" s="4"/>
    </row>
    <row r="790" spans="3:6" x14ac:dyDescent="0.25">
      <c r="C790" s="4"/>
      <c r="E790" s="2"/>
      <c r="F790" s="4"/>
    </row>
    <row r="791" spans="3:6" x14ac:dyDescent="0.25">
      <c r="C791" s="4"/>
      <c r="E791" s="2"/>
      <c r="F791" s="4"/>
    </row>
    <row r="792" spans="3:6" x14ac:dyDescent="0.25">
      <c r="C792" s="4"/>
      <c r="E792" s="2"/>
      <c r="F792" s="4"/>
    </row>
    <row r="793" spans="3:6" x14ac:dyDescent="0.25">
      <c r="C793" s="4"/>
      <c r="E793" s="2"/>
      <c r="F793" s="4"/>
    </row>
    <row r="794" spans="3:6" x14ac:dyDescent="0.25">
      <c r="C794" s="4"/>
      <c r="E794" s="2"/>
      <c r="F794" s="4"/>
    </row>
    <row r="795" spans="3:6" x14ac:dyDescent="0.25">
      <c r="C795" s="4"/>
      <c r="E795" s="2"/>
      <c r="F795" s="4"/>
    </row>
    <row r="796" spans="3:6" x14ac:dyDescent="0.25">
      <c r="C796" s="4"/>
      <c r="E796" s="2"/>
      <c r="F796" s="4"/>
    </row>
    <row r="797" spans="3:6" x14ac:dyDescent="0.25">
      <c r="C797" s="4"/>
      <c r="E797" s="2"/>
      <c r="F797" s="4"/>
    </row>
    <row r="798" spans="3:6" x14ac:dyDescent="0.25">
      <c r="C798" s="4"/>
      <c r="E798" s="2"/>
      <c r="F798" s="4"/>
    </row>
    <row r="799" spans="3:6" x14ac:dyDescent="0.25">
      <c r="C799" s="4"/>
      <c r="E799" s="2"/>
      <c r="F799" s="4"/>
    </row>
    <row r="800" spans="3:6" x14ac:dyDescent="0.25">
      <c r="C800" s="4"/>
      <c r="E800" s="2"/>
      <c r="F800" s="4"/>
    </row>
    <row r="801" spans="3:6" x14ac:dyDescent="0.25">
      <c r="C801" s="4"/>
      <c r="E801" s="2"/>
      <c r="F801" s="4"/>
    </row>
    <row r="802" spans="3:6" x14ac:dyDescent="0.25">
      <c r="C802" s="4"/>
      <c r="E802" s="2"/>
      <c r="F802" s="4"/>
    </row>
    <row r="803" spans="3:6" x14ac:dyDescent="0.25">
      <c r="C803" s="4"/>
      <c r="E803" s="2"/>
      <c r="F803" s="4"/>
    </row>
    <row r="804" spans="3:6" x14ac:dyDescent="0.25">
      <c r="C804" s="4"/>
      <c r="E804" s="2"/>
      <c r="F804" s="4"/>
    </row>
    <row r="805" spans="3:6" x14ac:dyDescent="0.25">
      <c r="C805" s="4"/>
      <c r="E805" s="2"/>
      <c r="F805" s="4"/>
    </row>
    <row r="806" spans="3:6" x14ac:dyDescent="0.25">
      <c r="C806" s="4"/>
      <c r="E806" s="2"/>
      <c r="F806" s="4"/>
    </row>
    <row r="807" spans="3:6" x14ac:dyDescent="0.25">
      <c r="C807" s="4"/>
      <c r="E807" s="2"/>
      <c r="F807" s="4"/>
    </row>
    <row r="808" spans="3:6" x14ac:dyDescent="0.25">
      <c r="C808" s="4"/>
      <c r="E808" s="2"/>
      <c r="F808" s="4"/>
    </row>
    <row r="809" spans="3:6" x14ac:dyDescent="0.25">
      <c r="C809" s="4"/>
      <c r="E809" s="2"/>
      <c r="F809" s="4"/>
    </row>
    <row r="810" spans="3:6" x14ac:dyDescent="0.25">
      <c r="C810" s="4"/>
      <c r="E810" s="2"/>
      <c r="F810" s="4"/>
    </row>
    <row r="811" spans="3:6" x14ac:dyDescent="0.25">
      <c r="C811" s="4"/>
      <c r="E811" s="2"/>
      <c r="F811" s="4"/>
    </row>
    <row r="812" spans="3:6" x14ac:dyDescent="0.25">
      <c r="C812" s="4"/>
      <c r="E812" s="2"/>
      <c r="F812" s="4"/>
    </row>
    <row r="813" spans="3:6" x14ac:dyDescent="0.25">
      <c r="C813" s="4"/>
      <c r="E813" s="2"/>
      <c r="F813" s="4"/>
    </row>
    <row r="814" spans="3:6" x14ac:dyDescent="0.25">
      <c r="C814" s="4"/>
      <c r="E814" s="2"/>
      <c r="F814" s="4"/>
    </row>
    <row r="815" spans="3:6" x14ac:dyDescent="0.25">
      <c r="C815" s="4"/>
      <c r="E815" s="2"/>
      <c r="F815" s="4"/>
    </row>
    <row r="816" spans="3:6" x14ac:dyDescent="0.25">
      <c r="C816" s="4"/>
      <c r="E816" s="2"/>
      <c r="F816" s="4"/>
    </row>
    <row r="817" spans="3:6" x14ac:dyDescent="0.25">
      <c r="C817" s="4"/>
      <c r="E817" s="2"/>
      <c r="F817" s="4"/>
    </row>
    <row r="818" spans="3:6" x14ac:dyDescent="0.25">
      <c r="C818" s="4"/>
      <c r="E818" s="2"/>
      <c r="F818" s="4"/>
    </row>
    <row r="819" spans="3:6" x14ac:dyDescent="0.25">
      <c r="C819" s="4"/>
      <c r="E819" s="2"/>
      <c r="F819" s="4"/>
    </row>
    <row r="820" spans="3:6" x14ac:dyDescent="0.25">
      <c r="C820" s="4"/>
      <c r="E820" s="2"/>
      <c r="F820" s="4"/>
    </row>
    <row r="821" spans="3:6" x14ac:dyDescent="0.25">
      <c r="C821" s="4"/>
      <c r="E821" s="2"/>
      <c r="F821" s="4"/>
    </row>
    <row r="822" spans="3:6" x14ac:dyDescent="0.25">
      <c r="C822" s="4"/>
      <c r="E822" s="2"/>
      <c r="F822" s="4"/>
    </row>
    <row r="823" spans="3:6" x14ac:dyDescent="0.25">
      <c r="C823" s="4"/>
      <c r="E823" s="2"/>
      <c r="F823" s="4"/>
    </row>
    <row r="824" spans="3:6" x14ac:dyDescent="0.25">
      <c r="C824" s="4"/>
      <c r="E824" s="2"/>
      <c r="F824" s="4"/>
    </row>
    <row r="825" spans="3:6" x14ac:dyDescent="0.25">
      <c r="C825" s="4"/>
      <c r="E825" s="2"/>
      <c r="F825" s="4"/>
    </row>
    <row r="826" spans="3:6" x14ac:dyDescent="0.25">
      <c r="C826" s="4"/>
      <c r="E826" s="2"/>
      <c r="F826" s="4"/>
    </row>
    <row r="827" spans="3:6" x14ac:dyDescent="0.25">
      <c r="C827" s="4"/>
      <c r="E827" s="2"/>
      <c r="F827" s="4"/>
    </row>
    <row r="828" spans="3:6" x14ac:dyDescent="0.25">
      <c r="C828" s="4"/>
      <c r="E828" s="2"/>
      <c r="F828" s="4"/>
    </row>
    <row r="829" spans="3:6" x14ac:dyDescent="0.25">
      <c r="C829" s="4"/>
      <c r="E829" s="2"/>
      <c r="F829" s="4"/>
    </row>
    <row r="830" spans="3:6" x14ac:dyDescent="0.25">
      <c r="C830" s="4"/>
      <c r="E830" s="2"/>
      <c r="F830" s="4"/>
    </row>
    <row r="831" spans="3:6" x14ac:dyDescent="0.25">
      <c r="C831" s="4"/>
      <c r="E831" s="2"/>
      <c r="F831" s="4"/>
    </row>
    <row r="832" spans="3:6" x14ac:dyDescent="0.25">
      <c r="C832" s="4"/>
      <c r="E832" s="2"/>
      <c r="F832" s="4"/>
    </row>
    <row r="833" spans="3:6" x14ac:dyDescent="0.25">
      <c r="C833" s="4"/>
      <c r="E833" s="2"/>
      <c r="F833" s="4"/>
    </row>
    <row r="834" spans="3:6" x14ac:dyDescent="0.25">
      <c r="C834" s="4"/>
      <c r="E834" s="2"/>
      <c r="F834" s="4"/>
    </row>
    <row r="835" spans="3:6" x14ac:dyDescent="0.25">
      <c r="C835" s="4"/>
      <c r="E835" s="2"/>
      <c r="F835" s="4"/>
    </row>
    <row r="836" spans="3:6" x14ac:dyDescent="0.25">
      <c r="C836" s="4"/>
      <c r="E836" s="2"/>
      <c r="F836" s="4"/>
    </row>
    <row r="837" spans="3:6" x14ac:dyDescent="0.25">
      <c r="C837" s="4"/>
      <c r="E837" s="2"/>
      <c r="F837" s="4"/>
    </row>
    <row r="838" spans="3:6" x14ac:dyDescent="0.25">
      <c r="C838" s="4"/>
      <c r="E838" s="2"/>
      <c r="F838" s="4"/>
    </row>
    <row r="839" spans="3:6" x14ac:dyDescent="0.25">
      <c r="C839" s="4"/>
      <c r="E839" s="2"/>
      <c r="F839" s="4"/>
    </row>
    <row r="840" spans="3:6" x14ac:dyDescent="0.25">
      <c r="C840" s="4"/>
      <c r="E840" s="2"/>
      <c r="F840" s="4"/>
    </row>
    <row r="841" spans="3:6" x14ac:dyDescent="0.25">
      <c r="C841" s="4"/>
      <c r="E841" s="2"/>
      <c r="F841" s="4"/>
    </row>
    <row r="842" spans="3:6" x14ac:dyDescent="0.25">
      <c r="C842" s="4"/>
      <c r="E842" s="2"/>
      <c r="F842" s="4"/>
    </row>
    <row r="843" spans="3:6" x14ac:dyDescent="0.25">
      <c r="C843" s="4"/>
      <c r="E843" s="2"/>
      <c r="F843" s="4"/>
    </row>
    <row r="844" spans="3:6" x14ac:dyDescent="0.25">
      <c r="C844" s="4"/>
      <c r="E844" s="2"/>
      <c r="F844" s="4"/>
    </row>
    <row r="845" spans="3:6" x14ac:dyDescent="0.25">
      <c r="C845" s="4"/>
      <c r="E845" s="2"/>
      <c r="F845" s="4"/>
    </row>
    <row r="846" spans="3:6" x14ac:dyDescent="0.25">
      <c r="C846" s="4"/>
      <c r="E846" s="2"/>
      <c r="F846" s="4"/>
    </row>
    <row r="847" spans="3:6" x14ac:dyDescent="0.25">
      <c r="C847" s="4"/>
      <c r="E847" s="2"/>
      <c r="F847" s="4"/>
    </row>
    <row r="848" spans="3:6" x14ac:dyDescent="0.25">
      <c r="C848" s="4"/>
      <c r="E848" s="2"/>
      <c r="F848" s="4"/>
    </row>
    <row r="849" spans="3:6" x14ac:dyDescent="0.25">
      <c r="C849" s="4"/>
      <c r="E849" s="2"/>
      <c r="F849" s="4"/>
    </row>
    <row r="850" spans="3:6" x14ac:dyDescent="0.25">
      <c r="C850" s="4"/>
      <c r="E850" s="2"/>
      <c r="F850" s="4"/>
    </row>
    <row r="851" spans="3:6" x14ac:dyDescent="0.25">
      <c r="C851" s="4"/>
      <c r="E851" s="2"/>
      <c r="F851" s="4"/>
    </row>
    <row r="852" spans="3:6" x14ac:dyDescent="0.25">
      <c r="C852" s="4"/>
      <c r="E852" s="2"/>
      <c r="F852" s="4"/>
    </row>
    <row r="853" spans="3:6" x14ac:dyDescent="0.25">
      <c r="C853" s="4"/>
      <c r="E853" s="2"/>
      <c r="F853" s="4"/>
    </row>
    <row r="854" spans="3:6" x14ac:dyDescent="0.25">
      <c r="C854" s="4"/>
      <c r="E854" s="2"/>
      <c r="F854" s="4"/>
    </row>
    <row r="855" spans="3:6" x14ac:dyDescent="0.25">
      <c r="C855" s="4"/>
      <c r="E855" s="2"/>
      <c r="F855" s="4"/>
    </row>
    <row r="856" spans="3:6" x14ac:dyDescent="0.25">
      <c r="C856" s="4"/>
      <c r="E856" s="2"/>
      <c r="F856" s="4"/>
    </row>
    <row r="857" spans="3:6" x14ac:dyDescent="0.25">
      <c r="C857" s="4"/>
      <c r="E857" s="2"/>
      <c r="F857" s="4"/>
    </row>
    <row r="858" spans="3:6" x14ac:dyDescent="0.25">
      <c r="C858" s="4"/>
      <c r="E858" s="2"/>
      <c r="F858" s="4"/>
    </row>
    <row r="859" spans="3:6" x14ac:dyDescent="0.25">
      <c r="C859" s="4"/>
      <c r="E859" s="2"/>
      <c r="F859" s="4"/>
    </row>
    <row r="860" spans="3:6" x14ac:dyDescent="0.25">
      <c r="C860" s="4"/>
      <c r="E860" s="2"/>
      <c r="F860" s="4"/>
    </row>
    <row r="861" spans="3:6" x14ac:dyDescent="0.25">
      <c r="C861" s="4"/>
      <c r="E861" s="2"/>
      <c r="F861" s="4"/>
    </row>
    <row r="862" spans="3:6" x14ac:dyDescent="0.25">
      <c r="C862" s="4"/>
      <c r="E862" s="2"/>
      <c r="F862" s="4"/>
    </row>
    <row r="863" spans="3:6" x14ac:dyDescent="0.25">
      <c r="C863" s="4"/>
      <c r="E863" s="2"/>
      <c r="F863" s="4"/>
    </row>
    <row r="864" spans="3:6" x14ac:dyDescent="0.25">
      <c r="C864" s="4"/>
      <c r="E864" s="2"/>
      <c r="F864" s="4"/>
    </row>
    <row r="865" spans="3:6" x14ac:dyDescent="0.25">
      <c r="C865" s="4"/>
      <c r="E865" s="2"/>
      <c r="F865" s="4"/>
    </row>
    <row r="866" spans="3:6" x14ac:dyDescent="0.25">
      <c r="C866" s="4"/>
      <c r="E866" s="2"/>
      <c r="F866" s="4"/>
    </row>
    <row r="867" spans="3:6" x14ac:dyDescent="0.25">
      <c r="C867" s="4"/>
      <c r="E867" s="2"/>
      <c r="F867" s="4"/>
    </row>
    <row r="868" spans="3:6" x14ac:dyDescent="0.25">
      <c r="C868" s="4"/>
      <c r="E868" s="2"/>
      <c r="F868" s="4"/>
    </row>
    <row r="869" spans="3:6" x14ac:dyDescent="0.25">
      <c r="C869" s="4"/>
      <c r="E869" s="2"/>
      <c r="F869" s="4"/>
    </row>
    <row r="870" spans="3:6" x14ac:dyDescent="0.25">
      <c r="C870" s="4"/>
      <c r="E870" s="2"/>
      <c r="F870" s="4"/>
    </row>
    <row r="871" spans="3:6" x14ac:dyDescent="0.25">
      <c r="C871" s="4"/>
      <c r="E871" s="2"/>
      <c r="F871" s="4"/>
    </row>
    <row r="872" spans="3:6" x14ac:dyDescent="0.25">
      <c r="C872" s="4"/>
      <c r="E872" s="2"/>
      <c r="F872" s="4"/>
    </row>
    <row r="873" spans="3:6" x14ac:dyDescent="0.25">
      <c r="C873" s="4"/>
      <c r="E873" s="2"/>
      <c r="F873" s="4"/>
    </row>
    <row r="874" spans="3:6" x14ac:dyDescent="0.25">
      <c r="C874" s="4"/>
      <c r="E874" s="2"/>
      <c r="F874" s="4"/>
    </row>
    <row r="875" spans="3:6" x14ac:dyDescent="0.25">
      <c r="C875" s="4"/>
      <c r="E875" s="2"/>
      <c r="F875" s="4"/>
    </row>
    <row r="876" spans="3:6" x14ac:dyDescent="0.25">
      <c r="C876" s="4"/>
      <c r="E876" s="2"/>
      <c r="F876" s="4"/>
    </row>
    <row r="877" spans="3:6" x14ac:dyDescent="0.25">
      <c r="C877" s="4"/>
      <c r="E877" s="2"/>
      <c r="F877" s="4"/>
    </row>
    <row r="878" spans="3:6" x14ac:dyDescent="0.25">
      <c r="C878" s="4"/>
      <c r="E878" s="2"/>
      <c r="F878" s="4"/>
    </row>
    <row r="879" spans="3:6" x14ac:dyDescent="0.25">
      <c r="C879" s="4"/>
      <c r="E879" s="2"/>
      <c r="F879" s="4"/>
    </row>
    <row r="880" spans="3:6" x14ac:dyDescent="0.25">
      <c r="C880" s="4"/>
      <c r="E880" s="2"/>
      <c r="F880" s="4"/>
    </row>
    <row r="881" spans="3:6" x14ac:dyDescent="0.25">
      <c r="C881" s="4"/>
      <c r="E881" s="2"/>
      <c r="F881" s="4"/>
    </row>
    <row r="882" spans="3:6" x14ac:dyDescent="0.25">
      <c r="C882" s="4"/>
      <c r="E882" s="2"/>
      <c r="F882" s="4"/>
    </row>
    <row r="883" spans="3:6" x14ac:dyDescent="0.25">
      <c r="C883" s="4"/>
      <c r="E883" s="2"/>
      <c r="F883" s="4"/>
    </row>
    <row r="884" spans="3:6" x14ac:dyDescent="0.25">
      <c r="C884" s="4"/>
      <c r="E884" s="2"/>
      <c r="F884" s="4"/>
    </row>
    <row r="885" spans="3:6" x14ac:dyDescent="0.25">
      <c r="C885" s="4"/>
      <c r="E885" s="2"/>
      <c r="F885" s="4"/>
    </row>
    <row r="886" spans="3:6" x14ac:dyDescent="0.25">
      <c r="C886" s="4"/>
      <c r="E886" s="2"/>
      <c r="F886" s="4"/>
    </row>
    <row r="887" spans="3:6" x14ac:dyDescent="0.25">
      <c r="C887" s="4"/>
      <c r="E887" s="2"/>
      <c r="F887" s="4"/>
    </row>
    <row r="888" spans="3:6" x14ac:dyDescent="0.25">
      <c r="C888" s="4"/>
      <c r="E888" s="2"/>
      <c r="F888" s="4"/>
    </row>
    <row r="889" spans="3:6" x14ac:dyDescent="0.25">
      <c r="C889" s="4"/>
      <c r="E889" s="2"/>
      <c r="F889" s="4"/>
    </row>
    <row r="890" spans="3:6" x14ac:dyDescent="0.25">
      <c r="C890" s="4"/>
      <c r="E890" s="2"/>
      <c r="F890" s="4"/>
    </row>
    <row r="891" spans="3:6" x14ac:dyDescent="0.25">
      <c r="C891" s="4"/>
      <c r="E891" s="2"/>
      <c r="F891" s="4"/>
    </row>
    <row r="892" spans="3:6" x14ac:dyDescent="0.25">
      <c r="C892" s="4"/>
      <c r="E892" s="2"/>
      <c r="F892" s="4"/>
    </row>
    <row r="893" spans="3:6" x14ac:dyDescent="0.25">
      <c r="C893" s="4"/>
      <c r="E893" s="2"/>
      <c r="F893" s="4"/>
    </row>
    <row r="894" spans="3:6" x14ac:dyDescent="0.25">
      <c r="C894" s="4"/>
      <c r="E894" s="2"/>
      <c r="F894" s="4"/>
    </row>
    <row r="895" spans="3:6" x14ac:dyDescent="0.25">
      <c r="C895" s="4"/>
      <c r="E895" s="2"/>
      <c r="F895" s="4"/>
    </row>
    <row r="896" spans="3:6" x14ac:dyDescent="0.25">
      <c r="C896" s="4"/>
      <c r="E896" s="2"/>
      <c r="F896" s="4"/>
    </row>
    <row r="897" spans="3:6" x14ac:dyDescent="0.25">
      <c r="C897" s="4"/>
      <c r="E897" s="2"/>
      <c r="F897" s="4"/>
    </row>
    <row r="898" spans="3:6" x14ac:dyDescent="0.25">
      <c r="C898" s="4"/>
      <c r="E898" s="2"/>
      <c r="F898" s="4"/>
    </row>
    <row r="899" spans="3:6" x14ac:dyDescent="0.25">
      <c r="C899" s="4"/>
      <c r="E899" s="2"/>
      <c r="F899" s="4"/>
    </row>
    <row r="900" spans="3:6" x14ac:dyDescent="0.25">
      <c r="C900" s="4"/>
      <c r="E900" s="2"/>
      <c r="F900" s="4"/>
    </row>
    <row r="901" spans="3:6" x14ac:dyDescent="0.25">
      <c r="C901" s="4"/>
      <c r="E901" s="2"/>
      <c r="F901" s="4"/>
    </row>
    <row r="902" spans="3:6" x14ac:dyDescent="0.25">
      <c r="C902" s="4"/>
      <c r="E902" s="2"/>
      <c r="F902" s="4"/>
    </row>
    <row r="903" spans="3:6" x14ac:dyDescent="0.25">
      <c r="C903" s="4"/>
      <c r="E903" s="2"/>
      <c r="F903" s="4"/>
    </row>
    <row r="904" spans="3:6" x14ac:dyDescent="0.25">
      <c r="C904" s="4"/>
      <c r="E904" s="2"/>
      <c r="F904" s="4"/>
    </row>
    <row r="905" spans="3:6" x14ac:dyDescent="0.25">
      <c r="C905" s="4"/>
      <c r="E905" s="2"/>
      <c r="F905" s="4"/>
    </row>
    <row r="906" spans="3:6" x14ac:dyDescent="0.25">
      <c r="C906" s="4"/>
      <c r="E906" s="2"/>
      <c r="F906" s="4"/>
    </row>
    <row r="907" spans="3:6" x14ac:dyDescent="0.25">
      <c r="C907" s="4"/>
      <c r="E907" s="2"/>
      <c r="F907" s="4"/>
    </row>
    <row r="908" spans="3:6" x14ac:dyDescent="0.25">
      <c r="C908" s="4"/>
      <c r="E908" s="2"/>
      <c r="F908" s="4"/>
    </row>
    <row r="909" spans="3:6" x14ac:dyDescent="0.25">
      <c r="C909" s="4"/>
      <c r="E909" s="2"/>
      <c r="F909" s="4"/>
    </row>
    <row r="910" spans="3:6" x14ac:dyDescent="0.25">
      <c r="C910" s="4"/>
      <c r="E910" s="2"/>
      <c r="F910" s="4"/>
    </row>
    <row r="911" spans="3:6" x14ac:dyDescent="0.25">
      <c r="C911" s="4"/>
      <c r="E911" s="2"/>
      <c r="F911" s="4"/>
    </row>
    <row r="912" spans="3:6" x14ac:dyDescent="0.25">
      <c r="C912" s="4"/>
      <c r="E912" s="2"/>
      <c r="F912" s="4"/>
    </row>
    <row r="913" spans="3:6" x14ac:dyDescent="0.25">
      <c r="C913" s="4"/>
      <c r="E913" s="2"/>
      <c r="F913" s="4"/>
    </row>
    <row r="914" spans="3:6" x14ac:dyDescent="0.25">
      <c r="C914" s="4"/>
      <c r="E914" s="2"/>
      <c r="F914" s="4"/>
    </row>
    <row r="915" spans="3:6" x14ac:dyDescent="0.25">
      <c r="C915" s="4"/>
      <c r="E915" s="2"/>
      <c r="F915" s="4"/>
    </row>
    <row r="916" spans="3:6" x14ac:dyDescent="0.25">
      <c r="C916" s="4"/>
      <c r="E916" s="2"/>
      <c r="F916" s="4"/>
    </row>
    <row r="917" spans="3:6" x14ac:dyDescent="0.25">
      <c r="C917" s="4"/>
      <c r="E917" s="2"/>
      <c r="F917" s="4"/>
    </row>
    <row r="918" spans="3:6" x14ac:dyDescent="0.25">
      <c r="C918" s="4"/>
      <c r="E918" s="2"/>
      <c r="F918" s="4"/>
    </row>
    <row r="919" spans="3:6" x14ac:dyDescent="0.25">
      <c r="C919" s="4"/>
      <c r="E919" s="2"/>
      <c r="F919" s="4"/>
    </row>
    <row r="920" spans="3:6" x14ac:dyDescent="0.25">
      <c r="C920" s="4"/>
      <c r="E920" s="2"/>
      <c r="F920" s="4"/>
    </row>
    <row r="921" spans="3:6" x14ac:dyDescent="0.25">
      <c r="C921" s="4"/>
      <c r="E921" s="2"/>
      <c r="F921" s="4"/>
    </row>
    <row r="922" spans="3:6" x14ac:dyDescent="0.25">
      <c r="C922" s="4"/>
      <c r="E922" s="2"/>
      <c r="F922" s="4"/>
    </row>
    <row r="923" spans="3:6" x14ac:dyDescent="0.25">
      <c r="C923" s="4"/>
      <c r="E923" s="2"/>
      <c r="F923" s="4"/>
    </row>
    <row r="924" spans="3:6" x14ac:dyDescent="0.25">
      <c r="C924" s="4"/>
      <c r="E924" s="2"/>
      <c r="F924" s="4"/>
    </row>
    <row r="925" spans="3:6" x14ac:dyDescent="0.25">
      <c r="C925" s="4"/>
      <c r="E925" s="2"/>
      <c r="F925" s="4"/>
    </row>
    <row r="926" spans="3:6" x14ac:dyDescent="0.25">
      <c r="C926" s="4"/>
      <c r="E926" s="2"/>
      <c r="F926" s="4"/>
    </row>
    <row r="927" spans="3:6" x14ac:dyDescent="0.25">
      <c r="C927" s="4"/>
      <c r="E927" s="2"/>
      <c r="F927" s="4"/>
    </row>
    <row r="928" spans="3:6" x14ac:dyDescent="0.25">
      <c r="C928" s="4"/>
      <c r="E928" s="2"/>
      <c r="F928" s="4"/>
    </row>
    <row r="929" spans="3:6" x14ac:dyDescent="0.25">
      <c r="C929" s="4"/>
      <c r="E929" s="2"/>
      <c r="F929" s="4"/>
    </row>
    <row r="930" spans="3:6" x14ac:dyDescent="0.25">
      <c r="C930" s="4"/>
      <c r="E930" s="2"/>
      <c r="F930" s="4"/>
    </row>
    <row r="931" spans="3:6" x14ac:dyDescent="0.25">
      <c r="C931" s="4"/>
      <c r="E931" s="2"/>
      <c r="F931" s="4"/>
    </row>
    <row r="932" spans="3:6" x14ac:dyDescent="0.25">
      <c r="C932" s="4"/>
      <c r="E932" s="2"/>
      <c r="F932" s="4"/>
    </row>
    <row r="933" spans="3:6" x14ac:dyDescent="0.25">
      <c r="C933" s="4"/>
      <c r="E933" s="2"/>
      <c r="F933" s="4"/>
    </row>
    <row r="934" spans="3:6" x14ac:dyDescent="0.25">
      <c r="C934" s="4"/>
      <c r="E934" s="2"/>
      <c r="F934" s="4"/>
    </row>
    <row r="935" spans="3:6" x14ac:dyDescent="0.25">
      <c r="C935" s="4"/>
      <c r="E935" s="2"/>
      <c r="F935" s="4"/>
    </row>
    <row r="936" spans="3:6" x14ac:dyDescent="0.25">
      <c r="C936" s="4"/>
      <c r="E936" s="2"/>
      <c r="F936" s="4"/>
    </row>
    <row r="937" spans="3:6" x14ac:dyDescent="0.25">
      <c r="C937" s="4"/>
      <c r="E937" s="2"/>
      <c r="F937" s="4"/>
    </row>
    <row r="938" spans="3:6" x14ac:dyDescent="0.25">
      <c r="C938" s="4"/>
      <c r="E938" s="2"/>
      <c r="F938" s="4"/>
    </row>
    <row r="939" spans="3:6" x14ac:dyDescent="0.25">
      <c r="C939" s="4"/>
      <c r="E939" s="2"/>
      <c r="F939" s="4"/>
    </row>
    <row r="940" spans="3:6" x14ac:dyDescent="0.25">
      <c r="C940" s="4"/>
      <c r="E940" s="2"/>
      <c r="F940" s="4"/>
    </row>
    <row r="941" spans="3:6" x14ac:dyDescent="0.25">
      <c r="C941" s="4"/>
      <c r="E941" s="2"/>
      <c r="F941" s="4"/>
    </row>
    <row r="942" spans="3:6" x14ac:dyDescent="0.25">
      <c r="C942" s="4"/>
      <c r="E942" s="2"/>
      <c r="F942" s="4"/>
    </row>
    <row r="943" spans="3:6" x14ac:dyDescent="0.25">
      <c r="C943" s="4"/>
      <c r="E943" s="2"/>
      <c r="F943" s="4"/>
    </row>
    <row r="944" spans="3:6" x14ac:dyDescent="0.25">
      <c r="C944" s="4"/>
      <c r="E944" s="2"/>
      <c r="F944" s="4"/>
    </row>
    <row r="945" spans="3:6" x14ac:dyDescent="0.25">
      <c r="C945" s="4"/>
      <c r="E945" s="2"/>
      <c r="F945" s="4"/>
    </row>
    <row r="946" spans="3:6" x14ac:dyDescent="0.25">
      <c r="C946" s="4"/>
      <c r="E946" s="2"/>
      <c r="F946" s="4"/>
    </row>
    <row r="947" spans="3:6" x14ac:dyDescent="0.25">
      <c r="C947" s="4"/>
      <c r="E947" s="2"/>
      <c r="F947" s="4"/>
    </row>
    <row r="948" spans="3:6" x14ac:dyDescent="0.25">
      <c r="C948" s="4"/>
      <c r="E948" s="2"/>
      <c r="F948" s="4"/>
    </row>
    <row r="949" spans="3:6" x14ac:dyDescent="0.25">
      <c r="C949" s="4"/>
      <c r="E949" s="2"/>
      <c r="F949" s="4"/>
    </row>
    <row r="950" spans="3:6" x14ac:dyDescent="0.25">
      <c r="C950" s="4"/>
      <c r="E950" s="2"/>
      <c r="F950" s="4"/>
    </row>
    <row r="951" spans="3:6" x14ac:dyDescent="0.25">
      <c r="C951" s="4"/>
      <c r="E951" s="2"/>
      <c r="F951" s="4"/>
    </row>
    <row r="952" spans="3:6" x14ac:dyDescent="0.25">
      <c r="C952" s="4"/>
      <c r="E952" s="2"/>
      <c r="F952" s="4"/>
    </row>
    <row r="953" spans="3:6" x14ac:dyDescent="0.25">
      <c r="C953" s="4"/>
      <c r="E953" s="2"/>
      <c r="F953" s="4"/>
    </row>
    <row r="954" spans="3:6" x14ac:dyDescent="0.25">
      <c r="C954" s="4"/>
      <c r="E954" s="2"/>
      <c r="F954" s="4"/>
    </row>
    <row r="955" spans="3:6" x14ac:dyDescent="0.25">
      <c r="C955" s="4"/>
      <c r="E955" s="2"/>
      <c r="F955" s="4"/>
    </row>
    <row r="956" spans="3:6" x14ac:dyDescent="0.25">
      <c r="C956" s="4"/>
      <c r="E956" s="2"/>
      <c r="F956" s="4"/>
    </row>
    <row r="957" spans="3:6" x14ac:dyDescent="0.25">
      <c r="C957" s="4"/>
      <c r="E957" s="2"/>
      <c r="F957" s="4"/>
    </row>
    <row r="958" spans="3:6" x14ac:dyDescent="0.25">
      <c r="C958" s="4"/>
      <c r="E958" s="2"/>
      <c r="F958" s="4"/>
    </row>
    <row r="959" spans="3:6" x14ac:dyDescent="0.25">
      <c r="C959" s="4"/>
      <c r="E959" s="2"/>
      <c r="F959" s="4"/>
    </row>
    <row r="960" spans="3:6" x14ac:dyDescent="0.25">
      <c r="C960" s="4"/>
      <c r="E960" s="2"/>
      <c r="F960" s="4"/>
    </row>
    <row r="961" spans="3:6" x14ac:dyDescent="0.25">
      <c r="C961" s="4"/>
      <c r="E961" s="2"/>
      <c r="F961" s="4"/>
    </row>
    <row r="962" spans="3:6" x14ac:dyDescent="0.25">
      <c r="C962" s="4"/>
      <c r="E962" s="2"/>
      <c r="F962" s="4"/>
    </row>
    <row r="963" spans="3:6" x14ac:dyDescent="0.25">
      <c r="C963" s="4"/>
      <c r="E963" s="2"/>
      <c r="F963" s="4"/>
    </row>
    <row r="964" spans="3:6" x14ac:dyDescent="0.25">
      <c r="C964" s="4"/>
      <c r="E964" s="2"/>
      <c r="F964" s="4"/>
    </row>
    <row r="965" spans="3:6" x14ac:dyDescent="0.25">
      <c r="C965" s="4"/>
      <c r="E965" s="2"/>
      <c r="F965" s="4"/>
    </row>
    <row r="966" spans="3:6" x14ac:dyDescent="0.25">
      <c r="C966" s="4"/>
      <c r="E966" s="2"/>
      <c r="F966" s="4"/>
    </row>
    <row r="967" spans="3:6" x14ac:dyDescent="0.25">
      <c r="C967" s="4"/>
      <c r="E967" s="2"/>
      <c r="F967" s="4"/>
    </row>
    <row r="968" spans="3:6" x14ac:dyDescent="0.25">
      <c r="C968" s="4"/>
      <c r="E968" s="2"/>
      <c r="F968" s="4"/>
    </row>
    <row r="969" spans="3:6" x14ac:dyDescent="0.25">
      <c r="C969" s="4"/>
      <c r="E969" s="2"/>
      <c r="F969" s="4"/>
    </row>
    <row r="970" spans="3:6" x14ac:dyDescent="0.25">
      <c r="C970" s="4"/>
      <c r="E970" s="2"/>
      <c r="F970" s="4"/>
    </row>
    <row r="971" spans="3:6" x14ac:dyDescent="0.25">
      <c r="C971" s="4"/>
      <c r="E971" s="2"/>
      <c r="F971" s="4"/>
    </row>
    <row r="972" spans="3:6" x14ac:dyDescent="0.25">
      <c r="C972" s="4"/>
      <c r="E972" s="2"/>
      <c r="F972" s="4"/>
    </row>
    <row r="973" spans="3:6" x14ac:dyDescent="0.25">
      <c r="C973" s="4"/>
      <c r="E973" s="2"/>
      <c r="F973" s="4"/>
    </row>
    <row r="974" spans="3:6" x14ac:dyDescent="0.25">
      <c r="C974" s="4"/>
      <c r="E974" s="2"/>
      <c r="F974" s="4"/>
    </row>
    <row r="975" spans="3:6" x14ac:dyDescent="0.25">
      <c r="C975" s="4"/>
      <c r="E975" s="2"/>
      <c r="F975" s="4"/>
    </row>
    <row r="976" spans="3:6" x14ac:dyDescent="0.25">
      <c r="C976" s="4"/>
      <c r="E976" s="2"/>
      <c r="F976" s="4"/>
    </row>
    <row r="977" spans="3:6" x14ac:dyDescent="0.25">
      <c r="C977" s="4"/>
      <c r="E977" s="2"/>
      <c r="F977" s="4"/>
    </row>
    <row r="978" spans="3:6" x14ac:dyDescent="0.25">
      <c r="C978" s="4"/>
      <c r="E978" s="2"/>
      <c r="F978" s="4"/>
    </row>
    <row r="979" spans="3:6" x14ac:dyDescent="0.25">
      <c r="C979" s="4"/>
      <c r="E979" s="2"/>
      <c r="F979" s="4"/>
    </row>
    <row r="980" spans="3:6" x14ac:dyDescent="0.25">
      <c r="C980" s="4"/>
      <c r="E980" s="2"/>
      <c r="F980" s="4"/>
    </row>
    <row r="981" spans="3:6" x14ac:dyDescent="0.25">
      <c r="C981" s="4"/>
      <c r="E981" s="2"/>
      <c r="F981" s="4"/>
    </row>
    <row r="982" spans="3:6" x14ac:dyDescent="0.25">
      <c r="C982" s="4"/>
      <c r="E982" s="2"/>
      <c r="F982" s="4"/>
    </row>
    <row r="983" spans="3:6" x14ac:dyDescent="0.25">
      <c r="C983" s="4"/>
      <c r="E983" s="2"/>
      <c r="F983" s="4"/>
    </row>
    <row r="984" spans="3:6" x14ac:dyDescent="0.25">
      <c r="C984" s="4"/>
      <c r="E984" s="2"/>
      <c r="F984" s="4"/>
    </row>
    <row r="985" spans="3:6" x14ac:dyDescent="0.25">
      <c r="C985" s="4"/>
      <c r="E985" s="2"/>
      <c r="F985" s="4"/>
    </row>
    <row r="986" spans="3:6" x14ac:dyDescent="0.25">
      <c r="C986" s="4"/>
      <c r="E986" s="2"/>
      <c r="F986" s="4"/>
    </row>
    <row r="987" spans="3:6" x14ac:dyDescent="0.25">
      <c r="C987" s="4"/>
      <c r="E987" s="2"/>
      <c r="F987" s="4"/>
    </row>
    <row r="988" spans="3:6" x14ac:dyDescent="0.25">
      <c r="C988" s="4"/>
      <c r="E988" s="2"/>
      <c r="F988" s="4"/>
    </row>
    <row r="989" spans="3:6" x14ac:dyDescent="0.25">
      <c r="C989" s="4"/>
      <c r="E989" s="2"/>
      <c r="F989" s="4"/>
    </row>
    <row r="990" spans="3:6" x14ac:dyDescent="0.25">
      <c r="C990" s="4"/>
      <c r="E990" s="2"/>
      <c r="F990" s="4"/>
    </row>
    <row r="991" spans="3:6" x14ac:dyDescent="0.25">
      <c r="C991" s="4"/>
      <c r="E991" s="2"/>
      <c r="F991" s="4"/>
    </row>
    <row r="992" spans="3:6" x14ac:dyDescent="0.25">
      <c r="C992" s="4"/>
      <c r="E992" s="2"/>
      <c r="F992" s="4"/>
    </row>
    <row r="993" spans="3:6" x14ac:dyDescent="0.25">
      <c r="C993" s="4"/>
      <c r="E993" s="2"/>
      <c r="F993" s="4"/>
    </row>
    <row r="994" spans="3:6" x14ac:dyDescent="0.25">
      <c r="C994" s="4"/>
      <c r="E994" s="2"/>
      <c r="F994" s="4"/>
    </row>
    <row r="995" spans="3:6" x14ac:dyDescent="0.25">
      <c r="C995" s="4"/>
      <c r="E995" s="2"/>
      <c r="F995" s="4"/>
    </row>
    <row r="996" spans="3:6" x14ac:dyDescent="0.25">
      <c r="C996" s="4"/>
      <c r="E996" s="2"/>
      <c r="F996" s="4"/>
    </row>
    <row r="997" spans="3:6" x14ac:dyDescent="0.25">
      <c r="C997" s="4"/>
      <c r="E997" s="2"/>
      <c r="F997" s="4"/>
    </row>
    <row r="998" spans="3:6" x14ac:dyDescent="0.25">
      <c r="C998" s="4"/>
      <c r="E998" s="2"/>
      <c r="F998" s="4"/>
    </row>
    <row r="999" spans="3:6" x14ac:dyDescent="0.25">
      <c r="C999" s="4"/>
      <c r="E999" s="2"/>
      <c r="F999" s="4"/>
    </row>
    <row r="1000" spans="3:6" x14ac:dyDescent="0.25">
      <c r="C1000" s="4"/>
      <c r="E1000" s="2"/>
      <c r="F1000" s="4"/>
    </row>
    <row r="1001" spans="3:6" x14ac:dyDescent="0.25">
      <c r="C1001" s="4"/>
      <c r="E1001" s="2"/>
      <c r="F1001" s="4"/>
    </row>
    <row r="1002" spans="3:6" x14ac:dyDescent="0.25">
      <c r="C1002" s="4"/>
      <c r="E1002" s="2"/>
      <c r="F1002" s="4"/>
    </row>
    <row r="1003" spans="3:6" x14ac:dyDescent="0.25">
      <c r="C1003" s="4"/>
      <c r="E1003" s="2"/>
      <c r="F1003" s="4"/>
    </row>
    <row r="1004" spans="3:6" x14ac:dyDescent="0.25">
      <c r="C1004" s="4"/>
      <c r="E1004" s="2"/>
      <c r="F1004" s="4"/>
    </row>
    <row r="1005" spans="3:6" x14ac:dyDescent="0.25">
      <c r="C1005" s="4"/>
      <c r="E1005" s="2"/>
      <c r="F1005" s="4"/>
    </row>
    <row r="1006" spans="3:6" x14ac:dyDescent="0.25">
      <c r="C1006" s="4"/>
      <c r="E1006" s="2"/>
      <c r="F1006" s="4"/>
    </row>
    <row r="1007" spans="3:6" x14ac:dyDescent="0.25">
      <c r="C1007" s="4"/>
      <c r="E1007" s="2"/>
      <c r="F1007" s="4"/>
    </row>
    <row r="1008" spans="3:6" x14ac:dyDescent="0.25">
      <c r="C1008" s="4"/>
      <c r="E1008" s="2"/>
      <c r="F1008" s="4"/>
    </row>
    <row r="1009" spans="3:6" x14ac:dyDescent="0.25">
      <c r="C1009" s="4"/>
      <c r="E1009" s="2"/>
      <c r="F1009" s="4"/>
    </row>
    <row r="1010" spans="3:6" x14ac:dyDescent="0.25">
      <c r="C1010" s="4"/>
      <c r="E1010" s="2"/>
      <c r="F1010" s="4"/>
    </row>
    <row r="1011" spans="3:6" x14ac:dyDescent="0.25">
      <c r="C1011" s="4"/>
      <c r="E1011" s="2"/>
      <c r="F1011" s="4"/>
    </row>
    <row r="1012" spans="3:6" x14ac:dyDescent="0.25">
      <c r="C1012" s="4"/>
      <c r="E1012" s="2"/>
      <c r="F1012" s="4"/>
    </row>
    <row r="1013" spans="3:6" x14ac:dyDescent="0.25">
      <c r="C1013" s="4"/>
      <c r="E1013" s="2"/>
      <c r="F1013" s="4"/>
    </row>
    <row r="1014" spans="3:6" x14ac:dyDescent="0.25">
      <c r="C1014" s="4"/>
      <c r="E1014" s="2"/>
      <c r="F1014" s="4"/>
    </row>
    <row r="1015" spans="3:6" x14ac:dyDescent="0.25">
      <c r="C1015" s="4"/>
      <c r="E1015" s="2"/>
      <c r="F1015" s="4"/>
    </row>
    <row r="1016" spans="3:6" x14ac:dyDescent="0.25">
      <c r="C1016" s="4"/>
      <c r="E1016" s="2"/>
      <c r="F1016" s="4"/>
    </row>
    <row r="1017" spans="3:6" x14ac:dyDescent="0.25">
      <c r="C1017" s="4"/>
      <c r="E1017" s="2"/>
      <c r="F1017" s="4"/>
    </row>
    <row r="1018" spans="3:6" x14ac:dyDescent="0.25">
      <c r="C1018" s="4"/>
      <c r="E1018" s="2"/>
      <c r="F1018" s="4"/>
    </row>
    <row r="1019" spans="3:6" x14ac:dyDescent="0.25">
      <c r="C1019" s="4"/>
      <c r="E1019" s="2"/>
      <c r="F1019" s="4"/>
    </row>
    <row r="1020" spans="3:6" x14ac:dyDescent="0.25">
      <c r="C1020" s="4"/>
      <c r="E1020" s="2"/>
      <c r="F1020" s="4"/>
    </row>
    <row r="1021" spans="3:6" x14ac:dyDescent="0.25">
      <c r="C1021" s="4"/>
      <c r="E1021" s="2"/>
      <c r="F1021" s="4"/>
    </row>
    <row r="1022" spans="3:6" x14ac:dyDescent="0.25">
      <c r="C1022" s="4"/>
      <c r="E1022" s="2"/>
      <c r="F1022" s="4"/>
    </row>
    <row r="1023" spans="3:6" x14ac:dyDescent="0.25">
      <c r="C1023" s="4"/>
      <c r="E1023" s="2"/>
      <c r="F1023" s="4"/>
    </row>
    <row r="1024" spans="3:6" x14ac:dyDescent="0.25">
      <c r="C1024" s="4"/>
      <c r="E1024" s="2"/>
      <c r="F1024" s="4"/>
    </row>
    <row r="1025" spans="3:6" x14ac:dyDescent="0.25">
      <c r="C1025" s="4"/>
      <c r="E1025" s="2"/>
      <c r="F1025" s="4"/>
    </row>
    <row r="1026" spans="3:6" x14ac:dyDescent="0.25">
      <c r="C1026" s="4"/>
      <c r="E1026" s="2"/>
      <c r="F1026" s="4"/>
    </row>
    <row r="1027" spans="3:6" x14ac:dyDescent="0.25">
      <c r="C1027" s="4"/>
      <c r="E1027" s="2"/>
      <c r="F1027" s="4"/>
    </row>
    <row r="1028" spans="3:6" x14ac:dyDescent="0.25">
      <c r="C1028" s="4"/>
      <c r="E1028" s="2"/>
      <c r="F1028" s="4"/>
    </row>
    <row r="1029" spans="3:6" x14ac:dyDescent="0.25">
      <c r="C1029" s="4"/>
      <c r="E1029" s="2"/>
      <c r="F1029" s="4"/>
    </row>
    <row r="1030" spans="3:6" x14ac:dyDescent="0.25">
      <c r="C1030" s="4"/>
      <c r="E1030" s="2"/>
      <c r="F1030" s="4"/>
    </row>
    <row r="1031" spans="3:6" x14ac:dyDescent="0.25">
      <c r="C1031" s="4"/>
      <c r="E1031" s="2"/>
      <c r="F1031" s="4"/>
    </row>
    <row r="1032" spans="3:6" x14ac:dyDescent="0.25">
      <c r="C1032" s="4"/>
      <c r="E1032" s="2"/>
      <c r="F1032" s="4"/>
    </row>
    <row r="1033" spans="3:6" x14ac:dyDescent="0.25">
      <c r="C1033" s="4"/>
      <c r="E1033" s="2"/>
      <c r="F1033" s="4"/>
    </row>
    <row r="1034" spans="3:6" x14ac:dyDescent="0.25">
      <c r="C1034" s="4"/>
      <c r="E1034" s="2"/>
      <c r="F1034" s="4"/>
    </row>
    <row r="1035" spans="3:6" x14ac:dyDescent="0.25">
      <c r="C1035" s="4"/>
      <c r="E1035" s="2"/>
      <c r="F1035" s="4"/>
    </row>
    <row r="1036" spans="3:6" x14ac:dyDescent="0.25">
      <c r="C1036" s="4"/>
      <c r="E1036" s="2"/>
      <c r="F1036" s="4"/>
    </row>
    <row r="1037" spans="3:6" x14ac:dyDescent="0.25">
      <c r="C1037" s="4"/>
      <c r="E1037" s="2"/>
      <c r="F1037" s="4"/>
    </row>
    <row r="1038" spans="3:6" x14ac:dyDescent="0.25">
      <c r="C1038" s="4"/>
      <c r="E1038" s="2"/>
      <c r="F1038" s="4"/>
    </row>
    <row r="1039" spans="3:6" x14ac:dyDescent="0.25">
      <c r="C1039" s="4"/>
      <c r="E1039" s="2"/>
      <c r="F1039" s="4"/>
    </row>
    <row r="1040" spans="3:6" x14ac:dyDescent="0.25">
      <c r="C1040" s="4"/>
      <c r="E1040" s="2"/>
      <c r="F1040" s="4"/>
    </row>
    <row r="1041" spans="3:6" x14ac:dyDescent="0.25">
      <c r="C1041" s="4"/>
      <c r="E1041" s="2"/>
      <c r="F1041" s="4"/>
    </row>
    <row r="1042" spans="3:6" x14ac:dyDescent="0.25">
      <c r="C1042" s="4"/>
      <c r="E1042" s="2"/>
      <c r="F1042" s="4"/>
    </row>
    <row r="1043" spans="3:6" x14ac:dyDescent="0.25">
      <c r="C1043" s="4"/>
      <c r="E1043" s="2"/>
      <c r="F1043" s="4"/>
    </row>
    <row r="1044" spans="3:6" x14ac:dyDescent="0.25">
      <c r="C1044" s="4"/>
      <c r="E1044" s="2"/>
      <c r="F1044" s="4"/>
    </row>
    <row r="1045" spans="3:6" x14ac:dyDescent="0.25">
      <c r="C1045" s="4"/>
      <c r="E1045" s="2"/>
      <c r="F1045" s="4"/>
    </row>
    <row r="1046" spans="3:6" x14ac:dyDescent="0.25">
      <c r="C1046" s="4"/>
      <c r="E1046" s="2"/>
      <c r="F1046" s="4"/>
    </row>
    <row r="1047" spans="3:6" x14ac:dyDescent="0.25">
      <c r="C1047" s="4"/>
      <c r="E1047" s="2"/>
      <c r="F1047" s="4"/>
    </row>
    <row r="1048" spans="3:6" x14ac:dyDescent="0.25">
      <c r="C1048" s="4"/>
      <c r="E1048" s="2"/>
      <c r="F1048" s="4"/>
    </row>
    <row r="1049" spans="3:6" x14ac:dyDescent="0.25">
      <c r="C1049" s="4"/>
      <c r="E1049" s="2"/>
      <c r="F1049" s="4"/>
    </row>
    <row r="1050" spans="3:6" x14ac:dyDescent="0.25">
      <c r="C1050" s="4"/>
      <c r="E1050" s="2"/>
      <c r="F1050" s="4"/>
    </row>
    <row r="1051" spans="3:6" x14ac:dyDescent="0.25">
      <c r="C1051" s="4"/>
      <c r="E1051" s="2"/>
      <c r="F1051" s="4"/>
    </row>
    <row r="1052" spans="3:6" x14ac:dyDescent="0.25">
      <c r="C1052" s="4"/>
      <c r="E1052" s="2"/>
      <c r="F1052" s="4"/>
    </row>
    <row r="1053" spans="3:6" x14ac:dyDescent="0.25">
      <c r="C1053" s="4"/>
      <c r="E1053" s="2"/>
      <c r="F1053" s="4"/>
    </row>
    <row r="1054" spans="3:6" x14ac:dyDescent="0.25">
      <c r="C1054" s="4"/>
      <c r="E1054" s="2"/>
      <c r="F1054" s="4"/>
    </row>
    <row r="1055" spans="3:6" x14ac:dyDescent="0.25">
      <c r="C1055" s="4"/>
      <c r="E1055" s="2"/>
      <c r="F1055" s="4"/>
    </row>
    <row r="1056" spans="3:6" x14ac:dyDescent="0.25">
      <c r="C1056" s="4"/>
      <c r="E1056" s="2"/>
      <c r="F1056" s="4"/>
    </row>
    <row r="1057" spans="3:6" x14ac:dyDescent="0.25">
      <c r="C1057" s="4"/>
      <c r="E1057" s="2"/>
      <c r="F1057" s="4"/>
    </row>
    <row r="1058" spans="3:6" x14ac:dyDescent="0.25">
      <c r="C1058" s="4"/>
      <c r="E1058" s="2"/>
      <c r="F1058" s="4"/>
    </row>
    <row r="1059" spans="3:6" x14ac:dyDescent="0.25">
      <c r="C1059" s="4"/>
      <c r="E1059" s="2"/>
      <c r="F1059" s="4"/>
    </row>
    <row r="1060" spans="3:6" x14ac:dyDescent="0.25">
      <c r="C1060" s="4"/>
      <c r="E1060" s="2"/>
      <c r="F1060" s="4"/>
    </row>
    <row r="1061" spans="3:6" x14ac:dyDescent="0.25">
      <c r="C1061" s="4"/>
      <c r="E1061" s="2"/>
      <c r="F1061" s="4"/>
    </row>
    <row r="1062" spans="3:6" x14ac:dyDescent="0.25">
      <c r="C1062" s="4"/>
      <c r="E1062" s="2"/>
      <c r="F1062" s="4"/>
    </row>
    <row r="1063" spans="3:6" x14ac:dyDescent="0.25">
      <c r="C1063" s="4"/>
      <c r="E1063" s="2"/>
      <c r="F1063" s="4"/>
    </row>
    <row r="1064" spans="3:6" x14ac:dyDescent="0.25">
      <c r="C1064" s="4"/>
      <c r="E1064" s="2"/>
      <c r="F1064" s="4"/>
    </row>
    <row r="1065" spans="3:6" x14ac:dyDescent="0.25">
      <c r="C1065" s="4"/>
      <c r="E1065" s="2"/>
      <c r="F1065" s="4"/>
    </row>
    <row r="1066" spans="3:6" x14ac:dyDescent="0.25">
      <c r="C1066" s="4"/>
      <c r="E1066" s="2"/>
      <c r="F1066" s="4"/>
    </row>
    <row r="1067" spans="3:6" x14ac:dyDescent="0.25">
      <c r="C1067" s="4"/>
      <c r="E1067" s="2"/>
      <c r="F1067" s="4"/>
    </row>
    <row r="1068" spans="3:6" x14ac:dyDescent="0.25">
      <c r="C1068" s="4"/>
      <c r="E1068" s="2"/>
      <c r="F1068" s="4"/>
    </row>
    <row r="1069" spans="3:6" x14ac:dyDescent="0.25">
      <c r="C1069" s="4"/>
      <c r="E1069" s="2"/>
      <c r="F1069" s="4"/>
    </row>
    <row r="1070" spans="3:6" x14ac:dyDescent="0.25">
      <c r="C1070" s="4"/>
      <c r="E1070" s="2"/>
      <c r="F1070" s="4"/>
    </row>
    <row r="1071" spans="3:6" x14ac:dyDescent="0.25">
      <c r="C1071" s="4"/>
      <c r="E1071" s="2"/>
      <c r="F1071" s="4"/>
    </row>
    <row r="1072" spans="3:6" x14ac:dyDescent="0.25">
      <c r="C1072" s="4"/>
      <c r="E1072" s="2"/>
      <c r="F1072" s="4"/>
    </row>
    <row r="1073" spans="3:6" x14ac:dyDescent="0.25">
      <c r="C1073" s="4"/>
      <c r="E1073" s="2"/>
      <c r="F1073" s="4"/>
    </row>
    <row r="1074" spans="3:6" x14ac:dyDescent="0.25">
      <c r="C1074" s="4"/>
      <c r="E1074" s="2"/>
      <c r="F1074" s="4"/>
    </row>
    <row r="1075" spans="3:6" x14ac:dyDescent="0.25">
      <c r="C1075" s="4"/>
      <c r="E1075" s="2"/>
      <c r="F1075" s="4"/>
    </row>
    <row r="1076" spans="3:6" x14ac:dyDescent="0.25">
      <c r="C1076" s="4"/>
      <c r="E1076" s="2"/>
      <c r="F1076" s="4"/>
    </row>
    <row r="1077" spans="3:6" x14ac:dyDescent="0.25">
      <c r="C1077" s="4"/>
      <c r="E1077" s="2"/>
      <c r="F1077" s="4"/>
    </row>
    <row r="1078" spans="3:6" x14ac:dyDescent="0.25">
      <c r="C1078" s="4"/>
      <c r="E1078" s="2"/>
      <c r="F1078" s="4"/>
    </row>
    <row r="1079" spans="3:6" x14ac:dyDescent="0.25">
      <c r="C1079" s="4"/>
      <c r="E1079" s="2"/>
      <c r="F1079" s="4"/>
    </row>
    <row r="1080" spans="3:6" x14ac:dyDescent="0.25">
      <c r="C1080" s="4"/>
      <c r="E1080" s="2"/>
      <c r="F1080" s="4"/>
    </row>
    <row r="1081" spans="3:6" x14ac:dyDescent="0.25">
      <c r="C1081" s="4"/>
      <c r="E1081" s="2"/>
      <c r="F1081" s="4"/>
    </row>
    <row r="1082" spans="3:6" x14ac:dyDescent="0.25">
      <c r="C1082" s="4"/>
      <c r="E1082" s="2"/>
      <c r="F1082" s="4"/>
    </row>
    <row r="1083" spans="3:6" x14ac:dyDescent="0.25">
      <c r="C1083" s="4"/>
      <c r="E1083" s="2"/>
      <c r="F1083" s="4"/>
    </row>
    <row r="1084" spans="3:6" x14ac:dyDescent="0.25">
      <c r="C1084" s="4"/>
      <c r="E1084" s="2"/>
      <c r="F1084" s="4"/>
    </row>
    <row r="1085" spans="3:6" x14ac:dyDescent="0.25">
      <c r="C1085" s="4"/>
      <c r="E1085" s="2"/>
      <c r="F1085" s="4"/>
    </row>
    <row r="1086" spans="3:6" x14ac:dyDescent="0.25">
      <c r="C1086" s="4"/>
      <c r="E1086" s="2"/>
      <c r="F1086" s="4"/>
    </row>
    <row r="1087" spans="3:6" x14ac:dyDescent="0.25">
      <c r="C1087" s="4"/>
      <c r="E1087" s="2"/>
      <c r="F1087" s="4"/>
    </row>
    <row r="1088" spans="3:6" x14ac:dyDescent="0.25">
      <c r="C1088" s="4"/>
      <c r="E1088" s="2"/>
      <c r="F1088" s="4"/>
    </row>
    <row r="1089" spans="3:6" x14ac:dyDescent="0.25">
      <c r="C1089" s="4"/>
      <c r="E1089" s="2"/>
      <c r="F1089" s="4"/>
    </row>
    <row r="1090" spans="3:6" x14ac:dyDescent="0.25">
      <c r="C1090" s="4"/>
      <c r="E1090" s="2"/>
      <c r="F1090" s="4"/>
    </row>
    <row r="1091" spans="3:6" x14ac:dyDescent="0.25">
      <c r="C1091" s="4"/>
      <c r="E1091" s="2"/>
      <c r="F1091" s="4"/>
    </row>
    <row r="1092" spans="3:6" x14ac:dyDescent="0.25">
      <c r="C1092" s="4"/>
      <c r="E1092" s="2"/>
      <c r="F1092" s="4"/>
    </row>
    <row r="1093" spans="3:6" x14ac:dyDescent="0.25">
      <c r="C1093" s="4"/>
      <c r="E1093" s="2"/>
      <c r="F1093" s="4"/>
    </row>
    <row r="1094" spans="3:6" x14ac:dyDescent="0.25">
      <c r="C1094" s="4"/>
      <c r="E1094" s="2"/>
      <c r="F1094" s="4"/>
    </row>
    <row r="1095" spans="3:6" x14ac:dyDescent="0.25">
      <c r="C1095" s="4"/>
      <c r="E1095" s="2"/>
      <c r="F1095" s="4"/>
    </row>
    <row r="1096" spans="3:6" x14ac:dyDescent="0.25">
      <c r="C1096" s="4"/>
      <c r="E1096" s="2"/>
      <c r="F1096" s="4"/>
    </row>
    <row r="1097" spans="3:6" x14ac:dyDescent="0.25">
      <c r="C1097" s="4"/>
      <c r="E1097" s="2"/>
      <c r="F1097" s="4"/>
    </row>
    <row r="1098" spans="3:6" x14ac:dyDescent="0.25">
      <c r="C1098" s="4"/>
      <c r="E1098" s="2"/>
      <c r="F1098" s="4"/>
    </row>
    <row r="1099" spans="3:6" x14ac:dyDescent="0.25">
      <c r="C1099" s="4"/>
      <c r="E1099" s="2"/>
      <c r="F1099" s="4"/>
    </row>
    <row r="1100" spans="3:6" x14ac:dyDescent="0.25">
      <c r="C1100" s="4"/>
      <c r="E1100" s="2"/>
      <c r="F1100" s="4"/>
    </row>
    <row r="1101" spans="3:6" x14ac:dyDescent="0.25">
      <c r="C1101" s="4"/>
      <c r="E1101" s="2"/>
      <c r="F1101" s="4"/>
    </row>
    <row r="1102" spans="3:6" x14ac:dyDescent="0.25">
      <c r="C1102" s="4"/>
      <c r="E1102" s="2"/>
      <c r="F1102" s="4"/>
    </row>
    <row r="1103" spans="3:6" x14ac:dyDescent="0.25">
      <c r="C1103" s="4"/>
      <c r="E1103" s="2"/>
      <c r="F1103" s="4"/>
    </row>
    <row r="1104" spans="3:6" x14ac:dyDescent="0.25">
      <c r="C1104" s="4"/>
      <c r="E1104" s="2"/>
      <c r="F1104" s="4"/>
    </row>
    <row r="1105" spans="3:6" x14ac:dyDescent="0.25">
      <c r="C1105" s="4"/>
      <c r="E1105" s="2"/>
      <c r="F1105" s="4"/>
    </row>
    <row r="1106" spans="3:6" x14ac:dyDescent="0.25">
      <c r="C1106" s="4"/>
      <c r="E1106" s="2"/>
      <c r="F1106" s="4"/>
    </row>
    <row r="1107" spans="3:6" x14ac:dyDescent="0.25">
      <c r="C1107" s="4"/>
      <c r="E1107" s="2"/>
      <c r="F1107" s="4"/>
    </row>
    <row r="1108" spans="3:6" x14ac:dyDescent="0.25">
      <c r="C1108" s="4"/>
      <c r="E1108" s="2"/>
      <c r="F1108" s="4"/>
    </row>
    <row r="1109" spans="3:6" x14ac:dyDescent="0.25">
      <c r="C1109" s="4"/>
      <c r="E1109" s="2"/>
      <c r="F1109" s="4"/>
    </row>
    <row r="1110" spans="3:6" x14ac:dyDescent="0.25">
      <c r="C1110" s="4"/>
      <c r="E1110" s="2"/>
      <c r="F1110" s="4"/>
    </row>
    <row r="1111" spans="3:6" x14ac:dyDescent="0.25">
      <c r="C1111" s="4"/>
      <c r="E1111" s="2"/>
      <c r="F1111" s="4"/>
    </row>
    <row r="1112" spans="3:6" x14ac:dyDescent="0.25">
      <c r="C1112" s="4"/>
      <c r="E1112" s="2"/>
      <c r="F1112" s="4"/>
    </row>
    <row r="1113" spans="3:6" x14ac:dyDescent="0.25">
      <c r="C1113" s="4"/>
      <c r="E1113" s="2"/>
      <c r="F1113" s="4"/>
    </row>
    <row r="1114" spans="3:6" x14ac:dyDescent="0.25">
      <c r="C1114" s="4"/>
      <c r="E1114" s="2"/>
      <c r="F1114" s="4"/>
    </row>
    <row r="1115" spans="3:6" x14ac:dyDescent="0.25">
      <c r="C1115" s="4"/>
      <c r="E1115" s="2"/>
      <c r="F1115" s="4"/>
    </row>
    <row r="1116" spans="3:6" x14ac:dyDescent="0.25">
      <c r="C1116" s="4"/>
      <c r="E1116" s="2"/>
      <c r="F1116" s="4"/>
    </row>
    <row r="1117" spans="3:6" x14ac:dyDescent="0.25">
      <c r="C1117" s="4"/>
      <c r="E1117" s="2"/>
      <c r="F1117" s="4"/>
    </row>
    <row r="1118" spans="3:6" x14ac:dyDescent="0.25">
      <c r="C1118" s="4"/>
      <c r="E1118" s="2"/>
      <c r="F1118" s="4"/>
    </row>
    <row r="1119" spans="3:6" x14ac:dyDescent="0.25">
      <c r="C1119" s="4"/>
      <c r="E1119" s="2"/>
      <c r="F1119" s="4"/>
    </row>
    <row r="1120" spans="3:6" x14ac:dyDescent="0.25">
      <c r="C1120" s="4"/>
      <c r="E1120" s="2"/>
      <c r="F1120" s="4"/>
    </row>
    <row r="1121" spans="3:6" x14ac:dyDescent="0.25">
      <c r="C1121" s="4"/>
      <c r="E1121" s="2"/>
      <c r="F1121" s="4"/>
    </row>
    <row r="1122" spans="3:6" x14ac:dyDescent="0.25">
      <c r="C1122" s="4"/>
      <c r="E1122" s="2"/>
      <c r="F1122" s="4"/>
    </row>
    <row r="1123" spans="3:6" x14ac:dyDescent="0.25">
      <c r="C1123" s="4"/>
      <c r="E1123" s="2"/>
      <c r="F1123" s="4"/>
    </row>
    <row r="1124" spans="3:6" x14ac:dyDescent="0.25">
      <c r="C1124" s="4"/>
      <c r="E1124" s="2"/>
      <c r="F1124" s="4"/>
    </row>
    <row r="1125" spans="3:6" x14ac:dyDescent="0.25">
      <c r="C1125" s="4"/>
      <c r="E1125" s="2"/>
      <c r="F1125" s="4"/>
    </row>
    <row r="1126" spans="3:6" x14ac:dyDescent="0.25">
      <c r="C1126" s="4"/>
      <c r="E1126" s="2"/>
      <c r="F1126" s="4"/>
    </row>
    <row r="1127" spans="3:6" x14ac:dyDescent="0.25">
      <c r="C1127" s="4"/>
      <c r="E1127" s="2"/>
      <c r="F1127" s="4"/>
    </row>
    <row r="1128" spans="3:6" x14ac:dyDescent="0.25">
      <c r="C1128" s="4"/>
      <c r="E1128" s="2"/>
      <c r="F1128" s="4"/>
    </row>
    <row r="1129" spans="3:6" x14ac:dyDescent="0.25">
      <c r="C1129" s="4"/>
      <c r="E1129" s="2"/>
      <c r="F1129" s="4"/>
    </row>
    <row r="1130" spans="3:6" x14ac:dyDescent="0.25">
      <c r="C1130" s="4"/>
      <c r="E1130" s="2"/>
      <c r="F1130" s="4"/>
    </row>
    <row r="1131" spans="3:6" x14ac:dyDescent="0.25">
      <c r="C1131" s="4"/>
      <c r="E1131" s="2"/>
      <c r="F1131" s="4"/>
    </row>
    <row r="1132" spans="3:6" x14ac:dyDescent="0.25">
      <c r="C1132" s="4"/>
      <c r="E1132" s="2"/>
      <c r="F1132" s="4"/>
    </row>
    <row r="1133" spans="3:6" x14ac:dyDescent="0.25">
      <c r="C1133" s="4"/>
      <c r="E1133" s="2"/>
      <c r="F1133" s="4"/>
    </row>
    <row r="1134" spans="3:6" x14ac:dyDescent="0.25">
      <c r="C1134" s="4"/>
      <c r="E1134" s="2"/>
      <c r="F1134" s="4"/>
    </row>
    <row r="1135" spans="3:6" x14ac:dyDescent="0.25">
      <c r="C1135" s="4"/>
      <c r="E1135" s="2"/>
      <c r="F1135" s="4"/>
    </row>
    <row r="1136" spans="3:6" x14ac:dyDescent="0.25">
      <c r="C1136" s="4"/>
      <c r="E1136" s="2"/>
      <c r="F1136" s="4"/>
    </row>
    <row r="1137" spans="3:6" x14ac:dyDescent="0.25">
      <c r="C1137" s="4"/>
      <c r="E1137" s="2"/>
      <c r="F1137" s="4"/>
    </row>
    <row r="1138" spans="3:6" x14ac:dyDescent="0.25">
      <c r="C1138" s="4"/>
      <c r="E1138" s="2"/>
      <c r="F1138" s="4"/>
    </row>
    <row r="1139" spans="3:6" x14ac:dyDescent="0.25">
      <c r="C1139" s="4"/>
      <c r="E1139" s="2"/>
      <c r="F1139" s="4"/>
    </row>
    <row r="1140" spans="3:6" x14ac:dyDescent="0.25">
      <c r="C1140" s="4"/>
      <c r="E1140" s="2"/>
      <c r="F1140" s="4"/>
    </row>
    <row r="1141" spans="3:6" x14ac:dyDescent="0.25">
      <c r="C1141" s="4"/>
      <c r="E1141" s="2"/>
      <c r="F1141" s="4"/>
    </row>
    <row r="1142" spans="3:6" x14ac:dyDescent="0.25">
      <c r="C1142" s="4"/>
      <c r="E1142" s="2"/>
      <c r="F1142" s="4"/>
    </row>
    <row r="1143" spans="3:6" x14ac:dyDescent="0.25">
      <c r="C1143" s="4"/>
      <c r="E1143" s="2"/>
      <c r="F1143" s="4"/>
    </row>
    <row r="1144" spans="3:6" x14ac:dyDescent="0.25">
      <c r="C1144" s="4"/>
      <c r="E1144" s="2"/>
      <c r="F1144" s="4"/>
    </row>
    <row r="1145" spans="3:6" x14ac:dyDescent="0.25">
      <c r="C1145" s="4"/>
      <c r="E1145" s="2"/>
      <c r="F1145" s="4"/>
    </row>
    <row r="1146" spans="3:6" x14ac:dyDescent="0.25">
      <c r="C1146" s="4"/>
      <c r="E1146" s="2"/>
      <c r="F1146" s="4"/>
    </row>
    <row r="1147" spans="3:6" x14ac:dyDescent="0.25">
      <c r="C1147" s="4"/>
      <c r="E1147" s="2"/>
      <c r="F1147" s="4"/>
    </row>
    <row r="1148" spans="3:6" x14ac:dyDescent="0.25">
      <c r="C1148" s="4"/>
      <c r="E1148" s="2"/>
      <c r="F1148" s="4"/>
    </row>
    <row r="1149" spans="3:6" x14ac:dyDescent="0.25">
      <c r="C1149" s="4"/>
      <c r="E1149" s="2"/>
      <c r="F1149" s="4"/>
    </row>
    <row r="1150" spans="3:6" x14ac:dyDescent="0.25">
      <c r="C1150" s="4"/>
      <c r="E1150" s="2"/>
      <c r="F1150" s="4"/>
    </row>
    <row r="1151" spans="3:6" x14ac:dyDescent="0.25">
      <c r="C1151" s="4"/>
      <c r="E1151" s="2"/>
      <c r="F1151" s="4"/>
    </row>
    <row r="1152" spans="3:6" x14ac:dyDescent="0.25">
      <c r="C1152" s="4"/>
      <c r="E1152" s="2"/>
      <c r="F1152" s="4"/>
    </row>
    <row r="1153" spans="3:6" x14ac:dyDescent="0.25">
      <c r="C1153" s="4"/>
      <c r="E1153" s="2"/>
      <c r="F1153" s="4"/>
    </row>
    <row r="1154" spans="3:6" x14ac:dyDescent="0.25">
      <c r="C1154" s="4"/>
      <c r="E1154" s="2"/>
      <c r="F1154" s="4"/>
    </row>
    <row r="1155" spans="3:6" x14ac:dyDescent="0.25">
      <c r="C1155" s="4"/>
      <c r="E1155" s="2"/>
      <c r="F1155" s="4"/>
    </row>
    <row r="1156" spans="3:6" x14ac:dyDescent="0.25">
      <c r="C1156" s="4"/>
      <c r="E1156" s="2"/>
      <c r="F1156" s="4"/>
    </row>
    <row r="1157" spans="3:6" x14ac:dyDescent="0.25">
      <c r="C1157" s="4"/>
      <c r="E1157" s="2"/>
      <c r="F1157" s="4"/>
    </row>
    <row r="1158" spans="3:6" x14ac:dyDescent="0.25">
      <c r="C1158" s="4"/>
      <c r="E1158" s="2"/>
      <c r="F1158" s="4"/>
    </row>
    <row r="1159" spans="3:6" x14ac:dyDescent="0.25">
      <c r="C1159" s="4"/>
      <c r="E1159" s="2"/>
      <c r="F1159" s="4"/>
    </row>
    <row r="1160" spans="3:6" x14ac:dyDescent="0.25">
      <c r="C1160" s="4"/>
      <c r="E1160" s="2"/>
      <c r="F1160" s="4"/>
    </row>
    <row r="1161" spans="3:6" x14ac:dyDescent="0.25">
      <c r="C1161" s="4"/>
      <c r="E1161" s="2"/>
      <c r="F1161" s="4"/>
    </row>
    <row r="1162" spans="3:6" x14ac:dyDescent="0.25">
      <c r="C1162" s="4"/>
      <c r="E1162" s="2"/>
      <c r="F1162" s="4"/>
    </row>
    <row r="1163" spans="3:6" x14ac:dyDescent="0.25">
      <c r="C1163" s="4"/>
      <c r="E1163" s="2"/>
      <c r="F1163" s="4"/>
    </row>
    <row r="1164" spans="3:6" x14ac:dyDescent="0.25">
      <c r="C1164" s="4"/>
      <c r="E1164" s="2"/>
      <c r="F1164" s="4"/>
    </row>
    <row r="1165" spans="3:6" x14ac:dyDescent="0.25">
      <c r="C1165" s="4"/>
      <c r="E1165" s="2"/>
      <c r="F1165" s="4"/>
    </row>
    <row r="1166" spans="3:6" x14ac:dyDescent="0.25">
      <c r="C1166" s="4"/>
      <c r="E1166" s="2"/>
      <c r="F1166" s="4"/>
    </row>
    <row r="1167" spans="3:6" x14ac:dyDescent="0.25">
      <c r="C1167" s="4"/>
      <c r="E1167" s="2"/>
      <c r="F1167" s="4"/>
    </row>
    <row r="1168" spans="3:6" x14ac:dyDescent="0.25">
      <c r="C1168" s="4"/>
      <c r="E1168" s="2"/>
      <c r="F1168" s="4"/>
    </row>
    <row r="1169" spans="3:6" x14ac:dyDescent="0.25">
      <c r="C1169" s="4"/>
      <c r="E1169" s="2"/>
      <c r="F1169" s="4"/>
    </row>
    <row r="1170" spans="3:6" x14ac:dyDescent="0.25">
      <c r="C1170" s="4"/>
      <c r="E1170" s="2"/>
      <c r="F1170" s="4"/>
    </row>
    <row r="1171" spans="3:6" x14ac:dyDescent="0.25">
      <c r="C1171" s="4"/>
      <c r="E1171" s="2"/>
      <c r="F1171" s="4"/>
    </row>
    <row r="1172" spans="3:6" x14ac:dyDescent="0.25">
      <c r="C1172" s="4"/>
      <c r="E1172" s="2"/>
      <c r="F1172" s="4"/>
    </row>
    <row r="1173" spans="3:6" x14ac:dyDescent="0.25">
      <c r="C1173" s="4"/>
      <c r="E1173" s="2"/>
      <c r="F1173" s="4"/>
    </row>
    <row r="1174" spans="3:6" x14ac:dyDescent="0.25">
      <c r="C1174" s="4"/>
      <c r="E1174" s="2"/>
      <c r="F1174" s="4"/>
    </row>
    <row r="1175" spans="3:6" x14ac:dyDescent="0.25">
      <c r="C1175" s="4"/>
      <c r="E1175" s="2"/>
      <c r="F1175" s="4"/>
    </row>
    <row r="1176" spans="3:6" x14ac:dyDescent="0.25">
      <c r="C1176" s="4"/>
      <c r="E1176" s="2"/>
      <c r="F1176" s="4"/>
    </row>
    <row r="1177" spans="3:6" x14ac:dyDescent="0.25">
      <c r="C1177" s="4"/>
      <c r="E1177" s="2"/>
      <c r="F1177" s="4"/>
    </row>
    <row r="1178" spans="3:6" x14ac:dyDescent="0.25">
      <c r="C1178" s="4"/>
      <c r="E1178" s="2"/>
      <c r="F1178" s="4"/>
    </row>
    <row r="1179" spans="3:6" x14ac:dyDescent="0.25">
      <c r="C1179" s="4"/>
      <c r="E1179" s="2"/>
      <c r="F1179" s="4"/>
    </row>
    <row r="1180" spans="3:6" x14ac:dyDescent="0.25">
      <c r="C1180" s="4"/>
      <c r="E1180" s="2"/>
      <c r="F1180" s="4"/>
    </row>
    <row r="1181" spans="3:6" x14ac:dyDescent="0.25">
      <c r="C1181" s="4"/>
      <c r="E1181" s="2"/>
      <c r="F1181" s="4"/>
    </row>
    <row r="1182" spans="3:6" x14ac:dyDescent="0.25">
      <c r="C1182" s="4"/>
      <c r="E1182" s="2"/>
      <c r="F1182" s="4"/>
    </row>
    <row r="1183" spans="3:6" x14ac:dyDescent="0.25">
      <c r="C1183" s="4"/>
      <c r="E1183" s="2"/>
      <c r="F1183" s="4"/>
    </row>
    <row r="1184" spans="3:6" x14ac:dyDescent="0.25">
      <c r="C1184" s="4"/>
      <c r="E1184" s="2"/>
      <c r="F1184" s="4"/>
    </row>
    <row r="1185" spans="3:6" x14ac:dyDescent="0.25">
      <c r="C1185" s="4"/>
      <c r="E1185" s="2"/>
      <c r="F1185" s="4"/>
    </row>
    <row r="1186" spans="3:6" x14ac:dyDescent="0.25">
      <c r="C1186" s="4"/>
      <c r="E1186" s="2"/>
      <c r="F1186" s="4"/>
    </row>
    <row r="1187" spans="3:6" x14ac:dyDescent="0.25">
      <c r="C1187" s="4"/>
      <c r="E1187" s="2"/>
      <c r="F1187" s="4"/>
    </row>
    <row r="1188" spans="3:6" x14ac:dyDescent="0.25">
      <c r="C1188" s="4"/>
      <c r="E1188" s="2"/>
      <c r="F1188" s="4"/>
    </row>
    <row r="1189" spans="3:6" x14ac:dyDescent="0.25">
      <c r="C1189" s="4"/>
      <c r="E1189" s="2"/>
      <c r="F1189" s="4"/>
    </row>
    <row r="1190" spans="3:6" x14ac:dyDescent="0.25">
      <c r="C1190" s="4"/>
      <c r="E1190" s="2"/>
      <c r="F1190" s="4"/>
    </row>
    <row r="1191" spans="3:6" x14ac:dyDescent="0.25">
      <c r="C1191" s="4"/>
      <c r="E1191" s="2"/>
      <c r="F1191" s="4"/>
    </row>
    <row r="1192" spans="3:6" x14ac:dyDescent="0.25">
      <c r="C1192" s="4"/>
      <c r="E1192" s="2"/>
      <c r="F1192" s="4"/>
    </row>
    <row r="1193" spans="3:6" x14ac:dyDescent="0.25">
      <c r="C1193" s="4"/>
      <c r="E1193" s="2"/>
      <c r="F1193" s="4"/>
    </row>
    <row r="1194" spans="3:6" x14ac:dyDescent="0.25">
      <c r="C1194" s="4"/>
      <c r="E1194" s="2"/>
      <c r="F1194" s="4"/>
    </row>
    <row r="1195" spans="3:6" x14ac:dyDescent="0.25">
      <c r="C1195" s="4"/>
      <c r="E1195" s="2"/>
      <c r="F1195" s="4"/>
    </row>
    <row r="1196" spans="3:6" x14ac:dyDescent="0.25">
      <c r="C1196" s="4"/>
      <c r="E1196" s="2"/>
      <c r="F1196" s="4"/>
    </row>
    <row r="1197" spans="3:6" x14ac:dyDescent="0.25">
      <c r="C1197" s="4"/>
      <c r="E1197" s="2"/>
      <c r="F1197" s="4"/>
    </row>
    <row r="1198" spans="3:6" x14ac:dyDescent="0.25">
      <c r="C1198" s="4"/>
      <c r="E1198" s="2"/>
      <c r="F1198" s="4"/>
    </row>
    <row r="1199" spans="3:6" x14ac:dyDescent="0.25">
      <c r="C1199" s="4"/>
      <c r="E1199" s="2"/>
      <c r="F1199" s="4"/>
    </row>
    <row r="1200" spans="3:6" x14ac:dyDescent="0.25">
      <c r="C1200" s="4"/>
      <c r="E1200" s="2"/>
      <c r="F1200" s="4"/>
    </row>
    <row r="1201" spans="3:6" x14ac:dyDescent="0.25">
      <c r="C1201" s="4"/>
      <c r="E1201" s="2"/>
      <c r="F1201" s="4"/>
    </row>
    <row r="1202" spans="3:6" x14ac:dyDescent="0.25">
      <c r="C1202" s="4"/>
      <c r="E1202" s="2"/>
      <c r="F1202" s="4"/>
    </row>
    <row r="1203" spans="3:6" x14ac:dyDescent="0.25">
      <c r="C1203" s="4"/>
      <c r="E1203" s="2"/>
      <c r="F1203" s="4"/>
    </row>
    <row r="1204" spans="3:6" x14ac:dyDescent="0.25">
      <c r="C1204" s="4"/>
      <c r="E1204" s="2"/>
      <c r="F1204" s="4"/>
    </row>
    <row r="1205" spans="3:6" x14ac:dyDescent="0.25">
      <c r="C1205" s="4"/>
      <c r="E1205" s="2"/>
      <c r="F1205" s="4"/>
    </row>
    <row r="1206" spans="3:6" x14ac:dyDescent="0.25">
      <c r="C1206" s="4"/>
      <c r="E1206" s="2"/>
      <c r="F1206" s="4"/>
    </row>
    <row r="1207" spans="3:6" x14ac:dyDescent="0.25">
      <c r="C1207" s="4"/>
      <c r="E1207" s="2"/>
      <c r="F1207" s="4"/>
    </row>
    <row r="1208" spans="3:6" x14ac:dyDescent="0.25">
      <c r="C1208" s="4"/>
      <c r="E1208" s="2"/>
      <c r="F1208" s="4"/>
    </row>
    <row r="1209" spans="3:6" x14ac:dyDescent="0.25">
      <c r="C1209" s="4"/>
      <c r="E1209" s="2"/>
      <c r="F1209" s="4"/>
    </row>
    <row r="1210" spans="3:6" x14ac:dyDescent="0.25">
      <c r="C1210" s="4"/>
      <c r="E1210" s="2"/>
      <c r="F1210" s="4"/>
    </row>
    <row r="1211" spans="3:6" x14ac:dyDescent="0.25">
      <c r="C1211" s="4"/>
      <c r="E1211" s="2"/>
      <c r="F1211" s="4"/>
    </row>
    <row r="1212" spans="3:6" x14ac:dyDescent="0.25">
      <c r="C1212" s="4"/>
      <c r="E1212" s="2"/>
      <c r="F1212" s="4"/>
    </row>
    <row r="1213" spans="3:6" x14ac:dyDescent="0.25">
      <c r="C1213" s="4"/>
      <c r="E1213" s="2"/>
      <c r="F1213" s="4"/>
    </row>
    <row r="1214" spans="3:6" x14ac:dyDescent="0.25">
      <c r="C1214" s="4"/>
      <c r="E1214" s="2"/>
      <c r="F1214" s="4"/>
    </row>
    <row r="1215" spans="3:6" x14ac:dyDescent="0.25">
      <c r="C1215" s="4"/>
      <c r="E1215" s="2"/>
      <c r="F1215" s="4"/>
    </row>
    <row r="1216" spans="3:6" x14ac:dyDescent="0.25">
      <c r="C1216" s="4"/>
      <c r="E1216" s="2"/>
      <c r="F1216" s="4"/>
    </row>
    <row r="1217" spans="3:6" x14ac:dyDescent="0.25">
      <c r="C1217" s="4"/>
      <c r="E1217" s="2"/>
      <c r="F1217" s="4"/>
    </row>
    <row r="1218" spans="3:6" x14ac:dyDescent="0.25">
      <c r="C1218" s="4"/>
      <c r="E1218" s="2"/>
      <c r="F1218" s="4"/>
    </row>
    <row r="1219" spans="3:6" x14ac:dyDescent="0.25">
      <c r="C1219" s="4"/>
      <c r="E1219" s="2"/>
      <c r="F1219" s="4"/>
    </row>
    <row r="1220" spans="3:6" x14ac:dyDescent="0.25">
      <c r="C1220" s="4"/>
      <c r="E1220" s="2"/>
      <c r="F1220" s="4"/>
    </row>
    <row r="1221" spans="3:6" x14ac:dyDescent="0.25">
      <c r="C1221" s="4"/>
      <c r="E1221" s="2"/>
      <c r="F1221" s="4"/>
    </row>
    <row r="1222" spans="3:6" x14ac:dyDescent="0.25">
      <c r="C1222" s="4"/>
      <c r="E1222" s="2"/>
      <c r="F1222" s="4"/>
    </row>
    <row r="1223" spans="3:6" x14ac:dyDescent="0.25">
      <c r="C1223" s="4"/>
      <c r="E1223" s="2"/>
      <c r="F1223" s="4"/>
    </row>
    <row r="1224" spans="3:6" x14ac:dyDescent="0.25">
      <c r="C1224" s="4"/>
      <c r="E1224" s="2"/>
      <c r="F1224" s="4"/>
    </row>
    <row r="1225" spans="3:6" x14ac:dyDescent="0.25">
      <c r="C1225" s="4"/>
      <c r="E1225" s="2"/>
      <c r="F1225" s="4"/>
    </row>
    <row r="1226" spans="3:6" x14ac:dyDescent="0.25">
      <c r="C1226" s="4"/>
      <c r="E1226" s="2"/>
      <c r="F1226" s="4"/>
    </row>
    <row r="1227" spans="3:6" x14ac:dyDescent="0.25">
      <c r="C1227" s="4"/>
      <c r="E1227" s="2"/>
      <c r="F1227" s="4"/>
    </row>
    <row r="1228" spans="3:6" x14ac:dyDescent="0.25">
      <c r="C1228" s="4"/>
      <c r="E1228" s="2"/>
      <c r="F1228" s="4"/>
    </row>
    <row r="1229" spans="3:6" x14ac:dyDescent="0.25">
      <c r="C1229" s="4"/>
      <c r="E1229" s="2"/>
      <c r="F1229" s="4"/>
    </row>
    <row r="1230" spans="3:6" x14ac:dyDescent="0.25">
      <c r="C1230" s="4"/>
      <c r="E1230" s="2"/>
      <c r="F1230" s="4"/>
    </row>
    <row r="1231" spans="3:6" x14ac:dyDescent="0.25">
      <c r="C1231" s="4"/>
      <c r="E1231" s="2"/>
      <c r="F1231" s="4"/>
    </row>
    <row r="1232" spans="3:6" x14ac:dyDescent="0.25">
      <c r="C1232" s="4"/>
      <c r="E1232" s="2"/>
      <c r="F1232" s="4"/>
    </row>
    <row r="1233" spans="3:6" x14ac:dyDescent="0.25">
      <c r="C1233" s="4"/>
      <c r="E1233" s="2"/>
      <c r="F1233" s="4"/>
    </row>
    <row r="1234" spans="3:6" x14ac:dyDescent="0.25">
      <c r="C1234" s="4"/>
      <c r="E1234" s="2"/>
      <c r="F1234" s="4"/>
    </row>
    <row r="1235" spans="3:6" x14ac:dyDescent="0.25">
      <c r="C1235" s="4"/>
      <c r="E1235" s="2"/>
      <c r="F1235" s="4"/>
    </row>
    <row r="1236" spans="3:6" x14ac:dyDescent="0.25">
      <c r="C1236" s="4"/>
      <c r="E1236" s="2"/>
      <c r="F1236" s="4"/>
    </row>
    <row r="1237" spans="3:6" x14ac:dyDescent="0.25">
      <c r="C1237" s="4"/>
      <c r="E1237" s="2"/>
      <c r="F1237" s="4"/>
    </row>
    <row r="1238" spans="3:6" x14ac:dyDescent="0.25">
      <c r="C1238" s="4"/>
      <c r="E1238" s="2"/>
      <c r="F1238" s="4"/>
    </row>
    <row r="1239" spans="3:6" x14ac:dyDescent="0.25">
      <c r="C1239" s="4"/>
      <c r="E1239" s="2"/>
      <c r="F1239" s="4"/>
    </row>
    <row r="1240" spans="3:6" x14ac:dyDescent="0.25">
      <c r="C1240" s="4"/>
      <c r="E1240" s="2"/>
      <c r="F1240" s="4"/>
    </row>
    <row r="1241" spans="3:6" x14ac:dyDescent="0.25">
      <c r="C1241" s="4"/>
      <c r="E1241" s="2"/>
      <c r="F1241" s="4"/>
    </row>
    <row r="1242" spans="3:6" x14ac:dyDescent="0.25">
      <c r="C1242" s="4"/>
      <c r="E1242" s="2"/>
      <c r="F1242" s="4"/>
    </row>
    <row r="1243" spans="3:6" x14ac:dyDescent="0.25">
      <c r="C1243" s="4"/>
      <c r="E1243" s="2"/>
      <c r="F1243" s="4"/>
    </row>
    <row r="1244" spans="3:6" x14ac:dyDescent="0.25">
      <c r="C1244" s="4"/>
      <c r="E1244" s="2"/>
      <c r="F1244" s="4"/>
    </row>
    <row r="1245" spans="3:6" x14ac:dyDescent="0.25">
      <c r="C1245" s="4"/>
      <c r="E1245" s="2"/>
      <c r="F1245" s="4"/>
    </row>
    <row r="1246" spans="3:6" x14ac:dyDescent="0.25">
      <c r="C1246" s="4"/>
      <c r="E1246" s="2"/>
      <c r="F1246" s="4"/>
    </row>
    <row r="1247" spans="3:6" x14ac:dyDescent="0.25">
      <c r="C1247" s="4"/>
      <c r="E1247" s="2"/>
      <c r="F1247" s="4"/>
    </row>
    <row r="1248" spans="3:6" x14ac:dyDescent="0.25">
      <c r="C1248" s="4"/>
      <c r="E1248" s="2"/>
      <c r="F1248" s="4"/>
    </row>
    <row r="1249" spans="3:6" x14ac:dyDescent="0.25">
      <c r="C1249" s="4"/>
      <c r="E1249" s="2"/>
      <c r="F1249" s="4"/>
    </row>
    <row r="1250" spans="3:6" x14ac:dyDescent="0.25">
      <c r="C1250" s="4"/>
      <c r="E1250" s="2"/>
      <c r="F1250" s="4"/>
    </row>
    <row r="1251" spans="3:6" x14ac:dyDescent="0.25">
      <c r="C1251" s="4"/>
      <c r="E1251" s="2"/>
      <c r="F1251" s="4"/>
    </row>
    <row r="1252" spans="3:6" x14ac:dyDescent="0.25">
      <c r="C1252" s="4"/>
      <c r="E1252" s="2"/>
      <c r="F1252" s="4"/>
    </row>
    <row r="1253" spans="3:6" x14ac:dyDescent="0.25">
      <c r="C1253" s="4"/>
      <c r="E1253" s="2"/>
      <c r="F1253" s="4"/>
    </row>
    <row r="1254" spans="3:6" x14ac:dyDescent="0.25">
      <c r="C1254" s="4"/>
      <c r="E1254" s="2"/>
      <c r="F1254" s="4"/>
    </row>
    <row r="1255" spans="3:6" x14ac:dyDescent="0.25">
      <c r="C1255" s="4"/>
      <c r="E1255" s="2"/>
      <c r="F1255" s="4"/>
    </row>
    <row r="1256" spans="3:6" x14ac:dyDescent="0.25">
      <c r="C1256" s="4"/>
      <c r="E1256" s="2"/>
      <c r="F1256" s="4"/>
    </row>
    <row r="1257" spans="3:6" x14ac:dyDescent="0.25">
      <c r="C1257" s="4"/>
      <c r="E1257" s="2"/>
      <c r="F1257" s="4"/>
    </row>
    <row r="1258" spans="3:6" x14ac:dyDescent="0.25">
      <c r="C1258" s="4"/>
      <c r="E1258" s="2"/>
      <c r="F1258" s="4"/>
    </row>
    <row r="1259" spans="3:6" x14ac:dyDescent="0.25">
      <c r="C1259" s="4"/>
      <c r="E1259" s="2"/>
      <c r="F1259" s="4"/>
    </row>
    <row r="1260" spans="3:6" x14ac:dyDescent="0.25">
      <c r="C1260" s="4"/>
      <c r="E1260" s="2"/>
      <c r="F1260" s="4"/>
    </row>
    <row r="1261" spans="3:6" x14ac:dyDescent="0.25">
      <c r="C1261" s="4"/>
      <c r="E1261" s="2"/>
      <c r="F1261" s="4"/>
    </row>
    <row r="1262" spans="3:6" x14ac:dyDescent="0.25">
      <c r="C1262" s="4"/>
      <c r="E1262" s="2"/>
      <c r="F1262" s="4"/>
    </row>
    <row r="1263" spans="3:6" x14ac:dyDescent="0.25">
      <c r="C1263" s="4"/>
      <c r="E1263" s="2"/>
      <c r="F1263" s="4"/>
    </row>
    <row r="1264" spans="3:6" x14ac:dyDescent="0.25">
      <c r="C1264" s="4"/>
      <c r="E1264" s="2"/>
      <c r="F1264" s="4"/>
    </row>
    <row r="1265" spans="3:6" x14ac:dyDescent="0.25">
      <c r="C1265" s="4"/>
      <c r="E1265" s="2"/>
      <c r="F1265" s="4"/>
    </row>
    <row r="1266" spans="3:6" x14ac:dyDescent="0.25">
      <c r="C1266" s="4"/>
      <c r="E1266" s="2"/>
      <c r="F1266" s="4"/>
    </row>
    <row r="1267" spans="3:6" x14ac:dyDescent="0.25">
      <c r="C1267" s="4"/>
      <c r="E1267" s="2"/>
      <c r="F1267" s="4"/>
    </row>
    <row r="1268" spans="3:6" x14ac:dyDescent="0.25">
      <c r="C1268" s="4"/>
      <c r="E1268" s="2"/>
      <c r="F1268" s="4"/>
    </row>
    <row r="1269" spans="3:6" x14ac:dyDescent="0.25">
      <c r="C1269" s="4"/>
      <c r="E1269" s="2"/>
      <c r="F1269" s="4"/>
    </row>
    <row r="1270" spans="3:6" x14ac:dyDescent="0.25">
      <c r="C1270" s="4"/>
      <c r="E1270" s="2"/>
      <c r="F1270" s="4"/>
    </row>
    <row r="1271" spans="3:6" x14ac:dyDescent="0.25">
      <c r="C1271" s="4"/>
      <c r="E1271" s="2"/>
      <c r="F1271" s="4"/>
    </row>
    <row r="1272" spans="3:6" x14ac:dyDescent="0.25">
      <c r="C1272" s="4"/>
      <c r="E1272" s="2"/>
      <c r="F1272" s="4"/>
    </row>
    <row r="1273" spans="3:6" x14ac:dyDescent="0.25">
      <c r="C1273" s="4"/>
      <c r="E1273" s="2"/>
      <c r="F1273" s="4"/>
    </row>
    <row r="1274" spans="3:6" x14ac:dyDescent="0.25">
      <c r="C1274" s="4"/>
      <c r="E1274" s="2"/>
      <c r="F1274" s="4"/>
    </row>
    <row r="1275" spans="3:6" x14ac:dyDescent="0.25">
      <c r="C1275" s="4"/>
      <c r="E1275" s="2"/>
      <c r="F1275" s="4"/>
    </row>
    <row r="1276" spans="3:6" x14ac:dyDescent="0.25">
      <c r="C1276" s="4"/>
      <c r="E1276" s="2"/>
      <c r="F1276" s="4"/>
    </row>
    <row r="1277" spans="3:6" x14ac:dyDescent="0.25">
      <c r="C1277" s="4"/>
      <c r="E1277" s="2"/>
      <c r="F1277" s="4"/>
    </row>
    <row r="1278" spans="3:6" x14ac:dyDescent="0.25">
      <c r="C1278" s="4"/>
      <c r="E1278" s="2"/>
      <c r="F1278" s="4"/>
    </row>
    <row r="1279" spans="3:6" x14ac:dyDescent="0.25">
      <c r="C1279" s="4"/>
      <c r="E1279" s="2"/>
      <c r="F1279" s="4"/>
    </row>
    <row r="1280" spans="3:6" x14ac:dyDescent="0.25">
      <c r="C1280" s="4"/>
      <c r="E1280" s="2"/>
      <c r="F1280" s="4"/>
    </row>
    <row r="1281" spans="3:6" x14ac:dyDescent="0.25">
      <c r="C1281" s="4"/>
      <c r="E1281" s="2"/>
      <c r="F1281" s="4"/>
    </row>
    <row r="1282" spans="3:6" x14ac:dyDescent="0.25">
      <c r="C1282" s="4"/>
      <c r="E1282" s="2"/>
      <c r="F1282" s="4"/>
    </row>
    <row r="1283" spans="3:6" x14ac:dyDescent="0.25">
      <c r="C1283" s="4"/>
      <c r="E1283" s="2"/>
      <c r="F1283" s="4"/>
    </row>
    <row r="1284" spans="3:6" x14ac:dyDescent="0.25">
      <c r="C1284" s="4"/>
      <c r="E1284" s="2"/>
      <c r="F1284" s="4"/>
    </row>
    <row r="1285" spans="3:6" x14ac:dyDescent="0.25">
      <c r="C1285" s="4"/>
      <c r="E1285" s="2"/>
      <c r="F1285" s="4"/>
    </row>
    <row r="1286" spans="3:6" x14ac:dyDescent="0.25">
      <c r="C1286" s="4"/>
      <c r="E1286" s="2"/>
      <c r="F1286" s="4"/>
    </row>
    <row r="1287" spans="3:6" x14ac:dyDescent="0.25">
      <c r="C1287" s="4"/>
      <c r="E1287" s="2"/>
      <c r="F1287" s="4"/>
    </row>
    <row r="1288" spans="3:6" x14ac:dyDescent="0.25">
      <c r="C1288" s="4"/>
      <c r="E1288" s="2"/>
      <c r="F1288" s="4"/>
    </row>
    <row r="1289" spans="3:6" x14ac:dyDescent="0.25">
      <c r="C1289" s="4"/>
      <c r="E1289" s="2"/>
      <c r="F1289" s="4"/>
    </row>
    <row r="1290" spans="3:6" x14ac:dyDescent="0.25">
      <c r="C1290" s="4"/>
      <c r="E1290" s="2"/>
      <c r="F1290" s="4"/>
    </row>
    <row r="1291" spans="3:6" x14ac:dyDescent="0.25">
      <c r="C1291" s="4"/>
      <c r="E1291" s="2"/>
      <c r="F1291" s="4"/>
    </row>
    <row r="1292" spans="3:6" x14ac:dyDescent="0.25">
      <c r="C1292" s="4"/>
      <c r="E1292" s="2"/>
      <c r="F1292" s="4"/>
    </row>
    <row r="1293" spans="3:6" x14ac:dyDescent="0.25">
      <c r="C1293" s="4"/>
      <c r="E1293" s="2"/>
      <c r="F1293" s="4"/>
    </row>
    <row r="1294" spans="3:6" x14ac:dyDescent="0.25">
      <c r="C1294" s="4"/>
      <c r="E1294" s="2"/>
      <c r="F1294" s="4"/>
    </row>
    <row r="1295" spans="3:6" x14ac:dyDescent="0.25">
      <c r="C1295" s="4"/>
      <c r="E1295" s="2"/>
      <c r="F1295" s="4"/>
    </row>
    <row r="1296" spans="3:6" x14ac:dyDescent="0.25">
      <c r="C1296" s="4"/>
      <c r="E1296" s="2"/>
      <c r="F1296" s="4"/>
    </row>
    <row r="1297" spans="3:6" x14ac:dyDescent="0.25">
      <c r="C1297" s="4"/>
      <c r="E1297" s="2"/>
      <c r="F1297" s="4"/>
    </row>
    <row r="1298" spans="3:6" x14ac:dyDescent="0.25">
      <c r="C1298" s="4"/>
      <c r="E1298" s="2"/>
      <c r="F1298" s="4"/>
    </row>
    <row r="1299" spans="3:6" x14ac:dyDescent="0.25">
      <c r="C1299" s="4"/>
      <c r="E1299" s="2"/>
      <c r="F1299" s="4"/>
    </row>
    <row r="1300" spans="3:6" x14ac:dyDescent="0.25">
      <c r="C1300" s="4"/>
      <c r="E1300" s="2"/>
      <c r="F1300" s="4"/>
    </row>
    <row r="1301" spans="3:6" x14ac:dyDescent="0.25">
      <c r="C1301" s="4"/>
      <c r="E1301" s="2"/>
      <c r="F1301" s="4"/>
    </row>
    <row r="1302" spans="3:6" x14ac:dyDescent="0.25">
      <c r="C1302" s="4"/>
      <c r="E1302" s="2"/>
      <c r="F1302" s="4"/>
    </row>
    <row r="1303" spans="3:6" x14ac:dyDescent="0.25">
      <c r="C1303" s="4"/>
      <c r="E1303" s="2"/>
      <c r="F1303" s="4"/>
    </row>
    <row r="1304" spans="3:6" x14ac:dyDescent="0.25">
      <c r="C1304" s="4"/>
      <c r="E1304" s="2"/>
      <c r="F1304" s="4"/>
    </row>
    <row r="1305" spans="3:6" x14ac:dyDescent="0.25">
      <c r="C1305" s="4"/>
      <c r="E1305" s="2"/>
      <c r="F1305" s="4"/>
    </row>
    <row r="1306" spans="3:6" x14ac:dyDescent="0.25">
      <c r="C1306" s="4"/>
      <c r="E1306" s="2"/>
      <c r="F1306" s="4"/>
    </row>
    <row r="1307" spans="3:6" x14ac:dyDescent="0.25">
      <c r="C1307" s="4"/>
      <c r="E1307" s="2"/>
      <c r="F1307" s="4"/>
    </row>
    <row r="1308" spans="3:6" x14ac:dyDescent="0.25">
      <c r="C1308" s="4"/>
      <c r="E1308" s="2"/>
      <c r="F1308" s="4"/>
    </row>
    <row r="1309" spans="3:6" x14ac:dyDescent="0.25">
      <c r="C1309" s="4"/>
      <c r="E1309" s="2"/>
      <c r="F1309" s="4"/>
    </row>
    <row r="1310" spans="3:6" x14ac:dyDescent="0.25">
      <c r="C1310" s="4"/>
      <c r="E1310" s="2"/>
      <c r="F1310" s="4"/>
    </row>
    <row r="1311" spans="3:6" x14ac:dyDescent="0.25">
      <c r="C1311" s="4"/>
      <c r="E1311" s="2"/>
      <c r="F1311" s="4"/>
    </row>
    <row r="1312" spans="3:6" x14ac:dyDescent="0.25">
      <c r="C1312" s="4"/>
      <c r="E1312" s="2"/>
      <c r="F1312" s="4"/>
    </row>
    <row r="1313" spans="3:6" x14ac:dyDescent="0.25">
      <c r="C1313" s="4"/>
      <c r="E1313" s="2"/>
      <c r="F1313" s="4"/>
    </row>
    <row r="1314" spans="3:6" x14ac:dyDescent="0.25">
      <c r="C1314" s="4"/>
      <c r="E1314" s="2"/>
      <c r="F1314" s="4"/>
    </row>
    <row r="1315" spans="3:6" x14ac:dyDescent="0.25">
      <c r="C1315" s="4"/>
      <c r="E1315" s="2"/>
      <c r="F1315" s="4"/>
    </row>
    <row r="1316" spans="3:6" x14ac:dyDescent="0.25">
      <c r="C1316" s="4"/>
      <c r="E1316" s="2"/>
      <c r="F1316" s="4"/>
    </row>
    <row r="1317" spans="3:6" x14ac:dyDescent="0.25">
      <c r="C1317" s="4"/>
      <c r="E1317" s="2"/>
      <c r="F1317" s="4"/>
    </row>
    <row r="1318" spans="3:6" x14ac:dyDescent="0.25">
      <c r="C1318" s="4"/>
      <c r="E1318" s="2"/>
      <c r="F1318" s="4"/>
    </row>
    <row r="1319" spans="3:6" x14ac:dyDescent="0.25">
      <c r="C1319" s="4"/>
      <c r="E1319" s="2"/>
      <c r="F1319" s="4"/>
    </row>
    <row r="1320" spans="3:6" x14ac:dyDescent="0.25">
      <c r="C1320" s="4"/>
      <c r="E1320" s="2"/>
      <c r="F1320" s="4"/>
    </row>
    <row r="1321" spans="3:6" x14ac:dyDescent="0.25">
      <c r="C1321" s="4"/>
      <c r="E1321" s="2"/>
      <c r="F1321" s="4"/>
    </row>
    <row r="1322" spans="3:6" x14ac:dyDescent="0.25">
      <c r="C1322" s="4"/>
      <c r="E1322" s="2"/>
      <c r="F1322" s="4"/>
    </row>
    <row r="1323" spans="3:6" x14ac:dyDescent="0.25">
      <c r="C1323" s="4"/>
      <c r="E1323" s="2"/>
      <c r="F1323" s="4"/>
    </row>
    <row r="1324" spans="3:6" x14ac:dyDescent="0.25">
      <c r="C1324" s="4"/>
      <c r="E1324" s="2"/>
      <c r="F1324" s="4"/>
    </row>
    <row r="1325" spans="3:6" x14ac:dyDescent="0.25">
      <c r="C1325" s="4"/>
      <c r="E1325" s="2"/>
      <c r="F1325" s="4"/>
    </row>
    <row r="1326" spans="3:6" x14ac:dyDescent="0.25">
      <c r="C1326" s="4"/>
      <c r="E1326" s="2"/>
      <c r="F1326" s="4"/>
    </row>
    <row r="1327" spans="3:6" x14ac:dyDescent="0.25">
      <c r="C1327" s="4"/>
      <c r="E1327" s="2"/>
      <c r="F1327" s="4"/>
    </row>
    <row r="1328" spans="3:6" x14ac:dyDescent="0.25">
      <c r="C1328" s="4"/>
      <c r="E1328" s="2"/>
      <c r="F1328" s="4"/>
    </row>
    <row r="1329" spans="3:6" x14ac:dyDescent="0.25">
      <c r="C1329" s="4"/>
      <c r="E1329" s="2"/>
      <c r="F1329" s="4"/>
    </row>
    <row r="1330" spans="3:6" x14ac:dyDescent="0.25">
      <c r="C1330" s="4"/>
      <c r="E1330" s="2"/>
      <c r="F1330" s="4"/>
    </row>
    <row r="1331" spans="3:6" x14ac:dyDescent="0.25">
      <c r="C1331" s="4"/>
      <c r="E1331" s="2"/>
      <c r="F1331" s="4"/>
    </row>
    <row r="1332" spans="3:6" x14ac:dyDescent="0.25">
      <c r="C1332" s="4"/>
      <c r="E1332" s="2"/>
      <c r="F1332" s="4"/>
    </row>
    <row r="1333" spans="3:6" x14ac:dyDescent="0.25">
      <c r="C1333" s="4"/>
      <c r="E1333" s="2"/>
      <c r="F1333" s="4"/>
    </row>
    <row r="1334" spans="3:6" x14ac:dyDescent="0.25">
      <c r="C1334" s="4"/>
      <c r="E1334" s="2"/>
      <c r="F1334" s="4"/>
    </row>
    <row r="1335" spans="3:6" x14ac:dyDescent="0.25">
      <c r="C1335" s="4"/>
      <c r="E1335" s="2"/>
      <c r="F1335" s="4"/>
    </row>
    <row r="1336" spans="3:6" x14ac:dyDescent="0.25">
      <c r="C1336" s="4"/>
      <c r="E1336" s="2"/>
      <c r="F1336" s="4"/>
    </row>
    <row r="1337" spans="3:6" x14ac:dyDescent="0.25">
      <c r="C1337" s="4"/>
      <c r="E1337" s="2"/>
      <c r="F1337" s="4"/>
    </row>
    <row r="1338" spans="3:6" x14ac:dyDescent="0.25">
      <c r="C1338" s="4"/>
      <c r="E1338" s="2"/>
      <c r="F1338" s="4"/>
    </row>
    <row r="1339" spans="3:6" x14ac:dyDescent="0.25">
      <c r="C1339" s="4"/>
      <c r="E1339" s="2"/>
      <c r="F1339" s="4"/>
    </row>
    <row r="1340" spans="3:6" x14ac:dyDescent="0.25">
      <c r="C1340" s="4"/>
      <c r="E1340" s="2"/>
      <c r="F1340" s="4"/>
    </row>
    <row r="1341" spans="3:6" x14ac:dyDescent="0.25">
      <c r="C1341" s="4"/>
      <c r="E1341" s="2"/>
      <c r="F1341" s="4"/>
    </row>
    <row r="1342" spans="3:6" x14ac:dyDescent="0.25">
      <c r="C1342" s="4"/>
      <c r="E1342" s="2"/>
      <c r="F1342" s="4"/>
    </row>
    <row r="1343" spans="3:6" x14ac:dyDescent="0.25">
      <c r="C1343" s="4"/>
      <c r="E1343" s="2"/>
      <c r="F1343" s="4"/>
    </row>
    <row r="1344" spans="3:6" x14ac:dyDescent="0.25">
      <c r="C1344" s="4"/>
      <c r="E1344" s="2"/>
      <c r="F1344" s="4"/>
    </row>
    <row r="1345" spans="3:6" x14ac:dyDescent="0.25">
      <c r="C1345" s="4"/>
      <c r="E1345" s="2"/>
      <c r="F1345" s="4"/>
    </row>
    <row r="1346" spans="3:6" x14ac:dyDescent="0.25">
      <c r="C1346" s="4"/>
      <c r="E1346" s="2"/>
      <c r="F1346" s="4"/>
    </row>
    <row r="1347" spans="3:6" x14ac:dyDescent="0.25">
      <c r="C1347" s="4"/>
      <c r="E1347" s="2"/>
      <c r="F1347" s="4"/>
    </row>
    <row r="1348" spans="3:6" x14ac:dyDescent="0.25">
      <c r="C1348" s="4"/>
      <c r="E1348" s="2"/>
      <c r="F1348" s="4"/>
    </row>
    <row r="1349" spans="3:6" x14ac:dyDescent="0.25">
      <c r="C1349" s="4"/>
      <c r="E1349" s="2"/>
      <c r="F1349" s="4"/>
    </row>
    <row r="1350" spans="3:6" x14ac:dyDescent="0.25">
      <c r="C1350" s="4"/>
      <c r="E1350" s="2"/>
      <c r="F1350" s="4"/>
    </row>
    <row r="1351" spans="3:6" x14ac:dyDescent="0.25">
      <c r="C1351" s="4"/>
      <c r="E1351" s="2"/>
      <c r="F1351" s="4"/>
    </row>
    <row r="1352" spans="3:6" x14ac:dyDescent="0.25">
      <c r="C1352" s="4"/>
      <c r="E1352" s="2"/>
      <c r="F1352" s="4"/>
    </row>
    <row r="1353" spans="3:6" x14ac:dyDescent="0.25">
      <c r="C1353" s="4"/>
      <c r="E1353" s="2"/>
      <c r="F1353" s="4"/>
    </row>
    <row r="1354" spans="3:6" x14ac:dyDescent="0.25">
      <c r="C1354" s="4"/>
      <c r="E1354" s="2"/>
      <c r="F1354" s="4"/>
    </row>
    <row r="1355" spans="3:6" x14ac:dyDescent="0.25">
      <c r="C1355" s="4"/>
      <c r="E1355" s="2"/>
      <c r="F1355" s="4"/>
    </row>
    <row r="1356" spans="3:6" x14ac:dyDescent="0.25">
      <c r="C1356" s="4"/>
      <c r="E1356" s="2"/>
      <c r="F1356" s="4"/>
    </row>
    <row r="1357" spans="3:6" x14ac:dyDescent="0.25">
      <c r="C1357" s="4"/>
      <c r="E1357" s="2"/>
      <c r="F1357" s="4"/>
    </row>
    <row r="1358" spans="3:6" x14ac:dyDescent="0.25">
      <c r="C1358" s="4"/>
      <c r="E1358" s="2"/>
      <c r="F1358" s="4"/>
    </row>
    <row r="1359" spans="3:6" x14ac:dyDescent="0.25">
      <c r="C1359" s="4"/>
      <c r="E1359" s="2"/>
      <c r="F1359" s="4"/>
    </row>
    <row r="1360" spans="3:6" x14ac:dyDescent="0.25">
      <c r="C1360" s="4"/>
      <c r="E1360" s="2"/>
      <c r="F1360" s="4"/>
    </row>
    <row r="1361" spans="3:6" x14ac:dyDescent="0.25">
      <c r="C1361" s="4"/>
      <c r="E1361" s="2"/>
      <c r="F1361" s="4"/>
    </row>
    <row r="1362" spans="3:6" x14ac:dyDescent="0.25">
      <c r="C1362" s="4"/>
      <c r="E1362" s="2"/>
      <c r="F1362" s="4"/>
    </row>
    <row r="1363" spans="3:6" x14ac:dyDescent="0.25">
      <c r="C1363" s="4"/>
      <c r="E1363" s="2"/>
      <c r="F1363" s="4"/>
    </row>
    <row r="1364" spans="3:6" x14ac:dyDescent="0.25">
      <c r="C1364" s="4"/>
      <c r="E1364" s="2"/>
      <c r="F1364" s="4"/>
    </row>
    <row r="1365" spans="3:6" x14ac:dyDescent="0.25">
      <c r="C1365" s="4"/>
      <c r="E1365" s="2"/>
      <c r="F1365" s="4"/>
    </row>
    <row r="1366" spans="3:6" x14ac:dyDescent="0.25">
      <c r="C1366" s="4"/>
      <c r="E1366" s="2"/>
      <c r="F1366" s="4"/>
    </row>
    <row r="1367" spans="3:6" x14ac:dyDescent="0.25">
      <c r="C1367" s="4"/>
      <c r="E1367" s="2"/>
      <c r="F1367" s="4"/>
    </row>
    <row r="1368" spans="3:6" x14ac:dyDescent="0.25">
      <c r="C1368" s="4"/>
      <c r="E1368" s="2"/>
      <c r="F1368" s="4"/>
    </row>
    <row r="1369" spans="3:6" x14ac:dyDescent="0.25">
      <c r="C1369" s="4"/>
      <c r="E1369" s="2"/>
      <c r="F1369" s="4"/>
    </row>
    <row r="1370" spans="3:6" x14ac:dyDescent="0.25">
      <c r="C1370" s="4"/>
      <c r="E1370" s="2"/>
      <c r="F1370" s="4"/>
    </row>
    <row r="1371" spans="3:6" x14ac:dyDescent="0.25">
      <c r="C1371" s="4"/>
      <c r="E1371" s="2"/>
      <c r="F1371" s="4"/>
    </row>
    <row r="1372" spans="3:6" x14ac:dyDescent="0.25">
      <c r="C1372" s="4"/>
      <c r="E1372" s="2"/>
      <c r="F1372" s="4"/>
    </row>
    <row r="1373" spans="3:6" x14ac:dyDescent="0.25">
      <c r="C1373" s="4"/>
      <c r="E1373" s="2"/>
      <c r="F1373" s="4"/>
    </row>
    <row r="1374" spans="3:6" x14ac:dyDescent="0.25">
      <c r="C1374" s="4"/>
      <c r="E1374" s="2"/>
      <c r="F1374" s="4"/>
    </row>
    <row r="1375" spans="3:6" x14ac:dyDescent="0.25">
      <c r="C1375" s="4"/>
      <c r="E1375" s="2"/>
      <c r="F1375" s="4"/>
    </row>
    <row r="1376" spans="3:6" x14ac:dyDescent="0.25">
      <c r="C1376" s="4"/>
      <c r="E1376" s="2"/>
      <c r="F1376" s="4"/>
    </row>
    <row r="1377" spans="3:6" x14ac:dyDescent="0.25">
      <c r="C1377" s="4"/>
      <c r="E1377" s="2"/>
      <c r="F1377" s="4"/>
    </row>
    <row r="1378" spans="3:6" x14ac:dyDescent="0.25">
      <c r="C1378" s="4"/>
      <c r="E1378" s="2"/>
      <c r="F1378" s="4"/>
    </row>
    <row r="1379" spans="3:6" x14ac:dyDescent="0.25">
      <c r="C1379" s="4"/>
      <c r="E1379" s="2"/>
      <c r="F1379" s="4"/>
    </row>
    <row r="1380" spans="3:6" x14ac:dyDescent="0.25">
      <c r="C1380" s="4"/>
      <c r="E1380" s="2"/>
      <c r="F1380" s="4"/>
    </row>
    <row r="1381" spans="3:6" x14ac:dyDescent="0.25">
      <c r="C1381" s="4"/>
      <c r="E1381" s="2"/>
      <c r="F1381" s="4"/>
    </row>
    <row r="1382" spans="3:6" x14ac:dyDescent="0.25">
      <c r="C1382" s="4"/>
      <c r="E1382" s="2"/>
      <c r="F1382" s="4"/>
    </row>
    <row r="1383" spans="3:6" x14ac:dyDescent="0.25">
      <c r="C1383" s="4"/>
      <c r="E1383" s="2"/>
      <c r="F1383" s="4"/>
    </row>
    <row r="1384" spans="3:6" x14ac:dyDescent="0.25">
      <c r="C1384" s="4"/>
      <c r="E1384" s="2"/>
      <c r="F1384" s="4"/>
    </row>
    <row r="1385" spans="3:6" x14ac:dyDescent="0.25">
      <c r="C1385" s="4"/>
      <c r="E1385" s="2"/>
      <c r="F1385" s="4"/>
    </row>
    <row r="1386" spans="3:6" x14ac:dyDescent="0.25">
      <c r="C1386" s="4"/>
      <c r="E1386" s="2"/>
      <c r="F1386" s="4"/>
    </row>
    <row r="1387" spans="3:6" x14ac:dyDescent="0.25">
      <c r="C1387" s="4"/>
      <c r="E1387" s="2"/>
      <c r="F1387" s="4"/>
    </row>
    <row r="1388" spans="3:6" x14ac:dyDescent="0.25">
      <c r="C1388" s="4"/>
      <c r="E1388" s="2"/>
      <c r="F1388" s="4"/>
    </row>
    <row r="1389" spans="3:6" x14ac:dyDescent="0.25">
      <c r="C1389" s="4"/>
      <c r="E1389" s="2"/>
      <c r="F1389" s="4"/>
    </row>
    <row r="1390" spans="3:6" x14ac:dyDescent="0.25">
      <c r="C1390" s="4"/>
      <c r="E1390" s="2"/>
      <c r="F1390" s="4"/>
    </row>
    <row r="1391" spans="3:6" x14ac:dyDescent="0.25">
      <c r="C1391" s="4"/>
      <c r="E1391" s="2"/>
      <c r="F1391" s="4"/>
    </row>
    <row r="1392" spans="3:6" x14ac:dyDescent="0.25">
      <c r="C1392" s="4"/>
      <c r="E1392" s="2"/>
      <c r="F1392" s="4"/>
    </row>
    <row r="1393" spans="3:6" x14ac:dyDescent="0.25">
      <c r="C1393" s="4"/>
      <c r="E1393" s="2"/>
      <c r="F1393" s="4"/>
    </row>
    <row r="1394" spans="3:6" x14ac:dyDescent="0.25">
      <c r="C1394" s="4"/>
      <c r="E1394" s="2"/>
      <c r="F1394" s="4"/>
    </row>
    <row r="1395" spans="3:6" x14ac:dyDescent="0.25">
      <c r="C1395" s="4"/>
      <c r="E1395" s="2"/>
      <c r="F1395" s="4"/>
    </row>
    <row r="1396" spans="3:6" x14ac:dyDescent="0.25">
      <c r="C1396" s="4"/>
      <c r="E1396" s="2"/>
      <c r="F1396" s="4"/>
    </row>
    <row r="1397" spans="3:6" x14ac:dyDescent="0.25">
      <c r="C1397" s="4"/>
      <c r="E1397" s="2"/>
      <c r="F1397" s="4"/>
    </row>
    <row r="1398" spans="3:6" x14ac:dyDescent="0.25">
      <c r="C1398" s="4"/>
      <c r="E1398" s="2"/>
      <c r="F1398" s="4"/>
    </row>
    <row r="1399" spans="3:6" x14ac:dyDescent="0.25">
      <c r="C1399" s="4"/>
      <c r="E1399" s="2"/>
      <c r="F1399" s="4"/>
    </row>
    <row r="1400" spans="3:6" x14ac:dyDescent="0.25">
      <c r="C1400" s="4"/>
      <c r="E1400" s="2"/>
      <c r="F1400" s="4"/>
    </row>
    <row r="1401" spans="3:6" x14ac:dyDescent="0.25">
      <c r="C1401" s="4"/>
      <c r="E1401" s="2"/>
      <c r="F1401" s="4"/>
    </row>
    <row r="1402" spans="3:6" x14ac:dyDescent="0.25">
      <c r="C1402" s="4"/>
      <c r="E1402" s="2"/>
      <c r="F1402" s="4"/>
    </row>
    <row r="1403" spans="3:6" x14ac:dyDescent="0.25">
      <c r="C1403" s="4"/>
      <c r="E1403" s="2"/>
      <c r="F1403" s="4"/>
    </row>
    <row r="1404" spans="3:6" x14ac:dyDescent="0.25">
      <c r="C1404" s="4"/>
      <c r="E1404" s="2"/>
      <c r="F1404" s="4"/>
    </row>
    <row r="1405" spans="3:6" x14ac:dyDescent="0.25">
      <c r="C1405" s="4"/>
      <c r="E1405" s="2"/>
      <c r="F1405" s="4"/>
    </row>
    <row r="1406" spans="3:6" x14ac:dyDescent="0.25">
      <c r="C1406" s="4"/>
      <c r="E1406" s="2"/>
      <c r="F1406" s="4"/>
    </row>
    <row r="1407" spans="3:6" x14ac:dyDescent="0.25">
      <c r="C1407" s="4"/>
      <c r="E1407" s="2"/>
      <c r="F1407" s="4"/>
    </row>
    <row r="1408" spans="3:6" x14ac:dyDescent="0.25">
      <c r="C1408" s="4"/>
      <c r="E1408" s="2"/>
      <c r="F1408" s="4"/>
    </row>
    <row r="1409" spans="3:6" x14ac:dyDescent="0.25">
      <c r="C1409" s="4"/>
      <c r="E1409" s="2"/>
      <c r="F1409" s="4"/>
    </row>
    <row r="1410" spans="3:6" x14ac:dyDescent="0.25">
      <c r="C1410" s="4"/>
      <c r="E1410" s="2"/>
      <c r="F1410" s="4"/>
    </row>
    <row r="1411" spans="3:6" x14ac:dyDescent="0.25">
      <c r="C1411" s="4"/>
      <c r="E1411" s="2"/>
      <c r="F1411" s="4"/>
    </row>
    <row r="1412" spans="3:6" x14ac:dyDescent="0.25">
      <c r="C1412" s="4"/>
      <c r="E1412" s="2"/>
      <c r="F1412" s="4"/>
    </row>
    <row r="1413" spans="3:6" x14ac:dyDescent="0.25">
      <c r="C1413" s="4"/>
      <c r="E1413" s="2"/>
      <c r="F1413" s="4"/>
    </row>
    <row r="1414" spans="3:6" x14ac:dyDescent="0.25">
      <c r="C1414" s="4"/>
      <c r="E1414" s="2"/>
      <c r="F1414" s="4"/>
    </row>
    <row r="1415" spans="3:6" x14ac:dyDescent="0.25">
      <c r="C1415" s="4"/>
      <c r="E1415" s="2"/>
      <c r="F1415" s="4"/>
    </row>
    <row r="1416" spans="3:6" x14ac:dyDescent="0.25">
      <c r="C1416" s="4"/>
      <c r="E1416" s="2"/>
      <c r="F1416" s="4"/>
    </row>
    <row r="1417" spans="3:6" x14ac:dyDescent="0.25">
      <c r="C1417" s="4"/>
      <c r="E1417" s="2"/>
      <c r="F1417" s="4"/>
    </row>
    <row r="1418" spans="3:6" x14ac:dyDescent="0.25">
      <c r="C1418" s="4"/>
      <c r="E1418" s="2"/>
      <c r="F1418" s="4"/>
    </row>
    <row r="1419" spans="3:6" x14ac:dyDescent="0.25">
      <c r="C1419" s="4"/>
      <c r="E1419" s="2"/>
      <c r="F1419" s="4"/>
    </row>
    <row r="1420" spans="3:6" x14ac:dyDescent="0.25">
      <c r="C1420" s="4"/>
      <c r="E1420" s="2"/>
      <c r="F1420" s="4"/>
    </row>
    <row r="1421" spans="3:6" x14ac:dyDescent="0.25">
      <c r="C1421" s="4"/>
      <c r="E1421" s="2"/>
      <c r="F1421" s="4"/>
    </row>
    <row r="1422" spans="3:6" x14ac:dyDescent="0.25">
      <c r="C1422" s="4"/>
      <c r="E1422" s="2"/>
      <c r="F1422" s="4"/>
    </row>
    <row r="1423" spans="3:6" x14ac:dyDescent="0.25">
      <c r="C1423" s="4"/>
      <c r="E1423" s="2"/>
      <c r="F1423" s="4"/>
    </row>
    <row r="1424" spans="3:6" x14ac:dyDescent="0.25">
      <c r="C1424" s="4"/>
      <c r="E1424" s="2"/>
      <c r="F1424" s="4"/>
    </row>
    <row r="1425" spans="3:6" x14ac:dyDescent="0.25">
      <c r="C1425" s="4"/>
      <c r="E1425" s="2"/>
      <c r="F1425" s="4"/>
    </row>
    <row r="1426" spans="3:6" x14ac:dyDescent="0.25">
      <c r="C1426" s="4"/>
      <c r="E1426" s="2"/>
      <c r="F1426" s="4"/>
    </row>
    <row r="1427" spans="3:6" x14ac:dyDescent="0.25">
      <c r="C1427" s="4"/>
      <c r="E1427" s="2"/>
      <c r="F1427" s="4"/>
    </row>
    <row r="1428" spans="3:6" x14ac:dyDescent="0.25">
      <c r="C1428" s="4"/>
      <c r="E1428" s="2"/>
      <c r="F1428" s="4"/>
    </row>
    <row r="1429" spans="3:6" x14ac:dyDescent="0.25">
      <c r="C1429" s="4"/>
      <c r="E1429" s="2"/>
      <c r="F1429" s="4"/>
    </row>
    <row r="1430" spans="3:6" x14ac:dyDescent="0.25">
      <c r="C1430" s="4"/>
      <c r="E1430" s="2"/>
      <c r="F1430" s="4"/>
    </row>
    <row r="1431" spans="3:6" x14ac:dyDescent="0.25">
      <c r="C1431" s="4"/>
      <c r="E1431" s="2"/>
      <c r="F1431" s="4"/>
    </row>
    <row r="1432" spans="3:6" x14ac:dyDescent="0.25">
      <c r="C1432" s="4"/>
      <c r="E1432" s="2"/>
      <c r="F1432" s="4"/>
    </row>
    <row r="1433" spans="3:6" x14ac:dyDescent="0.25">
      <c r="C1433" s="4"/>
      <c r="E1433" s="2"/>
      <c r="F1433" s="4"/>
    </row>
    <row r="1434" spans="3:6" x14ac:dyDescent="0.25">
      <c r="C1434" s="4"/>
      <c r="E1434" s="2"/>
      <c r="F1434" s="4"/>
    </row>
    <row r="1435" spans="3:6" x14ac:dyDescent="0.25">
      <c r="C1435" s="4"/>
      <c r="E1435" s="2"/>
      <c r="F1435" s="4"/>
    </row>
    <row r="1436" spans="3:6" x14ac:dyDescent="0.25">
      <c r="C1436" s="4"/>
      <c r="E1436" s="2"/>
      <c r="F1436" s="4"/>
    </row>
    <row r="1437" spans="3:6" x14ac:dyDescent="0.25">
      <c r="C1437" s="4"/>
      <c r="E1437" s="2"/>
      <c r="F1437" s="4"/>
    </row>
    <row r="1438" spans="3:6" x14ac:dyDescent="0.25">
      <c r="C1438" s="4"/>
      <c r="E1438" s="2"/>
      <c r="F1438" s="4"/>
    </row>
    <row r="1439" spans="3:6" x14ac:dyDescent="0.25">
      <c r="C1439" s="4"/>
      <c r="E1439" s="2"/>
      <c r="F1439" s="4"/>
    </row>
    <row r="1440" spans="3:6" x14ac:dyDescent="0.25">
      <c r="C1440" s="4"/>
      <c r="E1440" s="2"/>
      <c r="F1440" s="4"/>
    </row>
    <row r="1441" spans="3:6" x14ac:dyDescent="0.25">
      <c r="C1441" s="4"/>
      <c r="E1441" s="2"/>
      <c r="F1441" s="4"/>
    </row>
    <row r="1442" spans="3:6" x14ac:dyDescent="0.25">
      <c r="C1442" s="4"/>
      <c r="E1442" s="2"/>
      <c r="F1442" s="4"/>
    </row>
    <row r="1443" spans="3:6" x14ac:dyDescent="0.25">
      <c r="C1443" s="4"/>
      <c r="E1443" s="2"/>
      <c r="F1443" s="4"/>
    </row>
    <row r="1444" spans="3:6" x14ac:dyDescent="0.25">
      <c r="C1444" s="4"/>
      <c r="E1444" s="2"/>
      <c r="F1444" s="4"/>
    </row>
    <row r="1445" spans="3:6" x14ac:dyDescent="0.25">
      <c r="C1445" s="4"/>
      <c r="E1445" s="2"/>
      <c r="F1445" s="4"/>
    </row>
    <row r="1446" spans="3:6" x14ac:dyDescent="0.25">
      <c r="C1446" s="4"/>
      <c r="E1446" s="2"/>
      <c r="F1446" s="4"/>
    </row>
    <row r="1447" spans="3:6" x14ac:dyDescent="0.25">
      <c r="C1447" s="4"/>
      <c r="E1447" s="2"/>
      <c r="F1447" s="4"/>
    </row>
    <row r="1448" spans="3:6" x14ac:dyDescent="0.25">
      <c r="C1448" s="4"/>
      <c r="E1448" s="2"/>
      <c r="F1448" s="4"/>
    </row>
    <row r="1449" spans="3:6" x14ac:dyDescent="0.25">
      <c r="C1449" s="4"/>
      <c r="E1449" s="2"/>
      <c r="F1449" s="4"/>
    </row>
    <row r="1450" spans="3:6" x14ac:dyDescent="0.25">
      <c r="C1450" s="4"/>
      <c r="E1450" s="2"/>
      <c r="F1450" s="4"/>
    </row>
    <row r="1451" spans="3:6" x14ac:dyDescent="0.25">
      <c r="C1451" s="4"/>
      <c r="E1451" s="2"/>
      <c r="F1451" s="4"/>
    </row>
    <row r="1452" spans="3:6" x14ac:dyDescent="0.25">
      <c r="C1452" s="4"/>
      <c r="E1452" s="2"/>
      <c r="F1452" s="4"/>
    </row>
    <row r="1453" spans="3:6" x14ac:dyDescent="0.25">
      <c r="C1453" s="4"/>
      <c r="E1453" s="2"/>
      <c r="F1453" s="4"/>
    </row>
    <row r="1454" spans="3:6" x14ac:dyDescent="0.25">
      <c r="C1454" s="4"/>
      <c r="E1454" s="2"/>
      <c r="F1454" s="4"/>
    </row>
    <row r="1455" spans="3:6" x14ac:dyDescent="0.25">
      <c r="C1455" s="4"/>
      <c r="E1455" s="2"/>
      <c r="F1455" s="4"/>
    </row>
    <row r="1456" spans="3:6" x14ac:dyDescent="0.25">
      <c r="C1456" s="4"/>
      <c r="E1456" s="2"/>
      <c r="F1456" s="4"/>
    </row>
    <row r="1457" spans="3:6" x14ac:dyDescent="0.25">
      <c r="C1457" s="4"/>
      <c r="E1457" s="2"/>
      <c r="F1457" s="4"/>
    </row>
    <row r="1458" spans="3:6" x14ac:dyDescent="0.25">
      <c r="C1458" s="4"/>
      <c r="E1458" s="2"/>
      <c r="F1458" s="4"/>
    </row>
    <row r="1459" spans="3:6" x14ac:dyDescent="0.25">
      <c r="C1459" s="4"/>
      <c r="E1459" s="2"/>
      <c r="F1459" s="4"/>
    </row>
    <row r="1460" spans="3:6" x14ac:dyDescent="0.25">
      <c r="C1460" s="4"/>
      <c r="E1460" s="2"/>
      <c r="F1460" s="4"/>
    </row>
    <row r="1461" spans="3:6" x14ac:dyDescent="0.25">
      <c r="C1461" s="4"/>
      <c r="E1461" s="2"/>
      <c r="F1461" s="4"/>
    </row>
    <row r="1462" spans="3:6" x14ac:dyDescent="0.25">
      <c r="C1462" s="4"/>
      <c r="E1462" s="2"/>
      <c r="F1462" s="4"/>
    </row>
    <row r="1463" spans="3:6" x14ac:dyDescent="0.25">
      <c r="C1463" s="4"/>
      <c r="E1463" s="2"/>
      <c r="F1463" s="4"/>
    </row>
    <row r="1464" spans="3:6" x14ac:dyDescent="0.25">
      <c r="C1464" s="4"/>
      <c r="E1464" s="2"/>
      <c r="F1464" s="4"/>
    </row>
    <row r="1465" spans="3:6" x14ac:dyDescent="0.25">
      <c r="C1465" s="4"/>
      <c r="E1465" s="2"/>
      <c r="F1465" s="4"/>
    </row>
    <row r="1466" spans="3:6" x14ac:dyDescent="0.25">
      <c r="C1466" s="4"/>
      <c r="E1466" s="2"/>
      <c r="F1466" s="4"/>
    </row>
    <row r="1467" spans="3:6" x14ac:dyDescent="0.25">
      <c r="C1467" s="4"/>
      <c r="E1467" s="2"/>
      <c r="F1467" s="4"/>
    </row>
    <row r="1468" spans="3:6" x14ac:dyDescent="0.25">
      <c r="C1468" s="4"/>
      <c r="E1468" s="2"/>
      <c r="F1468" s="4"/>
    </row>
    <row r="1469" spans="3:6" x14ac:dyDescent="0.25">
      <c r="C1469" s="4"/>
      <c r="E1469" s="2"/>
      <c r="F1469" s="4"/>
    </row>
    <row r="1470" spans="3:6" x14ac:dyDescent="0.25">
      <c r="C1470" s="4"/>
      <c r="E1470" s="2"/>
      <c r="F1470" s="4"/>
    </row>
    <row r="1471" spans="3:6" x14ac:dyDescent="0.25">
      <c r="C1471" s="4"/>
      <c r="E1471" s="2"/>
      <c r="F1471" s="4"/>
    </row>
    <row r="1472" spans="3:6" x14ac:dyDescent="0.25">
      <c r="C1472" s="4"/>
      <c r="E1472" s="2"/>
      <c r="F1472" s="4"/>
    </row>
    <row r="1473" spans="3:6" x14ac:dyDescent="0.25">
      <c r="C1473" s="4"/>
      <c r="E1473" s="2"/>
      <c r="F1473" s="4"/>
    </row>
    <row r="1474" spans="3:6" x14ac:dyDescent="0.25">
      <c r="C1474" s="4"/>
      <c r="E1474" s="2"/>
      <c r="F1474" s="4"/>
    </row>
    <row r="1475" spans="3:6" x14ac:dyDescent="0.25">
      <c r="C1475" s="4"/>
      <c r="E1475" s="2"/>
      <c r="F1475" s="4"/>
    </row>
    <row r="1476" spans="3:6" x14ac:dyDescent="0.25">
      <c r="C1476" s="4"/>
      <c r="E1476" s="2"/>
      <c r="F1476" s="4"/>
    </row>
    <row r="1477" spans="3:6" x14ac:dyDescent="0.25">
      <c r="C1477" s="4"/>
      <c r="E1477" s="2"/>
      <c r="F1477" s="4"/>
    </row>
    <row r="1478" spans="3:6" x14ac:dyDescent="0.25">
      <c r="C1478" s="4"/>
      <c r="E1478" s="2"/>
      <c r="F1478" s="4"/>
    </row>
    <row r="1479" spans="3:6" x14ac:dyDescent="0.25">
      <c r="C1479" s="4"/>
      <c r="E1479" s="2"/>
      <c r="F1479" s="4"/>
    </row>
    <row r="1480" spans="3:6" x14ac:dyDescent="0.25">
      <c r="C1480" s="4"/>
      <c r="E1480" s="2"/>
      <c r="F1480" s="4"/>
    </row>
    <row r="1481" spans="3:6" x14ac:dyDescent="0.25">
      <c r="C1481" s="4"/>
      <c r="E1481" s="2"/>
      <c r="F1481" s="4"/>
    </row>
    <row r="1482" spans="3:6" x14ac:dyDescent="0.25">
      <c r="C1482" s="4"/>
      <c r="E1482" s="2"/>
      <c r="F1482" s="4"/>
    </row>
    <row r="1483" spans="3:6" x14ac:dyDescent="0.25">
      <c r="C1483" s="4"/>
      <c r="E1483" s="2"/>
      <c r="F1483" s="4"/>
    </row>
    <row r="1484" spans="3:6" x14ac:dyDescent="0.25">
      <c r="C1484" s="4"/>
      <c r="E1484" s="2"/>
      <c r="F1484" s="4"/>
    </row>
    <row r="1485" spans="3:6" x14ac:dyDescent="0.25">
      <c r="C1485" s="4"/>
      <c r="E1485" s="2"/>
      <c r="F1485" s="4"/>
    </row>
    <row r="1486" spans="3:6" x14ac:dyDescent="0.25">
      <c r="C1486" s="4"/>
      <c r="E1486" s="2"/>
      <c r="F1486" s="4"/>
    </row>
    <row r="1487" spans="3:6" x14ac:dyDescent="0.25">
      <c r="C1487" s="4"/>
      <c r="E1487" s="2"/>
      <c r="F1487" s="4"/>
    </row>
    <row r="1488" spans="3:6" x14ac:dyDescent="0.25">
      <c r="C1488" s="4"/>
      <c r="E1488" s="2"/>
      <c r="F1488" s="4"/>
    </row>
    <row r="1489" spans="3:6" x14ac:dyDescent="0.25">
      <c r="C1489" s="4"/>
      <c r="E1489" s="2"/>
      <c r="F1489" s="4"/>
    </row>
    <row r="1490" spans="3:6" x14ac:dyDescent="0.25">
      <c r="C1490" s="4"/>
      <c r="E1490" s="2"/>
      <c r="F1490" s="4"/>
    </row>
    <row r="1491" spans="3:6" x14ac:dyDescent="0.25">
      <c r="C1491" s="4"/>
      <c r="E1491" s="2"/>
      <c r="F1491" s="4"/>
    </row>
    <row r="1492" spans="3:6" x14ac:dyDescent="0.25">
      <c r="C1492" s="4"/>
      <c r="E1492" s="2"/>
      <c r="F1492" s="4"/>
    </row>
    <row r="1493" spans="3:6" x14ac:dyDescent="0.25">
      <c r="C1493" s="4"/>
      <c r="E1493" s="2"/>
      <c r="F1493" s="4"/>
    </row>
    <row r="1494" spans="3:6" x14ac:dyDescent="0.25">
      <c r="C1494" s="4"/>
      <c r="E1494" s="2"/>
      <c r="F1494" s="4"/>
    </row>
    <row r="1495" spans="3:6" x14ac:dyDescent="0.25">
      <c r="C1495" s="4"/>
      <c r="E1495" s="2"/>
      <c r="F1495" s="4"/>
    </row>
    <row r="1496" spans="3:6" x14ac:dyDescent="0.25">
      <c r="C1496" s="4"/>
      <c r="E1496" s="2"/>
      <c r="F1496" s="4"/>
    </row>
    <row r="1497" spans="3:6" x14ac:dyDescent="0.25">
      <c r="C1497" s="4"/>
      <c r="E1497" s="2"/>
      <c r="F1497" s="4"/>
    </row>
    <row r="1498" spans="3:6" x14ac:dyDescent="0.25">
      <c r="C1498" s="4"/>
      <c r="E1498" s="2"/>
      <c r="F1498" s="4"/>
    </row>
    <row r="1499" spans="3:6" x14ac:dyDescent="0.25">
      <c r="C1499" s="4"/>
      <c r="E1499" s="2"/>
      <c r="F1499" s="4"/>
    </row>
    <row r="1500" spans="3:6" x14ac:dyDescent="0.25">
      <c r="C1500" s="4"/>
      <c r="E1500" s="2"/>
      <c r="F1500" s="4"/>
    </row>
    <row r="1501" spans="3:6" x14ac:dyDescent="0.25">
      <c r="C1501" s="4"/>
      <c r="E1501" s="2"/>
      <c r="F1501" s="4"/>
    </row>
    <row r="1502" spans="3:6" x14ac:dyDescent="0.25">
      <c r="C1502" s="4"/>
      <c r="E1502" s="2"/>
      <c r="F1502" s="4"/>
    </row>
    <row r="1503" spans="3:6" x14ac:dyDescent="0.25">
      <c r="C1503" s="4"/>
      <c r="E1503" s="2"/>
      <c r="F1503" s="4"/>
    </row>
    <row r="1504" spans="3:6" x14ac:dyDescent="0.25">
      <c r="C1504" s="4"/>
      <c r="E1504" s="2"/>
      <c r="F1504" s="4"/>
    </row>
    <row r="1505" spans="3:6" x14ac:dyDescent="0.25">
      <c r="C1505" s="4"/>
      <c r="E1505" s="2"/>
      <c r="F1505" s="4"/>
    </row>
    <row r="1506" spans="3:6" x14ac:dyDescent="0.25">
      <c r="C1506" s="4"/>
      <c r="E1506" s="2"/>
      <c r="F1506" s="4"/>
    </row>
    <row r="1507" spans="3:6" x14ac:dyDescent="0.25">
      <c r="C1507" s="4"/>
      <c r="E1507" s="2"/>
      <c r="F1507" s="4"/>
    </row>
    <row r="1508" spans="3:6" x14ac:dyDescent="0.25">
      <c r="C1508" s="4"/>
      <c r="E1508" s="2"/>
      <c r="F1508" s="4"/>
    </row>
    <row r="1509" spans="3:6" x14ac:dyDescent="0.25">
      <c r="C1509" s="4"/>
      <c r="E1509" s="2"/>
      <c r="F1509" s="4"/>
    </row>
    <row r="1510" spans="3:6" x14ac:dyDescent="0.25">
      <c r="C1510" s="4"/>
      <c r="E1510" s="2"/>
      <c r="F1510" s="4"/>
    </row>
    <row r="1511" spans="3:6" x14ac:dyDescent="0.25">
      <c r="C1511" s="4"/>
      <c r="E1511" s="2"/>
      <c r="F1511" s="4"/>
    </row>
    <row r="1512" spans="3:6" x14ac:dyDescent="0.25">
      <c r="C1512" s="4"/>
      <c r="E1512" s="2"/>
      <c r="F1512" s="4"/>
    </row>
    <row r="1513" spans="3:6" x14ac:dyDescent="0.25">
      <c r="C1513" s="4"/>
      <c r="E1513" s="2"/>
      <c r="F1513" s="4"/>
    </row>
    <row r="1514" spans="3:6" x14ac:dyDescent="0.25">
      <c r="C1514" s="4"/>
      <c r="E1514" s="2"/>
      <c r="F1514" s="4"/>
    </row>
    <row r="1515" spans="3:6" x14ac:dyDescent="0.25">
      <c r="C1515" s="4"/>
      <c r="E1515" s="2"/>
      <c r="F1515" s="4"/>
    </row>
    <row r="1516" spans="3:6" x14ac:dyDescent="0.25">
      <c r="C1516" s="4"/>
      <c r="E1516" s="2"/>
      <c r="F1516" s="4"/>
    </row>
    <row r="1517" spans="3:6" x14ac:dyDescent="0.25">
      <c r="C1517" s="4"/>
      <c r="E1517" s="2"/>
      <c r="F1517" s="4"/>
    </row>
    <row r="1518" spans="3:6" x14ac:dyDescent="0.25">
      <c r="C1518" s="4"/>
      <c r="E1518" s="2"/>
      <c r="F1518" s="4"/>
    </row>
    <row r="1519" spans="3:6" x14ac:dyDescent="0.25">
      <c r="C1519" s="4"/>
      <c r="E1519" s="2"/>
      <c r="F1519" s="4"/>
    </row>
    <row r="1520" spans="3:6" x14ac:dyDescent="0.25">
      <c r="C1520" s="4"/>
      <c r="E1520" s="2"/>
      <c r="F1520" s="4"/>
    </row>
    <row r="1521" spans="3:6" x14ac:dyDescent="0.25">
      <c r="C1521" s="4"/>
      <c r="E1521" s="2"/>
      <c r="F1521" s="4"/>
    </row>
    <row r="1522" spans="3:6" x14ac:dyDescent="0.25">
      <c r="C1522" s="4"/>
      <c r="E1522" s="2"/>
      <c r="F1522" s="4"/>
    </row>
    <row r="1523" spans="3:6" x14ac:dyDescent="0.25">
      <c r="C1523" s="4"/>
      <c r="E1523" s="2"/>
      <c r="F1523" s="4"/>
    </row>
    <row r="1524" spans="3:6" x14ac:dyDescent="0.25">
      <c r="C1524" s="4"/>
      <c r="E1524" s="2"/>
      <c r="F1524" s="4"/>
    </row>
    <row r="1525" spans="3:6" x14ac:dyDescent="0.25">
      <c r="C1525" s="4"/>
      <c r="E1525" s="2"/>
      <c r="F1525" s="4"/>
    </row>
    <row r="1526" spans="3:6" x14ac:dyDescent="0.25">
      <c r="C1526" s="4"/>
      <c r="E1526" s="2"/>
      <c r="F1526" s="4"/>
    </row>
    <row r="1527" spans="3:6" x14ac:dyDescent="0.25">
      <c r="C1527" s="4"/>
      <c r="E1527" s="2"/>
      <c r="F1527" s="4"/>
    </row>
    <row r="1528" spans="3:6" x14ac:dyDescent="0.25">
      <c r="C1528" s="4"/>
      <c r="E1528" s="2"/>
      <c r="F1528" s="4"/>
    </row>
    <row r="1529" spans="3:6" x14ac:dyDescent="0.25">
      <c r="C1529" s="4"/>
      <c r="E1529" s="2"/>
      <c r="F1529" s="4"/>
    </row>
    <row r="1530" spans="3:6" x14ac:dyDescent="0.25">
      <c r="C1530" s="4"/>
      <c r="E1530" s="2"/>
      <c r="F1530" s="4"/>
    </row>
    <row r="1531" spans="3:6" x14ac:dyDescent="0.25">
      <c r="C1531" s="4"/>
      <c r="E1531" s="2"/>
      <c r="F1531" s="4"/>
    </row>
    <row r="1532" spans="3:6" x14ac:dyDescent="0.25">
      <c r="C1532" s="4"/>
      <c r="E1532" s="2"/>
      <c r="F1532" s="4"/>
    </row>
    <row r="1533" spans="3:6" x14ac:dyDescent="0.25">
      <c r="C1533" s="4"/>
      <c r="E1533" s="2"/>
      <c r="F1533" s="4"/>
    </row>
    <row r="1534" spans="3:6" x14ac:dyDescent="0.25">
      <c r="C1534" s="4"/>
      <c r="E1534" s="2"/>
      <c r="F1534" s="4"/>
    </row>
    <row r="1535" spans="3:6" x14ac:dyDescent="0.25">
      <c r="C1535" s="4"/>
      <c r="E1535" s="2"/>
      <c r="F1535" s="4"/>
    </row>
    <row r="1536" spans="3:6" x14ac:dyDescent="0.25">
      <c r="C1536" s="4"/>
      <c r="E1536" s="2"/>
      <c r="F1536" s="4"/>
    </row>
    <row r="1537" spans="3:6" x14ac:dyDescent="0.25">
      <c r="C1537" s="4"/>
      <c r="E1537" s="2"/>
      <c r="F1537" s="4"/>
    </row>
    <row r="1538" spans="3:6" x14ac:dyDescent="0.25">
      <c r="C1538" s="4"/>
      <c r="E1538" s="2"/>
      <c r="F1538" s="4"/>
    </row>
    <row r="1539" spans="3:6" x14ac:dyDescent="0.25">
      <c r="C1539" s="4"/>
      <c r="E1539" s="2"/>
      <c r="F1539" s="4"/>
    </row>
    <row r="1540" spans="3:6" x14ac:dyDescent="0.25">
      <c r="C1540" s="4"/>
      <c r="E1540" s="2"/>
      <c r="F1540" s="4"/>
    </row>
    <row r="1541" spans="3:6" x14ac:dyDescent="0.25">
      <c r="C1541" s="4"/>
      <c r="E1541" s="2"/>
      <c r="F1541" s="4"/>
    </row>
    <row r="1542" spans="3:6" x14ac:dyDescent="0.25">
      <c r="C1542" s="4"/>
      <c r="E1542" s="2"/>
      <c r="F1542" s="4"/>
    </row>
    <row r="1543" spans="3:6" x14ac:dyDescent="0.25">
      <c r="C1543" s="4"/>
      <c r="E1543" s="2"/>
      <c r="F1543" s="4"/>
    </row>
    <row r="1544" spans="3:6" x14ac:dyDescent="0.25">
      <c r="C1544" s="4"/>
      <c r="E1544" s="2"/>
      <c r="F1544" s="4"/>
    </row>
    <row r="1545" spans="3:6" x14ac:dyDescent="0.25">
      <c r="C1545" s="4"/>
      <c r="E1545" s="2"/>
      <c r="F1545" s="4"/>
    </row>
    <row r="1546" spans="3:6" x14ac:dyDescent="0.25">
      <c r="C1546" s="4"/>
      <c r="E1546" s="2"/>
      <c r="F1546" s="4"/>
    </row>
    <row r="1547" spans="3:6" x14ac:dyDescent="0.25">
      <c r="C1547" s="4"/>
      <c r="E1547" s="2"/>
      <c r="F1547" s="4"/>
    </row>
    <row r="1548" spans="3:6" x14ac:dyDescent="0.25">
      <c r="C1548" s="4"/>
      <c r="E1548" s="2"/>
      <c r="F1548" s="4"/>
    </row>
    <row r="1549" spans="3:6" x14ac:dyDescent="0.25">
      <c r="C1549" s="4"/>
      <c r="E1549" s="2"/>
      <c r="F1549" s="4"/>
    </row>
    <row r="1550" spans="3:6" x14ac:dyDescent="0.25">
      <c r="C1550" s="4"/>
      <c r="E1550" s="2"/>
      <c r="F1550" s="4"/>
    </row>
    <row r="1551" spans="3:6" x14ac:dyDescent="0.25">
      <c r="C1551" s="4"/>
      <c r="E1551" s="2"/>
      <c r="F1551" s="4"/>
    </row>
    <row r="1552" spans="3:6" x14ac:dyDescent="0.25">
      <c r="C1552" s="4"/>
      <c r="E1552" s="2"/>
      <c r="F1552" s="4"/>
    </row>
    <row r="1553" spans="3:6" x14ac:dyDescent="0.25">
      <c r="C1553" s="4"/>
      <c r="E1553" s="2"/>
      <c r="F1553" s="4"/>
    </row>
    <row r="1554" spans="3:6" x14ac:dyDescent="0.25">
      <c r="C1554" s="4"/>
      <c r="E1554" s="2"/>
      <c r="F1554" s="4"/>
    </row>
    <row r="1555" spans="3:6" x14ac:dyDescent="0.25">
      <c r="C1555" s="4"/>
      <c r="E1555" s="2"/>
      <c r="F1555" s="4"/>
    </row>
    <row r="1556" spans="3:6" x14ac:dyDescent="0.25">
      <c r="C1556" s="4"/>
      <c r="E1556" s="2"/>
      <c r="F1556" s="4"/>
    </row>
    <row r="1557" spans="3:6" x14ac:dyDescent="0.25">
      <c r="C1557" s="4"/>
      <c r="E1557" s="2"/>
      <c r="F1557" s="4"/>
    </row>
    <row r="1558" spans="3:6" x14ac:dyDescent="0.25">
      <c r="C1558" s="4"/>
      <c r="E1558" s="2"/>
      <c r="F1558" s="4"/>
    </row>
    <row r="1559" spans="3:6" x14ac:dyDescent="0.25">
      <c r="C1559" s="4"/>
      <c r="E1559" s="2"/>
      <c r="F1559" s="4"/>
    </row>
    <row r="1560" spans="3:6" x14ac:dyDescent="0.25">
      <c r="C1560" s="4"/>
      <c r="E1560" s="2"/>
      <c r="F1560" s="4"/>
    </row>
    <row r="1561" spans="3:6" x14ac:dyDescent="0.25">
      <c r="C1561" s="4"/>
      <c r="E1561" s="2"/>
      <c r="F1561" s="4"/>
    </row>
    <row r="1562" spans="3:6" x14ac:dyDescent="0.25">
      <c r="C1562" s="4"/>
      <c r="E1562" s="2"/>
      <c r="F1562" s="4"/>
    </row>
    <row r="1563" spans="3:6" x14ac:dyDescent="0.25">
      <c r="C1563" s="4"/>
      <c r="E1563" s="2"/>
      <c r="F1563" s="4"/>
    </row>
    <row r="1564" spans="3:6" x14ac:dyDescent="0.25">
      <c r="C1564" s="4"/>
      <c r="E1564" s="2"/>
      <c r="F1564" s="4"/>
    </row>
    <row r="1565" spans="3:6" x14ac:dyDescent="0.25">
      <c r="C1565" s="4"/>
      <c r="E1565" s="2"/>
      <c r="F1565" s="4"/>
    </row>
    <row r="1566" spans="3:6" x14ac:dyDescent="0.25">
      <c r="C1566" s="4"/>
      <c r="E1566" s="2"/>
      <c r="F1566" s="4"/>
    </row>
    <row r="1567" spans="3:6" x14ac:dyDescent="0.25">
      <c r="C1567" s="4"/>
      <c r="E1567" s="2"/>
      <c r="F1567" s="4"/>
    </row>
    <row r="1568" spans="3:6" x14ac:dyDescent="0.25">
      <c r="C1568" s="4"/>
      <c r="E1568" s="2"/>
      <c r="F1568" s="4"/>
    </row>
    <row r="1569" spans="3:6" x14ac:dyDescent="0.25">
      <c r="C1569" s="4"/>
      <c r="E1569" s="2"/>
      <c r="F1569" s="4"/>
    </row>
    <row r="1570" spans="3:6" x14ac:dyDescent="0.25">
      <c r="C1570" s="4"/>
      <c r="E1570" s="2"/>
      <c r="F1570" s="4"/>
    </row>
    <row r="1571" spans="3:6" x14ac:dyDescent="0.25">
      <c r="C1571" s="4"/>
      <c r="E1571" s="2"/>
      <c r="F1571" s="4"/>
    </row>
    <row r="1572" spans="3:6" x14ac:dyDescent="0.25">
      <c r="C1572" s="4"/>
      <c r="E1572" s="2"/>
      <c r="F1572" s="4"/>
    </row>
    <row r="1573" spans="3:6" x14ac:dyDescent="0.25">
      <c r="C1573" s="4"/>
      <c r="E1573" s="2"/>
      <c r="F1573" s="4"/>
    </row>
    <row r="1574" spans="3:6" x14ac:dyDescent="0.25">
      <c r="C1574" s="4"/>
      <c r="E1574" s="2"/>
      <c r="F1574" s="4"/>
    </row>
    <row r="1575" spans="3:6" x14ac:dyDescent="0.25">
      <c r="C1575" s="4"/>
      <c r="E1575" s="2"/>
      <c r="F1575" s="4"/>
    </row>
    <row r="1576" spans="3:6" x14ac:dyDescent="0.25">
      <c r="C1576" s="4"/>
      <c r="E1576" s="2"/>
      <c r="F1576" s="4"/>
    </row>
    <row r="1577" spans="3:6" x14ac:dyDescent="0.25">
      <c r="C1577" s="4"/>
      <c r="E1577" s="2"/>
      <c r="F1577" s="4"/>
    </row>
    <row r="1578" spans="3:6" x14ac:dyDescent="0.25">
      <c r="C1578" s="4"/>
      <c r="E1578" s="2"/>
      <c r="F1578" s="4"/>
    </row>
    <row r="1579" spans="3:6" x14ac:dyDescent="0.25">
      <c r="C1579" s="4"/>
      <c r="E1579" s="2"/>
      <c r="F1579" s="4"/>
    </row>
    <row r="1580" spans="3:6" x14ac:dyDescent="0.25">
      <c r="C1580" s="4"/>
      <c r="E1580" s="2"/>
      <c r="F1580" s="4"/>
    </row>
    <row r="1581" spans="3:6" x14ac:dyDescent="0.25">
      <c r="C1581" s="4"/>
      <c r="E1581" s="2"/>
      <c r="F1581" s="4"/>
    </row>
    <row r="1582" spans="3:6" x14ac:dyDescent="0.25">
      <c r="C1582" s="4"/>
      <c r="E1582" s="2"/>
      <c r="F1582" s="4"/>
    </row>
    <row r="1583" spans="3:6" x14ac:dyDescent="0.25">
      <c r="C1583" s="4"/>
      <c r="E1583" s="2"/>
      <c r="F1583" s="4"/>
    </row>
    <row r="1584" spans="3:6" x14ac:dyDescent="0.25">
      <c r="C1584" s="4"/>
      <c r="E1584" s="2"/>
      <c r="F1584" s="4"/>
    </row>
    <row r="1585" spans="3:6" x14ac:dyDescent="0.25">
      <c r="C1585" s="4"/>
      <c r="E1585" s="2"/>
      <c r="F1585" s="4"/>
    </row>
    <row r="1586" spans="3:6" x14ac:dyDescent="0.25">
      <c r="C1586" s="4"/>
      <c r="E1586" s="2"/>
      <c r="F1586" s="4"/>
    </row>
    <row r="1587" spans="3:6" x14ac:dyDescent="0.25">
      <c r="C1587" s="4"/>
      <c r="E1587" s="2"/>
      <c r="F1587" s="4"/>
    </row>
    <row r="1588" spans="3:6" x14ac:dyDescent="0.25">
      <c r="C1588" s="4"/>
      <c r="E1588" s="2"/>
      <c r="F1588" s="4"/>
    </row>
    <row r="1589" spans="3:6" x14ac:dyDescent="0.25">
      <c r="C1589" s="4"/>
      <c r="E1589" s="2"/>
      <c r="F1589" s="4"/>
    </row>
    <row r="1590" spans="3:6" x14ac:dyDescent="0.25">
      <c r="C1590" s="4"/>
      <c r="E1590" s="2"/>
      <c r="F1590" s="4"/>
    </row>
    <row r="1591" spans="3:6" x14ac:dyDescent="0.25">
      <c r="C1591" s="4"/>
      <c r="E1591" s="2"/>
      <c r="F1591" s="4"/>
    </row>
    <row r="1592" spans="3:6" x14ac:dyDescent="0.25">
      <c r="C1592" s="4"/>
      <c r="E1592" s="2"/>
      <c r="F1592" s="4"/>
    </row>
    <row r="1593" spans="3:6" x14ac:dyDescent="0.25">
      <c r="C1593" s="4"/>
      <c r="E1593" s="2"/>
      <c r="F1593" s="4"/>
    </row>
    <row r="1594" spans="3:6" x14ac:dyDescent="0.25">
      <c r="C1594" s="4"/>
      <c r="E1594" s="2"/>
      <c r="F1594" s="4"/>
    </row>
    <row r="1595" spans="3:6" x14ac:dyDescent="0.25">
      <c r="C1595" s="4"/>
      <c r="E1595" s="2"/>
      <c r="F1595" s="4"/>
    </row>
    <row r="1596" spans="3:6" x14ac:dyDescent="0.25">
      <c r="C1596" s="4"/>
      <c r="E1596" s="2"/>
      <c r="F1596" s="4"/>
    </row>
    <row r="1597" spans="3:6" x14ac:dyDescent="0.25">
      <c r="C1597" s="4"/>
      <c r="E1597" s="2"/>
      <c r="F1597" s="4"/>
    </row>
    <row r="1598" spans="3:6" x14ac:dyDescent="0.25">
      <c r="C1598" s="4"/>
      <c r="E1598" s="2"/>
      <c r="F1598" s="4"/>
    </row>
    <row r="1599" spans="3:6" x14ac:dyDescent="0.25">
      <c r="C1599" s="4"/>
      <c r="E1599" s="2"/>
      <c r="F1599" s="4"/>
    </row>
    <row r="1600" spans="3:6" x14ac:dyDescent="0.25">
      <c r="C1600" s="4"/>
      <c r="E1600" s="2"/>
      <c r="F1600" s="4"/>
    </row>
    <row r="1601" spans="3:6" x14ac:dyDescent="0.25">
      <c r="C1601" s="4"/>
      <c r="E1601" s="2"/>
      <c r="F1601" s="4"/>
    </row>
    <row r="1602" spans="3:6" x14ac:dyDescent="0.25">
      <c r="C1602" s="4"/>
      <c r="E1602" s="2"/>
      <c r="F1602" s="4"/>
    </row>
    <row r="1603" spans="3:6" x14ac:dyDescent="0.25">
      <c r="C1603" s="4"/>
      <c r="E1603" s="2"/>
      <c r="F1603" s="4"/>
    </row>
    <row r="1604" spans="3:6" x14ac:dyDescent="0.25">
      <c r="C1604" s="4"/>
      <c r="E1604" s="2"/>
      <c r="F1604" s="4"/>
    </row>
    <row r="1605" spans="3:6" x14ac:dyDescent="0.25">
      <c r="C1605" s="4"/>
      <c r="E1605" s="2"/>
      <c r="F1605" s="4"/>
    </row>
    <row r="1606" spans="3:6" x14ac:dyDescent="0.25">
      <c r="C1606" s="4"/>
      <c r="E1606" s="2"/>
      <c r="F1606" s="4"/>
    </row>
    <row r="1607" spans="3:6" x14ac:dyDescent="0.25">
      <c r="C1607" s="4"/>
      <c r="E1607" s="2"/>
      <c r="F1607" s="4"/>
    </row>
    <row r="1608" spans="3:6" x14ac:dyDescent="0.25">
      <c r="C1608" s="4"/>
      <c r="E1608" s="2"/>
      <c r="F1608" s="4"/>
    </row>
    <row r="1609" spans="3:6" x14ac:dyDescent="0.25">
      <c r="C1609" s="4"/>
      <c r="E1609" s="2"/>
      <c r="F1609" s="4"/>
    </row>
    <row r="1610" spans="3:6" x14ac:dyDescent="0.25">
      <c r="C1610" s="4"/>
      <c r="E1610" s="2"/>
      <c r="F1610" s="4"/>
    </row>
    <row r="1611" spans="3:6" x14ac:dyDescent="0.25">
      <c r="C1611" s="4"/>
      <c r="E1611" s="2"/>
      <c r="F1611" s="4"/>
    </row>
    <row r="1612" spans="3:6" x14ac:dyDescent="0.25">
      <c r="C1612" s="4"/>
      <c r="E1612" s="2"/>
      <c r="F1612" s="4"/>
    </row>
    <row r="1613" spans="3:6" x14ac:dyDescent="0.25">
      <c r="C1613" s="4"/>
      <c r="E1613" s="2"/>
      <c r="F1613" s="4"/>
    </row>
    <row r="1614" spans="3:6" x14ac:dyDescent="0.25">
      <c r="C1614" s="4"/>
      <c r="E1614" s="2"/>
      <c r="F1614" s="4"/>
    </row>
    <row r="1615" spans="3:6" x14ac:dyDescent="0.25">
      <c r="C1615" s="4"/>
      <c r="E1615" s="2"/>
      <c r="F1615" s="4"/>
    </row>
    <row r="1616" spans="3:6" x14ac:dyDescent="0.25">
      <c r="C1616" s="4"/>
      <c r="E1616" s="2"/>
      <c r="F1616" s="4"/>
    </row>
    <row r="1617" spans="3:6" x14ac:dyDescent="0.25">
      <c r="C1617" s="4"/>
      <c r="E1617" s="2"/>
      <c r="F1617" s="4"/>
    </row>
    <row r="1618" spans="3:6" x14ac:dyDescent="0.25">
      <c r="C1618" s="4"/>
      <c r="E1618" s="2"/>
      <c r="F1618" s="4"/>
    </row>
    <row r="1619" spans="3:6" x14ac:dyDescent="0.25">
      <c r="C1619" s="4"/>
      <c r="E1619" s="2"/>
      <c r="F1619" s="4"/>
    </row>
    <row r="1620" spans="3:6" x14ac:dyDescent="0.25">
      <c r="C1620" s="4"/>
      <c r="E1620" s="2"/>
      <c r="F1620" s="4"/>
    </row>
    <row r="1621" spans="3:6" x14ac:dyDescent="0.25">
      <c r="C1621" s="4"/>
      <c r="E1621" s="2"/>
      <c r="F1621" s="4"/>
    </row>
    <row r="1622" spans="3:6" x14ac:dyDescent="0.25">
      <c r="C1622" s="4"/>
      <c r="E1622" s="2"/>
      <c r="F1622" s="4"/>
    </row>
    <row r="1623" spans="3:6" x14ac:dyDescent="0.25">
      <c r="C1623" s="4"/>
      <c r="E1623" s="2"/>
      <c r="F1623" s="4"/>
    </row>
    <row r="1624" spans="3:6" x14ac:dyDescent="0.25">
      <c r="C1624" s="4"/>
      <c r="E1624" s="2"/>
      <c r="F1624" s="4"/>
    </row>
    <row r="1625" spans="3:6" x14ac:dyDescent="0.25">
      <c r="C1625" s="4"/>
      <c r="E1625" s="2"/>
      <c r="F1625" s="4"/>
    </row>
    <row r="1626" spans="3:6" x14ac:dyDescent="0.25">
      <c r="C1626" s="4"/>
      <c r="E1626" s="2"/>
      <c r="F1626" s="4"/>
    </row>
    <row r="1627" spans="3:6" x14ac:dyDescent="0.25">
      <c r="C1627" s="4"/>
      <c r="E1627" s="2"/>
      <c r="F1627" s="4"/>
    </row>
    <row r="1628" spans="3:6" x14ac:dyDescent="0.25">
      <c r="C1628" s="4"/>
      <c r="E1628" s="2"/>
      <c r="F1628" s="4"/>
    </row>
    <row r="1629" spans="3:6" x14ac:dyDescent="0.25">
      <c r="C1629" s="4"/>
      <c r="E1629" s="2"/>
      <c r="F1629" s="4"/>
    </row>
    <row r="1630" spans="3:6" x14ac:dyDescent="0.25">
      <c r="C1630" s="4"/>
      <c r="E1630" s="2"/>
      <c r="F1630" s="4"/>
    </row>
    <row r="1631" spans="3:6" x14ac:dyDescent="0.25">
      <c r="C1631" s="4"/>
      <c r="E1631" s="2"/>
      <c r="F1631" s="4"/>
    </row>
    <row r="1632" spans="3:6" x14ac:dyDescent="0.25">
      <c r="C1632" s="4"/>
      <c r="E1632" s="2"/>
      <c r="F1632" s="4"/>
    </row>
    <row r="1633" spans="3:6" x14ac:dyDescent="0.25">
      <c r="C1633" s="4"/>
      <c r="E1633" s="2"/>
      <c r="F1633" s="4"/>
    </row>
    <row r="1634" spans="3:6" x14ac:dyDescent="0.25">
      <c r="C1634" s="4"/>
      <c r="E1634" s="2"/>
      <c r="F1634" s="4"/>
    </row>
    <row r="1635" spans="3:6" x14ac:dyDescent="0.25">
      <c r="C1635" s="4"/>
      <c r="E1635" s="2"/>
      <c r="F1635" s="4"/>
    </row>
    <row r="1636" spans="3:6" x14ac:dyDescent="0.25">
      <c r="C1636" s="4"/>
      <c r="E1636" s="2"/>
      <c r="F1636" s="4"/>
    </row>
    <row r="1637" spans="3:6" x14ac:dyDescent="0.25">
      <c r="C1637" s="4"/>
      <c r="E1637" s="2"/>
      <c r="F1637" s="4"/>
    </row>
    <row r="1638" spans="3:6" x14ac:dyDescent="0.25">
      <c r="C1638" s="4"/>
      <c r="E1638" s="2"/>
      <c r="F1638" s="4"/>
    </row>
    <row r="1639" spans="3:6" x14ac:dyDescent="0.25">
      <c r="C1639" s="4"/>
      <c r="E1639" s="2"/>
      <c r="F1639" s="4"/>
    </row>
    <row r="1640" spans="3:6" x14ac:dyDescent="0.25">
      <c r="C1640" s="4"/>
      <c r="E1640" s="2"/>
      <c r="F1640" s="4"/>
    </row>
    <row r="1641" spans="3:6" x14ac:dyDescent="0.25">
      <c r="C1641" s="4"/>
      <c r="E1641" s="2"/>
      <c r="F1641" s="4"/>
    </row>
    <row r="1642" spans="3:6" x14ac:dyDescent="0.25">
      <c r="C1642" s="4"/>
      <c r="E1642" s="2"/>
      <c r="F1642" s="4"/>
    </row>
    <row r="1643" spans="3:6" x14ac:dyDescent="0.25">
      <c r="C1643" s="4"/>
      <c r="E1643" s="2"/>
      <c r="F1643" s="4"/>
    </row>
    <row r="1644" spans="3:6" x14ac:dyDescent="0.25">
      <c r="C1644" s="4"/>
      <c r="E1644" s="2"/>
      <c r="F1644" s="4"/>
    </row>
    <row r="1645" spans="3:6" x14ac:dyDescent="0.25">
      <c r="C1645" s="4"/>
      <c r="E1645" s="2"/>
      <c r="F1645" s="4"/>
    </row>
    <row r="1646" spans="3:6" x14ac:dyDescent="0.25">
      <c r="C1646" s="4"/>
      <c r="E1646" s="2"/>
      <c r="F1646" s="4"/>
    </row>
    <row r="1647" spans="3:6" x14ac:dyDescent="0.25">
      <c r="C1647" s="4"/>
      <c r="E1647" s="2"/>
      <c r="F1647" s="4"/>
    </row>
    <row r="1648" spans="3:6" x14ac:dyDescent="0.25">
      <c r="C1648" s="4"/>
      <c r="E1648" s="2"/>
      <c r="F1648" s="4"/>
    </row>
    <row r="1649" spans="3:6" x14ac:dyDescent="0.25">
      <c r="C1649" s="4"/>
      <c r="E1649" s="2"/>
      <c r="F1649" s="4"/>
    </row>
    <row r="1650" spans="3:6" x14ac:dyDescent="0.25">
      <c r="C1650" s="4"/>
      <c r="E1650" s="2"/>
      <c r="F1650" s="4"/>
    </row>
    <row r="1651" spans="3:6" x14ac:dyDescent="0.25">
      <c r="C1651" s="4"/>
      <c r="E1651" s="2"/>
      <c r="F1651" s="4"/>
    </row>
    <row r="1652" spans="3:6" x14ac:dyDescent="0.25">
      <c r="C1652" s="4"/>
      <c r="E1652" s="2"/>
      <c r="F1652" s="4"/>
    </row>
    <row r="1653" spans="3:6" x14ac:dyDescent="0.25">
      <c r="C1653" s="4"/>
      <c r="E1653" s="2"/>
      <c r="F1653" s="4"/>
    </row>
    <row r="1654" spans="3:6" x14ac:dyDescent="0.25">
      <c r="C1654" s="4"/>
      <c r="E1654" s="2"/>
      <c r="F1654" s="4"/>
    </row>
    <row r="1655" spans="3:6" x14ac:dyDescent="0.25">
      <c r="C1655" s="4"/>
      <c r="E1655" s="2"/>
      <c r="F1655" s="4"/>
    </row>
    <row r="1656" spans="3:6" x14ac:dyDescent="0.25">
      <c r="C1656" s="4"/>
      <c r="E1656" s="2"/>
      <c r="F1656" s="4"/>
    </row>
    <row r="1657" spans="3:6" x14ac:dyDescent="0.25">
      <c r="C1657" s="4"/>
      <c r="E1657" s="2"/>
      <c r="F1657" s="4"/>
    </row>
    <row r="1658" spans="3:6" x14ac:dyDescent="0.25">
      <c r="C1658" s="4"/>
      <c r="E1658" s="2"/>
      <c r="F1658" s="4"/>
    </row>
    <row r="1659" spans="3:6" x14ac:dyDescent="0.25">
      <c r="C1659" s="4"/>
      <c r="E1659" s="2"/>
      <c r="F1659" s="4"/>
    </row>
    <row r="1660" spans="3:6" x14ac:dyDescent="0.25">
      <c r="C1660" s="4"/>
      <c r="E1660" s="2"/>
      <c r="F1660" s="4"/>
    </row>
    <row r="1661" spans="3:6" x14ac:dyDescent="0.25">
      <c r="C1661" s="4"/>
      <c r="E1661" s="2"/>
      <c r="F1661" s="4"/>
    </row>
    <row r="1662" spans="3:6" x14ac:dyDescent="0.25">
      <c r="C1662" s="4"/>
      <c r="E1662" s="2"/>
      <c r="F1662" s="4"/>
    </row>
    <row r="1663" spans="3:6" x14ac:dyDescent="0.25">
      <c r="C1663" s="4"/>
      <c r="E1663" s="2"/>
      <c r="F1663" s="4"/>
    </row>
    <row r="1664" spans="3:6" x14ac:dyDescent="0.25">
      <c r="C1664" s="4"/>
      <c r="E1664" s="2"/>
      <c r="F1664" s="4"/>
    </row>
    <row r="1665" spans="3:6" x14ac:dyDescent="0.25">
      <c r="C1665" s="4"/>
      <c r="E1665" s="2"/>
      <c r="F1665" s="4"/>
    </row>
    <row r="1666" spans="3:6" x14ac:dyDescent="0.25">
      <c r="C1666" s="4"/>
      <c r="E1666" s="2"/>
      <c r="F1666" s="4"/>
    </row>
    <row r="1667" spans="3:6" x14ac:dyDescent="0.25">
      <c r="C1667" s="4"/>
      <c r="E1667" s="2"/>
      <c r="F1667" s="4"/>
    </row>
    <row r="1668" spans="3:6" x14ac:dyDescent="0.25">
      <c r="C1668" s="4"/>
      <c r="E1668" s="2"/>
      <c r="F1668" s="4"/>
    </row>
    <row r="1669" spans="3:6" x14ac:dyDescent="0.25">
      <c r="C1669" s="4"/>
      <c r="E1669" s="2"/>
      <c r="F1669" s="4"/>
    </row>
    <row r="1670" spans="3:6" x14ac:dyDescent="0.25">
      <c r="C1670" s="4"/>
      <c r="E1670" s="2"/>
      <c r="F1670" s="4"/>
    </row>
    <row r="1671" spans="3:6" x14ac:dyDescent="0.25">
      <c r="C1671" s="4"/>
      <c r="E1671" s="2"/>
      <c r="F1671" s="4"/>
    </row>
    <row r="1672" spans="3:6" x14ac:dyDescent="0.25">
      <c r="C1672" s="4"/>
      <c r="E1672" s="2"/>
      <c r="F1672" s="4"/>
    </row>
    <row r="1673" spans="3:6" x14ac:dyDescent="0.25">
      <c r="C1673" s="4"/>
      <c r="E1673" s="2"/>
      <c r="F1673" s="4"/>
    </row>
    <row r="1674" spans="3:6" x14ac:dyDescent="0.25">
      <c r="C1674" s="4"/>
      <c r="E1674" s="2"/>
      <c r="F1674" s="4"/>
    </row>
    <row r="1675" spans="3:6" x14ac:dyDescent="0.25">
      <c r="C1675" s="4"/>
      <c r="E1675" s="2"/>
      <c r="F1675" s="4"/>
    </row>
    <row r="1676" spans="3:6" x14ac:dyDescent="0.25">
      <c r="C1676" s="4"/>
      <c r="E1676" s="2"/>
      <c r="F1676" s="4"/>
    </row>
    <row r="1677" spans="3:6" x14ac:dyDescent="0.25">
      <c r="C1677" s="4"/>
      <c r="E1677" s="2"/>
      <c r="F1677" s="4"/>
    </row>
    <row r="1678" spans="3:6" x14ac:dyDescent="0.25">
      <c r="C1678" s="4"/>
      <c r="E1678" s="2"/>
      <c r="F1678" s="4"/>
    </row>
    <row r="1679" spans="3:6" x14ac:dyDescent="0.25">
      <c r="C1679" s="4"/>
      <c r="E1679" s="2"/>
      <c r="F1679" s="4"/>
    </row>
    <row r="1680" spans="3:6" x14ac:dyDescent="0.25">
      <c r="C1680" s="4"/>
      <c r="E1680" s="2"/>
      <c r="F1680" s="4"/>
    </row>
    <row r="1681" spans="3:6" x14ac:dyDescent="0.25">
      <c r="C1681" s="4"/>
      <c r="E1681" s="2"/>
      <c r="F1681" s="4"/>
    </row>
    <row r="1682" spans="3:6" x14ac:dyDescent="0.25">
      <c r="C1682" s="4"/>
      <c r="E1682" s="2"/>
      <c r="F1682" s="4"/>
    </row>
    <row r="1683" spans="3:6" x14ac:dyDescent="0.25">
      <c r="C1683" s="4"/>
      <c r="E1683" s="2"/>
      <c r="F1683" s="4"/>
    </row>
    <row r="1684" spans="3:6" x14ac:dyDescent="0.25">
      <c r="C1684" s="4"/>
      <c r="E1684" s="2"/>
      <c r="F1684" s="4"/>
    </row>
    <row r="1685" spans="3:6" x14ac:dyDescent="0.25">
      <c r="C1685" s="4"/>
      <c r="E1685" s="2"/>
      <c r="F1685" s="4"/>
    </row>
    <row r="1686" spans="3:6" x14ac:dyDescent="0.25">
      <c r="C1686" s="4"/>
      <c r="E1686" s="2"/>
      <c r="F1686" s="4"/>
    </row>
    <row r="1687" spans="3:6" x14ac:dyDescent="0.25">
      <c r="C1687" s="4"/>
      <c r="E1687" s="2"/>
      <c r="F1687" s="4"/>
    </row>
    <row r="1688" spans="3:6" x14ac:dyDescent="0.25">
      <c r="C1688" s="4"/>
      <c r="E1688" s="2"/>
      <c r="F1688" s="4"/>
    </row>
    <row r="1689" spans="3:6" x14ac:dyDescent="0.25">
      <c r="C1689" s="4"/>
      <c r="E1689" s="2"/>
      <c r="F1689" s="4"/>
    </row>
    <row r="1690" spans="3:6" x14ac:dyDescent="0.25">
      <c r="C1690" s="4"/>
      <c r="E1690" s="2"/>
      <c r="F1690" s="4"/>
    </row>
    <row r="1691" spans="3:6" x14ac:dyDescent="0.25">
      <c r="C1691" s="4"/>
      <c r="E1691" s="2"/>
      <c r="F1691" s="4"/>
    </row>
    <row r="1692" spans="3:6" x14ac:dyDescent="0.25">
      <c r="C1692" s="4"/>
      <c r="E1692" s="2"/>
      <c r="F1692" s="4"/>
    </row>
    <row r="1693" spans="3:6" x14ac:dyDescent="0.25">
      <c r="C1693" s="4"/>
      <c r="E1693" s="2"/>
      <c r="F1693" s="4"/>
    </row>
    <row r="1694" spans="3:6" x14ac:dyDescent="0.25">
      <c r="C1694" s="4"/>
      <c r="E1694" s="2"/>
      <c r="F1694" s="4"/>
    </row>
    <row r="1695" spans="3:6" x14ac:dyDescent="0.25">
      <c r="C1695" s="4"/>
      <c r="E1695" s="2"/>
      <c r="F1695" s="4"/>
    </row>
    <row r="1696" spans="3:6" x14ac:dyDescent="0.25">
      <c r="C1696" s="4"/>
      <c r="E1696" s="2"/>
      <c r="F1696" s="4"/>
    </row>
    <row r="1697" spans="3:6" x14ac:dyDescent="0.25">
      <c r="C1697" s="4"/>
      <c r="E1697" s="2"/>
      <c r="F1697" s="4"/>
    </row>
    <row r="1698" spans="3:6" x14ac:dyDescent="0.25">
      <c r="C1698" s="4"/>
      <c r="E1698" s="2"/>
      <c r="F1698" s="4"/>
    </row>
    <row r="1699" spans="3:6" x14ac:dyDescent="0.25">
      <c r="C1699" s="4"/>
      <c r="E1699" s="2"/>
      <c r="F1699" s="4"/>
    </row>
    <row r="1700" spans="3:6" x14ac:dyDescent="0.25">
      <c r="C1700" s="4"/>
      <c r="E1700" s="2"/>
      <c r="F1700" s="4"/>
    </row>
    <row r="1701" spans="3:6" x14ac:dyDescent="0.25">
      <c r="C1701" s="4"/>
      <c r="E1701" s="2"/>
      <c r="F1701" s="4"/>
    </row>
    <row r="1702" spans="3:6" x14ac:dyDescent="0.25">
      <c r="C1702" s="4"/>
      <c r="E1702" s="2"/>
      <c r="F1702" s="4"/>
    </row>
    <row r="1703" spans="3:6" x14ac:dyDescent="0.25">
      <c r="C1703" s="4"/>
      <c r="E1703" s="2"/>
      <c r="F1703" s="4"/>
    </row>
    <row r="1704" spans="3:6" x14ac:dyDescent="0.25">
      <c r="C1704" s="4"/>
      <c r="E1704" s="2"/>
      <c r="F1704" s="4"/>
    </row>
    <row r="1705" spans="3:6" x14ac:dyDescent="0.25">
      <c r="C1705" s="4"/>
      <c r="E1705" s="2"/>
      <c r="F1705" s="4"/>
    </row>
    <row r="1706" spans="3:6" x14ac:dyDescent="0.25">
      <c r="C1706" s="4"/>
      <c r="E1706" s="2"/>
      <c r="F1706" s="4"/>
    </row>
    <row r="1707" spans="3:6" x14ac:dyDescent="0.25">
      <c r="C1707" s="4"/>
      <c r="E1707" s="2"/>
      <c r="F1707" s="4"/>
    </row>
    <row r="1708" spans="3:6" x14ac:dyDescent="0.25">
      <c r="C1708" s="4"/>
      <c r="E1708" s="2"/>
      <c r="F1708" s="4"/>
    </row>
    <row r="1709" spans="3:6" x14ac:dyDescent="0.25">
      <c r="C1709" s="4"/>
      <c r="E1709" s="2"/>
      <c r="F1709" s="4"/>
    </row>
    <row r="1710" spans="3:6" x14ac:dyDescent="0.25">
      <c r="C1710" s="4"/>
      <c r="E1710" s="2"/>
      <c r="F1710" s="4"/>
    </row>
    <row r="1711" spans="3:6" x14ac:dyDescent="0.25">
      <c r="C1711" s="4"/>
      <c r="E1711" s="2"/>
      <c r="F1711" s="4"/>
    </row>
    <row r="1712" spans="3:6" x14ac:dyDescent="0.25">
      <c r="C1712" s="4"/>
      <c r="E1712" s="2"/>
      <c r="F1712" s="4"/>
    </row>
    <row r="1713" spans="3:6" x14ac:dyDescent="0.25">
      <c r="C1713" s="4"/>
      <c r="E1713" s="2"/>
      <c r="F1713" s="4"/>
    </row>
    <row r="1714" spans="3:6" x14ac:dyDescent="0.25">
      <c r="C1714" s="4"/>
      <c r="E1714" s="2"/>
      <c r="F1714" s="4"/>
    </row>
    <row r="1715" spans="3:6" x14ac:dyDescent="0.25">
      <c r="C1715" s="4"/>
      <c r="E1715" s="2"/>
      <c r="F1715" s="4"/>
    </row>
    <row r="1716" spans="3:6" x14ac:dyDescent="0.25">
      <c r="C1716" s="4"/>
      <c r="E1716" s="2"/>
      <c r="F1716" s="4"/>
    </row>
    <row r="1717" spans="3:6" x14ac:dyDescent="0.25">
      <c r="C1717" s="4"/>
      <c r="E1717" s="2"/>
      <c r="F1717" s="4"/>
    </row>
    <row r="1718" spans="3:6" x14ac:dyDescent="0.25">
      <c r="C1718" s="4"/>
      <c r="E1718" s="2"/>
      <c r="F1718" s="4"/>
    </row>
    <row r="1719" spans="3:6" x14ac:dyDescent="0.25">
      <c r="C1719" s="4"/>
      <c r="E1719" s="2"/>
      <c r="F1719" s="4"/>
    </row>
    <row r="1720" spans="3:6" x14ac:dyDescent="0.25">
      <c r="C1720" s="4"/>
      <c r="E1720" s="2"/>
      <c r="F1720" s="4"/>
    </row>
    <row r="1721" spans="3:6" x14ac:dyDescent="0.25">
      <c r="C1721" s="4"/>
      <c r="E1721" s="2"/>
      <c r="F1721" s="4"/>
    </row>
    <row r="1722" spans="3:6" x14ac:dyDescent="0.25">
      <c r="C1722" s="4"/>
      <c r="E1722" s="2"/>
      <c r="F1722" s="4"/>
    </row>
    <row r="1723" spans="3:6" x14ac:dyDescent="0.25">
      <c r="C1723" s="4"/>
      <c r="E1723" s="2"/>
      <c r="F1723" s="4"/>
    </row>
    <row r="1724" spans="3:6" x14ac:dyDescent="0.25">
      <c r="C1724" s="4"/>
      <c r="E1724" s="2"/>
      <c r="F1724" s="4"/>
    </row>
    <row r="1725" spans="3:6" x14ac:dyDescent="0.25">
      <c r="C1725" s="4"/>
      <c r="E1725" s="2"/>
      <c r="F1725" s="4"/>
    </row>
    <row r="1726" spans="3:6" x14ac:dyDescent="0.25">
      <c r="C1726" s="4"/>
      <c r="E1726" s="2"/>
      <c r="F1726" s="4"/>
    </row>
    <row r="1727" spans="3:6" x14ac:dyDescent="0.25">
      <c r="C1727" s="4"/>
      <c r="E1727" s="2"/>
      <c r="F1727" s="4"/>
    </row>
    <row r="1728" spans="3:6" x14ac:dyDescent="0.25">
      <c r="C1728" s="4"/>
      <c r="E1728" s="2"/>
      <c r="F1728" s="4"/>
    </row>
    <row r="1729" spans="3:6" x14ac:dyDescent="0.25">
      <c r="C1729" s="4"/>
      <c r="E1729" s="2"/>
      <c r="F1729" s="4"/>
    </row>
    <row r="1730" spans="3:6" x14ac:dyDescent="0.25">
      <c r="C1730" s="4"/>
      <c r="E1730" s="2"/>
      <c r="F1730" s="4"/>
    </row>
    <row r="1731" spans="3:6" x14ac:dyDescent="0.25">
      <c r="C1731" s="4"/>
      <c r="E1731" s="2"/>
      <c r="F1731" s="4"/>
    </row>
    <row r="1732" spans="3:6" x14ac:dyDescent="0.25">
      <c r="C1732" s="4"/>
      <c r="E1732" s="2"/>
      <c r="F1732" s="4"/>
    </row>
    <row r="1733" spans="3:6" x14ac:dyDescent="0.25">
      <c r="C1733" s="4"/>
      <c r="E1733" s="2"/>
      <c r="F1733" s="4"/>
    </row>
    <row r="1734" spans="3:6" x14ac:dyDescent="0.25">
      <c r="C1734" s="4"/>
      <c r="E1734" s="2"/>
      <c r="F1734" s="4"/>
    </row>
    <row r="1735" spans="3:6" x14ac:dyDescent="0.25">
      <c r="C1735" s="4"/>
      <c r="E1735" s="2"/>
      <c r="F1735" s="4"/>
    </row>
    <row r="1736" spans="3:6" x14ac:dyDescent="0.25">
      <c r="C1736" s="4"/>
      <c r="E1736" s="2"/>
      <c r="F1736" s="4"/>
    </row>
    <row r="1737" spans="3:6" x14ac:dyDescent="0.25">
      <c r="C1737" s="4"/>
      <c r="E1737" s="2"/>
      <c r="F1737" s="4"/>
    </row>
    <row r="1738" spans="3:6" x14ac:dyDescent="0.25">
      <c r="C1738" s="4"/>
      <c r="E1738" s="2"/>
      <c r="F1738" s="4"/>
    </row>
    <row r="1739" spans="3:6" x14ac:dyDescent="0.25">
      <c r="C1739" s="4"/>
      <c r="E1739" s="2"/>
      <c r="F1739" s="4"/>
    </row>
    <row r="1740" spans="3:6" x14ac:dyDescent="0.25">
      <c r="C1740" s="4"/>
      <c r="E1740" s="2"/>
      <c r="F1740" s="4"/>
    </row>
    <row r="1741" spans="3:6" x14ac:dyDescent="0.25">
      <c r="C1741" s="4"/>
      <c r="E1741" s="2"/>
      <c r="F1741" s="4"/>
    </row>
    <row r="1742" spans="3:6" x14ac:dyDescent="0.25">
      <c r="C1742" s="4"/>
      <c r="E1742" s="2"/>
      <c r="F1742" s="4"/>
    </row>
    <row r="1743" spans="3:6" x14ac:dyDescent="0.25">
      <c r="C1743" s="4"/>
      <c r="E1743" s="2"/>
      <c r="F1743" s="4"/>
    </row>
    <row r="1744" spans="3:6" x14ac:dyDescent="0.25">
      <c r="C1744" s="4"/>
      <c r="E1744" s="2"/>
      <c r="F1744" s="4"/>
    </row>
    <row r="1745" spans="3:6" x14ac:dyDescent="0.25">
      <c r="C1745" s="4"/>
      <c r="E1745" s="2"/>
      <c r="F1745" s="4"/>
    </row>
    <row r="1746" spans="3:6" x14ac:dyDescent="0.25">
      <c r="C1746" s="4"/>
      <c r="E1746" s="2"/>
      <c r="F1746" s="4"/>
    </row>
    <row r="1747" spans="3:6" x14ac:dyDescent="0.25">
      <c r="C1747" s="4"/>
      <c r="E1747" s="2"/>
      <c r="F1747" s="4"/>
    </row>
    <row r="1748" spans="3:6" x14ac:dyDescent="0.25">
      <c r="C1748" s="4"/>
      <c r="E1748" s="2"/>
      <c r="F1748" s="4"/>
    </row>
    <row r="1749" spans="3:6" x14ac:dyDescent="0.25">
      <c r="C1749" s="4"/>
      <c r="E1749" s="2"/>
      <c r="F1749" s="4"/>
    </row>
    <row r="1750" spans="3:6" x14ac:dyDescent="0.25">
      <c r="C1750" s="4"/>
      <c r="E1750" s="2"/>
      <c r="F1750" s="4"/>
    </row>
    <row r="1751" spans="3:6" x14ac:dyDescent="0.25">
      <c r="C1751" s="4"/>
      <c r="E1751" s="2"/>
      <c r="F1751" s="4"/>
    </row>
    <row r="1752" spans="3:6" x14ac:dyDescent="0.25">
      <c r="C1752" s="4"/>
      <c r="E1752" s="2"/>
      <c r="F1752" s="4"/>
    </row>
    <row r="1753" spans="3:6" x14ac:dyDescent="0.25">
      <c r="C1753" s="4"/>
      <c r="E1753" s="2"/>
      <c r="F1753" s="4"/>
    </row>
    <row r="1754" spans="3:6" x14ac:dyDescent="0.25">
      <c r="C1754" s="4"/>
      <c r="E1754" s="2"/>
      <c r="F1754" s="4"/>
    </row>
    <row r="1755" spans="3:6" x14ac:dyDescent="0.25">
      <c r="C1755" s="4"/>
      <c r="E1755" s="2"/>
      <c r="F1755" s="4"/>
    </row>
    <row r="1756" spans="3:6" x14ac:dyDescent="0.25">
      <c r="C1756" s="4"/>
      <c r="E1756" s="2"/>
      <c r="F1756" s="4"/>
    </row>
    <row r="1757" spans="3:6" x14ac:dyDescent="0.25">
      <c r="C1757" s="4"/>
      <c r="E1757" s="2"/>
      <c r="F1757" s="4"/>
    </row>
    <row r="1758" spans="3:6" x14ac:dyDescent="0.25">
      <c r="C1758" s="4"/>
      <c r="E1758" s="2"/>
      <c r="F1758" s="4"/>
    </row>
    <row r="1759" spans="3:6" x14ac:dyDescent="0.25">
      <c r="C1759" s="4"/>
      <c r="E1759" s="2"/>
      <c r="F1759" s="4"/>
    </row>
    <row r="1760" spans="3:6" x14ac:dyDescent="0.25">
      <c r="C1760" s="4"/>
      <c r="E1760" s="2"/>
      <c r="F1760" s="4"/>
    </row>
    <row r="1761" spans="3:6" x14ac:dyDescent="0.25">
      <c r="C1761" s="4"/>
      <c r="E1761" s="2"/>
      <c r="F1761" s="4"/>
    </row>
    <row r="1762" spans="3:6" x14ac:dyDescent="0.25">
      <c r="C1762" s="4"/>
      <c r="E1762" s="2"/>
      <c r="F1762" s="4"/>
    </row>
    <row r="1763" spans="3:6" x14ac:dyDescent="0.25">
      <c r="C1763" s="4"/>
      <c r="E1763" s="2"/>
      <c r="F1763" s="4"/>
    </row>
    <row r="1764" spans="3:6" x14ac:dyDescent="0.25">
      <c r="C1764" s="4"/>
      <c r="E1764" s="2"/>
      <c r="F1764" s="4"/>
    </row>
    <row r="1765" spans="3:6" x14ac:dyDescent="0.25">
      <c r="C1765" s="4"/>
      <c r="E1765" s="2"/>
      <c r="F1765" s="4"/>
    </row>
    <row r="1766" spans="3:6" x14ac:dyDescent="0.25">
      <c r="C1766" s="4"/>
      <c r="E1766" s="2"/>
      <c r="F1766" s="4"/>
    </row>
    <row r="1767" spans="3:6" x14ac:dyDescent="0.25">
      <c r="C1767" s="4"/>
      <c r="E1767" s="2"/>
      <c r="F1767" s="4"/>
    </row>
    <row r="1768" spans="3:6" x14ac:dyDescent="0.25">
      <c r="C1768" s="4"/>
      <c r="E1768" s="2"/>
      <c r="F1768" s="4"/>
    </row>
    <row r="1769" spans="3:6" x14ac:dyDescent="0.25">
      <c r="C1769" s="4"/>
      <c r="E1769" s="2"/>
      <c r="F1769" s="4"/>
    </row>
    <row r="1770" spans="3:6" x14ac:dyDescent="0.25">
      <c r="C1770" s="4"/>
      <c r="E1770" s="2"/>
      <c r="F1770" s="4"/>
    </row>
    <row r="1771" spans="3:6" x14ac:dyDescent="0.25">
      <c r="C1771" s="4"/>
      <c r="E1771" s="2"/>
      <c r="F1771" s="4"/>
    </row>
    <row r="1772" spans="3:6" x14ac:dyDescent="0.25">
      <c r="C1772" s="4"/>
      <c r="E1772" s="2"/>
      <c r="F1772" s="4"/>
    </row>
    <row r="1773" spans="3:6" x14ac:dyDescent="0.25">
      <c r="C1773" s="4"/>
      <c r="E1773" s="2"/>
      <c r="F1773" s="4"/>
    </row>
    <row r="1774" spans="3:6" x14ac:dyDescent="0.25">
      <c r="C1774" s="4"/>
      <c r="E1774" s="2"/>
      <c r="F1774" s="4"/>
    </row>
    <row r="1775" spans="3:6" x14ac:dyDescent="0.25">
      <c r="C1775" s="4"/>
      <c r="E1775" s="2"/>
      <c r="F1775" s="4"/>
    </row>
    <row r="1776" spans="3:6" x14ac:dyDescent="0.25">
      <c r="C1776" s="4"/>
      <c r="E1776" s="2"/>
      <c r="F1776" s="4"/>
    </row>
    <row r="1777" spans="3:6" x14ac:dyDescent="0.25">
      <c r="C1777" s="4"/>
      <c r="E1777" s="2"/>
      <c r="F1777" s="4"/>
    </row>
    <row r="1778" spans="3:6" x14ac:dyDescent="0.25">
      <c r="C1778" s="4"/>
      <c r="E1778" s="2"/>
      <c r="F1778" s="4"/>
    </row>
    <row r="1779" spans="3:6" x14ac:dyDescent="0.25">
      <c r="C1779" s="4"/>
      <c r="E1779" s="2"/>
      <c r="F1779" s="4"/>
    </row>
    <row r="1780" spans="3:6" x14ac:dyDescent="0.25">
      <c r="C1780" s="4"/>
      <c r="E1780" s="2"/>
      <c r="F1780" s="4"/>
    </row>
    <row r="1781" spans="3:6" x14ac:dyDescent="0.25">
      <c r="C1781" s="4"/>
      <c r="E1781" s="2"/>
      <c r="F1781" s="4"/>
    </row>
    <row r="1782" spans="3:6" x14ac:dyDescent="0.25">
      <c r="C1782" s="4"/>
      <c r="E1782" s="2"/>
      <c r="F1782" s="4"/>
    </row>
    <row r="1783" spans="3:6" x14ac:dyDescent="0.25">
      <c r="C1783" s="4"/>
      <c r="E1783" s="2"/>
      <c r="F1783" s="4"/>
    </row>
    <row r="1784" spans="3:6" x14ac:dyDescent="0.25">
      <c r="C1784" s="4"/>
      <c r="E1784" s="2"/>
      <c r="F1784" s="4"/>
    </row>
    <row r="1785" spans="3:6" x14ac:dyDescent="0.25">
      <c r="C1785" s="4"/>
      <c r="E1785" s="2"/>
      <c r="F1785" s="4"/>
    </row>
    <row r="1786" spans="3:6" x14ac:dyDescent="0.25">
      <c r="C1786" s="4"/>
      <c r="E1786" s="2"/>
      <c r="F1786" s="4"/>
    </row>
    <row r="1787" spans="3:6" x14ac:dyDescent="0.25">
      <c r="C1787" s="4"/>
      <c r="E1787" s="2"/>
      <c r="F1787" s="4"/>
    </row>
    <row r="1788" spans="3:6" x14ac:dyDescent="0.25">
      <c r="C1788" s="4"/>
      <c r="E1788" s="2"/>
      <c r="F1788" s="4"/>
    </row>
    <row r="1789" spans="3:6" x14ac:dyDescent="0.25">
      <c r="C1789" s="4"/>
      <c r="E1789" s="2"/>
      <c r="F1789" s="4"/>
    </row>
    <row r="1790" spans="3:6" x14ac:dyDescent="0.25">
      <c r="C1790" s="4"/>
      <c r="E1790" s="2"/>
      <c r="F1790" s="4"/>
    </row>
    <row r="1791" spans="3:6" x14ac:dyDescent="0.25">
      <c r="C1791" s="4"/>
      <c r="E1791" s="2"/>
      <c r="F1791" s="4"/>
    </row>
    <row r="1792" spans="3:6" x14ac:dyDescent="0.25">
      <c r="C1792" s="4"/>
      <c r="E1792" s="2"/>
      <c r="F1792" s="4"/>
    </row>
    <row r="1793" spans="3:6" x14ac:dyDescent="0.25">
      <c r="C1793" s="4"/>
      <c r="E1793" s="2"/>
      <c r="F1793" s="4"/>
    </row>
    <row r="1794" spans="3:6" x14ac:dyDescent="0.25">
      <c r="C1794" s="4"/>
      <c r="E1794" s="2"/>
      <c r="F1794" s="4"/>
    </row>
    <row r="1795" spans="3:6" x14ac:dyDescent="0.25">
      <c r="C1795" s="4"/>
      <c r="E1795" s="2"/>
      <c r="F1795" s="4"/>
    </row>
    <row r="1796" spans="3:6" x14ac:dyDescent="0.25">
      <c r="C1796" s="4"/>
      <c r="E1796" s="2"/>
      <c r="F1796" s="4"/>
    </row>
    <row r="1797" spans="3:6" x14ac:dyDescent="0.25">
      <c r="C1797" s="4"/>
      <c r="E1797" s="2"/>
      <c r="F1797" s="4"/>
    </row>
    <row r="1798" spans="3:6" x14ac:dyDescent="0.25">
      <c r="C1798" s="4"/>
      <c r="E1798" s="2"/>
      <c r="F1798" s="4"/>
    </row>
    <row r="1799" spans="3:6" x14ac:dyDescent="0.25">
      <c r="C1799" s="4"/>
      <c r="E1799" s="2"/>
      <c r="F1799" s="4"/>
    </row>
    <row r="1800" spans="3:6" x14ac:dyDescent="0.25">
      <c r="C1800" s="4"/>
      <c r="E1800" s="2"/>
      <c r="F1800" s="4"/>
    </row>
    <row r="1801" spans="3:6" x14ac:dyDescent="0.25">
      <c r="C1801" s="4"/>
      <c r="E1801" s="2"/>
      <c r="F1801" s="4"/>
    </row>
    <row r="1802" spans="3:6" x14ac:dyDescent="0.25">
      <c r="C1802" s="4"/>
      <c r="E1802" s="2"/>
      <c r="F1802" s="4"/>
    </row>
    <row r="1803" spans="3:6" x14ac:dyDescent="0.25">
      <c r="C1803" s="4"/>
      <c r="E1803" s="2"/>
      <c r="F1803" s="4"/>
    </row>
    <row r="1804" spans="3:6" x14ac:dyDescent="0.25">
      <c r="C1804" s="4"/>
      <c r="E1804" s="2"/>
      <c r="F1804" s="4"/>
    </row>
    <row r="1805" spans="3:6" x14ac:dyDescent="0.25">
      <c r="C1805" s="4"/>
      <c r="E1805" s="2"/>
      <c r="F1805" s="4"/>
    </row>
    <row r="1806" spans="3:6" x14ac:dyDescent="0.25">
      <c r="C1806" s="4"/>
      <c r="E1806" s="2"/>
      <c r="F1806" s="4"/>
    </row>
    <row r="1807" spans="3:6" x14ac:dyDescent="0.25">
      <c r="C1807" s="4"/>
      <c r="E1807" s="2"/>
      <c r="F1807" s="4"/>
    </row>
    <row r="1808" spans="3:6" x14ac:dyDescent="0.25">
      <c r="C1808" s="4"/>
      <c r="E1808" s="2"/>
      <c r="F1808" s="4"/>
    </row>
    <row r="1809" spans="3:6" x14ac:dyDescent="0.25">
      <c r="C1809" s="4"/>
      <c r="E1809" s="2"/>
      <c r="F1809" s="4"/>
    </row>
    <row r="1810" spans="3:6" x14ac:dyDescent="0.25">
      <c r="C1810" s="4"/>
      <c r="E1810" s="2"/>
      <c r="F1810" s="4"/>
    </row>
    <row r="1811" spans="3:6" x14ac:dyDescent="0.25">
      <c r="C1811" s="4"/>
      <c r="E1811" s="2"/>
      <c r="F1811" s="4"/>
    </row>
    <row r="1812" spans="3:6" x14ac:dyDescent="0.25">
      <c r="C1812" s="4"/>
      <c r="E1812" s="2"/>
      <c r="F1812" s="4"/>
    </row>
    <row r="1813" spans="3:6" x14ac:dyDescent="0.25">
      <c r="C1813" s="4"/>
      <c r="E1813" s="2"/>
      <c r="F1813" s="4"/>
    </row>
    <row r="1814" spans="3:6" x14ac:dyDescent="0.25">
      <c r="C1814" s="4"/>
      <c r="E1814" s="2"/>
      <c r="F1814" s="4"/>
    </row>
    <row r="1815" spans="3:6" x14ac:dyDescent="0.25">
      <c r="C1815" s="4"/>
      <c r="E1815" s="2"/>
      <c r="F1815" s="4"/>
    </row>
    <row r="1816" spans="3:6" x14ac:dyDescent="0.25">
      <c r="C1816" s="4"/>
      <c r="E1816" s="2"/>
      <c r="F1816" s="4"/>
    </row>
    <row r="1817" spans="3:6" x14ac:dyDescent="0.25">
      <c r="C1817" s="4"/>
      <c r="E1817" s="2"/>
      <c r="F1817" s="4"/>
    </row>
    <row r="1818" spans="3:6" x14ac:dyDescent="0.25">
      <c r="C1818" s="4"/>
      <c r="E1818" s="2"/>
      <c r="F1818" s="4"/>
    </row>
    <row r="1819" spans="3:6" x14ac:dyDescent="0.25">
      <c r="C1819" s="4"/>
      <c r="E1819" s="2"/>
      <c r="F1819" s="4"/>
    </row>
    <row r="1820" spans="3:6" x14ac:dyDescent="0.25">
      <c r="C1820" s="4"/>
      <c r="E1820" s="2"/>
      <c r="F1820" s="4"/>
    </row>
    <row r="1821" spans="3:6" x14ac:dyDescent="0.25">
      <c r="C1821" s="4"/>
      <c r="E1821" s="2"/>
      <c r="F1821" s="4"/>
    </row>
    <row r="1822" spans="3:6" x14ac:dyDescent="0.25">
      <c r="C1822" s="4"/>
      <c r="E1822" s="2"/>
      <c r="F1822" s="4"/>
    </row>
    <row r="1823" spans="3:6" x14ac:dyDescent="0.25">
      <c r="C1823" s="4"/>
      <c r="E1823" s="2"/>
      <c r="F1823" s="4"/>
    </row>
    <row r="1824" spans="3:6" x14ac:dyDescent="0.25">
      <c r="C1824" s="4"/>
      <c r="E1824" s="2"/>
      <c r="F1824" s="4"/>
    </row>
    <row r="1825" spans="3:6" x14ac:dyDescent="0.25">
      <c r="C1825" s="4"/>
      <c r="E1825" s="2"/>
      <c r="F1825" s="4"/>
    </row>
    <row r="1826" spans="3:6" x14ac:dyDescent="0.25">
      <c r="C1826" s="4"/>
      <c r="E1826" s="2"/>
      <c r="F1826" s="4"/>
    </row>
    <row r="1827" spans="3:6" x14ac:dyDescent="0.25">
      <c r="C1827" s="4"/>
      <c r="E1827" s="2"/>
      <c r="F1827" s="4"/>
    </row>
    <row r="1828" spans="3:6" x14ac:dyDescent="0.25">
      <c r="C1828" s="4"/>
      <c r="E1828" s="2"/>
      <c r="F1828" s="4"/>
    </row>
    <row r="1829" spans="3:6" x14ac:dyDescent="0.25">
      <c r="C1829" s="4"/>
      <c r="E1829" s="2"/>
      <c r="F1829" s="4"/>
    </row>
    <row r="1830" spans="3:6" x14ac:dyDescent="0.25">
      <c r="C1830" s="4"/>
      <c r="E1830" s="2"/>
      <c r="F1830" s="4"/>
    </row>
    <row r="1831" spans="3:6" x14ac:dyDescent="0.25">
      <c r="C1831" s="4"/>
      <c r="E1831" s="2"/>
      <c r="F1831" s="4"/>
    </row>
    <row r="1832" spans="3:6" x14ac:dyDescent="0.25">
      <c r="C1832" s="4"/>
      <c r="E1832" s="2"/>
      <c r="F1832" s="4"/>
    </row>
    <row r="1833" spans="3:6" x14ac:dyDescent="0.25">
      <c r="C1833" s="4"/>
      <c r="E1833" s="2"/>
      <c r="F1833" s="4"/>
    </row>
    <row r="1834" spans="3:6" x14ac:dyDescent="0.25">
      <c r="C1834" s="4"/>
      <c r="E1834" s="2"/>
      <c r="F1834" s="4"/>
    </row>
    <row r="1835" spans="3:6" x14ac:dyDescent="0.25">
      <c r="C1835" s="4"/>
      <c r="E1835" s="2"/>
      <c r="F1835" s="4"/>
    </row>
    <row r="1836" spans="3:6" x14ac:dyDescent="0.25">
      <c r="C1836" s="4"/>
      <c r="E1836" s="2"/>
      <c r="F1836" s="4"/>
    </row>
    <row r="1837" spans="3:6" x14ac:dyDescent="0.25">
      <c r="C1837" s="4"/>
      <c r="E1837" s="2"/>
      <c r="F1837" s="4"/>
    </row>
    <row r="1838" spans="3:6" x14ac:dyDescent="0.25">
      <c r="C1838" s="4"/>
      <c r="E1838" s="2"/>
      <c r="F1838" s="4"/>
    </row>
    <row r="1839" spans="3:6" x14ac:dyDescent="0.25">
      <c r="C1839" s="4"/>
      <c r="E1839" s="2"/>
      <c r="F1839" s="4"/>
    </row>
    <row r="1840" spans="3:6" x14ac:dyDescent="0.25">
      <c r="C1840" s="4"/>
      <c r="E1840" s="2"/>
      <c r="F1840" s="4"/>
    </row>
    <row r="1841" spans="3:6" x14ac:dyDescent="0.25">
      <c r="C1841" s="4"/>
      <c r="E1841" s="2"/>
      <c r="F1841" s="4"/>
    </row>
    <row r="1842" spans="3:6" x14ac:dyDescent="0.25">
      <c r="C1842" s="4"/>
      <c r="E1842" s="2"/>
      <c r="F1842" s="4"/>
    </row>
    <row r="1843" spans="3:6" x14ac:dyDescent="0.25">
      <c r="C1843" s="4"/>
      <c r="E1843" s="2"/>
      <c r="F1843" s="4"/>
    </row>
    <row r="1844" spans="3:6" x14ac:dyDescent="0.25">
      <c r="C1844" s="4"/>
      <c r="E1844" s="2"/>
      <c r="F1844" s="4"/>
    </row>
    <row r="1845" spans="3:6" x14ac:dyDescent="0.25">
      <c r="C1845" s="4"/>
      <c r="E1845" s="2"/>
      <c r="F1845" s="4"/>
    </row>
    <row r="1846" spans="3:6" x14ac:dyDescent="0.25">
      <c r="C1846" s="4"/>
      <c r="E1846" s="2"/>
      <c r="F1846" s="4"/>
    </row>
    <row r="1847" spans="3:6" x14ac:dyDescent="0.25">
      <c r="C1847" s="4"/>
      <c r="E1847" s="2"/>
      <c r="F1847" s="4"/>
    </row>
    <row r="1848" spans="3:6" x14ac:dyDescent="0.25">
      <c r="C1848" s="4"/>
      <c r="E1848" s="2"/>
      <c r="F1848" s="4"/>
    </row>
    <row r="1849" spans="3:6" x14ac:dyDescent="0.25">
      <c r="C1849" s="4"/>
      <c r="E1849" s="2"/>
      <c r="F1849" s="4"/>
    </row>
    <row r="1850" spans="3:6" x14ac:dyDescent="0.25">
      <c r="C1850" s="4"/>
      <c r="E1850" s="2"/>
      <c r="F1850" s="4"/>
    </row>
    <row r="1851" spans="3:6" x14ac:dyDescent="0.25">
      <c r="C1851" s="4"/>
      <c r="E1851" s="2"/>
      <c r="F1851" s="4"/>
    </row>
    <row r="1852" spans="3:6" x14ac:dyDescent="0.25">
      <c r="C1852" s="4"/>
      <c r="E1852" s="2"/>
      <c r="F1852" s="4"/>
    </row>
    <row r="1853" spans="3:6" x14ac:dyDescent="0.25">
      <c r="C1853" s="4"/>
      <c r="E1853" s="2"/>
      <c r="F1853" s="4"/>
    </row>
    <row r="1854" spans="3:6" x14ac:dyDescent="0.25">
      <c r="C1854" s="4"/>
      <c r="E1854" s="2"/>
      <c r="F1854" s="4"/>
    </row>
    <row r="1855" spans="3:6" x14ac:dyDescent="0.25">
      <c r="C1855" s="4"/>
      <c r="E1855" s="2"/>
      <c r="F1855" s="4"/>
    </row>
    <row r="1856" spans="3:6" x14ac:dyDescent="0.25">
      <c r="C1856" s="4"/>
      <c r="E1856" s="2"/>
      <c r="F1856" s="4"/>
    </row>
    <row r="1857" spans="3:6" x14ac:dyDescent="0.25">
      <c r="C1857" s="4"/>
      <c r="E1857" s="2"/>
      <c r="F1857" s="4"/>
    </row>
    <row r="1858" spans="3:6" x14ac:dyDescent="0.25">
      <c r="C1858" s="4"/>
      <c r="E1858" s="2"/>
      <c r="F1858" s="4"/>
    </row>
    <row r="1859" spans="3:6" x14ac:dyDescent="0.25">
      <c r="C1859" s="4"/>
      <c r="E1859" s="2"/>
      <c r="F1859" s="4"/>
    </row>
    <row r="1860" spans="3:6" x14ac:dyDescent="0.25">
      <c r="C1860" s="4"/>
      <c r="E1860" s="2"/>
      <c r="F1860" s="4"/>
    </row>
    <row r="1861" spans="3:6" x14ac:dyDescent="0.25">
      <c r="C1861" s="4"/>
      <c r="E1861" s="2"/>
      <c r="F1861" s="4"/>
    </row>
    <row r="1862" spans="3:6" x14ac:dyDescent="0.25">
      <c r="C1862" s="4"/>
      <c r="E1862" s="2"/>
      <c r="F1862" s="4"/>
    </row>
    <row r="1863" spans="3:6" x14ac:dyDescent="0.25">
      <c r="C1863" s="4"/>
      <c r="E1863" s="2"/>
      <c r="F1863" s="4"/>
    </row>
    <row r="1864" spans="3:6" x14ac:dyDescent="0.25">
      <c r="C1864" s="4"/>
      <c r="E1864" s="2"/>
      <c r="F1864" s="4"/>
    </row>
    <row r="1865" spans="3:6" x14ac:dyDescent="0.25">
      <c r="C1865" s="4"/>
      <c r="E1865" s="2"/>
      <c r="F1865" s="4"/>
    </row>
    <row r="1866" spans="3:6" x14ac:dyDescent="0.25">
      <c r="C1866" s="4"/>
      <c r="E1866" s="2"/>
      <c r="F1866" s="4"/>
    </row>
    <row r="1867" spans="3:6" x14ac:dyDescent="0.25">
      <c r="C1867" s="4"/>
      <c r="E1867" s="2"/>
      <c r="F1867" s="4"/>
    </row>
    <row r="1868" spans="3:6" x14ac:dyDescent="0.25">
      <c r="C1868" s="4"/>
      <c r="E1868" s="2"/>
      <c r="F1868" s="4"/>
    </row>
    <row r="1869" spans="3:6" x14ac:dyDescent="0.25">
      <c r="C1869" s="4"/>
      <c r="E1869" s="2"/>
      <c r="F1869" s="4"/>
    </row>
    <row r="1870" spans="3:6" x14ac:dyDescent="0.25">
      <c r="C1870" s="4"/>
      <c r="E1870" s="2"/>
      <c r="F1870" s="4"/>
    </row>
    <row r="1871" spans="3:6" x14ac:dyDescent="0.25">
      <c r="C1871" s="4"/>
      <c r="E1871" s="2"/>
      <c r="F1871" s="4"/>
    </row>
    <row r="1872" spans="3:6" x14ac:dyDescent="0.25">
      <c r="C1872" s="4"/>
      <c r="E1872" s="2"/>
      <c r="F1872" s="4"/>
    </row>
    <row r="1873" spans="3:6" x14ac:dyDescent="0.25">
      <c r="C1873" s="4"/>
      <c r="E1873" s="2"/>
      <c r="F1873" s="4"/>
    </row>
    <row r="1874" spans="3:6" x14ac:dyDescent="0.25">
      <c r="C1874" s="4"/>
      <c r="E1874" s="2"/>
      <c r="F1874" s="4"/>
    </row>
    <row r="1875" spans="3:6" x14ac:dyDescent="0.25">
      <c r="C1875" s="4"/>
      <c r="E1875" s="2"/>
      <c r="F1875" s="4"/>
    </row>
    <row r="1876" spans="3:6" x14ac:dyDescent="0.25">
      <c r="C1876" s="4"/>
      <c r="E1876" s="2"/>
      <c r="F1876" s="4"/>
    </row>
    <row r="1877" spans="3:6" x14ac:dyDescent="0.25">
      <c r="C1877" s="4"/>
      <c r="E1877" s="2"/>
      <c r="F1877" s="4"/>
    </row>
    <row r="1878" spans="3:6" x14ac:dyDescent="0.25">
      <c r="C1878" s="4"/>
      <c r="E1878" s="2"/>
      <c r="F1878" s="4"/>
    </row>
    <row r="1879" spans="3:6" x14ac:dyDescent="0.25">
      <c r="C1879" s="4"/>
      <c r="E1879" s="2"/>
      <c r="F1879" s="4"/>
    </row>
    <row r="1880" spans="3:6" x14ac:dyDescent="0.25">
      <c r="C1880" s="4"/>
      <c r="E1880" s="2"/>
      <c r="F1880" s="4"/>
    </row>
    <row r="1881" spans="3:6" x14ac:dyDescent="0.25">
      <c r="C1881" s="4"/>
      <c r="E1881" s="2"/>
      <c r="F1881" s="4"/>
    </row>
    <row r="1882" spans="3:6" x14ac:dyDescent="0.25">
      <c r="C1882" s="4"/>
      <c r="E1882" s="2"/>
      <c r="F1882" s="4"/>
    </row>
    <row r="1883" spans="3:6" x14ac:dyDescent="0.25">
      <c r="C1883" s="4"/>
      <c r="E1883" s="2"/>
      <c r="F1883" s="4"/>
    </row>
    <row r="1884" spans="3:6" x14ac:dyDescent="0.25">
      <c r="C1884" s="4"/>
      <c r="E1884" s="2"/>
      <c r="F1884" s="4"/>
    </row>
    <row r="1885" spans="3:6" x14ac:dyDescent="0.25">
      <c r="C1885" s="4"/>
      <c r="E1885" s="2"/>
      <c r="F1885" s="4"/>
    </row>
    <row r="1886" spans="3:6" x14ac:dyDescent="0.25">
      <c r="C1886" s="4"/>
      <c r="E1886" s="2"/>
      <c r="F1886" s="4"/>
    </row>
    <row r="1887" spans="3:6" x14ac:dyDescent="0.25">
      <c r="C1887" s="4"/>
      <c r="E1887" s="2"/>
      <c r="F1887" s="4"/>
    </row>
    <row r="1888" spans="3:6" x14ac:dyDescent="0.25">
      <c r="C1888" s="4"/>
      <c r="E1888" s="2"/>
      <c r="F1888" s="4"/>
    </row>
    <row r="1889" spans="3:6" x14ac:dyDescent="0.25">
      <c r="C1889" s="4"/>
      <c r="E1889" s="2"/>
      <c r="F1889" s="4"/>
    </row>
    <row r="1890" spans="3:6" x14ac:dyDescent="0.25">
      <c r="C1890" s="4"/>
      <c r="E1890" s="2"/>
      <c r="F1890" s="4"/>
    </row>
    <row r="1891" spans="3:6" x14ac:dyDescent="0.25">
      <c r="C1891" s="4"/>
      <c r="E1891" s="2"/>
      <c r="F1891" s="4"/>
    </row>
    <row r="1892" spans="3:6" x14ac:dyDescent="0.25">
      <c r="C1892" s="4"/>
      <c r="E1892" s="2"/>
      <c r="F1892" s="4"/>
    </row>
    <row r="1893" spans="3:6" x14ac:dyDescent="0.25">
      <c r="C1893" s="4"/>
      <c r="E1893" s="2"/>
      <c r="F1893" s="4"/>
    </row>
    <row r="1894" spans="3:6" x14ac:dyDescent="0.25">
      <c r="C1894" s="4"/>
      <c r="E1894" s="2"/>
      <c r="F1894" s="4"/>
    </row>
    <row r="1895" spans="3:6" x14ac:dyDescent="0.25">
      <c r="C1895" s="4"/>
      <c r="E1895" s="2"/>
      <c r="F1895" s="4"/>
    </row>
    <row r="1896" spans="3:6" x14ac:dyDescent="0.25">
      <c r="C1896" s="4"/>
      <c r="E1896" s="2"/>
      <c r="F1896" s="4"/>
    </row>
    <row r="1897" spans="3:6" x14ac:dyDescent="0.25">
      <c r="C1897" s="4"/>
      <c r="E1897" s="2"/>
      <c r="F1897" s="4"/>
    </row>
    <row r="1898" spans="3:6" x14ac:dyDescent="0.25">
      <c r="C1898" s="4"/>
      <c r="E1898" s="2"/>
      <c r="F1898" s="4"/>
    </row>
    <row r="1899" spans="3:6" x14ac:dyDescent="0.25">
      <c r="C1899" s="4"/>
      <c r="E1899" s="2"/>
      <c r="F1899" s="4"/>
    </row>
    <row r="1900" spans="3:6" x14ac:dyDescent="0.25">
      <c r="C1900" s="4"/>
      <c r="E1900" s="2"/>
      <c r="F1900" s="4"/>
    </row>
    <row r="1901" spans="3:6" x14ac:dyDescent="0.25">
      <c r="C1901" s="4"/>
      <c r="E1901" s="2"/>
      <c r="F1901" s="4"/>
    </row>
    <row r="1902" spans="3:6" x14ac:dyDescent="0.25">
      <c r="C1902" s="4"/>
      <c r="E1902" s="2"/>
      <c r="F1902" s="4"/>
    </row>
    <row r="1903" spans="3:6" x14ac:dyDescent="0.25">
      <c r="C1903" s="4"/>
      <c r="E1903" s="2"/>
      <c r="F1903" s="4"/>
    </row>
    <row r="1904" spans="3:6" x14ac:dyDescent="0.25">
      <c r="C1904" s="4"/>
      <c r="E1904" s="2"/>
      <c r="F1904" s="4"/>
    </row>
    <row r="1905" spans="3:6" x14ac:dyDescent="0.25">
      <c r="C1905" s="4"/>
      <c r="E1905" s="2"/>
      <c r="F1905" s="4"/>
    </row>
    <row r="1906" spans="3:6" x14ac:dyDescent="0.25">
      <c r="C1906" s="4"/>
      <c r="E1906" s="2"/>
      <c r="F1906" s="4"/>
    </row>
    <row r="1907" spans="3:6" x14ac:dyDescent="0.25">
      <c r="C1907" s="4"/>
      <c r="E1907" s="2"/>
      <c r="F1907" s="4"/>
    </row>
    <row r="1908" spans="3:6" x14ac:dyDescent="0.25">
      <c r="C1908" s="4"/>
      <c r="E1908" s="2"/>
      <c r="F1908" s="4"/>
    </row>
    <row r="1909" spans="3:6" x14ac:dyDescent="0.25">
      <c r="C1909" s="4"/>
      <c r="E1909" s="2"/>
      <c r="F1909" s="4"/>
    </row>
    <row r="1910" spans="3:6" x14ac:dyDescent="0.25">
      <c r="C1910" s="4"/>
      <c r="E1910" s="2"/>
      <c r="F1910" s="4"/>
    </row>
    <row r="1911" spans="3:6" x14ac:dyDescent="0.25">
      <c r="C1911" s="4"/>
      <c r="E1911" s="2"/>
      <c r="F1911" s="4"/>
    </row>
    <row r="1912" spans="3:6" x14ac:dyDescent="0.25">
      <c r="C1912" s="4"/>
      <c r="E1912" s="2"/>
      <c r="F1912" s="4"/>
    </row>
    <row r="1913" spans="3:6" x14ac:dyDescent="0.25">
      <c r="C1913" s="4"/>
      <c r="E1913" s="2"/>
      <c r="F1913" s="4"/>
    </row>
    <row r="1914" spans="3:6" x14ac:dyDescent="0.25">
      <c r="C1914" s="4"/>
      <c r="E1914" s="2"/>
      <c r="F1914" s="4"/>
    </row>
    <row r="1915" spans="3:6" x14ac:dyDescent="0.25">
      <c r="C1915" s="4"/>
      <c r="E1915" s="2"/>
      <c r="F1915" s="4"/>
    </row>
    <row r="1916" spans="3:6" x14ac:dyDescent="0.25">
      <c r="C1916" s="4"/>
      <c r="E1916" s="2"/>
      <c r="F1916" s="4"/>
    </row>
    <row r="1917" spans="3:6" x14ac:dyDescent="0.25">
      <c r="C1917" s="4"/>
      <c r="E1917" s="2"/>
      <c r="F1917" s="4"/>
    </row>
    <row r="1918" spans="3:6" x14ac:dyDescent="0.25">
      <c r="C1918" s="4"/>
      <c r="E1918" s="2"/>
      <c r="F1918" s="4"/>
    </row>
    <row r="1919" spans="3:6" x14ac:dyDescent="0.25">
      <c r="C1919" s="4"/>
      <c r="E1919" s="2"/>
      <c r="F1919" s="4"/>
    </row>
    <row r="1920" spans="3:6" x14ac:dyDescent="0.25">
      <c r="C1920" s="4"/>
      <c r="E1920" s="2"/>
      <c r="F1920" s="4"/>
    </row>
    <row r="1921" spans="3:6" x14ac:dyDescent="0.25">
      <c r="C1921" s="4"/>
      <c r="E1921" s="2"/>
      <c r="F1921" s="4"/>
    </row>
    <row r="1922" spans="3:6" x14ac:dyDescent="0.25">
      <c r="C1922" s="4"/>
      <c r="E1922" s="2"/>
      <c r="F1922" s="4"/>
    </row>
    <row r="1923" spans="3:6" x14ac:dyDescent="0.25">
      <c r="C1923" s="4"/>
      <c r="E1923" s="2"/>
      <c r="F1923" s="4"/>
    </row>
    <row r="1924" spans="3:6" x14ac:dyDescent="0.25">
      <c r="C1924" s="4"/>
      <c r="E1924" s="2"/>
      <c r="F1924" s="4"/>
    </row>
    <row r="1925" spans="3:6" x14ac:dyDescent="0.25">
      <c r="C1925" s="4"/>
      <c r="E1925" s="2"/>
      <c r="F1925" s="4"/>
    </row>
    <row r="1926" spans="3:6" x14ac:dyDescent="0.25">
      <c r="C1926" s="4"/>
      <c r="E1926" s="2"/>
      <c r="F1926" s="4"/>
    </row>
    <row r="1927" spans="3:6" x14ac:dyDescent="0.25">
      <c r="C1927" s="4"/>
      <c r="E1927" s="2"/>
      <c r="F1927" s="4"/>
    </row>
    <row r="1928" spans="3:6" x14ac:dyDescent="0.25">
      <c r="C1928" s="4"/>
      <c r="E1928" s="2"/>
      <c r="F1928" s="4"/>
    </row>
    <row r="1929" spans="3:6" x14ac:dyDescent="0.25">
      <c r="C1929" s="4"/>
      <c r="E1929" s="2"/>
      <c r="F1929" s="4"/>
    </row>
    <row r="1930" spans="3:6" x14ac:dyDescent="0.25">
      <c r="C1930" s="4"/>
      <c r="E1930" s="2"/>
      <c r="F1930" s="4"/>
    </row>
    <row r="1931" spans="3:6" x14ac:dyDescent="0.25">
      <c r="C1931" s="4"/>
      <c r="E1931" s="2"/>
      <c r="F1931" s="4"/>
    </row>
    <row r="1932" spans="3:6" x14ac:dyDescent="0.25">
      <c r="C1932" s="4"/>
      <c r="E1932" s="2"/>
      <c r="F1932" s="4"/>
    </row>
    <row r="1933" spans="3:6" x14ac:dyDescent="0.25">
      <c r="C1933" s="4"/>
      <c r="E1933" s="2"/>
      <c r="F1933" s="4"/>
    </row>
    <row r="1934" spans="3:6" x14ac:dyDescent="0.25">
      <c r="C1934" s="4"/>
      <c r="E1934" s="2"/>
      <c r="F1934" s="4"/>
    </row>
    <row r="1935" spans="3:6" x14ac:dyDescent="0.25">
      <c r="C1935" s="4"/>
      <c r="E1935" s="2"/>
      <c r="F1935" s="4"/>
    </row>
    <row r="1936" spans="3:6" x14ac:dyDescent="0.25">
      <c r="C1936" s="4"/>
      <c r="E1936" s="2"/>
      <c r="F1936" s="4"/>
    </row>
    <row r="1937" spans="3:6" x14ac:dyDescent="0.25">
      <c r="C1937" s="4"/>
      <c r="E1937" s="2"/>
      <c r="F1937" s="4"/>
    </row>
    <row r="1938" spans="3:6" x14ac:dyDescent="0.25">
      <c r="C1938" s="4"/>
      <c r="E1938" s="2"/>
      <c r="F1938" s="4"/>
    </row>
    <row r="1939" spans="3:6" x14ac:dyDescent="0.25">
      <c r="C1939" s="4"/>
      <c r="E1939" s="2"/>
      <c r="F1939" s="4"/>
    </row>
    <row r="1940" spans="3:6" x14ac:dyDescent="0.25">
      <c r="C1940" s="4"/>
      <c r="E1940" s="2"/>
      <c r="F1940" s="4"/>
    </row>
    <row r="1941" spans="3:6" x14ac:dyDescent="0.25">
      <c r="C1941" s="4"/>
      <c r="E1941" s="2"/>
      <c r="F1941" s="4"/>
    </row>
    <row r="1942" spans="3:6" x14ac:dyDescent="0.25">
      <c r="C1942" s="4"/>
      <c r="E1942" s="2"/>
      <c r="F1942" s="4"/>
    </row>
    <row r="1943" spans="3:6" x14ac:dyDescent="0.25">
      <c r="C1943" s="4"/>
      <c r="E1943" s="2"/>
      <c r="F1943" s="4"/>
    </row>
    <row r="1944" spans="3:6" x14ac:dyDescent="0.25">
      <c r="C1944" s="4"/>
      <c r="E1944" s="2"/>
      <c r="F1944" s="4"/>
    </row>
    <row r="1945" spans="3:6" x14ac:dyDescent="0.25">
      <c r="C1945" s="4"/>
      <c r="E1945" s="2"/>
      <c r="F1945" s="4"/>
    </row>
    <row r="1946" spans="3:6" x14ac:dyDescent="0.25">
      <c r="C1946" s="4"/>
      <c r="E1946" s="2"/>
      <c r="F1946" s="4"/>
    </row>
    <row r="1947" spans="3:6" x14ac:dyDescent="0.25">
      <c r="C1947" s="4"/>
      <c r="E1947" s="2"/>
      <c r="F1947" s="4"/>
    </row>
    <row r="1948" spans="3:6" x14ac:dyDescent="0.25">
      <c r="C1948" s="4"/>
      <c r="E1948" s="2"/>
      <c r="F1948" s="4"/>
    </row>
    <row r="1949" spans="3:6" x14ac:dyDescent="0.25">
      <c r="C1949" s="4"/>
      <c r="E1949" s="2"/>
      <c r="F1949" s="4"/>
    </row>
    <row r="1950" spans="3:6" x14ac:dyDescent="0.25">
      <c r="C1950" s="4"/>
      <c r="E1950" s="2"/>
      <c r="F1950" s="4"/>
    </row>
    <row r="1951" spans="3:6" x14ac:dyDescent="0.25">
      <c r="C1951" s="4"/>
      <c r="E1951" s="2"/>
      <c r="F1951" s="4"/>
    </row>
    <row r="1952" spans="3:6" x14ac:dyDescent="0.25">
      <c r="C1952" s="4"/>
      <c r="E1952" s="2"/>
      <c r="F1952" s="4"/>
    </row>
    <row r="1953" spans="3:6" x14ac:dyDescent="0.25">
      <c r="C1953" s="4"/>
      <c r="E1953" s="2"/>
      <c r="F1953" s="4"/>
    </row>
    <row r="1954" spans="3:6" x14ac:dyDescent="0.25">
      <c r="C1954" s="4"/>
      <c r="E1954" s="2"/>
      <c r="F1954" s="4"/>
    </row>
    <row r="1955" spans="3:6" x14ac:dyDescent="0.25">
      <c r="C1955" s="4"/>
      <c r="E1955" s="2"/>
      <c r="F1955" s="4"/>
    </row>
    <row r="1956" spans="3:6" x14ac:dyDescent="0.25">
      <c r="C1956" s="4"/>
      <c r="E1956" s="2"/>
      <c r="F1956" s="4"/>
    </row>
    <row r="1957" spans="3:6" x14ac:dyDescent="0.25">
      <c r="C1957" s="4"/>
      <c r="E1957" s="2"/>
      <c r="F1957" s="4"/>
    </row>
    <row r="1958" spans="3:6" x14ac:dyDescent="0.25">
      <c r="C1958" s="4"/>
      <c r="E1958" s="2"/>
      <c r="F1958" s="4"/>
    </row>
    <row r="1959" spans="3:6" x14ac:dyDescent="0.25">
      <c r="C1959" s="4"/>
      <c r="E1959" s="2"/>
      <c r="F1959" s="4"/>
    </row>
    <row r="1960" spans="3:6" x14ac:dyDescent="0.25">
      <c r="C1960" s="4"/>
      <c r="E1960" s="2"/>
      <c r="F1960" s="4"/>
    </row>
    <row r="1961" spans="3:6" x14ac:dyDescent="0.25">
      <c r="C1961" s="4"/>
      <c r="E1961" s="2"/>
      <c r="F1961" s="4"/>
    </row>
    <row r="1962" spans="3:6" x14ac:dyDescent="0.25">
      <c r="C1962" s="4"/>
      <c r="E1962" s="2"/>
      <c r="F1962" s="4"/>
    </row>
    <row r="1963" spans="3:6" x14ac:dyDescent="0.25">
      <c r="C1963" s="4"/>
      <c r="E1963" s="2"/>
      <c r="F1963" s="4"/>
    </row>
    <row r="1964" spans="3:6" x14ac:dyDescent="0.25">
      <c r="C1964" s="4"/>
      <c r="E1964" s="2"/>
      <c r="F1964" s="4"/>
    </row>
    <row r="1965" spans="3:6" x14ac:dyDescent="0.25">
      <c r="C1965" s="4"/>
      <c r="E1965" s="2"/>
      <c r="F1965" s="4"/>
    </row>
    <row r="1966" spans="3:6" x14ac:dyDescent="0.25">
      <c r="C1966" s="4"/>
      <c r="E1966" s="2"/>
      <c r="F1966" s="4"/>
    </row>
    <row r="1967" spans="3:6" x14ac:dyDescent="0.25">
      <c r="C1967" s="4"/>
      <c r="E1967" s="2"/>
      <c r="F1967" s="4"/>
    </row>
    <row r="1968" spans="3:6" x14ac:dyDescent="0.25">
      <c r="C1968" s="4"/>
      <c r="E1968" s="2"/>
      <c r="F1968" s="4"/>
    </row>
    <row r="1969" spans="3:6" x14ac:dyDescent="0.25">
      <c r="C1969" s="4"/>
      <c r="E1969" s="2"/>
      <c r="F1969" s="4"/>
    </row>
    <row r="1970" spans="3:6" x14ac:dyDescent="0.25">
      <c r="C1970" s="4"/>
      <c r="E1970" s="2"/>
      <c r="F1970" s="4"/>
    </row>
    <row r="1971" spans="3:6" x14ac:dyDescent="0.25">
      <c r="C1971" s="4"/>
      <c r="E1971" s="2"/>
      <c r="F1971" s="4"/>
    </row>
    <row r="1972" spans="3:6" x14ac:dyDescent="0.25">
      <c r="C1972" s="4"/>
      <c r="E1972" s="2"/>
      <c r="F1972" s="4"/>
    </row>
    <row r="1973" spans="3:6" x14ac:dyDescent="0.25">
      <c r="C1973" s="4"/>
      <c r="E1973" s="2"/>
      <c r="F1973" s="4"/>
    </row>
    <row r="1974" spans="3:6" x14ac:dyDescent="0.25">
      <c r="C1974" s="4"/>
      <c r="E1974" s="2"/>
      <c r="F1974" s="4"/>
    </row>
    <row r="1975" spans="3:6" x14ac:dyDescent="0.25">
      <c r="C1975" s="4"/>
      <c r="E1975" s="2"/>
      <c r="F1975" s="4"/>
    </row>
    <row r="1976" spans="3:6" x14ac:dyDescent="0.25">
      <c r="C1976" s="4"/>
      <c r="E1976" s="2"/>
      <c r="F1976" s="4"/>
    </row>
    <row r="1977" spans="3:6" x14ac:dyDescent="0.25">
      <c r="C1977" s="4"/>
      <c r="E1977" s="2"/>
      <c r="F1977" s="4"/>
    </row>
    <row r="1978" spans="3:6" x14ac:dyDescent="0.25">
      <c r="C1978" s="4"/>
      <c r="E1978" s="2"/>
      <c r="F1978" s="4"/>
    </row>
    <row r="1979" spans="3:6" x14ac:dyDescent="0.25">
      <c r="C1979" s="4"/>
      <c r="E1979" s="2"/>
      <c r="F1979" s="4"/>
    </row>
    <row r="1980" spans="3:6" x14ac:dyDescent="0.25">
      <c r="C1980" s="4"/>
      <c r="E1980" s="2"/>
      <c r="F1980" s="4"/>
    </row>
    <row r="1981" spans="3:6" x14ac:dyDescent="0.25">
      <c r="C1981" s="4"/>
      <c r="E1981" s="2"/>
      <c r="F1981" s="4"/>
    </row>
    <row r="1982" spans="3:6" x14ac:dyDescent="0.25">
      <c r="C1982" s="4"/>
      <c r="E1982" s="2"/>
      <c r="F1982" s="4"/>
    </row>
    <row r="1983" spans="3:6" x14ac:dyDescent="0.25">
      <c r="C1983" s="4"/>
      <c r="E1983" s="2"/>
      <c r="F1983" s="4"/>
    </row>
    <row r="1984" spans="3:6" x14ac:dyDescent="0.25">
      <c r="C1984" s="4"/>
      <c r="E1984" s="2"/>
      <c r="F1984" s="4"/>
    </row>
    <row r="1985" spans="3:6" x14ac:dyDescent="0.25">
      <c r="C1985" s="4"/>
      <c r="E1985" s="2"/>
      <c r="F1985" s="4"/>
    </row>
    <row r="1986" spans="3:6" x14ac:dyDescent="0.25">
      <c r="C1986" s="4"/>
      <c r="E1986" s="2"/>
      <c r="F1986" s="4"/>
    </row>
    <row r="1987" spans="3:6" x14ac:dyDescent="0.25">
      <c r="C1987" s="4"/>
      <c r="E1987" s="2"/>
      <c r="F1987" s="4"/>
    </row>
    <row r="1988" spans="3:6" x14ac:dyDescent="0.25">
      <c r="C1988" s="4"/>
      <c r="E1988" s="2"/>
      <c r="F1988" s="4"/>
    </row>
    <row r="1989" spans="3:6" x14ac:dyDescent="0.25">
      <c r="C1989" s="4"/>
      <c r="E1989" s="2"/>
      <c r="F1989" s="4"/>
    </row>
    <row r="1990" spans="3:6" x14ac:dyDescent="0.25">
      <c r="C1990" s="4"/>
      <c r="E1990" s="2"/>
      <c r="F1990" s="4"/>
    </row>
    <row r="1991" spans="3:6" x14ac:dyDescent="0.25">
      <c r="C1991" s="4"/>
      <c r="E1991" s="2"/>
      <c r="F1991" s="4"/>
    </row>
    <row r="1992" spans="3:6" x14ac:dyDescent="0.25">
      <c r="C1992" s="4"/>
      <c r="E1992" s="2"/>
      <c r="F1992" s="4"/>
    </row>
    <row r="1993" spans="3:6" x14ac:dyDescent="0.25">
      <c r="C1993" s="4"/>
      <c r="E1993" s="2"/>
      <c r="F1993" s="4"/>
    </row>
    <row r="1994" spans="3:6" x14ac:dyDescent="0.25">
      <c r="C1994" s="4"/>
      <c r="E1994" s="2"/>
      <c r="F1994" s="4"/>
    </row>
    <row r="1995" spans="3:6" x14ac:dyDescent="0.25">
      <c r="C1995" s="4"/>
      <c r="E1995" s="2"/>
      <c r="F1995" s="4"/>
    </row>
    <row r="1996" spans="3:6" x14ac:dyDescent="0.25">
      <c r="C1996" s="4"/>
      <c r="E1996" s="2"/>
      <c r="F1996" s="4"/>
    </row>
    <row r="1997" spans="3:6" x14ac:dyDescent="0.25">
      <c r="C1997" s="4"/>
      <c r="E1997" s="2"/>
      <c r="F1997" s="4"/>
    </row>
    <row r="1998" spans="3:6" x14ac:dyDescent="0.25">
      <c r="C1998" s="4"/>
      <c r="E1998" s="2"/>
      <c r="F1998" s="4"/>
    </row>
    <row r="1999" spans="3:6" x14ac:dyDescent="0.25">
      <c r="C1999" s="4"/>
      <c r="E1999" s="2"/>
      <c r="F1999" s="4"/>
    </row>
    <row r="2000" spans="3:6" x14ac:dyDescent="0.25">
      <c r="C2000" s="4"/>
      <c r="E2000" s="2"/>
      <c r="F2000" s="4"/>
    </row>
    <row r="2001" spans="3:6" x14ac:dyDescent="0.25">
      <c r="C2001" s="4"/>
      <c r="E2001" s="2"/>
      <c r="F2001" s="4"/>
    </row>
    <row r="2002" spans="3:6" x14ac:dyDescent="0.25">
      <c r="C2002" s="4"/>
      <c r="E2002" s="2"/>
      <c r="F2002" s="4"/>
    </row>
    <row r="2003" spans="3:6" x14ac:dyDescent="0.25">
      <c r="C2003" s="4"/>
      <c r="E2003" s="2"/>
      <c r="F2003" s="4"/>
    </row>
    <row r="2004" spans="3:6" x14ac:dyDescent="0.25">
      <c r="C2004" s="4"/>
      <c r="E2004" s="2"/>
      <c r="F2004" s="4"/>
    </row>
    <row r="2005" spans="3:6" x14ac:dyDescent="0.25">
      <c r="C2005" s="4"/>
      <c r="E2005" s="2"/>
      <c r="F2005" s="4"/>
    </row>
    <row r="2006" spans="3:6" x14ac:dyDescent="0.25">
      <c r="C2006" s="4"/>
      <c r="E2006" s="2"/>
      <c r="F2006" s="4"/>
    </row>
    <row r="2007" spans="3:6" x14ac:dyDescent="0.25">
      <c r="C2007" s="4"/>
      <c r="E2007" s="2"/>
      <c r="F2007" s="4"/>
    </row>
    <row r="2008" spans="3:6" x14ac:dyDescent="0.25">
      <c r="C2008" s="4"/>
      <c r="E2008" s="2"/>
      <c r="F2008" s="4"/>
    </row>
    <row r="2009" spans="3:6" x14ac:dyDescent="0.25">
      <c r="C2009" s="4"/>
      <c r="E2009" s="2"/>
      <c r="F2009" s="4"/>
    </row>
    <row r="2010" spans="3:6" x14ac:dyDescent="0.25">
      <c r="C2010" s="4"/>
      <c r="E2010" s="2"/>
      <c r="F2010" s="4"/>
    </row>
    <row r="2011" spans="3:6" x14ac:dyDescent="0.25">
      <c r="C2011" s="4"/>
      <c r="E2011" s="2"/>
      <c r="F2011" s="4"/>
    </row>
    <row r="2012" spans="3:6" x14ac:dyDescent="0.25">
      <c r="C2012" s="4"/>
      <c r="E2012" s="2"/>
      <c r="F2012" s="4"/>
    </row>
    <row r="2013" spans="3:6" x14ac:dyDescent="0.25">
      <c r="C2013" s="4"/>
      <c r="E2013" s="2"/>
      <c r="F2013" s="4"/>
    </row>
    <row r="2014" spans="3:6" x14ac:dyDescent="0.25">
      <c r="C2014" s="4"/>
      <c r="E2014" s="2"/>
      <c r="F2014" s="4"/>
    </row>
    <row r="2015" spans="3:6" x14ac:dyDescent="0.25">
      <c r="C2015" s="4"/>
      <c r="E2015" s="2"/>
      <c r="F2015" s="4"/>
    </row>
    <row r="2016" spans="3:6" x14ac:dyDescent="0.25">
      <c r="C2016" s="4"/>
      <c r="E2016" s="2"/>
      <c r="F2016" s="4"/>
    </row>
    <row r="2017" spans="3:6" x14ac:dyDescent="0.25">
      <c r="C2017" s="4"/>
      <c r="E2017" s="2"/>
      <c r="F2017" s="4"/>
    </row>
    <row r="2018" spans="3:6" x14ac:dyDescent="0.25">
      <c r="C2018" s="4"/>
      <c r="E2018" s="2"/>
      <c r="F2018" s="4"/>
    </row>
    <row r="2019" spans="3:6" x14ac:dyDescent="0.25">
      <c r="C2019" s="4"/>
      <c r="E2019" s="2"/>
      <c r="F2019" s="4"/>
    </row>
    <row r="2020" spans="3:6" x14ac:dyDescent="0.25">
      <c r="C2020" s="4"/>
      <c r="E2020" s="2"/>
      <c r="F2020" s="4"/>
    </row>
    <row r="2021" spans="3:6" x14ac:dyDescent="0.25">
      <c r="C2021" s="4"/>
      <c r="E2021" s="2"/>
      <c r="F2021" s="4"/>
    </row>
    <row r="2022" spans="3:6" x14ac:dyDescent="0.25">
      <c r="C2022" s="4"/>
      <c r="E2022" s="2"/>
      <c r="F2022" s="4"/>
    </row>
    <row r="2023" spans="3:6" x14ac:dyDescent="0.25">
      <c r="C2023" s="4"/>
      <c r="E2023" s="2"/>
      <c r="F2023" s="4"/>
    </row>
    <row r="2024" spans="3:6" x14ac:dyDescent="0.25">
      <c r="C2024" s="4"/>
      <c r="E2024" s="2"/>
      <c r="F2024" s="4"/>
    </row>
    <row r="2025" spans="3:6" x14ac:dyDescent="0.25">
      <c r="C2025" s="4"/>
      <c r="E2025" s="2"/>
      <c r="F2025" s="4"/>
    </row>
    <row r="2026" spans="3:6" x14ac:dyDescent="0.25">
      <c r="C2026" s="4"/>
      <c r="E2026" s="2"/>
      <c r="F2026" s="4"/>
    </row>
    <row r="2027" spans="3:6" x14ac:dyDescent="0.25">
      <c r="C2027" s="4"/>
      <c r="E2027" s="2"/>
      <c r="F2027" s="4"/>
    </row>
    <row r="2028" spans="3:6" x14ac:dyDescent="0.25">
      <c r="C2028" s="4"/>
      <c r="E2028" s="2"/>
      <c r="F2028" s="4"/>
    </row>
    <row r="2029" spans="3:6" x14ac:dyDescent="0.25">
      <c r="C2029" s="4"/>
      <c r="E2029" s="2"/>
      <c r="F2029" s="4"/>
    </row>
    <row r="2030" spans="3:6" x14ac:dyDescent="0.25">
      <c r="C2030" s="4"/>
      <c r="E2030" s="2"/>
      <c r="F2030" s="4"/>
    </row>
    <row r="2031" spans="3:6" x14ac:dyDescent="0.25">
      <c r="C2031" s="4"/>
      <c r="E2031" s="2"/>
      <c r="F2031" s="4"/>
    </row>
    <row r="2032" spans="3:6" x14ac:dyDescent="0.25">
      <c r="C2032" s="4"/>
      <c r="E2032" s="2"/>
      <c r="F2032" s="4"/>
    </row>
    <row r="2033" spans="3:6" x14ac:dyDescent="0.25">
      <c r="C2033" s="4"/>
      <c r="E2033" s="2"/>
      <c r="F2033" s="4"/>
    </row>
    <row r="2034" spans="3:6" x14ac:dyDescent="0.25">
      <c r="C2034" s="4"/>
      <c r="E2034" s="2"/>
      <c r="F2034" s="4"/>
    </row>
    <row r="2035" spans="3:6" x14ac:dyDescent="0.25">
      <c r="C2035" s="4"/>
      <c r="E2035" s="2"/>
      <c r="F2035" s="4"/>
    </row>
    <row r="2036" spans="3:6" x14ac:dyDescent="0.25">
      <c r="C2036" s="4"/>
      <c r="E2036" s="2"/>
      <c r="F2036" s="4"/>
    </row>
    <row r="2037" spans="3:6" x14ac:dyDescent="0.25">
      <c r="C2037" s="4"/>
      <c r="E2037" s="2"/>
      <c r="F2037" s="4"/>
    </row>
    <row r="2038" spans="3:6" x14ac:dyDescent="0.25">
      <c r="C2038" s="4"/>
      <c r="E2038" s="2"/>
      <c r="F2038" s="4"/>
    </row>
    <row r="2039" spans="3:6" x14ac:dyDescent="0.25">
      <c r="C2039" s="4"/>
      <c r="E2039" s="2"/>
      <c r="F2039" s="4"/>
    </row>
    <row r="2040" spans="3:6" x14ac:dyDescent="0.25">
      <c r="C2040" s="4"/>
      <c r="E2040" s="2"/>
      <c r="F2040" s="4"/>
    </row>
    <row r="2041" spans="3:6" x14ac:dyDescent="0.25">
      <c r="C2041" s="4"/>
      <c r="E2041" s="2"/>
      <c r="F2041" s="4"/>
    </row>
    <row r="2042" spans="3:6" x14ac:dyDescent="0.25">
      <c r="C2042" s="4"/>
      <c r="E2042" s="2"/>
      <c r="F2042" s="4"/>
    </row>
    <row r="2043" spans="3:6" x14ac:dyDescent="0.25">
      <c r="C2043" s="4"/>
      <c r="E2043" s="2"/>
      <c r="F2043" s="4"/>
    </row>
    <row r="2044" spans="3:6" x14ac:dyDescent="0.25">
      <c r="C2044" s="4"/>
      <c r="E2044" s="2"/>
      <c r="F2044" s="4"/>
    </row>
    <row r="2045" spans="3:6" x14ac:dyDescent="0.25">
      <c r="C2045" s="4"/>
      <c r="E2045" s="2"/>
      <c r="F2045" s="4"/>
    </row>
    <row r="2046" spans="3:6" x14ac:dyDescent="0.25">
      <c r="C2046" s="4"/>
      <c r="E2046" s="2"/>
      <c r="F2046" s="4"/>
    </row>
    <row r="2047" spans="3:6" x14ac:dyDescent="0.25">
      <c r="C2047" s="4"/>
      <c r="E2047" s="2"/>
      <c r="F2047" s="4"/>
    </row>
    <row r="2048" spans="3:6" x14ac:dyDescent="0.25">
      <c r="C2048" s="4"/>
      <c r="E2048" s="2"/>
      <c r="F2048" s="4"/>
    </row>
    <row r="2049" spans="3:6" x14ac:dyDescent="0.25">
      <c r="C2049" s="4"/>
      <c r="E2049" s="2"/>
      <c r="F2049" s="4"/>
    </row>
    <row r="2050" spans="3:6" x14ac:dyDescent="0.25">
      <c r="C2050" s="4"/>
      <c r="E2050" s="2"/>
      <c r="F2050" s="4"/>
    </row>
    <row r="2051" spans="3:6" x14ac:dyDescent="0.25">
      <c r="C2051" s="4"/>
      <c r="E2051" s="2"/>
      <c r="F2051" s="4"/>
    </row>
    <row r="2052" spans="3:6" x14ac:dyDescent="0.25">
      <c r="C2052" s="4"/>
      <c r="E2052" s="2"/>
      <c r="F2052" s="4"/>
    </row>
    <row r="2053" spans="3:6" x14ac:dyDescent="0.25">
      <c r="C2053" s="4"/>
      <c r="E2053" s="2"/>
      <c r="F2053" s="4"/>
    </row>
    <row r="2054" spans="3:6" x14ac:dyDescent="0.25">
      <c r="C2054" s="4"/>
      <c r="E2054" s="2"/>
      <c r="F2054" s="4"/>
    </row>
    <row r="2055" spans="3:6" x14ac:dyDescent="0.25">
      <c r="C2055" s="4"/>
      <c r="E2055" s="2"/>
      <c r="F2055" s="4"/>
    </row>
    <row r="2056" spans="3:6" x14ac:dyDescent="0.25">
      <c r="C2056" s="4"/>
      <c r="E2056" s="2"/>
      <c r="F2056" s="4"/>
    </row>
    <row r="2057" spans="3:6" x14ac:dyDescent="0.25">
      <c r="C2057" s="4"/>
      <c r="E2057" s="2"/>
      <c r="F2057" s="4"/>
    </row>
    <row r="2058" spans="3:6" x14ac:dyDescent="0.25">
      <c r="C2058" s="4"/>
      <c r="E2058" s="2"/>
      <c r="F2058" s="4"/>
    </row>
    <row r="2059" spans="3:6" x14ac:dyDescent="0.25">
      <c r="C2059" s="4"/>
      <c r="E2059" s="2"/>
      <c r="F2059" s="4"/>
    </row>
    <row r="2060" spans="3:6" x14ac:dyDescent="0.25">
      <c r="C2060" s="4"/>
      <c r="E2060" s="2"/>
      <c r="F2060" s="4"/>
    </row>
    <row r="2061" spans="3:6" x14ac:dyDescent="0.25">
      <c r="C2061" s="4"/>
      <c r="E2061" s="2"/>
      <c r="F2061" s="4"/>
    </row>
    <row r="2062" spans="3:6" x14ac:dyDescent="0.25">
      <c r="C2062" s="4"/>
      <c r="E2062" s="2"/>
      <c r="F2062" s="4"/>
    </row>
    <row r="2063" spans="3:6" x14ac:dyDescent="0.25">
      <c r="C2063" s="4"/>
      <c r="E2063" s="2"/>
      <c r="F2063" s="4"/>
    </row>
    <row r="2064" spans="3:6" x14ac:dyDescent="0.25">
      <c r="C2064" s="4"/>
      <c r="E2064" s="2"/>
      <c r="F2064" s="4"/>
    </row>
    <row r="2065" spans="3:6" x14ac:dyDescent="0.25">
      <c r="C2065" s="4"/>
      <c r="E2065" s="2"/>
      <c r="F2065" s="4"/>
    </row>
    <row r="2066" spans="3:6" x14ac:dyDescent="0.25">
      <c r="C2066" s="4"/>
      <c r="E2066" s="2"/>
      <c r="F2066" s="4"/>
    </row>
    <row r="2067" spans="3:6" x14ac:dyDescent="0.25">
      <c r="C2067" s="4"/>
      <c r="E2067" s="2"/>
      <c r="F2067" s="4"/>
    </row>
    <row r="2068" spans="3:6" x14ac:dyDescent="0.25">
      <c r="C2068" s="4"/>
      <c r="E2068" s="2"/>
      <c r="F2068" s="4"/>
    </row>
    <row r="2069" spans="3:6" x14ac:dyDescent="0.25">
      <c r="C2069" s="4"/>
      <c r="E2069" s="2"/>
      <c r="F2069" s="4"/>
    </row>
    <row r="2070" spans="3:6" x14ac:dyDescent="0.25">
      <c r="C2070" s="4"/>
      <c r="E2070" s="2"/>
      <c r="F2070" s="4"/>
    </row>
    <row r="2071" spans="3:6" x14ac:dyDescent="0.25">
      <c r="C2071" s="4"/>
      <c r="E2071" s="2"/>
      <c r="F2071" s="4"/>
    </row>
    <row r="2072" spans="3:6" x14ac:dyDescent="0.25">
      <c r="C2072" s="4"/>
      <c r="E2072" s="2"/>
      <c r="F2072" s="4"/>
    </row>
    <row r="2073" spans="3:6" x14ac:dyDescent="0.25">
      <c r="C2073" s="4"/>
      <c r="E2073" s="2"/>
      <c r="F2073" s="4"/>
    </row>
    <row r="2074" spans="3:6" x14ac:dyDescent="0.25">
      <c r="C2074" s="4"/>
      <c r="E2074" s="2"/>
      <c r="F2074" s="4"/>
    </row>
    <row r="2075" spans="3:6" x14ac:dyDescent="0.25">
      <c r="C2075" s="4"/>
      <c r="E2075" s="2"/>
      <c r="F2075" s="4"/>
    </row>
    <row r="2076" spans="3:6" x14ac:dyDescent="0.25">
      <c r="C2076" s="4"/>
      <c r="E2076" s="2"/>
      <c r="F2076" s="4"/>
    </row>
    <row r="2077" spans="3:6" x14ac:dyDescent="0.25">
      <c r="C2077" s="4"/>
      <c r="E2077" s="2"/>
      <c r="F2077" s="4"/>
    </row>
    <row r="2078" spans="3:6" x14ac:dyDescent="0.25">
      <c r="C2078" s="4"/>
      <c r="E2078" s="2"/>
      <c r="F2078" s="4"/>
    </row>
    <row r="2079" spans="3:6" x14ac:dyDescent="0.25">
      <c r="C2079" s="4"/>
      <c r="E2079" s="2"/>
      <c r="F2079" s="4"/>
    </row>
    <row r="2080" spans="3:6" x14ac:dyDescent="0.25">
      <c r="C2080" s="4"/>
      <c r="E2080" s="2"/>
      <c r="F2080" s="4"/>
    </row>
    <row r="2081" spans="3:6" x14ac:dyDescent="0.25">
      <c r="C2081" s="4"/>
      <c r="E2081" s="2"/>
      <c r="F2081" s="4"/>
    </row>
    <row r="2082" spans="3:6" x14ac:dyDescent="0.25">
      <c r="C2082" s="4"/>
      <c r="E2082" s="2"/>
      <c r="F2082" s="4"/>
    </row>
    <row r="2083" spans="3:6" x14ac:dyDescent="0.25">
      <c r="C2083" s="4"/>
      <c r="E2083" s="2"/>
      <c r="F2083" s="4"/>
    </row>
    <row r="2084" spans="3:6" x14ac:dyDescent="0.25">
      <c r="C2084" s="4"/>
      <c r="E2084" s="2"/>
      <c r="F2084" s="4"/>
    </row>
    <row r="2085" spans="3:6" x14ac:dyDescent="0.25">
      <c r="C2085" s="4"/>
      <c r="E2085" s="2"/>
      <c r="F2085" s="4"/>
    </row>
    <row r="2086" spans="3:6" x14ac:dyDescent="0.25">
      <c r="C2086" s="4"/>
      <c r="E2086" s="2"/>
      <c r="F2086" s="4"/>
    </row>
    <row r="2087" spans="3:6" x14ac:dyDescent="0.25">
      <c r="C2087" s="4"/>
      <c r="E2087" s="2"/>
      <c r="F2087" s="4"/>
    </row>
    <row r="2088" spans="3:6" x14ac:dyDescent="0.25">
      <c r="C2088" s="4"/>
      <c r="E2088" s="2"/>
      <c r="F2088" s="4"/>
    </row>
    <row r="2089" spans="3:6" x14ac:dyDescent="0.25">
      <c r="C2089" s="4"/>
      <c r="E2089" s="2"/>
      <c r="F2089" s="4"/>
    </row>
    <row r="2090" spans="3:6" x14ac:dyDescent="0.25">
      <c r="C2090" s="4"/>
      <c r="E2090" s="2"/>
      <c r="F2090" s="4"/>
    </row>
    <row r="2091" spans="3:6" x14ac:dyDescent="0.25">
      <c r="C2091" s="4"/>
      <c r="E2091" s="2"/>
      <c r="F2091" s="4"/>
    </row>
    <row r="2092" spans="3:6" x14ac:dyDescent="0.25">
      <c r="C2092" s="4"/>
      <c r="E2092" s="2"/>
      <c r="F2092" s="4"/>
    </row>
    <row r="2093" spans="3:6" x14ac:dyDescent="0.25">
      <c r="C2093" s="4"/>
      <c r="E2093" s="2"/>
      <c r="F2093" s="4"/>
    </row>
    <row r="2094" spans="3:6" x14ac:dyDescent="0.25">
      <c r="C2094" s="4"/>
      <c r="E2094" s="2"/>
      <c r="F2094" s="4"/>
    </row>
    <row r="2095" spans="3:6" x14ac:dyDescent="0.25">
      <c r="C2095" s="4"/>
      <c r="E2095" s="2"/>
      <c r="F2095" s="4"/>
    </row>
    <row r="2096" spans="3:6" x14ac:dyDescent="0.25">
      <c r="C2096" s="4"/>
      <c r="E2096" s="2"/>
      <c r="F2096" s="4"/>
    </row>
    <row r="2097" spans="3:6" x14ac:dyDescent="0.25">
      <c r="C2097" s="4"/>
      <c r="E2097" s="2"/>
      <c r="F2097" s="4"/>
    </row>
    <row r="2098" spans="3:6" x14ac:dyDescent="0.25">
      <c r="C2098" s="4"/>
      <c r="E2098" s="2"/>
      <c r="F2098" s="4"/>
    </row>
    <row r="2099" spans="3:6" x14ac:dyDescent="0.25">
      <c r="C2099" s="4"/>
      <c r="E2099" s="2"/>
      <c r="F2099" s="4"/>
    </row>
    <row r="2100" spans="3:6" x14ac:dyDescent="0.25">
      <c r="C2100" s="4"/>
      <c r="E2100" s="2"/>
      <c r="F2100" s="4"/>
    </row>
    <row r="2101" spans="3:6" x14ac:dyDescent="0.25">
      <c r="C2101" s="4"/>
      <c r="E2101" s="2"/>
      <c r="F2101" s="4"/>
    </row>
    <row r="2102" spans="3:6" x14ac:dyDescent="0.25">
      <c r="C2102" s="4"/>
      <c r="E2102" s="2"/>
      <c r="F2102" s="4"/>
    </row>
    <row r="2103" spans="3:6" x14ac:dyDescent="0.25">
      <c r="C2103" s="4"/>
      <c r="E2103" s="2"/>
      <c r="F2103" s="4"/>
    </row>
    <row r="2104" spans="3:6" x14ac:dyDescent="0.25">
      <c r="C2104" s="4"/>
      <c r="E2104" s="2"/>
      <c r="F2104" s="4"/>
    </row>
    <row r="2105" spans="3:6" x14ac:dyDescent="0.25">
      <c r="C2105" s="4"/>
      <c r="E2105" s="2"/>
      <c r="F2105" s="4"/>
    </row>
    <row r="2106" spans="3:6" x14ac:dyDescent="0.25">
      <c r="C2106" s="4"/>
      <c r="E2106" s="2"/>
      <c r="F2106" s="4"/>
    </row>
    <row r="2107" spans="3:6" x14ac:dyDescent="0.25">
      <c r="C2107" s="4"/>
      <c r="E2107" s="2"/>
      <c r="F2107" s="4"/>
    </row>
    <row r="2108" spans="3:6" x14ac:dyDescent="0.25">
      <c r="C2108" s="4"/>
      <c r="E2108" s="2"/>
      <c r="F2108" s="4"/>
    </row>
    <row r="2109" spans="3:6" x14ac:dyDescent="0.25">
      <c r="C2109" s="4"/>
      <c r="E2109" s="2"/>
      <c r="F2109" s="4"/>
    </row>
    <row r="2110" spans="3:6" x14ac:dyDescent="0.25">
      <c r="C2110" s="4"/>
      <c r="E2110" s="2"/>
      <c r="F2110" s="4"/>
    </row>
    <row r="2111" spans="3:6" x14ac:dyDescent="0.25">
      <c r="C2111" s="4"/>
      <c r="E2111" s="2"/>
      <c r="F2111" s="4"/>
    </row>
    <row r="2112" spans="3:6" x14ac:dyDescent="0.25">
      <c r="C2112" s="4"/>
      <c r="E2112" s="2"/>
      <c r="F2112" s="4"/>
    </row>
    <row r="2113" spans="3:6" x14ac:dyDescent="0.25">
      <c r="C2113" s="4"/>
      <c r="E2113" s="2"/>
      <c r="F2113" s="4"/>
    </row>
    <row r="2114" spans="3:6" x14ac:dyDescent="0.25">
      <c r="C2114" s="4"/>
      <c r="E2114" s="2"/>
      <c r="F2114" s="4"/>
    </row>
    <row r="2115" spans="3:6" x14ac:dyDescent="0.25">
      <c r="C2115" s="4"/>
      <c r="E2115" s="2"/>
      <c r="F2115" s="4"/>
    </row>
    <row r="2116" spans="3:6" x14ac:dyDescent="0.25">
      <c r="C2116" s="4"/>
      <c r="E2116" s="2"/>
      <c r="F2116" s="4"/>
    </row>
    <row r="2117" spans="3:6" x14ac:dyDescent="0.25">
      <c r="C2117" s="4"/>
      <c r="E2117" s="2"/>
      <c r="F2117" s="4"/>
    </row>
    <row r="2118" spans="3:6" x14ac:dyDescent="0.25">
      <c r="C2118" s="4"/>
      <c r="E2118" s="2"/>
      <c r="F2118" s="4"/>
    </row>
    <row r="2119" spans="3:6" x14ac:dyDescent="0.25">
      <c r="C2119" s="4"/>
      <c r="E2119" s="2"/>
      <c r="F2119" s="4"/>
    </row>
    <row r="2120" spans="3:6" x14ac:dyDescent="0.25">
      <c r="C2120" s="4"/>
      <c r="E2120" s="2"/>
      <c r="F2120" s="4"/>
    </row>
    <row r="2121" spans="3:6" x14ac:dyDescent="0.25">
      <c r="C2121" s="4"/>
      <c r="E2121" s="2"/>
      <c r="F2121" s="4"/>
    </row>
    <row r="2122" spans="3:6" x14ac:dyDescent="0.25">
      <c r="C2122" s="4"/>
      <c r="E2122" s="2"/>
      <c r="F2122" s="4"/>
    </row>
    <row r="2123" spans="3:6" x14ac:dyDescent="0.25">
      <c r="C2123" s="4"/>
      <c r="E2123" s="2"/>
      <c r="F2123" s="4"/>
    </row>
    <row r="2124" spans="3:6" x14ac:dyDescent="0.25">
      <c r="C2124" s="4"/>
      <c r="E2124" s="2"/>
      <c r="F2124" s="4"/>
    </row>
    <row r="2125" spans="3:6" x14ac:dyDescent="0.25">
      <c r="C2125" s="4"/>
      <c r="E2125" s="2"/>
      <c r="F2125" s="4"/>
    </row>
    <row r="2126" spans="3:6" x14ac:dyDescent="0.25">
      <c r="C2126" s="4"/>
      <c r="E2126" s="2"/>
      <c r="F2126" s="4"/>
    </row>
    <row r="2127" spans="3:6" x14ac:dyDescent="0.25">
      <c r="C2127" s="4"/>
      <c r="E2127" s="2"/>
      <c r="F2127" s="4"/>
    </row>
    <row r="2128" spans="3:6" x14ac:dyDescent="0.25">
      <c r="C2128" s="4"/>
      <c r="E2128" s="2"/>
      <c r="F2128" s="4"/>
    </row>
    <row r="2129" spans="3:6" x14ac:dyDescent="0.25">
      <c r="C2129" s="4"/>
      <c r="E2129" s="2"/>
      <c r="F2129" s="4"/>
    </row>
    <row r="2130" spans="3:6" x14ac:dyDescent="0.25">
      <c r="C2130" s="4"/>
      <c r="E2130" s="2"/>
      <c r="F2130" s="4"/>
    </row>
    <row r="2131" spans="3:6" x14ac:dyDescent="0.25">
      <c r="C2131" s="4"/>
      <c r="E2131" s="2"/>
      <c r="F2131" s="4"/>
    </row>
    <row r="2132" spans="3:6" x14ac:dyDescent="0.25">
      <c r="C2132" s="4"/>
      <c r="E2132" s="2"/>
      <c r="F2132" s="4"/>
    </row>
    <row r="2133" spans="3:6" x14ac:dyDescent="0.25">
      <c r="C2133" s="4"/>
      <c r="E2133" s="2"/>
      <c r="F2133" s="4"/>
    </row>
    <row r="2134" spans="3:6" x14ac:dyDescent="0.25">
      <c r="C2134" s="4"/>
      <c r="E2134" s="2"/>
      <c r="F2134" s="4"/>
    </row>
    <row r="2135" spans="3:6" x14ac:dyDescent="0.25">
      <c r="C2135" s="4"/>
      <c r="E2135" s="2"/>
      <c r="F2135" s="4"/>
    </row>
    <row r="2136" spans="3:6" x14ac:dyDescent="0.25">
      <c r="C2136" s="4"/>
      <c r="E2136" s="2"/>
      <c r="F2136" s="4"/>
    </row>
    <row r="2137" spans="3:6" x14ac:dyDescent="0.25">
      <c r="C2137" s="4"/>
      <c r="E2137" s="2"/>
      <c r="F2137" s="4"/>
    </row>
    <row r="2138" spans="3:6" x14ac:dyDescent="0.25">
      <c r="C2138" s="4"/>
      <c r="E2138" s="2"/>
      <c r="F2138" s="4"/>
    </row>
    <row r="2139" spans="3:6" x14ac:dyDescent="0.25">
      <c r="C2139" s="4"/>
      <c r="E2139" s="2"/>
      <c r="F2139" s="4"/>
    </row>
    <row r="2140" spans="3:6" x14ac:dyDescent="0.25">
      <c r="C2140" s="4"/>
      <c r="E2140" s="2"/>
      <c r="F2140" s="4"/>
    </row>
    <row r="2141" spans="3:6" x14ac:dyDescent="0.25">
      <c r="C2141" s="4"/>
      <c r="E2141" s="2"/>
      <c r="F2141" s="4"/>
    </row>
    <row r="2142" spans="3:6" x14ac:dyDescent="0.25">
      <c r="C2142" s="4"/>
      <c r="E2142" s="2"/>
      <c r="F2142" s="4"/>
    </row>
    <row r="2143" spans="3:6" x14ac:dyDescent="0.25">
      <c r="C2143" s="4"/>
      <c r="E2143" s="2"/>
      <c r="F2143" s="4"/>
    </row>
    <row r="2144" spans="3:6" x14ac:dyDescent="0.25">
      <c r="C2144" s="4"/>
      <c r="E2144" s="2"/>
      <c r="F2144" s="4"/>
    </row>
    <row r="2145" spans="3:6" x14ac:dyDescent="0.25">
      <c r="C2145" s="4"/>
      <c r="E2145" s="2"/>
      <c r="F2145" s="4"/>
    </row>
    <row r="2146" spans="3:6" x14ac:dyDescent="0.25">
      <c r="C2146" s="4"/>
      <c r="E2146" s="2"/>
      <c r="F2146" s="4"/>
    </row>
    <row r="2147" spans="3:6" x14ac:dyDescent="0.25">
      <c r="C2147" s="4"/>
      <c r="E2147" s="2"/>
      <c r="F2147" s="4"/>
    </row>
    <row r="2148" spans="3:6" x14ac:dyDescent="0.25">
      <c r="C2148" s="4"/>
      <c r="E2148" s="2"/>
      <c r="F2148" s="4"/>
    </row>
    <row r="2149" spans="3:6" x14ac:dyDescent="0.25">
      <c r="C2149" s="4"/>
      <c r="E2149" s="2"/>
      <c r="F2149" s="4"/>
    </row>
    <row r="2150" spans="3:6" x14ac:dyDescent="0.25">
      <c r="C2150" s="4"/>
      <c r="E2150" s="2"/>
      <c r="F2150" s="4"/>
    </row>
    <row r="2151" spans="3:6" x14ac:dyDescent="0.25">
      <c r="C2151" s="4"/>
      <c r="E2151" s="2"/>
      <c r="F2151" s="4"/>
    </row>
    <row r="2152" spans="3:6" x14ac:dyDescent="0.25">
      <c r="C2152" s="4"/>
      <c r="E2152" s="2"/>
      <c r="F2152" s="4"/>
    </row>
    <row r="2153" spans="3:6" x14ac:dyDescent="0.25">
      <c r="C2153" s="4"/>
      <c r="E2153" s="2"/>
      <c r="F2153" s="4"/>
    </row>
    <row r="2154" spans="3:6" x14ac:dyDescent="0.25">
      <c r="C2154" s="4"/>
      <c r="E2154" s="2"/>
      <c r="F2154" s="4"/>
    </row>
    <row r="2155" spans="3:6" x14ac:dyDescent="0.25">
      <c r="C2155" s="4"/>
      <c r="E2155" s="2"/>
      <c r="F2155" s="4"/>
    </row>
    <row r="2156" spans="3:6" x14ac:dyDescent="0.25">
      <c r="C2156" s="4"/>
      <c r="E2156" s="2"/>
      <c r="F2156" s="4"/>
    </row>
    <row r="2157" spans="3:6" x14ac:dyDescent="0.25">
      <c r="C2157" s="4"/>
      <c r="E2157" s="2"/>
      <c r="F2157" s="4"/>
    </row>
    <row r="2158" spans="3:6" x14ac:dyDescent="0.25">
      <c r="C2158" s="4"/>
      <c r="E2158" s="2"/>
      <c r="F2158" s="4"/>
    </row>
    <row r="2159" spans="3:6" x14ac:dyDescent="0.25">
      <c r="C2159" s="4"/>
      <c r="E2159" s="2"/>
      <c r="F2159" s="4"/>
    </row>
    <row r="2160" spans="3:6" x14ac:dyDescent="0.25">
      <c r="C2160" s="4"/>
      <c r="E2160" s="2"/>
      <c r="F2160" s="4"/>
    </row>
    <row r="2161" spans="3:6" x14ac:dyDescent="0.25">
      <c r="C2161" s="4"/>
      <c r="E2161" s="2"/>
      <c r="F2161" s="4"/>
    </row>
    <row r="2162" spans="3:6" x14ac:dyDescent="0.25">
      <c r="C2162" s="4"/>
      <c r="E2162" s="2"/>
      <c r="F2162" s="4"/>
    </row>
    <row r="2163" spans="3:6" x14ac:dyDescent="0.25">
      <c r="C2163" s="4"/>
      <c r="E2163" s="2"/>
      <c r="F2163" s="4"/>
    </row>
    <row r="2164" spans="3:6" x14ac:dyDescent="0.25">
      <c r="C2164" s="4"/>
      <c r="E2164" s="2"/>
      <c r="F2164" s="4"/>
    </row>
    <row r="2165" spans="3:6" x14ac:dyDescent="0.25">
      <c r="C2165" s="4"/>
      <c r="E2165" s="2"/>
      <c r="F2165" s="4"/>
    </row>
    <row r="2166" spans="3:6" x14ac:dyDescent="0.25">
      <c r="C2166" s="4"/>
      <c r="E2166" s="2"/>
      <c r="F2166" s="4"/>
    </row>
    <row r="2167" spans="3:6" x14ac:dyDescent="0.25">
      <c r="C2167" s="4"/>
      <c r="E2167" s="2"/>
      <c r="F2167" s="4"/>
    </row>
    <row r="2168" spans="3:6" x14ac:dyDescent="0.25">
      <c r="C2168" s="4"/>
      <c r="E2168" s="2"/>
      <c r="F2168" s="4"/>
    </row>
    <row r="2169" spans="3:6" x14ac:dyDescent="0.25">
      <c r="C2169" s="4"/>
      <c r="E2169" s="2"/>
      <c r="F2169" s="4"/>
    </row>
    <row r="2170" spans="3:6" x14ac:dyDescent="0.25">
      <c r="C2170" s="4"/>
      <c r="E2170" s="2"/>
      <c r="F2170" s="4"/>
    </row>
    <row r="2171" spans="3:6" x14ac:dyDescent="0.25">
      <c r="C2171" s="4"/>
      <c r="E2171" s="2"/>
      <c r="F2171" s="4"/>
    </row>
    <row r="2172" spans="3:6" x14ac:dyDescent="0.25">
      <c r="C2172" s="4"/>
      <c r="E2172" s="2"/>
      <c r="F2172" s="4"/>
    </row>
    <row r="2173" spans="3:6" x14ac:dyDescent="0.25">
      <c r="C2173" s="4"/>
      <c r="E2173" s="2"/>
      <c r="F2173" s="4"/>
    </row>
    <row r="2174" spans="3:6" x14ac:dyDescent="0.25">
      <c r="C2174" s="4"/>
      <c r="E2174" s="2"/>
      <c r="F2174" s="4"/>
    </row>
    <row r="2175" spans="3:6" x14ac:dyDescent="0.25">
      <c r="C2175" s="4"/>
      <c r="E2175" s="2"/>
      <c r="F2175" s="4"/>
    </row>
    <row r="2176" spans="3:6" x14ac:dyDescent="0.25">
      <c r="C2176" s="4"/>
      <c r="E2176" s="2"/>
      <c r="F2176" s="4"/>
    </row>
    <row r="2177" spans="3:6" x14ac:dyDescent="0.25">
      <c r="C2177" s="4"/>
      <c r="E2177" s="2"/>
      <c r="F2177" s="4"/>
    </row>
    <row r="2178" spans="3:6" x14ac:dyDescent="0.25">
      <c r="C2178" s="4"/>
      <c r="E2178" s="2"/>
      <c r="F2178" s="4"/>
    </row>
    <row r="2179" spans="3:6" x14ac:dyDescent="0.25">
      <c r="C2179" s="4"/>
      <c r="E2179" s="2"/>
      <c r="F2179" s="4"/>
    </row>
    <row r="2180" spans="3:6" x14ac:dyDescent="0.25">
      <c r="C2180" s="4"/>
      <c r="E2180" s="2"/>
      <c r="F2180" s="4"/>
    </row>
    <row r="2181" spans="3:6" x14ac:dyDescent="0.25">
      <c r="C2181" s="4"/>
      <c r="E2181" s="2"/>
      <c r="F2181" s="4"/>
    </row>
    <row r="2182" spans="3:6" x14ac:dyDescent="0.25">
      <c r="C2182" s="4"/>
      <c r="E2182" s="2"/>
      <c r="F2182" s="4"/>
    </row>
    <row r="2183" spans="3:6" x14ac:dyDescent="0.25">
      <c r="C2183" s="4"/>
      <c r="E2183" s="2"/>
      <c r="F2183" s="4"/>
    </row>
    <row r="2184" spans="3:6" x14ac:dyDescent="0.25">
      <c r="C2184" s="4"/>
      <c r="E2184" s="2"/>
      <c r="F2184" s="4"/>
    </row>
    <row r="2185" spans="3:6" x14ac:dyDescent="0.25">
      <c r="C2185" s="4"/>
      <c r="E2185" s="2"/>
      <c r="F2185" s="4"/>
    </row>
    <row r="2186" spans="3:6" x14ac:dyDescent="0.25">
      <c r="C2186" s="4"/>
      <c r="E2186" s="2"/>
      <c r="F2186" s="4"/>
    </row>
    <row r="2187" spans="3:6" x14ac:dyDescent="0.25">
      <c r="C2187" s="4"/>
      <c r="E2187" s="2"/>
      <c r="F2187" s="4"/>
    </row>
    <row r="2188" spans="3:6" x14ac:dyDescent="0.25">
      <c r="C2188" s="4"/>
      <c r="E2188" s="2"/>
      <c r="F2188" s="4"/>
    </row>
    <row r="2189" spans="3:6" x14ac:dyDescent="0.25">
      <c r="C2189" s="4"/>
      <c r="E2189" s="2"/>
      <c r="F2189" s="4"/>
    </row>
    <row r="2190" spans="3:6" x14ac:dyDescent="0.25">
      <c r="C2190" s="4"/>
      <c r="E2190" s="2"/>
      <c r="F2190" s="4"/>
    </row>
    <row r="2191" spans="3:6" x14ac:dyDescent="0.25">
      <c r="C2191" s="4"/>
      <c r="E2191" s="2"/>
      <c r="F2191" s="4"/>
    </row>
    <row r="2192" spans="3:6" x14ac:dyDescent="0.25">
      <c r="C2192" s="4"/>
      <c r="E2192" s="2"/>
      <c r="F2192" s="4"/>
    </row>
    <row r="2193" spans="3:6" x14ac:dyDescent="0.25">
      <c r="C2193" s="4"/>
      <c r="E2193" s="2"/>
      <c r="F2193" s="4"/>
    </row>
    <row r="2194" spans="3:6" x14ac:dyDescent="0.25">
      <c r="C2194" s="4"/>
      <c r="E2194" s="2"/>
      <c r="F2194" s="4"/>
    </row>
    <row r="2195" spans="3:6" x14ac:dyDescent="0.25">
      <c r="C2195" s="4"/>
      <c r="E2195" s="2"/>
      <c r="F2195" s="4"/>
    </row>
    <row r="2196" spans="3:6" x14ac:dyDescent="0.25">
      <c r="C2196" s="4"/>
      <c r="E2196" s="2"/>
      <c r="F2196" s="4"/>
    </row>
    <row r="2197" spans="3:6" x14ac:dyDescent="0.25">
      <c r="C2197" s="4"/>
      <c r="E2197" s="2"/>
      <c r="F2197" s="4"/>
    </row>
    <row r="2198" spans="3:6" x14ac:dyDescent="0.25">
      <c r="C2198" s="4"/>
      <c r="E2198" s="2"/>
      <c r="F2198" s="4"/>
    </row>
    <row r="2199" spans="3:6" x14ac:dyDescent="0.25">
      <c r="C2199" s="4"/>
      <c r="E2199" s="2"/>
      <c r="F2199" s="4"/>
    </row>
    <row r="2200" spans="3:6" x14ac:dyDescent="0.25">
      <c r="C2200" s="4"/>
      <c r="E2200" s="2"/>
      <c r="F2200" s="4"/>
    </row>
    <row r="2201" spans="3:6" x14ac:dyDescent="0.25">
      <c r="C2201" s="4"/>
      <c r="E2201" s="2"/>
      <c r="F2201" s="4"/>
    </row>
    <row r="2202" spans="3:6" x14ac:dyDescent="0.25">
      <c r="C2202" s="4"/>
      <c r="E2202" s="2"/>
      <c r="F2202" s="4"/>
    </row>
    <row r="2203" spans="3:6" x14ac:dyDescent="0.25">
      <c r="C2203" s="4"/>
      <c r="E2203" s="2"/>
      <c r="F2203" s="4"/>
    </row>
    <row r="2204" spans="3:6" x14ac:dyDescent="0.25">
      <c r="C2204" s="4"/>
      <c r="E2204" s="2"/>
      <c r="F2204" s="4"/>
    </row>
    <row r="2205" spans="3:6" x14ac:dyDescent="0.25">
      <c r="C2205" s="4"/>
      <c r="E2205" s="2"/>
      <c r="F2205" s="4"/>
    </row>
    <row r="2206" spans="3:6" x14ac:dyDescent="0.25">
      <c r="C2206" s="4"/>
      <c r="E2206" s="2"/>
      <c r="F2206" s="4"/>
    </row>
    <row r="2207" spans="3:6" x14ac:dyDescent="0.25">
      <c r="C2207" s="4"/>
      <c r="E2207" s="2"/>
      <c r="F2207" s="4"/>
    </row>
    <row r="2208" spans="3:6" x14ac:dyDescent="0.25">
      <c r="C2208" s="4"/>
      <c r="E2208" s="2"/>
      <c r="F2208" s="4"/>
    </row>
    <row r="2209" spans="3:6" x14ac:dyDescent="0.25">
      <c r="C2209" s="4"/>
      <c r="E2209" s="2"/>
      <c r="F2209" s="4"/>
    </row>
    <row r="2210" spans="3:6" x14ac:dyDescent="0.25">
      <c r="C2210" s="4"/>
      <c r="E2210" s="2"/>
      <c r="F2210" s="4"/>
    </row>
    <row r="2211" spans="3:6" x14ac:dyDescent="0.25">
      <c r="C2211" s="4"/>
      <c r="E2211" s="2"/>
      <c r="F2211" s="4"/>
    </row>
    <row r="2212" spans="3:6" x14ac:dyDescent="0.25">
      <c r="C2212" s="4"/>
      <c r="E2212" s="2"/>
      <c r="F2212" s="4"/>
    </row>
    <row r="2213" spans="3:6" x14ac:dyDescent="0.25">
      <c r="C2213" s="4"/>
      <c r="E2213" s="2"/>
      <c r="F2213" s="4"/>
    </row>
    <row r="2214" spans="3:6" x14ac:dyDescent="0.25">
      <c r="C2214" s="4"/>
      <c r="E2214" s="2"/>
      <c r="F2214" s="4"/>
    </row>
    <row r="2215" spans="3:6" x14ac:dyDescent="0.25">
      <c r="C2215" s="4"/>
      <c r="E2215" s="2"/>
      <c r="F2215" s="4"/>
    </row>
    <row r="2216" spans="3:6" x14ac:dyDescent="0.25">
      <c r="C2216" s="4"/>
      <c r="E2216" s="2"/>
      <c r="F2216" s="4"/>
    </row>
    <row r="2217" spans="3:6" x14ac:dyDescent="0.25">
      <c r="C2217" s="4"/>
      <c r="E2217" s="2"/>
      <c r="F2217" s="4"/>
    </row>
    <row r="2218" spans="3:6" x14ac:dyDescent="0.25">
      <c r="C2218" s="4"/>
      <c r="E2218" s="2"/>
      <c r="F2218" s="4"/>
    </row>
    <row r="2219" spans="3:6" x14ac:dyDescent="0.25">
      <c r="C2219" s="4"/>
      <c r="E2219" s="2"/>
      <c r="F2219" s="4"/>
    </row>
    <row r="2220" spans="3:6" x14ac:dyDescent="0.25">
      <c r="C2220" s="4"/>
      <c r="E2220" s="2"/>
      <c r="F2220" s="4"/>
    </row>
    <row r="2221" spans="3:6" x14ac:dyDescent="0.25">
      <c r="C2221" s="4"/>
      <c r="E2221" s="2"/>
      <c r="F2221" s="4"/>
    </row>
    <row r="2222" spans="3:6" x14ac:dyDescent="0.25">
      <c r="C2222" s="4"/>
      <c r="E2222" s="2"/>
      <c r="F2222" s="4"/>
    </row>
    <row r="2223" spans="3:6" x14ac:dyDescent="0.25">
      <c r="C2223" s="4"/>
      <c r="E2223" s="2"/>
      <c r="F2223" s="4"/>
    </row>
    <row r="2224" spans="3:6" x14ac:dyDescent="0.25">
      <c r="C2224" s="4"/>
      <c r="E2224" s="2"/>
      <c r="F2224" s="4"/>
    </row>
    <row r="2225" spans="3:6" x14ac:dyDescent="0.25">
      <c r="C2225" s="4"/>
      <c r="E2225" s="2"/>
      <c r="F2225" s="4"/>
    </row>
    <row r="2226" spans="3:6" x14ac:dyDescent="0.25">
      <c r="C2226" s="4"/>
      <c r="E2226" s="2"/>
      <c r="F2226" s="4"/>
    </row>
    <row r="2227" spans="3:6" x14ac:dyDescent="0.25">
      <c r="C2227" s="4"/>
      <c r="E2227" s="2"/>
      <c r="F2227" s="4"/>
    </row>
    <row r="2228" spans="3:6" x14ac:dyDescent="0.25">
      <c r="C2228" s="4"/>
      <c r="E2228" s="2"/>
      <c r="F2228" s="4"/>
    </row>
    <row r="2229" spans="3:6" x14ac:dyDescent="0.25">
      <c r="C2229" s="4"/>
      <c r="E2229" s="2"/>
      <c r="F2229" s="4"/>
    </row>
    <row r="2230" spans="3:6" x14ac:dyDescent="0.25">
      <c r="C2230" s="4"/>
      <c r="E2230" s="2"/>
      <c r="F2230" s="4"/>
    </row>
    <row r="2231" spans="3:6" x14ac:dyDescent="0.25">
      <c r="C2231" s="4"/>
      <c r="E2231" s="2"/>
      <c r="F2231" s="4"/>
    </row>
    <row r="2232" spans="3:6" x14ac:dyDescent="0.25">
      <c r="C2232" s="4"/>
      <c r="E2232" s="2"/>
      <c r="F2232" s="4"/>
    </row>
    <row r="2233" spans="3:6" x14ac:dyDescent="0.25">
      <c r="C2233" s="4"/>
      <c r="E2233" s="2"/>
      <c r="F2233" s="4"/>
    </row>
    <row r="2234" spans="3:6" x14ac:dyDescent="0.25">
      <c r="C2234" s="4"/>
      <c r="E2234" s="2"/>
      <c r="F2234" s="4"/>
    </row>
    <row r="2235" spans="3:6" x14ac:dyDescent="0.25">
      <c r="C2235" s="4"/>
      <c r="E2235" s="2"/>
      <c r="F2235" s="4"/>
    </row>
    <row r="2236" spans="3:6" x14ac:dyDescent="0.25">
      <c r="C2236" s="4"/>
      <c r="E2236" s="2"/>
      <c r="F2236" s="4"/>
    </row>
    <row r="2237" spans="3:6" x14ac:dyDescent="0.25">
      <c r="C2237" s="4"/>
      <c r="E2237" s="2"/>
      <c r="F2237" s="4"/>
    </row>
    <row r="2238" spans="3:6" x14ac:dyDescent="0.25">
      <c r="C2238" s="4"/>
      <c r="E2238" s="2"/>
      <c r="F2238" s="4"/>
    </row>
    <row r="2239" spans="3:6" x14ac:dyDescent="0.25">
      <c r="C2239" s="4"/>
      <c r="E2239" s="2"/>
      <c r="F2239" s="4"/>
    </row>
    <row r="2240" spans="3:6" x14ac:dyDescent="0.25">
      <c r="C2240" s="4"/>
      <c r="E2240" s="2"/>
      <c r="F2240" s="4"/>
    </row>
    <row r="2241" spans="3:6" x14ac:dyDescent="0.25">
      <c r="C2241" s="4"/>
      <c r="E2241" s="2"/>
      <c r="F2241" s="4"/>
    </row>
    <row r="2242" spans="3:6" x14ac:dyDescent="0.25">
      <c r="C2242" s="4"/>
      <c r="E2242" s="2"/>
      <c r="F2242" s="4"/>
    </row>
    <row r="2243" spans="3:6" x14ac:dyDescent="0.25">
      <c r="C2243" s="4"/>
      <c r="E2243" s="2"/>
      <c r="F2243" s="4"/>
    </row>
    <row r="2244" spans="3:6" x14ac:dyDescent="0.25">
      <c r="C2244" s="4"/>
      <c r="E2244" s="2"/>
      <c r="F2244" s="4"/>
    </row>
    <row r="2245" spans="3:6" x14ac:dyDescent="0.25">
      <c r="C2245" s="4"/>
      <c r="E2245" s="2"/>
      <c r="F2245" s="4"/>
    </row>
    <row r="2246" spans="3:6" x14ac:dyDescent="0.25">
      <c r="C2246" s="4"/>
      <c r="E2246" s="2"/>
      <c r="F2246" s="4"/>
    </row>
    <row r="2247" spans="3:6" x14ac:dyDescent="0.25">
      <c r="C2247" s="4"/>
      <c r="E2247" s="2"/>
      <c r="F2247" s="4"/>
    </row>
    <row r="2248" spans="3:6" x14ac:dyDescent="0.25">
      <c r="C2248" s="4"/>
      <c r="E2248" s="2"/>
      <c r="F2248" s="4"/>
    </row>
    <row r="2249" spans="3:6" x14ac:dyDescent="0.25">
      <c r="C2249" s="4"/>
      <c r="E2249" s="2"/>
      <c r="F2249" s="4"/>
    </row>
    <row r="2250" spans="3:6" x14ac:dyDescent="0.25">
      <c r="C2250" s="4"/>
      <c r="E2250" s="2"/>
      <c r="F2250" s="4"/>
    </row>
    <row r="2251" spans="3:6" x14ac:dyDescent="0.25">
      <c r="C2251" s="4"/>
      <c r="E2251" s="2"/>
      <c r="F2251" s="4"/>
    </row>
    <row r="2252" spans="3:6" x14ac:dyDescent="0.25">
      <c r="C2252" s="4"/>
      <c r="E2252" s="2"/>
      <c r="F2252" s="4"/>
    </row>
    <row r="2253" spans="3:6" x14ac:dyDescent="0.25">
      <c r="C2253" s="4"/>
      <c r="E2253" s="2"/>
      <c r="F2253" s="4"/>
    </row>
    <row r="2254" spans="3:6" x14ac:dyDescent="0.25">
      <c r="C2254" s="4"/>
      <c r="E2254" s="2"/>
      <c r="F2254" s="4"/>
    </row>
    <row r="2255" spans="3:6" x14ac:dyDescent="0.25">
      <c r="C2255" s="4"/>
      <c r="E2255" s="2"/>
      <c r="F2255" s="4"/>
    </row>
    <row r="2256" spans="3:6" x14ac:dyDescent="0.25">
      <c r="C2256" s="4"/>
      <c r="E2256" s="2"/>
      <c r="F2256" s="4"/>
    </row>
    <row r="2257" spans="3:6" x14ac:dyDescent="0.25">
      <c r="C2257" s="4"/>
      <c r="E2257" s="2"/>
      <c r="F2257" s="4"/>
    </row>
    <row r="2258" spans="3:6" x14ac:dyDescent="0.25">
      <c r="C2258" s="4"/>
      <c r="E2258" s="2"/>
      <c r="F2258" s="4"/>
    </row>
    <row r="2259" spans="3:6" x14ac:dyDescent="0.25">
      <c r="C2259" s="4"/>
      <c r="E2259" s="2"/>
      <c r="F2259" s="4"/>
    </row>
    <row r="2260" spans="3:6" x14ac:dyDescent="0.25">
      <c r="C2260" s="4"/>
      <c r="E2260" s="2"/>
      <c r="F2260" s="4"/>
    </row>
    <row r="2261" spans="3:6" x14ac:dyDescent="0.25">
      <c r="C2261" s="4"/>
      <c r="E2261" s="2"/>
      <c r="F2261" s="4"/>
    </row>
    <row r="2262" spans="3:6" x14ac:dyDescent="0.25">
      <c r="C2262" s="4"/>
      <c r="E2262" s="2"/>
      <c r="F2262" s="4"/>
    </row>
    <row r="2263" spans="3:6" x14ac:dyDescent="0.25">
      <c r="C2263" s="4"/>
      <c r="E2263" s="2"/>
      <c r="F2263" s="4"/>
    </row>
    <row r="2264" spans="3:6" x14ac:dyDescent="0.25">
      <c r="C2264" s="4"/>
      <c r="E2264" s="2"/>
      <c r="F2264" s="4"/>
    </row>
    <row r="2265" spans="3:6" x14ac:dyDescent="0.25">
      <c r="C2265" s="4"/>
      <c r="E2265" s="2"/>
      <c r="F2265" s="4"/>
    </row>
    <row r="2266" spans="3:6" x14ac:dyDescent="0.25">
      <c r="C2266" s="4"/>
      <c r="E2266" s="2"/>
      <c r="F2266" s="4"/>
    </row>
    <row r="2267" spans="3:6" x14ac:dyDescent="0.25">
      <c r="C2267" s="4"/>
      <c r="E2267" s="2"/>
      <c r="F2267" s="4"/>
    </row>
    <row r="2268" spans="3:6" x14ac:dyDescent="0.25">
      <c r="C2268" s="4"/>
      <c r="E2268" s="2"/>
      <c r="F2268" s="4"/>
    </row>
    <row r="2269" spans="3:6" x14ac:dyDescent="0.25">
      <c r="C2269" s="4"/>
      <c r="E2269" s="2"/>
      <c r="F2269" s="4"/>
    </row>
    <row r="2270" spans="3:6" x14ac:dyDescent="0.25">
      <c r="C2270" s="4"/>
      <c r="E2270" s="2"/>
      <c r="F2270" s="4"/>
    </row>
    <row r="2271" spans="3:6" x14ac:dyDescent="0.25">
      <c r="C2271" s="4"/>
      <c r="E2271" s="2"/>
      <c r="F2271" s="4"/>
    </row>
    <row r="2272" spans="3:6" x14ac:dyDescent="0.25">
      <c r="C2272" s="4"/>
      <c r="E2272" s="2"/>
      <c r="F2272" s="4"/>
    </row>
    <row r="2273" spans="3:6" x14ac:dyDescent="0.25">
      <c r="C2273" s="4"/>
      <c r="E2273" s="2"/>
      <c r="F2273" s="4"/>
    </row>
    <row r="2274" spans="3:6" x14ac:dyDescent="0.25">
      <c r="C2274" s="4"/>
      <c r="E2274" s="2"/>
      <c r="F2274" s="4"/>
    </row>
    <row r="2275" spans="3:6" x14ac:dyDescent="0.25">
      <c r="C2275" s="4"/>
      <c r="E2275" s="2"/>
      <c r="F2275" s="4"/>
    </row>
    <row r="2276" spans="3:6" x14ac:dyDescent="0.25">
      <c r="C2276" s="4"/>
      <c r="E2276" s="2"/>
      <c r="F2276" s="4"/>
    </row>
    <row r="2277" spans="3:6" x14ac:dyDescent="0.25">
      <c r="C2277" s="4"/>
      <c r="E2277" s="2"/>
      <c r="F2277" s="4"/>
    </row>
    <row r="2278" spans="3:6" x14ac:dyDescent="0.25">
      <c r="C2278" s="4"/>
      <c r="E2278" s="2"/>
      <c r="F2278" s="4"/>
    </row>
    <row r="2279" spans="3:6" x14ac:dyDescent="0.25">
      <c r="C2279" s="4"/>
      <c r="E2279" s="2"/>
      <c r="F2279" s="4"/>
    </row>
    <row r="2280" spans="3:6" x14ac:dyDescent="0.25">
      <c r="C2280" s="4"/>
      <c r="E2280" s="2"/>
      <c r="F2280" s="4"/>
    </row>
    <row r="2281" spans="3:6" x14ac:dyDescent="0.25">
      <c r="C2281" s="4"/>
      <c r="E2281" s="2"/>
      <c r="F2281" s="4"/>
    </row>
    <row r="2282" spans="3:6" x14ac:dyDescent="0.25">
      <c r="C2282" s="4"/>
      <c r="E2282" s="2"/>
      <c r="F2282" s="4"/>
    </row>
    <row r="2283" spans="3:6" x14ac:dyDescent="0.25">
      <c r="C2283" s="4"/>
      <c r="E2283" s="2"/>
      <c r="F2283" s="4"/>
    </row>
    <row r="2284" spans="3:6" x14ac:dyDescent="0.25">
      <c r="C2284" s="4"/>
      <c r="E2284" s="2"/>
      <c r="F2284" s="4"/>
    </row>
    <row r="2285" spans="3:6" x14ac:dyDescent="0.25">
      <c r="C2285" s="4"/>
      <c r="E2285" s="2"/>
      <c r="F2285" s="4"/>
    </row>
    <row r="2286" spans="3:6" x14ac:dyDescent="0.25">
      <c r="C2286" s="4"/>
      <c r="E2286" s="2"/>
      <c r="F2286" s="4"/>
    </row>
    <row r="2287" spans="3:6" x14ac:dyDescent="0.25">
      <c r="C2287" s="4"/>
      <c r="E2287" s="2"/>
      <c r="F2287" s="4"/>
    </row>
    <row r="2288" spans="3:6" x14ac:dyDescent="0.25">
      <c r="C2288" s="4"/>
      <c r="E2288" s="2"/>
      <c r="F2288" s="4"/>
    </row>
    <row r="2289" spans="3:6" x14ac:dyDescent="0.25">
      <c r="C2289" s="4"/>
      <c r="E2289" s="2"/>
      <c r="F2289" s="4"/>
    </row>
    <row r="2290" spans="3:6" x14ac:dyDescent="0.25">
      <c r="C2290" s="4"/>
      <c r="E2290" s="2"/>
      <c r="F2290" s="4"/>
    </row>
    <row r="2291" spans="3:6" x14ac:dyDescent="0.25">
      <c r="C2291" s="4"/>
      <c r="E2291" s="2"/>
      <c r="F2291" s="4"/>
    </row>
    <row r="2292" spans="3:6" x14ac:dyDescent="0.25">
      <c r="C2292" s="4"/>
      <c r="E2292" s="2"/>
      <c r="F2292" s="4"/>
    </row>
    <row r="2293" spans="3:6" x14ac:dyDescent="0.25">
      <c r="C2293" s="4"/>
      <c r="E2293" s="2"/>
      <c r="F2293" s="4"/>
    </row>
    <row r="2294" spans="3:6" x14ac:dyDescent="0.25">
      <c r="C2294" s="4"/>
      <c r="E2294" s="2"/>
      <c r="F2294" s="4"/>
    </row>
    <row r="2295" spans="3:6" x14ac:dyDescent="0.25">
      <c r="C2295" s="4"/>
      <c r="E2295" s="2"/>
      <c r="F2295" s="4"/>
    </row>
    <row r="2296" spans="3:6" x14ac:dyDescent="0.25">
      <c r="C2296" s="4"/>
      <c r="E2296" s="2"/>
      <c r="F2296" s="4"/>
    </row>
    <row r="2297" spans="3:6" x14ac:dyDescent="0.25">
      <c r="C2297" s="4"/>
      <c r="E2297" s="2"/>
      <c r="F2297" s="4"/>
    </row>
    <row r="2298" spans="3:6" x14ac:dyDescent="0.25">
      <c r="C2298" s="4"/>
      <c r="E2298" s="2"/>
      <c r="F2298" s="4"/>
    </row>
    <row r="2299" spans="3:6" x14ac:dyDescent="0.25">
      <c r="C2299" s="4"/>
      <c r="E2299" s="2"/>
      <c r="F2299" s="4"/>
    </row>
    <row r="2300" spans="3:6" x14ac:dyDescent="0.25">
      <c r="C2300" s="4"/>
      <c r="E2300" s="2"/>
      <c r="F2300" s="4"/>
    </row>
    <row r="2301" spans="3:6" x14ac:dyDescent="0.25">
      <c r="C2301" s="4"/>
      <c r="E2301" s="2"/>
      <c r="F2301" s="4"/>
    </row>
    <row r="2302" spans="3:6" x14ac:dyDescent="0.25">
      <c r="C2302" s="4"/>
      <c r="E2302" s="2"/>
      <c r="F2302" s="4"/>
    </row>
    <row r="2303" spans="3:6" x14ac:dyDescent="0.25">
      <c r="C2303" s="4"/>
      <c r="E2303" s="2"/>
      <c r="F2303" s="4"/>
    </row>
    <row r="2304" spans="3:6" x14ac:dyDescent="0.25">
      <c r="C2304" s="4"/>
      <c r="E2304" s="2"/>
      <c r="F2304" s="4"/>
    </row>
    <row r="2305" spans="3:6" x14ac:dyDescent="0.25">
      <c r="C2305" s="4"/>
      <c r="E2305" s="2"/>
      <c r="F2305" s="4"/>
    </row>
    <row r="2306" spans="3:6" x14ac:dyDescent="0.25">
      <c r="C2306" s="4"/>
      <c r="E2306" s="2"/>
      <c r="F2306" s="4"/>
    </row>
    <row r="2307" spans="3:6" x14ac:dyDescent="0.25">
      <c r="C2307" s="4"/>
      <c r="E2307" s="2"/>
      <c r="F2307" s="4"/>
    </row>
    <row r="2308" spans="3:6" x14ac:dyDescent="0.25">
      <c r="C2308" s="4"/>
      <c r="E2308" s="2"/>
      <c r="F2308" s="4"/>
    </row>
    <row r="2309" spans="3:6" x14ac:dyDescent="0.25">
      <c r="C2309" s="4"/>
      <c r="E2309" s="2"/>
      <c r="F2309" s="4"/>
    </row>
    <row r="2310" spans="3:6" x14ac:dyDescent="0.25">
      <c r="C2310" s="4"/>
      <c r="E2310" s="2"/>
      <c r="F2310" s="4"/>
    </row>
    <row r="2311" spans="3:6" x14ac:dyDescent="0.25">
      <c r="C2311" s="4"/>
      <c r="E2311" s="2"/>
      <c r="F2311" s="4"/>
    </row>
    <row r="2312" spans="3:6" x14ac:dyDescent="0.25">
      <c r="C2312" s="4"/>
      <c r="E2312" s="2"/>
      <c r="F2312" s="4"/>
    </row>
    <row r="2313" spans="3:6" x14ac:dyDescent="0.25">
      <c r="C2313" s="4"/>
      <c r="E2313" s="2"/>
      <c r="F2313" s="4"/>
    </row>
    <row r="2314" spans="3:6" x14ac:dyDescent="0.25">
      <c r="C2314" s="4"/>
      <c r="E2314" s="2"/>
      <c r="F2314" s="4"/>
    </row>
    <row r="2315" spans="3:6" x14ac:dyDescent="0.25">
      <c r="C2315" s="4"/>
      <c r="E2315" s="2"/>
      <c r="F2315" s="4"/>
    </row>
    <row r="2316" spans="3:6" x14ac:dyDescent="0.25">
      <c r="C2316" s="4"/>
      <c r="E2316" s="2"/>
      <c r="F2316" s="4"/>
    </row>
    <row r="2317" spans="3:6" x14ac:dyDescent="0.25">
      <c r="C2317" s="4"/>
      <c r="E2317" s="2"/>
      <c r="F2317" s="4"/>
    </row>
    <row r="2318" spans="3:6" x14ac:dyDescent="0.25">
      <c r="C2318" s="4"/>
      <c r="E2318" s="2"/>
      <c r="F2318" s="4"/>
    </row>
    <row r="2319" spans="3:6" x14ac:dyDescent="0.25">
      <c r="C2319" s="4"/>
      <c r="E2319" s="2"/>
      <c r="F2319" s="4"/>
    </row>
    <row r="2320" spans="3:6" x14ac:dyDescent="0.25">
      <c r="C2320" s="4"/>
      <c r="E2320" s="2"/>
      <c r="F2320" s="4"/>
    </row>
    <row r="2321" spans="3:6" x14ac:dyDescent="0.25">
      <c r="C2321" s="4"/>
      <c r="E2321" s="2"/>
      <c r="F2321" s="4"/>
    </row>
    <row r="2322" spans="3:6" x14ac:dyDescent="0.25">
      <c r="C2322" s="4"/>
      <c r="E2322" s="2"/>
      <c r="F2322" s="4"/>
    </row>
    <row r="2323" spans="3:6" x14ac:dyDescent="0.25">
      <c r="C2323" s="4"/>
      <c r="E2323" s="2"/>
      <c r="F2323" s="4"/>
    </row>
    <row r="2324" spans="3:6" x14ac:dyDescent="0.25">
      <c r="C2324" s="4"/>
      <c r="E2324" s="2"/>
      <c r="F2324" s="4"/>
    </row>
    <row r="2325" spans="3:6" x14ac:dyDescent="0.25">
      <c r="C2325" s="4"/>
      <c r="E2325" s="2"/>
      <c r="F2325" s="4"/>
    </row>
    <row r="2326" spans="3:6" x14ac:dyDescent="0.25">
      <c r="C2326" s="4"/>
      <c r="E2326" s="2"/>
      <c r="F2326" s="4"/>
    </row>
  </sheetData>
  <phoneticPr fontId="14" type="noConversion"/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K150"/>
  <sheetViews>
    <sheetView topLeftCell="B1" workbookViewId="0">
      <selection activeCell="B6" sqref="B6"/>
    </sheetView>
  </sheetViews>
  <sheetFormatPr defaultRowHeight="12.5" x14ac:dyDescent="0.25"/>
  <cols>
    <col min="1" max="1" width="10.81640625" hidden="1" customWidth="1"/>
    <col min="2" max="2" width="13.26953125" bestFit="1" customWidth="1"/>
  </cols>
  <sheetData>
    <row r="1" spans="1:11" x14ac:dyDescent="0.25">
      <c r="B1" s="542" t="s">
        <v>38</v>
      </c>
      <c r="C1" s="542"/>
      <c r="D1" s="542"/>
      <c r="E1" s="542"/>
      <c r="F1" s="542"/>
      <c r="G1" s="542"/>
      <c r="H1" s="542"/>
      <c r="I1" s="542"/>
      <c r="J1" s="542"/>
      <c r="K1" s="542"/>
    </row>
    <row r="2" spans="1:11" x14ac:dyDescent="0.25">
      <c r="B2" s="542" t="s">
        <v>39</v>
      </c>
      <c r="C2" s="542"/>
      <c r="D2" s="542"/>
      <c r="E2" s="542"/>
      <c r="F2" s="542"/>
      <c r="G2" s="542"/>
      <c r="H2" s="542"/>
      <c r="I2" s="542"/>
      <c r="J2" s="542"/>
      <c r="K2" s="542"/>
    </row>
    <row r="3" spans="1:11" x14ac:dyDescent="0.25">
      <c r="B3" s="542" t="s">
        <v>40</v>
      </c>
      <c r="C3" s="542"/>
      <c r="D3" s="542"/>
      <c r="E3" s="542"/>
      <c r="F3" s="542"/>
      <c r="G3" s="542"/>
      <c r="H3" s="542"/>
      <c r="I3" s="542"/>
      <c r="J3" s="542"/>
      <c r="K3" s="542"/>
    </row>
    <row r="4" spans="1:11" x14ac:dyDescent="0.25">
      <c r="B4" s="542" t="s">
        <v>38</v>
      </c>
      <c r="C4" s="542"/>
      <c r="D4" s="542"/>
      <c r="E4" s="542"/>
      <c r="F4" s="542"/>
      <c r="G4" s="542"/>
      <c r="H4" s="542"/>
      <c r="I4" s="542"/>
      <c r="J4" s="542"/>
      <c r="K4" s="542"/>
    </row>
    <row r="5" spans="1:11" ht="13" thickBot="1" x14ac:dyDescent="0.3">
      <c r="B5" t="s">
        <v>6</v>
      </c>
      <c r="C5" t="s">
        <v>7</v>
      </c>
      <c r="D5" t="s">
        <v>8</v>
      </c>
      <c r="E5" t="s">
        <v>32</v>
      </c>
      <c r="F5" t="s">
        <v>33</v>
      </c>
      <c r="G5" t="s">
        <v>34</v>
      </c>
      <c r="H5" t="s">
        <v>35</v>
      </c>
      <c r="I5" t="s">
        <v>36</v>
      </c>
      <c r="J5" t="s">
        <v>41</v>
      </c>
      <c r="K5" t="s">
        <v>42</v>
      </c>
    </row>
    <row r="6" spans="1:11" ht="13" thickBot="1" x14ac:dyDescent="0.3">
      <c r="A6" t="str">
        <f>CONCATENATE(C6,D6)</f>
        <v>KRBL</v>
      </c>
      <c r="B6">
        <v>40513</v>
      </c>
      <c r="C6" t="s">
        <v>43</v>
      </c>
      <c r="D6" t="s">
        <v>0</v>
      </c>
      <c r="E6">
        <v>63</v>
      </c>
      <c r="F6">
        <v>2.1</v>
      </c>
      <c r="G6">
        <v>2.4</v>
      </c>
      <c r="H6">
        <v>10</v>
      </c>
      <c r="I6">
        <v>15</v>
      </c>
      <c r="J6">
        <f>+F6+G6</f>
        <v>4.5</v>
      </c>
      <c r="K6">
        <f>+G6/F6</f>
        <v>1.1428571428571428</v>
      </c>
    </row>
    <row r="7" spans="1:11" ht="13" thickBot="1" x14ac:dyDescent="0.3">
      <c r="A7" t="str">
        <f t="shared" ref="A7:A21" si="0">CONCATENATE(C7,D7)</f>
        <v>KRBF</v>
      </c>
      <c r="B7">
        <v>40514</v>
      </c>
      <c r="C7" t="s">
        <v>43</v>
      </c>
      <c r="D7" t="s">
        <v>1</v>
      </c>
      <c r="E7">
        <v>62.9</v>
      </c>
      <c r="F7">
        <v>3.2</v>
      </c>
      <c r="G7">
        <v>3</v>
      </c>
      <c r="H7">
        <v>10</v>
      </c>
      <c r="I7">
        <v>28</v>
      </c>
      <c r="J7">
        <f>+F7+G7</f>
        <v>6.2</v>
      </c>
      <c r="K7">
        <f>+G7/F7</f>
        <v>0.9375</v>
      </c>
    </row>
    <row r="8" spans="1:11" ht="13" thickBot="1" x14ac:dyDescent="0.3">
      <c r="A8" t="str">
        <f t="shared" si="0"/>
        <v>MBRL</v>
      </c>
      <c r="B8">
        <v>40515</v>
      </c>
      <c r="C8" t="s">
        <v>2</v>
      </c>
      <c r="D8" t="s">
        <v>0</v>
      </c>
      <c r="E8">
        <v>62.95</v>
      </c>
      <c r="F8">
        <v>2.8</v>
      </c>
      <c r="G8">
        <v>2.36</v>
      </c>
      <c r="H8">
        <v>15</v>
      </c>
      <c r="I8">
        <v>15</v>
      </c>
      <c r="J8">
        <f>+F8+G8</f>
        <v>5.16</v>
      </c>
      <c r="K8">
        <f>+G8/F8</f>
        <v>0.84285714285714286</v>
      </c>
    </row>
    <row r="9" spans="1:11" ht="13" thickBot="1" x14ac:dyDescent="0.3">
      <c r="A9" t="str">
        <f t="shared" si="0"/>
        <v>MBRF</v>
      </c>
      <c r="B9">
        <v>40516</v>
      </c>
      <c r="C9" t="s">
        <v>2</v>
      </c>
      <c r="D9" t="s">
        <v>1</v>
      </c>
      <c r="E9">
        <v>62.45</v>
      </c>
      <c r="F9">
        <v>3.6</v>
      </c>
      <c r="G9">
        <v>2.8</v>
      </c>
      <c r="H9">
        <v>5</v>
      </c>
      <c r="I9">
        <v>30</v>
      </c>
      <c r="J9">
        <f>+F9+G9</f>
        <v>6.4</v>
      </c>
      <c r="K9">
        <f>+G9/F9</f>
        <v>0.77777777777777768</v>
      </c>
    </row>
    <row r="10" spans="1:11" ht="13" thickBot="1" x14ac:dyDescent="0.3">
      <c r="A10" t="str">
        <f t="shared" si="0"/>
        <v>GUAF</v>
      </c>
      <c r="B10">
        <v>40517</v>
      </c>
      <c r="C10" t="s">
        <v>9</v>
      </c>
      <c r="D10" t="s">
        <v>1</v>
      </c>
      <c r="E10">
        <v>63</v>
      </c>
      <c r="F10">
        <v>2.9</v>
      </c>
      <c r="G10">
        <v>2.8</v>
      </c>
      <c r="H10">
        <v>4</v>
      </c>
      <c r="I10">
        <v>40</v>
      </c>
      <c r="J10">
        <f>IF(F10&lt;&gt;"",+G10+F10,"")</f>
        <v>5.6999999999999993</v>
      </c>
      <c r="K10">
        <f>IF(F10&lt;&gt;"",+G10/F10,"")</f>
        <v>0.96551724137931028</v>
      </c>
    </row>
    <row r="11" spans="1:11" ht="13" thickBot="1" x14ac:dyDescent="0.3">
      <c r="A11" t="str">
        <f t="shared" si="0"/>
        <v>BOLL</v>
      </c>
      <c r="B11">
        <v>40518</v>
      </c>
      <c r="C11" t="s">
        <v>11</v>
      </c>
      <c r="D11" t="s">
        <v>0</v>
      </c>
      <c r="E11">
        <v>63</v>
      </c>
      <c r="F11">
        <v>1.6</v>
      </c>
      <c r="G11">
        <v>2.2999999999999998</v>
      </c>
      <c r="H11">
        <v>10</v>
      </c>
      <c r="I11">
        <v>10</v>
      </c>
      <c r="J11">
        <f>+G11+F11</f>
        <v>3.9</v>
      </c>
      <c r="K11">
        <f>+G11/F11</f>
        <v>1.4374999999999998</v>
      </c>
    </row>
    <row r="12" spans="1:11" ht="13" thickBot="1" x14ac:dyDescent="0.3">
      <c r="A12" t="str">
        <f t="shared" si="0"/>
        <v>BOLF</v>
      </c>
      <c r="B12">
        <v>40519</v>
      </c>
      <c r="C12" t="s">
        <v>11</v>
      </c>
      <c r="D12" t="s">
        <v>1</v>
      </c>
      <c r="E12">
        <v>63</v>
      </c>
      <c r="F12">
        <v>2.1</v>
      </c>
      <c r="G12">
        <v>2.5</v>
      </c>
      <c r="H12">
        <v>10</v>
      </c>
      <c r="I12">
        <v>30</v>
      </c>
      <c r="J12">
        <f>+G12+F12</f>
        <v>4.5999999999999996</v>
      </c>
      <c r="K12">
        <f>+G12/F12</f>
        <v>1.1904761904761905</v>
      </c>
    </row>
    <row r="13" spans="1:11" ht="13" thickBot="1" x14ac:dyDescent="0.3">
      <c r="A13" t="str">
        <f t="shared" si="0"/>
        <v>BARL</v>
      </c>
      <c r="B13">
        <v>40520</v>
      </c>
      <c r="C13" t="s">
        <v>10</v>
      </c>
      <c r="D13" t="s">
        <v>0</v>
      </c>
      <c r="E13">
        <v>62.8</v>
      </c>
      <c r="F13">
        <v>2</v>
      </c>
      <c r="G13">
        <v>3</v>
      </c>
      <c r="H13">
        <v>18</v>
      </c>
      <c r="I13">
        <v>15</v>
      </c>
      <c r="J13">
        <f t="shared" ref="J13:J18" si="1">IF(F13&lt;&gt;"",+G13+F13,"")</f>
        <v>5</v>
      </c>
      <c r="K13">
        <f t="shared" ref="K13:K18" si="2">IF(F13&lt;&gt;"",+G13/F13,"")</f>
        <v>1.5</v>
      </c>
    </row>
    <row r="14" spans="1:11" ht="13" thickBot="1" x14ac:dyDescent="0.3">
      <c r="A14" t="str">
        <f t="shared" si="0"/>
        <v>BARF</v>
      </c>
      <c r="B14">
        <v>40521</v>
      </c>
      <c r="C14" t="s">
        <v>10</v>
      </c>
      <c r="D14" t="s">
        <v>1</v>
      </c>
      <c r="E14">
        <v>62</v>
      </c>
      <c r="F14">
        <v>3</v>
      </c>
      <c r="G14">
        <v>3.4</v>
      </c>
      <c r="H14">
        <v>8</v>
      </c>
      <c r="I14">
        <v>40</v>
      </c>
      <c r="J14">
        <f t="shared" si="1"/>
        <v>6.4</v>
      </c>
      <c r="K14">
        <f t="shared" si="2"/>
        <v>1.1333333333333333</v>
      </c>
    </row>
    <row r="15" spans="1:11" ht="13" thickBot="1" x14ac:dyDescent="0.3">
      <c r="A15" t="str">
        <f t="shared" si="0"/>
        <v>KALL</v>
      </c>
      <c r="B15">
        <v>40522</v>
      </c>
      <c r="C15" t="s">
        <v>31</v>
      </c>
      <c r="D15" t="s">
        <v>0</v>
      </c>
      <c r="E15">
        <v>64</v>
      </c>
      <c r="F15">
        <v>1.6</v>
      </c>
      <c r="G15">
        <v>2.7</v>
      </c>
      <c r="H15">
        <v>10</v>
      </c>
      <c r="I15">
        <v>8</v>
      </c>
      <c r="J15">
        <f t="shared" si="1"/>
        <v>4.3000000000000007</v>
      </c>
      <c r="K15">
        <f t="shared" si="2"/>
        <v>1.6875</v>
      </c>
    </row>
    <row r="16" spans="1:11" ht="13" thickBot="1" x14ac:dyDescent="0.3">
      <c r="A16" t="str">
        <f t="shared" si="0"/>
        <v>KALF</v>
      </c>
      <c r="B16">
        <v>40523</v>
      </c>
      <c r="C16" t="s">
        <v>31</v>
      </c>
      <c r="D16" t="s">
        <v>1</v>
      </c>
      <c r="E16">
        <v>64</v>
      </c>
      <c r="F16">
        <v>2.2999999999999998</v>
      </c>
      <c r="G16">
        <v>3</v>
      </c>
      <c r="H16">
        <v>5</v>
      </c>
      <c r="I16">
        <v>40</v>
      </c>
      <c r="J16">
        <f t="shared" si="1"/>
        <v>5.3</v>
      </c>
      <c r="K16">
        <f t="shared" si="2"/>
        <v>1.3043478260869565</v>
      </c>
    </row>
    <row r="17" spans="1:11" ht="13" thickBot="1" x14ac:dyDescent="0.3">
      <c r="A17" t="str">
        <f t="shared" si="0"/>
        <v>GUAL</v>
      </c>
      <c r="B17">
        <v>40524</v>
      </c>
      <c r="C17" t="s">
        <v>9</v>
      </c>
      <c r="D17" t="s">
        <v>0</v>
      </c>
      <c r="E17">
        <v>62.3</v>
      </c>
      <c r="F17">
        <v>1.8</v>
      </c>
      <c r="G17">
        <v>2.7</v>
      </c>
      <c r="H17">
        <v>7</v>
      </c>
      <c r="I17">
        <v>10</v>
      </c>
      <c r="J17">
        <f t="shared" si="1"/>
        <v>4.5</v>
      </c>
      <c r="K17">
        <f t="shared" si="2"/>
        <v>1.5</v>
      </c>
    </row>
    <row r="18" spans="1:11" ht="13" thickBot="1" x14ac:dyDescent="0.3">
      <c r="A18" t="str">
        <f t="shared" si="0"/>
        <v>MPRL</v>
      </c>
      <c r="B18">
        <v>40525</v>
      </c>
      <c r="C18" t="s">
        <v>44</v>
      </c>
      <c r="D18" t="s">
        <v>0</v>
      </c>
      <c r="E18">
        <v>63</v>
      </c>
      <c r="F18">
        <v>1.8</v>
      </c>
      <c r="G18">
        <v>2.8</v>
      </c>
      <c r="H18">
        <v>10</v>
      </c>
      <c r="I18">
        <v>8</v>
      </c>
      <c r="J18">
        <f t="shared" si="1"/>
        <v>4.5999999999999996</v>
      </c>
      <c r="K18">
        <f t="shared" si="2"/>
        <v>1.5555555555555554</v>
      </c>
    </row>
    <row r="19" spans="1:11" ht="13" thickBot="1" x14ac:dyDescent="0.3">
      <c r="A19" t="str">
        <f t="shared" si="0"/>
        <v>KTRL</v>
      </c>
      <c r="B19">
        <v>40526</v>
      </c>
      <c r="C19" t="s">
        <v>28</v>
      </c>
      <c r="D19" t="s">
        <v>0</v>
      </c>
      <c r="E19">
        <v>50</v>
      </c>
      <c r="F19">
        <v>2.25</v>
      </c>
      <c r="G19">
        <v>3.5</v>
      </c>
      <c r="H19">
        <v>5</v>
      </c>
      <c r="I19">
        <v>5</v>
      </c>
    </row>
    <row r="20" spans="1:11" ht="13" thickBot="1" x14ac:dyDescent="0.3">
      <c r="A20" t="str">
        <f t="shared" si="0"/>
        <v>BNPL</v>
      </c>
      <c r="B20">
        <v>40527</v>
      </c>
      <c r="C20" t="s">
        <v>25</v>
      </c>
      <c r="D20" t="s">
        <v>0</v>
      </c>
      <c r="E20">
        <v>43</v>
      </c>
      <c r="F20">
        <v>5</v>
      </c>
      <c r="G20">
        <v>6.5</v>
      </c>
      <c r="H20">
        <v>15</v>
      </c>
      <c r="I20">
        <v>10</v>
      </c>
    </row>
    <row r="21" spans="1:11" x14ac:dyDescent="0.25">
      <c r="A21" t="str">
        <f t="shared" si="0"/>
        <v>TDML</v>
      </c>
      <c r="B21">
        <v>40528</v>
      </c>
      <c r="C21" t="s">
        <v>29</v>
      </c>
      <c r="D21" t="s">
        <v>0</v>
      </c>
      <c r="E21">
        <v>30</v>
      </c>
      <c r="F21">
        <v>18</v>
      </c>
      <c r="G21">
        <v>5</v>
      </c>
      <c r="H21">
        <v>5</v>
      </c>
      <c r="I21">
        <v>10</v>
      </c>
    </row>
    <row r="38" spans="1:1" x14ac:dyDescent="0.25">
      <c r="A38" t="str">
        <f t="shared" ref="A38:A81" si="3">CONCATENATE(B38,C38,D38)</f>
        <v/>
      </c>
    </row>
    <row r="39" spans="1:1" x14ac:dyDescent="0.25">
      <c r="A39" t="str">
        <f t="shared" si="3"/>
        <v/>
      </c>
    </row>
    <row r="40" spans="1:1" x14ac:dyDescent="0.25">
      <c r="A40" t="str">
        <f t="shared" si="3"/>
        <v/>
      </c>
    </row>
    <row r="41" spans="1:1" x14ac:dyDescent="0.25">
      <c r="A41" t="str">
        <f t="shared" si="3"/>
        <v/>
      </c>
    </row>
    <row r="42" spans="1:1" x14ac:dyDescent="0.25">
      <c r="A42" t="str">
        <f t="shared" si="3"/>
        <v/>
      </c>
    </row>
    <row r="43" spans="1:1" x14ac:dyDescent="0.25">
      <c r="A43" t="str">
        <f t="shared" si="3"/>
        <v/>
      </c>
    </row>
    <row r="44" spans="1:1" x14ac:dyDescent="0.25">
      <c r="A44" t="str">
        <f t="shared" si="3"/>
        <v/>
      </c>
    </row>
    <row r="45" spans="1:1" x14ac:dyDescent="0.25">
      <c r="A45" t="str">
        <f t="shared" si="3"/>
        <v/>
      </c>
    </row>
    <row r="46" spans="1:1" x14ac:dyDescent="0.25">
      <c r="A46" t="str">
        <f t="shared" si="3"/>
        <v/>
      </c>
    </row>
    <row r="47" spans="1:1" x14ac:dyDescent="0.25">
      <c r="A47" t="str">
        <f t="shared" si="3"/>
        <v/>
      </c>
    </row>
    <row r="48" spans="1:1" x14ac:dyDescent="0.25">
      <c r="A48" t="str">
        <f t="shared" si="3"/>
        <v/>
      </c>
    </row>
    <row r="49" spans="1:1" x14ac:dyDescent="0.25">
      <c r="A49" t="str">
        <f t="shared" si="3"/>
        <v/>
      </c>
    </row>
    <row r="50" spans="1:1" x14ac:dyDescent="0.25">
      <c r="A50" t="str">
        <f t="shared" si="3"/>
        <v/>
      </c>
    </row>
    <row r="51" spans="1:1" x14ac:dyDescent="0.25">
      <c r="A51" t="str">
        <f t="shared" si="3"/>
        <v/>
      </c>
    </row>
    <row r="52" spans="1:1" x14ac:dyDescent="0.25">
      <c r="A52" t="str">
        <f t="shared" si="3"/>
        <v/>
      </c>
    </row>
    <row r="53" spans="1:1" x14ac:dyDescent="0.25">
      <c r="A53" t="str">
        <f t="shared" si="3"/>
        <v/>
      </c>
    </row>
    <row r="54" spans="1:1" x14ac:dyDescent="0.25">
      <c r="A54" t="str">
        <f t="shared" si="3"/>
        <v/>
      </c>
    </row>
    <row r="55" spans="1:1" x14ac:dyDescent="0.25">
      <c r="A55" t="str">
        <f t="shared" si="3"/>
        <v/>
      </c>
    </row>
    <row r="56" spans="1:1" x14ac:dyDescent="0.25">
      <c r="A56" t="str">
        <f t="shared" si="3"/>
        <v/>
      </c>
    </row>
    <row r="57" spans="1:1" x14ac:dyDescent="0.25">
      <c r="A57" t="str">
        <f t="shared" si="3"/>
        <v/>
      </c>
    </row>
    <row r="58" spans="1:1" x14ac:dyDescent="0.25">
      <c r="A58" t="str">
        <f t="shared" si="3"/>
        <v/>
      </c>
    </row>
    <row r="59" spans="1:1" x14ac:dyDescent="0.25">
      <c r="A59" t="str">
        <f t="shared" si="3"/>
        <v/>
      </c>
    </row>
    <row r="60" spans="1:1" x14ac:dyDescent="0.25">
      <c r="A60" t="str">
        <f t="shared" si="3"/>
        <v/>
      </c>
    </row>
    <row r="61" spans="1:1" x14ac:dyDescent="0.25">
      <c r="A61" t="str">
        <f t="shared" si="3"/>
        <v/>
      </c>
    </row>
    <row r="62" spans="1:1" x14ac:dyDescent="0.25">
      <c r="A62" t="str">
        <f t="shared" si="3"/>
        <v/>
      </c>
    </row>
    <row r="63" spans="1:1" x14ac:dyDescent="0.25">
      <c r="A63" t="str">
        <f t="shared" si="3"/>
        <v/>
      </c>
    </row>
    <row r="64" spans="1:1" x14ac:dyDescent="0.25">
      <c r="A64" t="str">
        <f t="shared" si="3"/>
        <v/>
      </c>
    </row>
    <row r="65" spans="1:1" x14ac:dyDescent="0.25">
      <c r="A65" t="str">
        <f t="shared" si="3"/>
        <v/>
      </c>
    </row>
    <row r="66" spans="1:1" x14ac:dyDescent="0.25">
      <c r="A66" t="str">
        <f t="shared" si="3"/>
        <v/>
      </c>
    </row>
    <row r="67" spans="1:1" x14ac:dyDescent="0.25">
      <c r="A67" t="str">
        <f t="shared" si="3"/>
        <v/>
      </c>
    </row>
    <row r="68" spans="1:1" x14ac:dyDescent="0.25">
      <c r="A68" t="str">
        <f t="shared" si="3"/>
        <v/>
      </c>
    </row>
    <row r="69" spans="1:1" x14ac:dyDescent="0.25">
      <c r="A69" t="str">
        <f t="shared" si="3"/>
        <v/>
      </c>
    </row>
    <row r="70" spans="1:1" x14ac:dyDescent="0.25">
      <c r="A70" t="str">
        <f t="shared" si="3"/>
        <v/>
      </c>
    </row>
    <row r="71" spans="1:1" x14ac:dyDescent="0.25">
      <c r="A71" t="str">
        <f t="shared" si="3"/>
        <v/>
      </c>
    </row>
    <row r="72" spans="1:1" x14ac:dyDescent="0.25">
      <c r="A72" t="str">
        <f t="shared" si="3"/>
        <v/>
      </c>
    </row>
    <row r="73" spans="1:1" x14ac:dyDescent="0.25">
      <c r="A73" t="str">
        <f t="shared" si="3"/>
        <v/>
      </c>
    </row>
    <row r="74" spans="1:1" x14ac:dyDescent="0.25">
      <c r="A74" t="str">
        <f t="shared" si="3"/>
        <v/>
      </c>
    </row>
    <row r="75" spans="1:1" x14ac:dyDescent="0.25">
      <c r="A75" t="str">
        <f t="shared" si="3"/>
        <v/>
      </c>
    </row>
    <row r="76" spans="1:1" x14ac:dyDescent="0.25">
      <c r="A76" t="str">
        <f t="shared" si="3"/>
        <v/>
      </c>
    </row>
    <row r="77" spans="1:1" x14ac:dyDescent="0.25">
      <c r="A77" t="str">
        <f t="shared" si="3"/>
        <v/>
      </c>
    </row>
    <row r="78" spans="1:1" x14ac:dyDescent="0.25">
      <c r="A78" t="str">
        <f t="shared" si="3"/>
        <v/>
      </c>
    </row>
    <row r="79" spans="1:1" x14ac:dyDescent="0.25">
      <c r="A79" t="str">
        <f t="shared" si="3"/>
        <v/>
      </c>
    </row>
    <row r="80" spans="1:1" x14ac:dyDescent="0.25">
      <c r="A80" t="str">
        <f t="shared" si="3"/>
        <v/>
      </c>
    </row>
    <row r="81" spans="1:1" x14ac:dyDescent="0.25">
      <c r="A81" t="str">
        <f t="shared" si="3"/>
        <v/>
      </c>
    </row>
    <row r="82" spans="1:1" x14ac:dyDescent="0.25">
      <c r="A82" t="str">
        <f t="shared" ref="A82:A126" si="4">CONCATENATE(B82,C82,D82)</f>
        <v/>
      </c>
    </row>
    <row r="83" spans="1:1" x14ac:dyDescent="0.25">
      <c r="A83" t="str">
        <f t="shared" si="4"/>
        <v/>
      </c>
    </row>
    <row r="84" spans="1:1" x14ac:dyDescent="0.25">
      <c r="A84" t="str">
        <f t="shared" si="4"/>
        <v/>
      </c>
    </row>
    <row r="85" spans="1:1" x14ac:dyDescent="0.25">
      <c r="A85" t="str">
        <f t="shared" si="4"/>
        <v/>
      </c>
    </row>
    <row r="86" spans="1:1" x14ac:dyDescent="0.25">
      <c r="A86" t="str">
        <f t="shared" si="4"/>
        <v/>
      </c>
    </row>
    <row r="87" spans="1:1" x14ac:dyDescent="0.25">
      <c r="A87" t="str">
        <f t="shared" si="4"/>
        <v/>
      </c>
    </row>
    <row r="88" spans="1:1" x14ac:dyDescent="0.25">
      <c r="A88" t="str">
        <f t="shared" si="4"/>
        <v/>
      </c>
    </row>
    <row r="89" spans="1:1" x14ac:dyDescent="0.25">
      <c r="A89" t="str">
        <f t="shared" si="4"/>
        <v/>
      </c>
    </row>
    <row r="90" spans="1:1" x14ac:dyDescent="0.25">
      <c r="A90" t="str">
        <f t="shared" si="4"/>
        <v/>
      </c>
    </row>
    <row r="91" spans="1:1" x14ac:dyDescent="0.25">
      <c r="A91" t="str">
        <f t="shared" si="4"/>
        <v/>
      </c>
    </row>
    <row r="92" spans="1:1" x14ac:dyDescent="0.25">
      <c r="A92" t="str">
        <f t="shared" si="4"/>
        <v/>
      </c>
    </row>
    <row r="93" spans="1:1" x14ac:dyDescent="0.25">
      <c r="A93" t="str">
        <f t="shared" si="4"/>
        <v/>
      </c>
    </row>
    <row r="94" spans="1:1" x14ac:dyDescent="0.25">
      <c r="A94" t="str">
        <f t="shared" si="4"/>
        <v/>
      </c>
    </row>
    <row r="95" spans="1:1" x14ac:dyDescent="0.25">
      <c r="A95" t="str">
        <f t="shared" si="4"/>
        <v/>
      </c>
    </row>
    <row r="96" spans="1:1" x14ac:dyDescent="0.25">
      <c r="A96" t="str">
        <f t="shared" si="4"/>
        <v/>
      </c>
    </row>
    <row r="97" spans="1:1" x14ac:dyDescent="0.25">
      <c r="A97" t="str">
        <f t="shared" si="4"/>
        <v/>
      </c>
    </row>
    <row r="98" spans="1:1" x14ac:dyDescent="0.25">
      <c r="A98" t="str">
        <f t="shared" si="4"/>
        <v/>
      </c>
    </row>
    <row r="99" spans="1:1" x14ac:dyDescent="0.25">
      <c r="A99" t="str">
        <f t="shared" si="4"/>
        <v/>
      </c>
    </row>
    <row r="100" spans="1:1" x14ac:dyDescent="0.25">
      <c r="A100" t="str">
        <f t="shared" si="4"/>
        <v/>
      </c>
    </row>
    <row r="101" spans="1:1" x14ac:dyDescent="0.25">
      <c r="A101" t="str">
        <f t="shared" si="4"/>
        <v/>
      </c>
    </row>
    <row r="102" spans="1:1" x14ac:dyDescent="0.25">
      <c r="A102" t="str">
        <f t="shared" si="4"/>
        <v/>
      </c>
    </row>
    <row r="103" spans="1:1" x14ac:dyDescent="0.25">
      <c r="A103" t="str">
        <f t="shared" si="4"/>
        <v/>
      </c>
    </row>
    <row r="104" spans="1:1" x14ac:dyDescent="0.25">
      <c r="A104" t="str">
        <f t="shared" si="4"/>
        <v/>
      </c>
    </row>
    <row r="105" spans="1:1" x14ac:dyDescent="0.25">
      <c r="A105" t="str">
        <f t="shared" si="4"/>
        <v/>
      </c>
    </row>
    <row r="106" spans="1:1" x14ac:dyDescent="0.25">
      <c r="A106" t="str">
        <f t="shared" si="4"/>
        <v/>
      </c>
    </row>
    <row r="107" spans="1:1" x14ac:dyDescent="0.25">
      <c r="A107" t="str">
        <f t="shared" si="4"/>
        <v/>
      </c>
    </row>
    <row r="108" spans="1:1" x14ac:dyDescent="0.25">
      <c r="A108" t="str">
        <f t="shared" si="4"/>
        <v/>
      </c>
    </row>
    <row r="109" spans="1:1" x14ac:dyDescent="0.25">
      <c r="A109" t="str">
        <f t="shared" si="4"/>
        <v/>
      </c>
    </row>
    <row r="110" spans="1:1" x14ac:dyDescent="0.25">
      <c r="A110" t="str">
        <f t="shared" si="4"/>
        <v/>
      </c>
    </row>
    <row r="111" spans="1:1" x14ac:dyDescent="0.25">
      <c r="A111" t="str">
        <f t="shared" si="4"/>
        <v/>
      </c>
    </row>
    <row r="112" spans="1:1" x14ac:dyDescent="0.25">
      <c r="A112" t="str">
        <f t="shared" si="4"/>
        <v/>
      </c>
    </row>
    <row r="113" spans="1:1" x14ac:dyDescent="0.25">
      <c r="A113" t="str">
        <f t="shared" si="4"/>
        <v/>
      </c>
    </row>
    <row r="114" spans="1:1" x14ac:dyDescent="0.25">
      <c r="A114" t="str">
        <f t="shared" si="4"/>
        <v/>
      </c>
    </row>
    <row r="115" spans="1:1" x14ac:dyDescent="0.25">
      <c r="A115" t="str">
        <f t="shared" si="4"/>
        <v/>
      </c>
    </row>
    <row r="116" spans="1:1" x14ac:dyDescent="0.25">
      <c r="A116" t="str">
        <f t="shared" si="4"/>
        <v/>
      </c>
    </row>
    <row r="117" spans="1:1" x14ac:dyDescent="0.25">
      <c r="A117" t="str">
        <f t="shared" si="4"/>
        <v/>
      </c>
    </row>
    <row r="118" spans="1:1" x14ac:dyDescent="0.25">
      <c r="A118" t="str">
        <f t="shared" si="4"/>
        <v/>
      </c>
    </row>
    <row r="119" spans="1:1" x14ac:dyDescent="0.25">
      <c r="A119" t="str">
        <f t="shared" si="4"/>
        <v/>
      </c>
    </row>
    <row r="120" spans="1:1" x14ac:dyDescent="0.25">
      <c r="A120" t="str">
        <f t="shared" si="4"/>
        <v/>
      </c>
    </row>
    <row r="121" spans="1:1" x14ac:dyDescent="0.25">
      <c r="A121" t="str">
        <f t="shared" si="4"/>
        <v/>
      </c>
    </row>
    <row r="122" spans="1:1" x14ac:dyDescent="0.25">
      <c r="A122" t="str">
        <f t="shared" si="4"/>
        <v/>
      </c>
    </row>
    <row r="123" spans="1:1" x14ac:dyDescent="0.25">
      <c r="A123" t="str">
        <f t="shared" si="4"/>
        <v/>
      </c>
    </row>
    <row r="124" spans="1:1" x14ac:dyDescent="0.25">
      <c r="A124" t="str">
        <f t="shared" si="4"/>
        <v/>
      </c>
    </row>
    <row r="125" spans="1:1" x14ac:dyDescent="0.25">
      <c r="A125" t="str">
        <f t="shared" si="4"/>
        <v/>
      </c>
    </row>
    <row r="126" spans="1:1" x14ac:dyDescent="0.25">
      <c r="A126" t="str">
        <f t="shared" si="4"/>
        <v/>
      </c>
    </row>
    <row r="127" spans="1:1" x14ac:dyDescent="0.25">
      <c r="A127" t="str">
        <f>CONCATENATE(B127,C127,D127)</f>
        <v/>
      </c>
    </row>
    <row r="128" spans="1:1" x14ac:dyDescent="0.25">
      <c r="A128" t="str">
        <f t="shared" ref="A128:A150" si="5">CONCATENATE(B128,C128,D128)</f>
        <v/>
      </c>
    </row>
    <row r="129" spans="1:1" x14ac:dyDescent="0.25">
      <c r="A129" t="str">
        <f t="shared" si="5"/>
        <v/>
      </c>
    </row>
    <row r="130" spans="1:1" x14ac:dyDescent="0.25">
      <c r="A130" t="str">
        <f t="shared" si="5"/>
        <v/>
      </c>
    </row>
    <row r="131" spans="1:1" x14ac:dyDescent="0.25">
      <c r="A131" t="str">
        <f t="shared" si="5"/>
        <v/>
      </c>
    </row>
    <row r="132" spans="1:1" x14ac:dyDescent="0.25">
      <c r="A132" t="str">
        <f t="shared" si="5"/>
        <v/>
      </c>
    </row>
    <row r="133" spans="1:1" x14ac:dyDescent="0.25">
      <c r="A133" t="str">
        <f t="shared" si="5"/>
        <v/>
      </c>
    </row>
    <row r="134" spans="1:1" x14ac:dyDescent="0.25">
      <c r="A134" t="str">
        <f t="shared" si="5"/>
        <v/>
      </c>
    </row>
    <row r="135" spans="1:1" x14ac:dyDescent="0.25">
      <c r="A135" t="str">
        <f t="shared" si="5"/>
        <v/>
      </c>
    </row>
    <row r="136" spans="1:1" x14ac:dyDescent="0.25">
      <c r="A136" t="str">
        <f t="shared" si="5"/>
        <v/>
      </c>
    </row>
    <row r="137" spans="1:1" x14ac:dyDescent="0.25">
      <c r="A137" t="str">
        <f t="shared" si="5"/>
        <v/>
      </c>
    </row>
    <row r="138" spans="1:1" x14ac:dyDescent="0.25">
      <c r="A138" t="str">
        <f t="shared" si="5"/>
        <v/>
      </c>
    </row>
    <row r="139" spans="1:1" x14ac:dyDescent="0.25">
      <c r="A139" t="str">
        <f t="shared" si="5"/>
        <v/>
      </c>
    </row>
    <row r="140" spans="1:1" x14ac:dyDescent="0.25">
      <c r="A140" t="str">
        <f t="shared" si="5"/>
        <v/>
      </c>
    </row>
    <row r="141" spans="1:1" x14ac:dyDescent="0.25">
      <c r="A141" t="str">
        <f t="shared" si="5"/>
        <v/>
      </c>
    </row>
    <row r="142" spans="1:1" x14ac:dyDescent="0.25">
      <c r="A142" t="str">
        <f t="shared" si="5"/>
        <v/>
      </c>
    </row>
    <row r="143" spans="1:1" x14ac:dyDescent="0.25">
      <c r="A143" t="str">
        <f t="shared" si="5"/>
        <v/>
      </c>
    </row>
    <row r="144" spans="1:1" x14ac:dyDescent="0.25">
      <c r="A144" t="str">
        <f t="shared" si="5"/>
        <v/>
      </c>
    </row>
    <row r="145" spans="1:1" x14ac:dyDescent="0.25">
      <c r="A145" t="str">
        <f t="shared" si="5"/>
        <v/>
      </c>
    </row>
    <row r="146" spans="1:1" x14ac:dyDescent="0.25">
      <c r="A146" t="str">
        <f t="shared" si="5"/>
        <v/>
      </c>
    </row>
    <row r="147" spans="1:1" x14ac:dyDescent="0.25">
      <c r="A147" t="str">
        <f t="shared" si="5"/>
        <v/>
      </c>
    </row>
    <row r="148" spans="1:1" x14ac:dyDescent="0.25">
      <c r="A148" t="str">
        <f t="shared" si="5"/>
        <v/>
      </c>
    </row>
    <row r="149" spans="1:1" x14ac:dyDescent="0.25">
      <c r="A149" t="str">
        <f t="shared" si="5"/>
        <v/>
      </c>
    </row>
    <row r="150" spans="1:1" x14ac:dyDescent="0.25">
      <c r="A150" t="str">
        <f t="shared" si="5"/>
        <v/>
      </c>
    </row>
  </sheetData>
  <mergeCells count="4">
    <mergeCell ref="B1:K1"/>
    <mergeCell ref="B2:K2"/>
    <mergeCell ref="B3:K3"/>
    <mergeCell ref="B4:K4"/>
  </mergeCells>
  <phoneticPr fontId="14" type="noConversion"/>
  <pageMargins left="0.75" right="0.75" top="1" bottom="1" header="0.5" footer="0.5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F3453"/>
  <sheetViews>
    <sheetView topLeftCell="A4" zoomScale="110" zoomScaleNormal="110" workbookViewId="0">
      <selection activeCell="G18" sqref="G18:M18"/>
    </sheetView>
  </sheetViews>
  <sheetFormatPr defaultRowHeight="12.5" x14ac:dyDescent="0.25"/>
  <cols>
    <col min="1" max="1" width="13.453125" customWidth="1"/>
    <col min="2" max="2" width="13.1796875" customWidth="1"/>
    <col min="3" max="3" width="7.81640625" customWidth="1"/>
    <col min="4" max="4" width="8.1796875" customWidth="1"/>
    <col min="5" max="5" width="4.453125" customWidth="1"/>
    <col min="6" max="6" width="10.1796875" customWidth="1"/>
    <col min="7" max="7" width="8.453125" customWidth="1"/>
    <col min="8" max="8" width="9.81640625" customWidth="1"/>
    <col min="9" max="9" width="10.453125" customWidth="1"/>
    <col min="10" max="11" width="10.54296875" style="427" bestFit="1" customWidth="1"/>
    <col min="12" max="12" width="11.54296875" customWidth="1"/>
    <col min="13" max="13" width="11.453125" customWidth="1"/>
    <col min="15" max="15" width="14.1796875" bestFit="1" customWidth="1"/>
    <col min="16" max="16" width="11.7265625" customWidth="1"/>
    <col min="23" max="25" width="8" customWidth="1"/>
    <col min="30" max="30" width="16.26953125" customWidth="1"/>
    <col min="31" max="31" width="14.81640625" customWidth="1"/>
  </cols>
  <sheetData>
    <row r="1" spans="1:20" x14ac:dyDescent="0.25">
      <c r="B1" t="s">
        <v>50</v>
      </c>
      <c r="E1" t="s">
        <v>224</v>
      </c>
      <c r="J1"/>
      <c r="K1"/>
      <c r="P1" t="str">
        <f>C3</f>
        <v>GUA</v>
      </c>
      <c r="Q1" t="str">
        <f>(P1&amp;P2)</f>
        <v>GUAF</v>
      </c>
      <c r="R1" t="str">
        <f>CONCATENATE(P3,P2)</f>
        <v>BSLF</v>
      </c>
    </row>
    <row r="2" spans="1:20" x14ac:dyDescent="0.25">
      <c r="J2"/>
      <c r="K2"/>
      <c r="P2" t="str">
        <f>C6</f>
        <v>F</v>
      </c>
    </row>
    <row r="3" spans="1:20" x14ac:dyDescent="0.25">
      <c r="B3" t="s">
        <v>45</v>
      </c>
      <c r="C3" t="s">
        <v>9</v>
      </c>
      <c r="J3"/>
      <c r="K3"/>
      <c r="P3" t="str">
        <f>C4</f>
        <v>BSL</v>
      </c>
    </row>
    <row r="4" spans="1:20" x14ac:dyDescent="0.25">
      <c r="B4" t="s">
        <v>46</v>
      </c>
      <c r="C4" t="s">
        <v>3</v>
      </c>
      <c r="I4" t="e">
        <f>STDEV(I5:I6)</f>
        <v>#DIV/0!</v>
      </c>
      <c r="J4"/>
      <c r="K4"/>
    </row>
    <row r="5" spans="1:20" x14ac:dyDescent="0.25">
      <c r="B5" t="s">
        <v>59</v>
      </c>
      <c r="C5" t="s">
        <v>26</v>
      </c>
      <c r="J5"/>
      <c r="K5" t="s">
        <v>223</v>
      </c>
      <c r="Q5" t="s">
        <v>48</v>
      </c>
      <c r="R5" t="s">
        <v>48</v>
      </c>
      <c r="S5" t="s">
        <v>0</v>
      </c>
      <c r="T5" t="s">
        <v>26</v>
      </c>
    </row>
    <row r="6" spans="1:20" x14ac:dyDescent="0.25">
      <c r="B6" t="s">
        <v>47</v>
      </c>
      <c r="C6" s="2" t="s">
        <v>1</v>
      </c>
      <c r="I6">
        <v>1</v>
      </c>
      <c r="J6"/>
      <c r="K6"/>
      <c r="L6">
        <f>STDEVA(I39:I63)</f>
        <v>0.31384815861602361</v>
      </c>
      <c r="Q6" t="s">
        <v>10</v>
      </c>
      <c r="R6" t="s">
        <v>3</v>
      </c>
      <c r="S6" t="s">
        <v>1</v>
      </c>
      <c r="T6" t="s">
        <v>1</v>
      </c>
    </row>
    <row r="7" spans="1:20" x14ac:dyDescent="0.25">
      <c r="B7" s="542"/>
      <c r="C7" s="542"/>
      <c r="J7"/>
      <c r="K7"/>
      <c r="Q7" t="s">
        <v>11</v>
      </c>
      <c r="R7" t="s">
        <v>60</v>
      </c>
      <c r="S7" t="s">
        <v>48</v>
      </c>
    </row>
    <row r="8" spans="1:20" x14ac:dyDescent="0.25">
      <c r="J8"/>
      <c r="K8"/>
      <c r="Q8" t="s">
        <v>9</v>
      </c>
      <c r="R8" t="s">
        <v>4</v>
      </c>
    </row>
    <row r="9" spans="1:20" x14ac:dyDescent="0.25">
      <c r="J9"/>
      <c r="K9"/>
      <c r="Q9" t="s">
        <v>31</v>
      </c>
      <c r="R9" t="s">
        <v>5</v>
      </c>
    </row>
    <row r="10" spans="1:20" ht="13" thickBot="1" x14ac:dyDescent="0.3">
      <c r="A10" t="str">
        <f>C3</f>
        <v>GUA</v>
      </c>
      <c r="B10" t="s">
        <v>49</v>
      </c>
      <c r="C10" t="str">
        <f>C4</f>
        <v>BSL</v>
      </c>
      <c r="E10" t="str">
        <f>C6</f>
        <v>F</v>
      </c>
      <c r="F10">
        <f>Quality!D6</f>
        <v>44568</v>
      </c>
      <c r="H10" t="s">
        <v>54</v>
      </c>
      <c r="I10" t="str">
        <f>Quality!D7</f>
        <v>07-31-2022</v>
      </c>
      <c r="J10"/>
      <c r="K10"/>
      <c r="Q10" t="s">
        <v>27</v>
      </c>
      <c r="R10" t="s">
        <v>30</v>
      </c>
    </row>
    <row r="11" spans="1:20" ht="15.75" customHeight="1" x14ac:dyDescent="0.25">
      <c r="G11" t="s">
        <v>32</v>
      </c>
      <c r="H11" t="s">
        <v>33</v>
      </c>
      <c r="I11" t="s">
        <v>34</v>
      </c>
      <c r="J11" t="s">
        <v>35</v>
      </c>
      <c r="K11" t="s">
        <v>36</v>
      </c>
      <c r="L11" t="s">
        <v>110</v>
      </c>
      <c r="M11" t="s">
        <v>111</v>
      </c>
      <c r="Q11" t="s">
        <v>2</v>
      </c>
      <c r="R11" t="s">
        <v>61</v>
      </c>
    </row>
    <row r="12" spans="1:20" hidden="1" x14ac:dyDescent="0.25">
      <c r="A12" t="s">
        <v>64</v>
      </c>
      <c r="G12">
        <f>+VLOOKUP($R$1,Norm!$I$6:$N$21,2,FALSE)</f>
        <v>60.94</v>
      </c>
      <c r="H12">
        <f>+VLOOKUP($R$1,Norm!$I$6:$N$21,3,FALSE)</f>
        <v>5.15</v>
      </c>
      <c r="I12">
        <f>+VLOOKUP($R$1,Norm!$I$6:$N$21,4,FALSE)</f>
        <v>2.75</v>
      </c>
      <c r="J12">
        <f>+VLOOKUP($R$1,Norm!$I$6:$N$21,5,FALSE)</f>
        <v>6.82</v>
      </c>
      <c r="K12">
        <f>+VLOOKUP($R$1,Norm!$I$6:$N$21,6,FALSE)</f>
        <v>40</v>
      </c>
      <c r="L12">
        <f>+I12+H12</f>
        <v>7.9</v>
      </c>
      <c r="M12">
        <f>+I12/H12</f>
        <v>0.53398058252427183</v>
      </c>
      <c r="Q12" t="s">
        <v>28</v>
      </c>
      <c r="R12" t="s">
        <v>62</v>
      </c>
    </row>
    <row r="13" spans="1:20" x14ac:dyDescent="0.25">
      <c r="A13" t="s">
        <v>65</v>
      </c>
      <c r="G13" s="427">
        <f>IF($P$1="ALL",VLOOKUP($R$1,Norm!$I$6:$N$25,2,FALSE ),VLOOKUP($Q$1,Norm!$A$6:$F$25,2,FALSE ))</f>
        <v>61.5</v>
      </c>
      <c r="H13" s="427">
        <f>IF($P$1="ALL",VLOOKUP($R$1,Norm!$I$6:$N$25,3,FALSE ),VLOOKUP($Q$1,Norm!$A$6:$F$25,3,FALSE ))</f>
        <v>3.8</v>
      </c>
      <c r="I13" s="427">
        <f>IF($P$1="ALL",VLOOKUP($R$1,Norm!$I$6:$N$25,4,FALSE ),VLOOKUP($Q$1,Norm!$A$6:$F$25,4,FALSE ))</f>
        <v>2.6</v>
      </c>
      <c r="J13" s="427">
        <f>IF($P$1="ALL",VLOOKUP($R$1,Norm!$I$6:$N$25,5,FALSE ),VLOOKUP($Q$1,Norm!$A$6:$F$25,5,FALSE ))</f>
        <v>7</v>
      </c>
      <c r="K13" s="427">
        <f>IF($P$1="ALL",VLOOKUP($R$1,Norm!$I$6:$N$25,6,FALSE ),VLOOKUP($Q$1,Norm!$A$6:$F$25,6,FALSE ))</f>
        <v>40</v>
      </c>
      <c r="L13" s="427">
        <f>+I13+H13</f>
        <v>6.4</v>
      </c>
      <c r="M13" s="427">
        <f>+I13/H13</f>
        <v>0.68421052631578949</v>
      </c>
      <c r="Q13" t="s">
        <v>146</v>
      </c>
      <c r="R13" t="s">
        <v>63</v>
      </c>
    </row>
    <row r="14" spans="1:20" hidden="1" x14ac:dyDescent="0.25">
      <c r="A14" t="s">
        <v>37</v>
      </c>
      <c r="G14" s="427"/>
      <c r="H14" s="427"/>
      <c r="I14" s="427"/>
      <c r="L14" s="427">
        <f>+I14+H14</f>
        <v>0</v>
      </c>
      <c r="M14" s="427" t="e">
        <f>+I14/H14</f>
        <v>#DIV/0!</v>
      </c>
      <c r="Q14" t="s">
        <v>29</v>
      </c>
    </row>
    <row r="15" spans="1:20" x14ac:dyDescent="0.25">
      <c r="A15" t="s">
        <v>12</v>
      </c>
      <c r="G15" s="427">
        <f t="shared" ref="G15:L15" si="0">MAX(G19:G2909)</f>
        <v>65.78</v>
      </c>
      <c r="H15" s="427">
        <f t="shared" si="0"/>
        <v>16.47</v>
      </c>
      <c r="I15" s="427">
        <f t="shared" si="0"/>
        <v>6.8</v>
      </c>
      <c r="J15" s="427">
        <f t="shared" si="0"/>
        <v>30.5</v>
      </c>
      <c r="K15" s="427">
        <f t="shared" si="0"/>
        <v>64.5</v>
      </c>
      <c r="L15" s="427">
        <f t="shared" si="0"/>
        <v>20.079999999999998</v>
      </c>
      <c r="M15" s="427">
        <f>+I15/H15</f>
        <v>0.41287188828172439</v>
      </c>
      <c r="Q15" t="s">
        <v>44</v>
      </c>
    </row>
    <row r="16" spans="1:20" ht="13" thickBot="1" x14ac:dyDescent="0.3">
      <c r="A16" t="s">
        <v>13</v>
      </c>
      <c r="G16" s="427">
        <f>MIN(G19:G2909)</f>
        <v>53.45</v>
      </c>
      <c r="H16" s="427">
        <f>MIN(H19:H2909)</f>
        <v>1.56</v>
      </c>
      <c r="I16" s="427">
        <f>MIN(I19:I2909)</f>
        <v>1.06</v>
      </c>
      <c r="J16" s="427">
        <f>MIN(J19:J2909)</f>
        <v>0</v>
      </c>
      <c r="K16" s="427">
        <f>MIN(K19:K2909)</f>
        <v>0.48</v>
      </c>
      <c r="L16" s="427">
        <f>H16+I16</f>
        <v>2.62</v>
      </c>
      <c r="M16" s="427">
        <f>+I16/H16</f>
        <v>0.67948717948717952</v>
      </c>
      <c r="N16" t="s">
        <v>147</v>
      </c>
      <c r="O16" t="s">
        <v>149</v>
      </c>
      <c r="P16" t="s">
        <v>150</v>
      </c>
      <c r="Q16" t="s">
        <v>146</v>
      </c>
    </row>
    <row r="17" spans="1:32" s="526" customFormat="1" ht="13" thickBot="1" x14ac:dyDescent="0.3">
      <c r="A17" s="526" t="s">
        <v>14</v>
      </c>
      <c r="G17" s="535">
        <f>IFERROR(AVERAGE(G19:G4011),)</f>
        <v>61.57831044776124</v>
      </c>
      <c r="H17" s="536">
        <f>IFERROR(AVERAGE(H19:H4011),)</f>
        <v>4.7084537313432868</v>
      </c>
      <c r="I17" s="536">
        <f>IFERROR(AVERAGE(I19:I4011),)</f>
        <v>2.6681791044776109</v>
      </c>
      <c r="J17" s="536">
        <f>IFERROR(AVERAGE(J19:J4011),)</f>
        <v>6.4490119163772057</v>
      </c>
      <c r="K17" s="536">
        <f>IFERROR(AVERAGE(K19:K4011),)</f>
        <v>41.469943139580927</v>
      </c>
      <c r="L17" s="536">
        <f>IFERROR(I17+H17,)</f>
        <v>7.3766328358208977</v>
      </c>
      <c r="M17" s="537">
        <f>IFERROR(I17/H17,)</f>
        <v>0.56667841646527117</v>
      </c>
      <c r="N17" s="526">
        <f>COUNTIF(G19:G4038,"&gt;0")</f>
        <v>335</v>
      </c>
      <c r="O17" s="526">
        <f>COUNTIFS(L19:L1279,"&gt;5.7")</f>
        <v>224</v>
      </c>
      <c r="P17" s="526">
        <f>O17/N17%</f>
        <v>66.865671641791039</v>
      </c>
    </row>
    <row r="18" spans="1:32" ht="17.25" customHeight="1" x14ac:dyDescent="0.25">
      <c r="A18" t="s">
        <v>53</v>
      </c>
      <c r="G18" s="427">
        <f>IFERROR(STDEVA(G19:G4898)," ")</f>
        <v>1.4543863530068863</v>
      </c>
      <c r="H18" s="427">
        <f>IFERROR(STDEVA(H19:H4898)," ")</f>
        <v>2.0975814723229309</v>
      </c>
      <c r="I18" s="427">
        <f>IFERROR(STDEVA(I19:I4898)," ")</f>
        <v>0.63243136299790781</v>
      </c>
      <c r="J18" s="427">
        <f>IFERROR(STDEVA(J19:J4898)," ")</f>
        <v>3.4203954174856577</v>
      </c>
      <c r="K18" s="427">
        <f>IFERROR(STDEVA(K19:K4898)," ")</f>
        <v>6.3260559650723964</v>
      </c>
      <c r="L18" s="427">
        <f t="array" ref="L18">STDEVA(IF(L19:L1000&gt;0,L19:L1000))</f>
        <v>2.3833408255084736</v>
      </c>
      <c r="M18" s="427">
        <f>IFERROR(STDEVA(M19:M4898)," ")</f>
        <v>0.21391194564727428</v>
      </c>
      <c r="P18">
        <f>5.8</f>
        <v>5.8</v>
      </c>
    </row>
    <row r="19" spans="1:32" x14ac:dyDescent="0.25">
      <c r="A19">
        <v>1</v>
      </c>
      <c r="B19" s="1">
        <v>44743</v>
      </c>
      <c r="C19" t="s">
        <v>3</v>
      </c>
      <c r="D19" t="s">
        <v>27</v>
      </c>
      <c r="E19" t="s">
        <v>26</v>
      </c>
      <c r="F19" t="s">
        <v>1</v>
      </c>
      <c r="G19">
        <v>60.29</v>
      </c>
      <c r="H19">
        <v>7.1</v>
      </c>
      <c r="I19">
        <v>3.02</v>
      </c>
      <c r="J19" s="427">
        <v>4.7</v>
      </c>
      <c r="K19" s="427">
        <v>46.4</v>
      </c>
      <c r="L19">
        <f t="shared" ref="L19:L47" si="1">+I19+H19</f>
        <v>10.119999999999999</v>
      </c>
      <c r="M19">
        <f t="shared" ref="M19:M47" si="2">+I19/IF(H19 = 0,1,H19)</f>
        <v>0.42535211267605638</v>
      </c>
      <c r="R19" s="542" t="s">
        <v>3</v>
      </c>
      <c r="S19" s="542"/>
      <c r="T19" s="542" t="s">
        <v>4</v>
      </c>
      <c r="U19" s="542"/>
      <c r="V19" s="542"/>
      <c r="W19" s="542"/>
      <c r="AA19" s="542" t="s">
        <v>30</v>
      </c>
      <c r="AB19" s="542"/>
      <c r="AC19" s="542" t="s">
        <v>60</v>
      </c>
      <c r="AD19" s="542"/>
      <c r="AE19" s="542" t="s">
        <v>48</v>
      </c>
      <c r="AF19" s="542"/>
    </row>
    <row r="20" spans="1:32" x14ac:dyDescent="0.25">
      <c r="A20">
        <v>2</v>
      </c>
      <c r="B20" s="1">
        <v>44748</v>
      </c>
      <c r="C20" t="s">
        <v>3</v>
      </c>
      <c r="D20" t="s">
        <v>27</v>
      </c>
      <c r="E20" t="s">
        <v>26</v>
      </c>
      <c r="F20" t="s">
        <v>1</v>
      </c>
      <c r="G20">
        <v>61.43</v>
      </c>
      <c r="H20">
        <v>5.54</v>
      </c>
      <c r="I20">
        <v>2.96</v>
      </c>
      <c r="L20">
        <f t="shared" si="1"/>
        <v>8.5</v>
      </c>
      <c r="M20">
        <f t="shared" si="2"/>
        <v>0.53429602888086647</v>
      </c>
      <c r="R20" t="s">
        <v>116</v>
      </c>
      <c r="S20" t="s">
        <v>124</v>
      </c>
      <c r="T20" t="s">
        <v>116</v>
      </c>
      <c r="W20" t="s">
        <v>124</v>
      </c>
      <c r="Z20" t="s">
        <v>124</v>
      </c>
      <c r="AA20" t="s">
        <v>116</v>
      </c>
      <c r="AB20" t="s">
        <v>124</v>
      </c>
      <c r="AC20" t="s">
        <v>116</v>
      </c>
      <c r="AD20" t="s">
        <v>124</v>
      </c>
      <c r="AE20" t="s">
        <v>116</v>
      </c>
      <c r="AF20" t="s">
        <v>124</v>
      </c>
    </row>
    <row r="21" spans="1:32" x14ac:dyDescent="0.25">
      <c r="A21">
        <v>3</v>
      </c>
      <c r="B21" s="1">
        <v>44752</v>
      </c>
      <c r="C21" t="s">
        <v>3</v>
      </c>
      <c r="D21" t="s">
        <v>27</v>
      </c>
      <c r="E21" t="s">
        <v>26</v>
      </c>
      <c r="F21" t="s">
        <v>1</v>
      </c>
      <c r="G21">
        <v>61.65</v>
      </c>
      <c r="H21">
        <v>5.94</v>
      </c>
      <c r="I21">
        <v>2.34</v>
      </c>
      <c r="J21" s="427">
        <v>4.7</v>
      </c>
      <c r="K21" s="427">
        <v>45.4</v>
      </c>
      <c r="L21">
        <f t="shared" si="1"/>
        <v>8.2800000000000011</v>
      </c>
      <c r="M21">
        <f t="shared" si="2"/>
        <v>0.39393939393939387</v>
      </c>
      <c r="Q21" t="s">
        <v>27</v>
      </c>
    </row>
    <row r="22" spans="1:32" x14ac:dyDescent="0.25">
      <c r="A22">
        <v>4</v>
      </c>
      <c r="B22" s="1">
        <v>44752</v>
      </c>
      <c r="C22" t="s">
        <v>3</v>
      </c>
      <c r="D22" t="s">
        <v>27</v>
      </c>
      <c r="E22" t="s">
        <v>26</v>
      </c>
      <c r="F22" t="s">
        <v>1</v>
      </c>
      <c r="G22">
        <v>61.9</v>
      </c>
      <c r="H22">
        <v>4.87</v>
      </c>
      <c r="I22">
        <v>2.86</v>
      </c>
      <c r="J22" s="427">
        <v>6.1</v>
      </c>
      <c r="K22" s="427">
        <v>43.3</v>
      </c>
      <c r="L22">
        <f t="shared" si="1"/>
        <v>7.73</v>
      </c>
      <c r="M22">
        <f t="shared" si="2"/>
        <v>0.58726899383983566</v>
      </c>
      <c r="Q22" t="s">
        <v>2</v>
      </c>
    </row>
    <row r="23" spans="1:32" x14ac:dyDescent="0.25">
      <c r="A23">
        <v>5</v>
      </c>
      <c r="B23" s="1">
        <v>44753</v>
      </c>
      <c r="C23" t="s">
        <v>3</v>
      </c>
      <c r="D23" t="s">
        <v>27</v>
      </c>
      <c r="E23" t="s">
        <v>26</v>
      </c>
      <c r="F23" t="s">
        <v>1</v>
      </c>
      <c r="G23">
        <v>61.33</v>
      </c>
      <c r="H23">
        <v>5.84</v>
      </c>
      <c r="I23">
        <v>2.79</v>
      </c>
      <c r="L23">
        <f t="shared" si="1"/>
        <v>8.629999999999999</v>
      </c>
      <c r="M23">
        <f t="shared" si="2"/>
        <v>0.47773972602739728</v>
      </c>
      <c r="Q23" t="s">
        <v>11</v>
      </c>
    </row>
    <row r="24" spans="1:32" x14ac:dyDescent="0.25">
      <c r="A24">
        <v>6</v>
      </c>
      <c r="B24" s="1">
        <v>44754</v>
      </c>
      <c r="C24" t="s">
        <v>3</v>
      </c>
      <c r="D24" t="s">
        <v>27</v>
      </c>
      <c r="E24" t="s">
        <v>26</v>
      </c>
      <c r="F24" t="s">
        <v>1</v>
      </c>
      <c r="G24">
        <v>60.37</v>
      </c>
      <c r="H24">
        <v>7.71</v>
      </c>
      <c r="I24">
        <v>2.41</v>
      </c>
      <c r="J24" s="427">
        <v>5.0999999999999996</v>
      </c>
      <c r="K24" s="427">
        <v>40.5</v>
      </c>
      <c r="L24">
        <f t="shared" si="1"/>
        <v>10.120000000000001</v>
      </c>
      <c r="M24">
        <f t="shared" si="2"/>
        <v>0.3125810635538262</v>
      </c>
      <c r="Q24" t="s">
        <v>10</v>
      </c>
    </row>
    <row r="25" spans="1:32" x14ac:dyDescent="0.25">
      <c r="A25">
        <v>7</v>
      </c>
      <c r="B25" s="1">
        <v>44755</v>
      </c>
      <c r="C25" t="s">
        <v>3</v>
      </c>
      <c r="D25" t="s">
        <v>27</v>
      </c>
      <c r="E25" t="s">
        <v>26</v>
      </c>
      <c r="F25" t="s">
        <v>1</v>
      </c>
      <c r="G25">
        <v>61.64</v>
      </c>
      <c r="H25">
        <v>6.01</v>
      </c>
      <c r="I25">
        <v>2.2799999999999998</v>
      </c>
      <c r="J25" s="427">
        <v>4.5</v>
      </c>
      <c r="K25" s="427">
        <v>43.2</v>
      </c>
      <c r="L25">
        <f t="shared" si="1"/>
        <v>8.2899999999999991</v>
      </c>
      <c r="M25">
        <f t="shared" si="2"/>
        <v>0.37936772046589018</v>
      </c>
      <c r="Q25" t="s">
        <v>31</v>
      </c>
    </row>
    <row r="26" spans="1:32" ht="12.75" customHeight="1" x14ac:dyDescent="0.25">
      <c r="A26">
        <v>8</v>
      </c>
      <c r="B26" s="1">
        <v>44756</v>
      </c>
      <c r="C26" t="s">
        <v>3</v>
      </c>
      <c r="D26" t="s">
        <v>27</v>
      </c>
      <c r="E26" t="s">
        <v>26</v>
      </c>
      <c r="F26" t="s">
        <v>1</v>
      </c>
      <c r="G26">
        <v>61.24</v>
      </c>
      <c r="H26">
        <v>5.86</v>
      </c>
      <c r="I26">
        <v>2.9</v>
      </c>
      <c r="J26" s="427">
        <v>4.3</v>
      </c>
      <c r="K26" s="427">
        <v>43.4</v>
      </c>
      <c r="L26">
        <f t="shared" si="1"/>
        <v>8.76</v>
      </c>
      <c r="M26">
        <f t="shared" si="2"/>
        <v>0.4948805460750853</v>
      </c>
      <c r="Q26" t="s">
        <v>9</v>
      </c>
    </row>
    <row r="27" spans="1:32" x14ac:dyDescent="0.25">
      <c r="A27">
        <v>9</v>
      </c>
      <c r="B27" s="1">
        <v>44757</v>
      </c>
      <c r="C27" t="s">
        <v>3</v>
      </c>
      <c r="D27" t="s">
        <v>27</v>
      </c>
      <c r="E27" t="s">
        <v>26</v>
      </c>
      <c r="F27" t="s">
        <v>1</v>
      </c>
      <c r="G27">
        <v>61.2</v>
      </c>
      <c r="H27">
        <v>6.31</v>
      </c>
      <c r="I27">
        <v>2.6</v>
      </c>
      <c r="J27" s="427">
        <v>6.1</v>
      </c>
      <c r="K27" s="427">
        <v>42.3</v>
      </c>
      <c r="L27">
        <f t="shared" si="1"/>
        <v>8.91</v>
      </c>
      <c r="M27">
        <f t="shared" si="2"/>
        <v>0.41204437400950877</v>
      </c>
      <c r="Q27" t="s">
        <v>44</v>
      </c>
    </row>
    <row r="28" spans="1:32" x14ac:dyDescent="0.25">
      <c r="A28">
        <v>10</v>
      </c>
      <c r="B28" s="1">
        <v>44757</v>
      </c>
      <c r="C28" t="s">
        <v>3</v>
      </c>
      <c r="D28" t="s">
        <v>27</v>
      </c>
      <c r="E28" t="s">
        <v>26</v>
      </c>
      <c r="F28" t="s">
        <v>1</v>
      </c>
      <c r="G28">
        <v>60.67</v>
      </c>
      <c r="H28">
        <v>6.51</v>
      </c>
      <c r="I28">
        <v>3.06</v>
      </c>
      <c r="L28">
        <f t="shared" si="1"/>
        <v>9.57</v>
      </c>
      <c r="M28">
        <f t="shared" si="2"/>
        <v>0.47004608294930877</v>
      </c>
      <c r="Q28" t="s">
        <v>146</v>
      </c>
    </row>
    <row r="29" spans="1:32" x14ac:dyDescent="0.25">
      <c r="A29">
        <v>11</v>
      </c>
      <c r="B29" s="1">
        <v>44758</v>
      </c>
      <c r="C29" t="s">
        <v>3</v>
      </c>
      <c r="D29" t="s">
        <v>27</v>
      </c>
      <c r="E29" t="s">
        <v>26</v>
      </c>
      <c r="F29" t="s">
        <v>1</v>
      </c>
      <c r="G29">
        <v>60.4</v>
      </c>
      <c r="H29">
        <v>7.48</v>
      </c>
      <c r="I29">
        <v>2.4900000000000002</v>
      </c>
      <c r="L29">
        <f t="shared" si="1"/>
        <v>9.9700000000000006</v>
      </c>
      <c r="M29">
        <f t="shared" si="2"/>
        <v>0.33288770053475936</v>
      </c>
    </row>
    <row r="30" spans="1:32" x14ac:dyDescent="0.25">
      <c r="A30">
        <v>12</v>
      </c>
      <c r="B30" s="1">
        <v>44759</v>
      </c>
      <c r="C30" t="s">
        <v>3</v>
      </c>
      <c r="D30" t="s">
        <v>27</v>
      </c>
      <c r="E30" t="s">
        <v>26</v>
      </c>
      <c r="F30" t="s">
        <v>1</v>
      </c>
      <c r="G30">
        <v>60.97</v>
      </c>
      <c r="H30">
        <v>6.63</v>
      </c>
      <c r="I30">
        <v>2.62</v>
      </c>
      <c r="J30" s="427">
        <v>7.3</v>
      </c>
      <c r="K30" s="427">
        <v>40.5</v>
      </c>
      <c r="L30">
        <f t="shared" si="1"/>
        <v>9.25</v>
      </c>
      <c r="M30">
        <f t="shared" si="2"/>
        <v>0.39517345399698345</v>
      </c>
    </row>
    <row r="31" spans="1:32" x14ac:dyDescent="0.25">
      <c r="A31">
        <v>13</v>
      </c>
      <c r="B31" s="1">
        <v>44760</v>
      </c>
      <c r="C31" t="s">
        <v>3</v>
      </c>
      <c r="D31" t="s">
        <v>27</v>
      </c>
      <c r="E31" t="s">
        <v>26</v>
      </c>
      <c r="F31" t="s">
        <v>1</v>
      </c>
      <c r="G31">
        <v>61.4</v>
      </c>
      <c r="H31">
        <v>5.78</v>
      </c>
      <c r="I31">
        <v>2.65</v>
      </c>
      <c r="L31">
        <f t="shared" si="1"/>
        <v>8.43</v>
      </c>
      <c r="M31">
        <f t="shared" si="2"/>
        <v>0.45847750865051901</v>
      </c>
      <c r="N31" t="s">
        <v>202</v>
      </c>
      <c r="Q31">
        <f ca="1">COUNTIF(OFFSET($F$18,1,1,$N$17,1),"&lt;"&amp;G13)</f>
        <v>150</v>
      </c>
    </row>
    <row r="32" spans="1:32" x14ac:dyDescent="0.25">
      <c r="A32">
        <v>14</v>
      </c>
      <c r="B32" s="1">
        <v>44760</v>
      </c>
      <c r="C32" t="s">
        <v>3</v>
      </c>
      <c r="D32" t="s">
        <v>27</v>
      </c>
      <c r="E32" t="s">
        <v>26</v>
      </c>
      <c r="F32" t="s">
        <v>1</v>
      </c>
      <c r="G32">
        <v>60.9</v>
      </c>
      <c r="H32">
        <v>6.46</v>
      </c>
      <c r="I32">
        <v>2.59</v>
      </c>
      <c r="L32">
        <f t="shared" si="1"/>
        <v>9.0500000000000007</v>
      </c>
      <c r="M32">
        <f t="shared" si="2"/>
        <v>0.40092879256965941</v>
      </c>
      <c r="N32" t="s">
        <v>203</v>
      </c>
      <c r="Q32">
        <f ca="1">COUNTIF(OFFSET($F$18,1,6,$N$17,1),"&gt;"&amp;L13)</f>
        <v>185</v>
      </c>
    </row>
    <row r="33" spans="1:32" x14ac:dyDescent="0.25">
      <c r="A33">
        <v>15</v>
      </c>
      <c r="B33" s="1">
        <v>44762</v>
      </c>
      <c r="C33" t="s">
        <v>3</v>
      </c>
      <c r="D33" t="s">
        <v>27</v>
      </c>
      <c r="E33" t="s">
        <v>26</v>
      </c>
      <c r="F33" t="s">
        <v>1</v>
      </c>
      <c r="G33">
        <v>61.43</v>
      </c>
      <c r="H33">
        <v>6.07</v>
      </c>
      <c r="I33">
        <v>2.4300000000000002</v>
      </c>
      <c r="J33" s="427">
        <v>6.5</v>
      </c>
      <c r="K33" s="427">
        <v>42.3</v>
      </c>
      <c r="L33">
        <f t="shared" si="1"/>
        <v>8.5</v>
      </c>
      <c r="M33">
        <f t="shared" si="2"/>
        <v>0.40032948929159801</v>
      </c>
      <c r="N33" t="s">
        <v>204</v>
      </c>
      <c r="Q33">
        <f ca="1">COUNTIF(OFFSET($F$18,1,5,$N$17,1),"&gt;10")</f>
        <v>294</v>
      </c>
    </row>
    <row r="34" spans="1:32" x14ac:dyDescent="0.25">
      <c r="A34">
        <v>16</v>
      </c>
      <c r="B34" s="1">
        <v>44763</v>
      </c>
      <c r="C34" t="s">
        <v>3</v>
      </c>
      <c r="D34" t="s">
        <v>27</v>
      </c>
      <c r="E34" t="s">
        <v>26</v>
      </c>
      <c r="F34" t="s">
        <v>1</v>
      </c>
      <c r="G34">
        <v>60.66</v>
      </c>
      <c r="H34">
        <v>7.29</v>
      </c>
      <c r="I34">
        <v>2.5099999999999998</v>
      </c>
      <c r="L34">
        <f t="shared" si="1"/>
        <v>9.8000000000000007</v>
      </c>
      <c r="M34">
        <f t="shared" si="2"/>
        <v>0.34430727023319613</v>
      </c>
      <c r="N34" t="s">
        <v>205</v>
      </c>
      <c r="Q34">
        <f ca="1">COUNTIF(OFFSET($F$18,1,5,$N$17,1),"")</f>
        <v>39</v>
      </c>
    </row>
    <row r="35" spans="1:32" x14ac:dyDescent="0.25">
      <c r="A35">
        <v>17</v>
      </c>
      <c r="B35" s="1">
        <v>44764</v>
      </c>
      <c r="C35" t="s">
        <v>3</v>
      </c>
      <c r="D35" t="s">
        <v>27</v>
      </c>
      <c r="E35" t="s">
        <v>26</v>
      </c>
      <c r="F35" t="s">
        <v>1</v>
      </c>
      <c r="G35">
        <v>60.46</v>
      </c>
      <c r="H35">
        <v>7.4</v>
      </c>
      <c r="I35">
        <v>2.4900000000000002</v>
      </c>
      <c r="J35" s="427">
        <v>3.5</v>
      </c>
      <c r="K35" s="427">
        <v>38.200000000000003</v>
      </c>
      <c r="L35">
        <f t="shared" si="1"/>
        <v>9.89</v>
      </c>
      <c r="M35">
        <f t="shared" si="2"/>
        <v>0.33648648648648649</v>
      </c>
      <c r="S35" t="s">
        <v>216</v>
      </c>
      <c r="T35" s="542" t="s">
        <v>14</v>
      </c>
      <c r="U35" s="542"/>
      <c r="V35" s="542"/>
      <c r="W35" s="542"/>
      <c r="Z35" s="542" t="s">
        <v>206</v>
      </c>
      <c r="AA35" s="542"/>
      <c r="AB35" s="542" t="s">
        <v>207</v>
      </c>
      <c r="AC35" s="542"/>
      <c r="AD35" s="542" t="s">
        <v>208</v>
      </c>
      <c r="AE35" s="542"/>
      <c r="AF35" t="s">
        <v>212</v>
      </c>
    </row>
    <row r="36" spans="1:32" x14ac:dyDescent="0.25">
      <c r="A36">
        <v>18</v>
      </c>
      <c r="B36" s="1">
        <v>44764</v>
      </c>
      <c r="C36" t="s">
        <v>3</v>
      </c>
      <c r="D36" t="s">
        <v>27</v>
      </c>
      <c r="E36" t="s">
        <v>26</v>
      </c>
      <c r="F36" t="s">
        <v>1</v>
      </c>
      <c r="G36">
        <v>61.3</v>
      </c>
      <c r="H36">
        <v>5.77</v>
      </c>
      <c r="I36">
        <v>2.71</v>
      </c>
      <c r="L36">
        <f t="shared" si="1"/>
        <v>8.48</v>
      </c>
      <c r="M36">
        <f t="shared" si="2"/>
        <v>0.46967071057192378</v>
      </c>
      <c r="T36" t="s">
        <v>18</v>
      </c>
      <c r="U36" t="s">
        <v>19</v>
      </c>
      <c r="V36" t="s">
        <v>20</v>
      </c>
      <c r="W36" t="s">
        <v>209</v>
      </c>
      <c r="X36" t="s">
        <v>35</v>
      </c>
      <c r="Y36" t="s">
        <v>36</v>
      </c>
      <c r="Z36" t="s">
        <v>210</v>
      </c>
      <c r="AA36" t="s">
        <v>211</v>
      </c>
      <c r="AB36" t="s">
        <v>210</v>
      </c>
      <c r="AC36" t="s">
        <v>211</v>
      </c>
      <c r="AD36" t="s">
        <v>210</v>
      </c>
      <c r="AE36" t="s">
        <v>213</v>
      </c>
    </row>
    <row r="37" spans="1:32" x14ac:dyDescent="0.25">
      <c r="A37">
        <v>19</v>
      </c>
      <c r="B37" s="1">
        <v>44744</v>
      </c>
      <c r="C37" t="s">
        <v>3</v>
      </c>
      <c r="D37" t="s">
        <v>44</v>
      </c>
      <c r="E37" t="s">
        <v>26</v>
      </c>
      <c r="F37" t="s">
        <v>1</v>
      </c>
      <c r="G37">
        <v>63.11</v>
      </c>
      <c r="H37">
        <v>3.1</v>
      </c>
      <c r="I37">
        <v>2.59</v>
      </c>
      <c r="J37" s="427">
        <v>3.7</v>
      </c>
      <c r="K37" s="427">
        <v>32.200000000000003</v>
      </c>
      <c r="L37">
        <f t="shared" si="1"/>
        <v>5.6899999999999995</v>
      </c>
      <c r="M37">
        <f t="shared" si="2"/>
        <v>0.8354838709677419</v>
      </c>
      <c r="S37">
        <f>$N$17</f>
        <v>335</v>
      </c>
      <c r="T37">
        <f>$G$17</f>
        <v>61.57831044776124</v>
      </c>
      <c r="U37">
        <f>$H$17</f>
        <v>4.7084537313432868</v>
      </c>
      <c r="V37">
        <f>$I$17</f>
        <v>2.6681791044776109</v>
      </c>
      <c r="W37">
        <f>L17</f>
        <v>7.3766328358208977</v>
      </c>
      <c r="X37">
        <f>$J$17</f>
        <v>6.4490119163772057</v>
      </c>
      <c r="Y37">
        <f>$K$17</f>
        <v>41.469943139580927</v>
      </c>
      <c r="Z37">
        <f ca="1">$Q$31</f>
        <v>150</v>
      </c>
      <c r="AB37">
        <f ca="1">$Q$32</f>
        <v>185</v>
      </c>
      <c r="AD37">
        <f ca="1">$S$37-$Q$34</f>
        <v>296</v>
      </c>
      <c r="AE37">
        <f ca="1">$Q$33</f>
        <v>294</v>
      </c>
    </row>
    <row r="38" spans="1:32" x14ac:dyDescent="0.25">
      <c r="A38">
        <v>20</v>
      </c>
      <c r="B38" s="1">
        <v>44750</v>
      </c>
      <c r="C38" t="s">
        <v>3</v>
      </c>
      <c r="D38" t="s">
        <v>44</v>
      </c>
      <c r="E38" t="s">
        <v>26</v>
      </c>
      <c r="F38" t="s">
        <v>1</v>
      </c>
      <c r="G38">
        <v>63.15</v>
      </c>
      <c r="H38">
        <v>3.22</v>
      </c>
      <c r="I38">
        <v>2.4</v>
      </c>
      <c r="J38" s="427">
        <v>3.1</v>
      </c>
      <c r="K38" s="427">
        <v>33.4</v>
      </c>
      <c r="L38">
        <f t="shared" si="1"/>
        <v>5.62</v>
      </c>
      <c r="M38">
        <f t="shared" si="2"/>
        <v>0.74534161490683226</v>
      </c>
      <c r="P38">
        <f ca="1">SUM(OFFSET(F18,1,1,N17,1))</f>
        <v>20628.734000000015</v>
      </c>
    </row>
    <row r="39" spans="1:32" x14ac:dyDescent="0.25">
      <c r="A39">
        <v>21</v>
      </c>
      <c r="B39" s="1">
        <v>44757</v>
      </c>
      <c r="C39" t="s">
        <v>3</v>
      </c>
      <c r="D39" t="s">
        <v>44</v>
      </c>
      <c r="E39" t="s">
        <v>26</v>
      </c>
      <c r="F39" t="s">
        <v>1</v>
      </c>
      <c r="G39">
        <v>63.22</v>
      </c>
      <c r="H39">
        <v>3.36</v>
      </c>
      <c r="I39">
        <v>2.2799999999999998</v>
      </c>
      <c r="J39" s="427">
        <v>4.2</v>
      </c>
      <c r="K39" s="427">
        <v>34.6</v>
      </c>
      <c r="L39">
        <f t="shared" si="1"/>
        <v>5.64</v>
      </c>
      <c r="M39">
        <f t="shared" si="2"/>
        <v>0.67857142857142849</v>
      </c>
    </row>
    <row r="40" spans="1:32" x14ac:dyDescent="0.25">
      <c r="A40">
        <v>22</v>
      </c>
      <c r="B40" s="1">
        <v>44761</v>
      </c>
      <c r="C40" t="s">
        <v>3</v>
      </c>
      <c r="D40" t="s">
        <v>44</v>
      </c>
      <c r="E40" t="s">
        <v>26</v>
      </c>
      <c r="F40" t="s">
        <v>1</v>
      </c>
      <c r="G40">
        <v>63.16</v>
      </c>
      <c r="H40">
        <v>3.22</v>
      </c>
      <c r="I40">
        <v>2.31</v>
      </c>
      <c r="L40">
        <f t="shared" si="1"/>
        <v>5.53</v>
      </c>
      <c r="M40">
        <f t="shared" si="2"/>
        <v>0.71739130434782605</v>
      </c>
    </row>
    <row r="41" spans="1:32" x14ac:dyDescent="0.25">
      <c r="A41">
        <v>23</v>
      </c>
      <c r="B41" s="1">
        <v>44761</v>
      </c>
      <c r="C41" t="s">
        <v>3</v>
      </c>
      <c r="D41" t="s">
        <v>44</v>
      </c>
      <c r="E41" t="s">
        <v>26</v>
      </c>
      <c r="F41" t="s">
        <v>1</v>
      </c>
      <c r="G41">
        <v>63.1</v>
      </c>
      <c r="H41">
        <v>3.34</v>
      </c>
      <c r="I41">
        <v>2.25</v>
      </c>
      <c r="J41" s="427">
        <v>4.4000000000000004</v>
      </c>
      <c r="K41" s="427">
        <v>31.3</v>
      </c>
      <c r="L41">
        <f t="shared" si="1"/>
        <v>5.59</v>
      </c>
      <c r="M41">
        <f t="shared" si="2"/>
        <v>0.67365269461077848</v>
      </c>
    </row>
    <row r="42" spans="1:32" x14ac:dyDescent="0.25">
      <c r="A42">
        <v>24</v>
      </c>
      <c r="B42" s="1">
        <v>44743</v>
      </c>
      <c r="C42" t="s">
        <v>3</v>
      </c>
      <c r="D42" t="s">
        <v>2</v>
      </c>
      <c r="E42" t="s">
        <v>26</v>
      </c>
      <c r="F42" t="s">
        <v>1</v>
      </c>
      <c r="G42" s="524">
        <v>60.28</v>
      </c>
      <c r="H42" s="524">
        <v>7.19</v>
      </c>
      <c r="I42" s="524">
        <v>2.96</v>
      </c>
      <c r="J42" s="524">
        <v>4.5999999999999996</v>
      </c>
      <c r="K42" s="524">
        <v>43.5</v>
      </c>
      <c r="L42">
        <f t="shared" si="1"/>
        <v>10.15</v>
      </c>
      <c r="M42">
        <f t="shared" si="2"/>
        <v>0.41168289290681498</v>
      </c>
    </row>
    <row r="43" spans="1:32" x14ac:dyDescent="0.25">
      <c r="A43">
        <v>25</v>
      </c>
      <c r="B43" s="1">
        <v>44745</v>
      </c>
      <c r="C43" t="s">
        <v>3</v>
      </c>
      <c r="D43" t="s">
        <v>2</v>
      </c>
      <c r="E43" t="s">
        <v>26</v>
      </c>
      <c r="F43" t="s">
        <v>1</v>
      </c>
      <c r="G43" s="524">
        <v>60.22</v>
      </c>
      <c r="H43" s="524">
        <v>7.25</v>
      </c>
      <c r="I43" s="525">
        <v>3.08</v>
      </c>
      <c r="J43" s="524">
        <v>5.7</v>
      </c>
      <c r="K43" s="524">
        <v>41.8</v>
      </c>
      <c r="L43">
        <f t="shared" si="1"/>
        <v>10.33</v>
      </c>
      <c r="M43">
        <f t="shared" si="2"/>
        <v>0.42482758620689653</v>
      </c>
    </row>
    <row r="44" spans="1:32" x14ac:dyDescent="0.25">
      <c r="A44">
        <v>26</v>
      </c>
      <c r="B44" s="1">
        <v>44745</v>
      </c>
      <c r="C44" t="s">
        <v>3</v>
      </c>
      <c r="D44" t="s">
        <v>2</v>
      </c>
      <c r="E44" t="s">
        <v>26</v>
      </c>
      <c r="F44" t="s">
        <v>1</v>
      </c>
      <c r="G44" s="524">
        <v>61.81</v>
      </c>
      <c r="H44" s="524">
        <v>5.17</v>
      </c>
      <c r="I44" s="525">
        <v>2.77</v>
      </c>
      <c r="J44" s="524"/>
      <c r="K44" s="524"/>
      <c r="L44">
        <f t="shared" si="1"/>
        <v>7.9399999999999995</v>
      </c>
      <c r="M44">
        <f t="shared" si="2"/>
        <v>0.53578336557059958</v>
      </c>
    </row>
    <row r="45" spans="1:32" x14ac:dyDescent="0.25">
      <c r="A45">
        <v>27</v>
      </c>
      <c r="B45" s="1">
        <v>44746</v>
      </c>
      <c r="C45" t="s">
        <v>3</v>
      </c>
      <c r="D45" t="s">
        <v>2</v>
      </c>
      <c r="E45" t="s">
        <v>26</v>
      </c>
      <c r="F45" t="s">
        <v>1</v>
      </c>
      <c r="G45" s="524">
        <v>61.14</v>
      </c>
      <c r="H45" s="524">
        <v>6.59</v>
      </c>
      <c r="I45" s="525">
        <v>2.42</v>
      </c>
      <c r="J45" s="524"/>
      <c r="K45" s="524"/>
      <c r="L45">
        <f t="shared" si="1"/>
        <v>9.01</v>
      </c>
      <c r="M45">
        <f t="shared" si="2"/>
        <v>0.36722306525037934</v>
      </c>
    </row>
    <row r="46" spans="1:32" x14ac:dyDescent="0.25">
      <c r="A46">
        <v>28</v>
      </c>
      <c r="B46" s="1">
        <v>44747</v>
      </c>
      <c r="C46" t="s">
        <v>3</v>
      </c>
      <c r="D46" t="s">
        <v>2</v>
      </c>
      <c r="E46" t="s">
        <v>26</v>
      </c>
      <c r="F46" t="s">
        <v>1</v>
      </c>
      <c r="G46" s="524">
        <v>60.94</v>
      </c>
      <c r="H46" s="524">
        <v>6.48</v>
      </c>
      <c r="I46" s="525">
        <v>2.71</v>
      </c>
      <c r="J46" s="524">
        <v>5.0999999999999996</v>
      </c>
      <c r="K46" s="524">
        <v>41.3</v>
      </c>
      <c r="L46">
        <f t="shared" si="1"/>
        <v>9.1900000000000013</v>
      </c>
      <c r="M46">
        <f t="shared" si="2"/>
        <v>0.41820987654320985</v>
      </c>
    </row>
    <row r="47" spans="1:32" x14ac:dyDescent="0.25">
      <c r="A47">
        <v>29</v>
      </c>
      <c r="B47" s="1">
        <v>44749</v>
      </c>
      <c r="C47" t="s">
        <v>3</v>
      </c>
      <c r="D47" t="s">
        <v>2</v>
      </c>
      <c r="E47" t="s">
        <v>26</v>
      </c>
      <c r="F47" t="s">
        <v>1</v>
      </c>
      <c r="G47">
        <v>60.97</v>
      </c>
      <c r="H47">
        <v>6.24</v>
      </c>
      <c r="I47">
        <v>2.9</v>
      </c>
      <c r="J47" s="427">
        <v>4.5</v>
      </c>
      <c r="K47" s="427">
        <v>45.2</v>
      </c>
      <c r="L47">
        <f t="shared" si="1"/>
        <v>9.14</v>
      </c>
      <c r="M47">
        <f t="shared" si="2"/>
        <v>0.4647435897435897</v>
      </c>
    </row>
    <row r="48" spans="1:32" ht="14.5" x14ac:dyDescent="0.25">
      <c r="A48">
        <v>30</v>
      </c>
      <c r="B48" s="508">
        <v>44749</v>
      </c>
      <c r="C48" t="s">
        <v>3</v>
      </c>
      <c r="D48" t="s">
        <v>2</v>
      </c>
      <c r="E48" t="s">
        <v>26</v>
      </c>
      <c r="F48" t="s">
        <v>1</v>
      </c>
      <c r="G48" s="509">
        <v>61.02</v>
      </c>
      <c r="H48" s="511">
        <v>6.11</v>
      </c>
      <c r="I48" s="510">
        <v>3.07</v>
      </c>
      <c r="K48" s="523"/>
      <c r="L48" s="447">
        <f t="shared" ref="L48:L56" si="3">+I48+H48</f>
        <v>9.18</v>
      </c>
      <c r="M48" s="447">
        <f t="shared" ref="M48:M56" si="4">+I48/IF(H48 = 0,1,H48)</f>
        <v>0.50245499181669384</v>
      </c>
    </row>
    <row r="49" spans="1:13" ht="14.5" x14ac:dyDescent="0.25">
      <c r="A49">
        <v>31</v>
      </c>
      <c r="B49" s="508">
        <v>44750</v>
      </c>
      <c r="C49" t="s">
        <v>3</v>
      </c>
      <c r="D49" t="s">
        <v>2</v>
      </c>
      <c r="E49" t="s">
        <v>26</v>
      </c>
      <c r="F49" t="s">
        <v>1</v>
      </c>
      <c r="G49" s="509">
        <v>61.34</v>
      </c>
      <c r="H49" s="511">
        <v>5.95</v>
      </c>
      <c r="I49" s="510">
        <v>2.68</v>
      </c>
      <c r="J49" s="427">
        <v>5.3</v>
      </c>
      <c r="K49" s="523">
        <v>42.1</v>
      </c>
      <c r="L49" s="447">
        <f t="shared" si="3"/>
        <v>8.6300000000000008</v>
      </c>
      <c r="M49" s="447">
        <f t="shared" si="4"/>
        <v>0.4504201680672269</v>
      </c>
    </row>
    <row r="50" spans="1:13" ht="14.5" x14ac:dyDescent="0.25">
      <c r="A50">
        <v>32</v>
      </c>
      <c r="B50" s="508">
        <v>44751</v>
      </c>
      <c r="C50" t="s">
        <v>3</v>
      </c>
      <c r="D50" t="s">
        <v>2</v>
      </c>
      <c r="E50" t="s">
        <v>26</v>
      </c>
      <c r="F50" t="s">
        <v>1</v>
      </c>
      <c r="G50" s="509">
        <v>61.15</v>
      </c>
      <c r="H50" s="511">
        <v>5.9</v>
      </c>
      <c r="I50" s="510">
        <v>3.1</v>
      </c>
      <c r="J50" s="427">
        <v>4.8</v>
      </c>
      <c r="K50" s="523">
        <v>43.5</v>
      </c>
      <c r="L50" s="447">
        <f t="shared" si="3"/>
        <v>9</v>
      </c>
      <c r="M50" s="447">
        <f t="shared" si="4"/>
        <v>0.52542372881355925</v>
      </c>
    </row>
    <row r="51" spans="1:13" ht="14.5" x14ac:dyDescent="0.25">
      <c r="A51">
        <v>33</v>
      </c>
      <c r="B51" s="508">
        <v>44751</v>
      </c>
      <c r="C51" t="s">
        <v>3</v>
      </c>
      <c r="D51" t="s">
        <v>2</v>
      </c>
      <c r="E51" t="s">
        <v>26</v>
      </c>
      <c r="F51" t="s">
        <v>1</v>
      </c>
      <c r="G51" s="509">
        <v>61.4</v>
      </c>
      <c r="H51" s="511">
        <v>5.82</v>
      </c>
      <c r="I51" s="510">
        <v>2.63</v>
      </c>
      <c r="J51" s="427">
        <v>6.4</v>
      </c>
      <c r="K51" s="523">
        <v>37.299999999999997</v>
      </c>
      <c r="L51" s="447">
        <f t="shared" si="3"/>
        <v>8.4499999999999993</v>
      </c>
      <c r="M51" s="447">
        <f t="shared" si="4"/>
        <v>0.45189003436426112</v>
      </c>
    </row>
    <row r="52" spans="1:13" ht="14.5" x14ac:dyDescent="0.25">
      <c r="A52">
        <v>34</v>
      </c>
      <c r="B52" s="508">
        <v>44752</v>
      </c>
      <c r="C52" t="s">
        <v>3</v>
      </c>
      <c r="D52" t="s">
        <v>2</v>
      </c>
      <c r="E52" t="s">
        <v>26</v>
      </c>
      <c r="F52" t="s">
        <v>1</v>
      </c>
      <c r="G52" s="509">
        <v>61.45</v>
      </c>
      <c r="H52" s="511">
        <v>6.12</v>
      </c>
      <c r="I52" s="510">
        <v>2.44</v>
      </c>
      <c r="J52" s="427">
        <v>4.3</v>
      </c>
      <c r="K52" s="523">
        <v>39.4</v>
      </c>
      <c r="L52" s="447">
        <f t="shared" si="3"/>
        <v>8.56</v>
      </c>
      <c r="M52" s="447">
        <f t="shared" si="4"/>
        <v>0.39869281045751631</v>
      </c>
    </row>
    <row r="53" spans="1:13" ht="14.5" x14ac:dyDescent="0.25">
      <c r="A53">
        <v>35</v>
      </c>
      <c r="B53" s="508">
        <v>44753</v>
      </c>
      <c r="C53" t="s">
        <v>3</v>
      </c>
      <c r="D53" t="s">
        <v>2</v>
      </c>
      <c r="E53" t="s">
        <v>26</v>
      </c>
      <c r="F53" t="s">
        <v>1</v>
      </c>
      <c r="G53" s="509">
        <v>61.08</v>
      </c>
      <c r="H53" s="511">
        <v>5.92</v>
      </c>
      <c r="I53" s="510">
        <v>3.07</v>
      </c>
      <c r="J53" s="427">
        <v>6.2</v>
      </c>
      <c r="K53" s="523">
        <v>43.3</v>
      </c>
      <c r="L53" s="447">
        <f t="shared" si="3"/>
        <v>8.99</v>
      </c>
      <c r="M53" s="447">
        <f t="shared" si="4"/>
        <v>0.51858108108108103</v>
      </c>
    </row>
    <row r="54" spans="1:13" ht="14.5" x14ac:dyDescent="0.25">
      <c r="A54">
        <v>36</v>
      </c>
      <c r="B54" s="508">
        <v>44754</v>
      </c>
      <c r="C54" t="s">
        <v>3</v>
      </c>
      <c r="D54" t="s">
        <v>2</v>
      </c>
      <c r="E54" t="s">
        <v>26</v>
      </c>
      <c r="F54" t="s">
        <v>1</v>
      </c>
      <c r="G54" s="509">
        <v>61.31</v>
      </c>
      <c r="H54" s="511">
        <v>5.45</v>
      </c>
      <c r="I54" s="510">
        <v>3.12</v>
      </c>
      <c r="K54" s="523"/>
      <c r="L54" s="447">
        <f t="shared" si="3"/>
        <v>8.57</v>
      </c>
      <c r="M54" s="447">
        <f t="shared" si="4"/>
        <v>0.57247706422018352</v>
      </c>
    </row>
    <row r="55" spans="1:13" ht="14.5" x14ac:dyDescent="0.35">
      <c r="A55">
        <v>37</v>
      </c>
      <c r="B55" s="508">
        <v>44755</v>
      </c>
      <c r="C55" t="s">
        <v>3</v>
      </c>
      <c r="D55" t="s">
        <v>2</v>
      </c>
      <c r="E55" t="s">
        <v>26</v>
      </c>
      <c r="F55" t="s">
        <v>1</v>
      </c>
      <c r="G55" s="509">
        <v>61.48</v>
      </c>
      <c r="H55" s="511">
        <v>5.9</v>
      </c>
      <c r="I55" s="510">
        <v>2.42</v>
      </c>
      <c r="J55" s="473"/>
      <c r="K55" s="523"/>
      <c r="L55" s="447">
        <f t="shared" si="3"/>
        <v>8.32</v>
      </c>
      <c r="M55" s="447">
        <f t="shared" si="4"/>
        <v>0.4101694915254237</v>
      </c>
    </row>
    <row r="56" spans="1:13" ht="14.5" x14ac:dyDescent="0.35">
      <c r="A56">
        <v>38</v>
      </c>
      <c r="B56" s="508">
        <v>44756</v>
      </c>
      <c r="C56" t="s">
        <v>3</v>
      </c>
      <c r="D56" t="s">
        <v>2</v>
      </c>
      <c r="E56" t="s">
        <v>26</v>
      </c>
      <c r="F56" t="s">
        <v>1</v>
      </c>
      <c r="G56" s="509">
        <v>61</v>
      </c>
      <c r="H56" s="511">
        <v>6.15</v>
      </c>
      <c r="I56" s="510">
        <v>2.97</v>
      </c>
      <c r="J56" s="471">
        <v>9.1199999999999992</v>
      </c>
      <c r="K56" s="523">
        <v>0.48</v>
      </c>
      <c r="L56" s="447">
        <f t="shared" si="3"/>
        <v>9.120000000000001</v>
      </c>
      <c r="M56" s="447">
        <f t="shared" si="4"/>
        <v>0.48292682926829267</v>
      </c>
    </row>
    <row r="57" spans="1:13" ht="15.5" x14ac:dyDescent="0.35">
      <c r="A57">
        <v>39</v>
      </c>
      <c r="B57" s="1">
        <v>44757</v>
      </c>
      <c r="C57" t="s">
        <v>3</v>
      </c>
      <c r="D57" t="s">
        <v>2</v>
      </c>
      <c r="E57" t="s">
        <v>26</v>
      </c>
      <c r="F57" t="s">
        <v>1</v>
      </c>
      <c r="G57" s="468">
        <v>61.58</v>
      </c>
      <c r="H57" s="462">
        <v>5.17</v>
      </c>
      <c r="I57" s="465">
        <v>3.12</v>
      </c>
      <c r="J57" s="471">
        <v>5.2</v>
      </c>
      <c r="K57" s="474">
        <v>40.4</v>
      </c>
      <c r="L57">
        <f t="shared" ref="L57:L82" si="5">+I57+H57</f>
        <v>8.2899999999999991</v>
      </c>
      <c r="M57">
        <f t="shared" ref="M57:M82" si="6">+I57/IF(H57 = 0,1,H57)</f>
        <v>0.60348162475822054</v>
      </c>
    </row>
    <row r="58" spans="1:13" ht="15.5" x14ac:dyDescent="0.35">
      <c r="A58">
        <v>40</v>
      </c>
      <c r="B58" s="1">
        <v>44757</v>
      </c>
      <c r="C58" t="s">
        <v>3</v>
      </c>
      <c r="D58" t="s">
        <v>2</v>
      </c>
      <c r="E58" t="s">
        <v>26</v>
      </c>
      <c r="F58" t="s">
        <v>1</v>
      </c>
      <c r="G58" s="468">
        <v>60.88</v>
      </c>
      <c r="H58" s="462">
        <v>6.27</v>
      </c>
      <c r="I58" s="465">
        <v>3.12</v>
      </c>
      <c r="J58" s="471"/>
      <c r="K58" s="474"/>
      <c r="L58">
        <f t="shared" si="5"/>
        <v>9.39</v>
      </c>
      <c r="M58">
        <f t="shared" si="6"/>
        <v>0.49760765550239239</v>
      </c>
    </row>
    <row r="59" spans="1:13" ht="15.5" x14ac:dyDescent="0.35">
      <c r="A59">
        <v>41</v>
      </c>
      <c r="B59" s="1">
        <v>44758</v>
      </c>
      <c r="C59" t="s">
        <v>3</v>
      </c>
      <c r="D59" t="s">
        <v>2</v>
      </c>
      <c r="E59" t="s">
        <v>26</v>
      </c>
      <c r="F59" t="s">
        <v>1</v>
      </c>
      <c r="G59" s="470">
        <v>60.8</v>
      </c>
      <c r="H59" s="466">
        <v>7.1</v>
      </c>
      <c r="I59" s="467">
        <v>2.4</v>
      </c>
      <c r="J59" s="473"/>
      <c r="K59" s="478"/>
      <c r="L59">
        <f t="shared" si="5"/>
        <v>9.5</v>
      </c>
      <c r="M59">
        <f t="shared" si="6"/>
        <v>0.3380281690140845</v>
      </c>
    </row>
    <row r="60" spans="1:13" ht="15.5" x14ac:dyDescent="0.25">
      <c r="A60">
        <v>42</v>
      </c>
      <c r="B60" s="1">
        <v>44759</v>
      </c>
      <c r="C60" t="s">
        <v>3</v>
      </c>
      <c r="D60" t="s">
        <v>2</v>
      </c>
      <c r="E60" t="s">
        <v>26</v>
      </c>
      <c r="F60" t="s">
        <v>1</v>
      </c>
      <c r="G60" s="469">
        <v>60.62</v>
      </c>
      <c r="H60" s="463">
        <v>7.13</v>
      </c>
      <c r="I60" s="464">
        <v>2.5299999999999998</v>
      </c>
      <c r="J60" s="472"/>
      <c r="K60" s="475"/>
      <c r="L60">
        <f t="shared" si="5"/>
        <v>9.66</v>
      </c>
      <c r="M60">
        <f t="shared" si="6"/>
        <v>0.35483870967741932</v>
      </c>
    </row>
    <row r="61" spans="1:13" ht="15.5" x14ac:dyDescent="0.25">
      <c r="A61">
        <v>43</v>
      </c>
      <c r="B61" s="1">
        <v>44760</v>
      </c>
      <c r="C61" t="s">
        <v>3</v>
      </c>
      <c r="D61" t="s">
        <v>2</v>
      </c>
      <c r="E61" t="s">
        <v>26</v>
      </c>
      <c r="F61" t="s">
        <v>1</v>
      </c>
      <c r="G61" s="469">
        <v>61.4</v>
      </c>
      <c r="H61" s="463">
        <v>5.78</v>
      </c>
      <c r="I61" s="464">
        <v>2.65</v>
      </c>
      <c r="J61" s="472"/>
      <c r="K61" s="475"/>
      <c r="L61">
        <f t="shared" si="5"/>
        <v>8.43</v>
      </c>
      <c r="M61">
        <f t="shared" si="6"/>
        <v>0.45847750865051901</v>
      </c>
    </row>
    <row r="62" spans="1:13" ht="15.5" x14ac:dyDescent="0.35">
      <c r="A62">
        <v>44</v>
      </c>
      <c r="B62" s="1">
        <v>44761</v>
      </c>
      <c r="C62" t="s">
        <v>3</v>
      </c>
      <c r="D62" t="s">
        <v>2</v>
      </c>
      <c r="E62" t="s">
        <v>26</v>
      </c>
      <c r="F62" t="s">
        <v>1</v>
      </c>
      <c r="G62" s="468">
        <v>60.61</v>
      </c>
      <c r="H62" s="462">
        <v>6.57</v>
      </c>
      <c r="I62" s="465">
        <v>3.01</v>
      </c>
      <c r="J62" s="471">
        <v>6.1</v>
      </c>
      <c r="K62" s="474">
        <v>43.1</v>
      </c>
      <c r="L62">
        <f t="shared" si="5"/>
        <v>9.58</v>
      </c>
      <c r="M62">
        <f t="shared" si="6"/>
        <v>0.45814307458143072</v>
      </c>
    </row>
    <row r="63" spans="1:13" ht="15.5" x14ac:dyDescent="0.35">
      <c r="A63">
        <v>45</v>
      </c>
      <c r="B63" s="1">
        <v>44761</v>
      </c>
      <c r="C63" t="s">
        <v>3</v>
      </c>
      <c r="D63" t="s">
        <v>2</v>
      </c>
      <c r="E63" t="s">
        <v>26</v>
      </c>
      <c r="F63" t="s">
        <v>1</v>
      </c>
      <c r="G63" s="468">
        <v>60.38</v>
      </c>
      <c r="H63" s="462">
        <v>7.54</v>
      </c>
      <c r="I63" s="465">
        <v>2.35</v>
      </c>
      <c r="J63" s="471"/>
      <c r="K63" s="474"/>
      <c r="L63">
        <f t="shared" si="5"/>
        <v>9.89</v>
      </c>
      <c r="M63">
        <f t="shared" si="6"/>
        <v>0.31167108753315653</v>
      </c>
    </row>
    <row r="64" spans="1:13" ht="15.5" x14ac:dyDescent="0.35">
      <c r="A64">
        <v>46</v>
      </c>
      <c r="B64" s="1">
        <v>44762</v>
      </c>
      <c r="C64" t="s">
        <v>3</v>
      </c>
      <c r="D64" t="s">
        <v>2</v>
      </c>
      <c r="E64" t="s">
        <v>26</v>
      </c>
      <c r="F64" t="s">
        <v>1</v>
      </c>
      <c r="G64" s="468">
        <v>61.06</v>
      </c>
      <c r="H64" s="462">
        <v>5.71</v>
      </c>
      <c r="I64" s="465">
        <v>3.11</v>
      </c>
      <c r="J64" s="471">
        <v>5.7</v>
      </c>
      <c r="K64" s="474">
        <v>44.5</v>
      </c>
      <c r="L64">
        <f t="shared" si="5"/>
        <v>8.82</v>
      </c>
      <c r="M64">
        <f t="shared" si="6"/>
        <v>0.54465849387040277</v>
      </c>
    </row>
    <row r="65" spans="1:13" ht="15.5" x14ac:dyDescent="0.35">
      <c r="A65">
        <v>47</v>
      </c>
      <c r="B65" s="1">
        <v>44762</v>
      </c>
      <c r="C65" t="s">
        <v>3</v>
      </c>
      <c r="D65" t="s">
        <v>2</v>
      </c>
      <c r="E65" t="s">
        <v>26</v>
      </c>
      <c r="F65" t="s">
        <v>1</v>
      </c>
      <c r="G65" s="468">
        <v>61.16</v>
      </c>
      <c r="H65" s="462">
        <v>5.84</v>
      </c>
      <c r="I65" s="465">
        <v>2.75</v>
      </c>
      <c r="J65" s="471"/>
      <c r="K65" s="474"/>
      <c r="L65">
        <f t="shared" si="5"/>
        <v>8.59</v>
      </c>
      <c r="M65">
        <f t="shared" si="6"/>
        <v>0.4708904109589041</v>
      </c>
    </row>
    <row r="66" spans="1:13" x14ac:dyDescent="0.25">
      <c r="A66">
        <v>48</v>
      </c>
      <c r="B66" s="1">
        <v>44763</v>
      </c>
      <c r="C66" t="s">
        <v>3</v>
      </c>
      <c r="D66" t="s">
        <v>2</v>
      </c>
      <c r="E66" t="s">
        <v>26</v>
      </c>
      <c r="F66" t="s">
        <v>1</v>
      </c>
      <c r="G66">
        <v>61.01</v>
      </c>
      <c r="H66">
        <v>6.11</v>
      </c>
      <c r="I66">
        <v>2.9</v>
      </c>
      <c r="L66">
        <f t="shared" si="5"/>
        <v>9.01</v>
      </c>
      <c r="M66">
        <f t="shared" si="6"/>
        <v>0.47463175122749585</v>
      </c>
    </row>
    <row r="67" spans="1:13" x14ac:dyDescent="0.25">
      <c r="A67">
        <v>49</v>
      </c>
      <c r="B67" s="1">
        <v>44763</v>
      </c>
      <c r="C67" t="s">
        <v>3</v>
      </c>
      <c r="D67" t="s">
        <v>2</v>
      </c>
      <c r="E67" t="s">
        <v>26</v>
      </c>
      <c r="F67" t="s">
        <v>1</v>
      </c>
      <c r="G67">
        <v>60.65</v>
      </c>
      <c r="H67">
        <v>6.33</v>
      </c>
      <c r="I67">
        <v>3.19</v>
      </c>
      <c r="J67" s="427">
        <v>6.4</v>
      </c>
      <c r="K67" s="427">
        <v>40.5</v>
      </c>
      <c r="L67">
        <f t="shared" si="5"/>
        <v>9.52</v>
      </c>
      <c r="M67">
        <f t="shared" si="6"/>
        <v>0.50394944707740918</v>
      </c>
    </row>
    <row r="68" spans="1:13" x14ac:dyDescent="0.25">
      <c r="A68">
        <v>59</v>
      </c>
      <c r="B68" s="1">
        <v>44744</v>
      </c>
      <c r="C68" t="s">
        <v>3</v>
      </c>
      <c r="D68" t="s">
        <v>9</v>
      </c>
      <c r="E68" t="s">
        <v>26</v>
      </c>
      <c r="F68" t="s">
        <v>1</v>
      </c>
      <c r="G68">
        <v>61.25</v>
      </c>
      <c r="H68">
        <v>5.77</v>
      </c>
      <c r="I68">
        <v>2.95</v>
      </c>
      <c r="J68" s="427">
        <v>3.4</v>
      </c>
      <c r="K68" s="427">
        <v>44.1</v>
      </c>
      <c r="L68">
        <f t="shared" si="5"/>
        <v>8.7199999999999989</v>
      </c>
      <c r="M68">
        <f t="shared" si="6"/>
        <v>0.51126516464471405</v>
      </c>
    </row>
    <row r="69" spans="1:13" x14ac:dyDescent="0.25">
      <c r="A69">
        <v>60</v>
      </c>
      <c r="B69" s="1">
        <v>44747</v>
      </c>
      <c r="C69" t="s">
        <v>3</v>
      </c>
      <c r="D69" t="s">
        <v>9</v>
      </c>
      <c r="E69" t="s">
        <v>26</v>
      </c>
      <c r="F69" t="s">
        <v>1</v>
      </c>
      <c r="G69">
        <v>61.74</v>
      </c>
      <c r="H69">
        <v>5.15</v>
      </c>
      <c r="I69">
        <v>2.77</v>
      </c>
      <c r="J69" s="427">
        <v>1.5</v>
      </c>
      <c r="K69" s="427">
        <v>47.8</v>
      </c>
      <c r="L69">
        <f t="shared" si="5"/>
        <v>7.92</v>
      </c>
      <c r="M69">
        <f t="shared" si="6"/>
        <v>0.53786407766990285</v>
      </c>
    </row>
    <row r="70" spans="1:13" x14ac:dyDescent="0.25">
      <c r="A70">
        <v>61</v>
      </c>
      <c r="B70" s="1">
        <v>44748</v>
      </c>
      <c r="C70" t="s">
        <v>3</v>
      </c>
      <c r="D70" t="s">
        <v>9</v>
      </c>
      <c r="E70" t="s">
        <v>26</v>
      </c>
      <c r="F70" t="s">
        <v>1</v>
      </c>
      <c r="G70">
        <v>61.53</v>
      </c>
      <c r="H70">
        <v>5.57</v>
      </c>
      <c r="I70">
        <v>2.67</v>
      </c>
      <c r="J70" s="427">
        <v>2.1</v>
      </c>
      <c r="K70" s="427">
        <v>45.1</v>
      </c>
      <c r="L70">
        <f t="shared" si="5"/>
        <v>8.24</v>
      </c>
      <c r="M70">
        <f t="shared" si="6"/>
        <v>0.47935368043087967</v>
      </c>
    </row>
    <row r="71" spans="1:13" x14ac:dyDescent="0.25">
      <c r="A71">
        <v>62</v>
      </c>
      <c r="B71" s="1">
        <v>44755</v>
      </c>
      <c r="C71" t="s">
        <v>3</v>
      </c>
      <c r="D71" t="s">
        <v>9</v>
      </c>
      <c r="E71" t="s">
        <v>26</v>
      </c>
      <c r="F71" t="s">
        <v>1</v>
      </c>
      <c r="G71">
        <v>60.97</v>
      </c>
      <c r="H71">
        <v>6.16</v>
      </c>
      <c r="I71">
        <v>3.02</v>
      </c>
      <c r="J71" s="427">
        <v>4.2</v>
      </c>
      <c r="K71" s="427">
        <v>44.3</v>
      </c>
      <c r="L71">
        <f t="shared" si="5"/>
        <v>9.18</v>
      </c>
      <c r="M71">
        <f t="shared" si="6"/>
        <v>0.49025974025974023</v>
      </c>
    </row>
    <row r="72" spans="1:13" x14ac:dyDescent="0.25">
      <c r="A72">
        <v>63</v>
      </c>
      <c r="B72" s="1">
        <v>44763</v>
      </c>
      <c r="C72" t="s">
        <v>3</v>
      </c>
      <c r="D72" t="s">
        <v>9</v>
      </c>
      <c r="E72" t="s">
        <v>26</v>
      </c>
      <c r="F72" t="s">
        <v>1</v>
      </c>
      <c r="G72">
        <v>61.1</v>
      </c>
      <c r="H72">
        <v>5.87</v>
      </c>
      <c r="I72">
        <v>3.18</v>
      </c>
      <c r="J72" s="427">
        <v>3.5</v>
      </c>
      <c r="K72" s="427">
        <v>45.8</v>
      </c>
      <c r="L72">
        <f t="shared" si="5"/>
        <v>9.0500000000000007</v>
      </c>
      <c r="M72">
        <f t="shared" si="6"/>
        <v>0.54173764906303234</v>
      </c>
    </row>
    <row r="73" spans="1:13" x14ac:dyDescent="0.25">
      <c r="A73">
        <v>64</v>
      </c>
      <c r="B73" s="1">
        <v>44743</v>
      </c>
      <c r="C73" t="s">
        <v>3</v>
      </c>
      <c r="D73" t="s">
        <v>11</v>
      </c>
      <c r="E73" t="s">
        <v>26</v>
      </c>
      <c r="F73" t="s">
        <v>1</v>
      </c>
      <c r="G73">
        <v>61.72</v>
      </c>
      <c r="H73">
        <v>5.1100000000000003</v>
      </c>
      <c r="I73">
        <v>3.07</v>
      </c>
      <c r="J73" s="427">
        <v>7.4</v>
      </c>
      <c r="K73" s="427">
        <v>37.5</v>
      </c>
      <c r="L73">
        <f t="shared" si="5"/>
        <v>8.18</v>
      </c>
      <c r="M73">
        <f t="shared" si="6"/>
        <v>0.60078277886497056</v>
      </c>
    </row>
    <row r="74" spans="1:13" x14ac:dyDescent="0.25">
      <c r="A74">
        <v>65</v>
      </c>
      <c r="B74" s="1">
        <v>44744</v>
      </c>
      <c r="C74" t="s">
        <v>3</v>
      </c>
      <c r="D74" t="s">
        <v>11</v>
      </c>
      <c r="E74" t="s">
        <v>26</v>
      </c>
      <c r="F74" t="s">
        <v>1</v>
      </c>
      <c r="G74">
        <v>61.9</v>
      </c>
      <c r="H74">
        <v>4.84</v>
      </c>
      <c r="I74">
        <v>2.95</v>
      </c>
      <c r="J74" s="427">
        <v>5.2</v>
      </c>
      <c r="K74" s="427">
        <v>42.1</v>
      </c>
      <c r="L74">
        <f t="shared" si="5"/>
        <v>7.79</v>
      </c>
      <c r="M74">
        <f t="shared" si="6"/>
        <v>0.60950413223140498</v>
      </c>
    </row>
    <row r="75" spans="1:13" x14ac:dyDescent="0.25">
      <c r="A75">
        <v>66</v>
      </c>
      <c r="B75" s="1">
        <v>44745</v>
      </c>
      <c r="C75" t="s">
        <v>3</v>
      </c>
      <c r="D75" t="s">
        <v>11</v>
      </c>
      <c r="E75" t="s">
        <v>26</v>
      </c>
      <c r="F75" t="s">
        <v>1</v>
      </c>
      <c r="G75">
        <v>61.83</v>
      </c>
      <c r="H75">
        <v>4.8899999999999997</v>
      </c>
      <c r="I75">
        <v>2.82</v>
      </c>
      <c r="J75" s="427">
        <v>6.5</v>
      </c>
      <c r="K75" s="427">
        <v>38.299999999999997</v>
      </c>
      <c r="L75">
        <f t="shared" si="5"/>
        <v>7.7099999999999991</v>
      </c>
      <c r="M75">
        <f t="shared" si="6"/>
        <v>0.57668711656441718</v>
      </c>
    </row>
    <row r="76" spans="1:13" x14ac:dyDescent="0.25">
      <c r="A76">
        <v>67</v>
      </c>
      <c r="B76" s="1">
        <v>44745</v>
      </c>
      <c r="C76" t="s">
        <v>3</v>
      </c>
      <c r="D76" t="s">
        <v>11</v>
      </c>
      <c r="E76" t="s">
        <v>26</v>
      </c>
      <c r="F76" t="s">
        <v>1</v>
      </c>
      <c r="G76">
        <v>61.86</v>
      </c>
      <c r="H76">
        <v>4.5999999999999996</v>
      </c>
      <c r="I76">
        <v>3.19</v>
      </c>
      <c r="J76" s="427">
        <v>4.3</v>
      </c>
      <c r="K76" s="427">
        <v>40.4</v>
      </c>
      <c r="L76">
        <f t="shared" si="5"/>
        <v>7.7899999999999991</v>
      </c>
      <c r="M76">
        <f t="shared" si="6"/>
        <v>0.69347826086956521</v>
      </c>
    </row>
    <row r="77" spans="1:13" x14ac:dyDescent="0.25">
      <c r="A77">
        <v>68</v>
      </c>
      <c r="B77" s="1">
        <v>44746</v>
      </c>
      <c r="C77" t="s">
        <v>3</v>
      </c>
      <c r="D77" t="s">
        <v>11</v>
      </c>
      <c r="E77" t="s">
        <v>26</v>
      </c>
      <c r="F77" t="s">
        <v>1</v>
      </c>
      <c r="G77">
        <v>62.08</v>
      </c>
      <c r="H77">
        <v>4.74</v>
      </c>
      <c r="I77">
        <v>2.81</v>
      </c>
      <c r="L77">
        <f t="shared" si="5"/>
        <v>7.5500000000000007</v>
      </c>
      <c r="M77">
        <f t="shared" si="6"/>
        <v>0.59282700421940926</v>
      </c>
    </row>
    <row r="78" spans="1:13" x14ac:dyDescent="0.25">
      <c r="A78">
        <v>69</v>
      </c>
      <c r="B78" s="1">
        <v>44747</v>
      </c>
      <c r="C78" t="s">
        <v>3</v>
      </c>
      <c r="D78" t="s">
        <v>11</v>
      </c>
      <c r="E78" t="s">
        <v>26</v>
      </c>
      <c r="F78" t="s">
        <v>1</v>
      </c>
      <c r="G78">
        <v>61.49</v>
      </c>
      <c r="H78">
        <v>5.25</v>
      </c>
      <c r="I78">
        <v>3.06</v>
      </c>
      <c r="L78">
        <f t="shared" si="5"/>
        <v>8.31</v>
      </c>
      <c r="M78">
        <f t="shared" si="6"/>
        <v>0.58285714285714285</v>
      </c>
    </row>
    <row r="79" spans="1:13" x14ac:dyDescent="0.25">
      <c r="A79">
        <v>70</v>
      </c>
      <c r="B79" s="1">
        <v>44749</v>
      </c>
      <c r="C79" t="s">
        <v>3</v>
      </c>
      <c r="D79" t="s">
        <v>11</v>
      </c>
      <c r="E79" t="s">
        <v>26</v>
      </c>
      <c r="F79" t="s">
        <v>1</v>
      </c>
      <c r="G79">
        <v>60.88</v>
      </c>
      <c r="H79">
        <v>6.43</v>
      </c>
      <c r="I79">
        <v>2.86</v>
      </c>
      <c r="L79">
        <f t="shared" si="5"/>
        <v>9.2899999999999991</v>
      </c>
      <c r="M79">
        <f t="shared" si="6"/>
        <v>0.44479004665629862</v>
      </c>
    </row>
    <row r="80" spans="1:13" x14ac:dyDescent="0.25">
      <c r="A80">
        <v>71</v>
      </c>
      <c r="B80" s="1">
        <v>44751</v>
      </c>
      <c r="C80" t="s">
        <v>3</v>
      </c>
      <c r="D80" t="s">
        <v>11</v>
      </c>
      <c r="E80" t="s">
        <v>26</v>
      </c>
      <c r="F80" t="s">
        <v>1</v>
      </c>
      <c r="G80">
        <v>61.76</v>
      </c>
      <c r="H80">
        <v>5.0199999999999996</v>
      </c>
      <c r="I80">
        <v>3.01</v>
      </c>
      <c r="J80" s="427">
        <v>7.3</v>
      </c>
      <c r="K80" s="427">
        <v>39.200000000000003</v>
      </c>
      <c r="L80">
        <f t="shared" si="5"/>
        <v>8.0299999999999994</v>
      </c>
      <c r="M80">
        <f t="shared" si="6"/>
        <v>0.59960159362549803</v>
      </c>
    </row>
    <row r="81" spans="1:13" x14ac:dyDescent="0.25">
      <c r="A81">
        <v>72</v>
      </c>
      <c r="B81" s="1">
        <v>44751</v>
      </c>
      <c r="C81" t="s">
        <v>3</v>
      </c>
      <c r="D81" t="s">
        <v>11</v>
      </c>
      <c r="E81" t="s">
        <v>26</v>
      </c>
      <c r="F81" t="s">
        <v>1</v>
      </c>
      <c r="G81">
        <v>61.71</v>
      </c>
      <c r="H81">
        <v>5.45</v>
      </c>
      <c r="I81">
        <v>2.65</v>
      </c>
      <c r="J81" s="427">
        <v>6.4</v>
      </c>
      <c r="K81" s="427">
        <v>40.299999999999997</v>
      </c>
      <c r="L81">
        <f t="shared" si="5"/>
        <v>8.1</v>
      </c>
      <c r="M81">
        <f t="shared" si="6"/>
        <v>0.48623853211009171</v>
      </c>
    </row>
    <row r="82" spans="1:13" x14ac:dyDescent="0.25">
      <c r="A82">
        <v>73</v>
      </c>
      <c r="B82" s="1">
        <v>44752</v>
      </c>
      <c r="C82" t="s">
        <v>3</v>
      </c>
      <c r="D82" t="s">
        <v>11</v>
      </c>
      <c r="E82" t="s">
        <v>26</v>
      </c>
      <c r="F82" t="s">
        <v>1</v>
      </c>
      <c r="G82">
        <v>61.42</v>
      </c>
      <c r="H82">
        <v>5.35</v>
      </c>
      <c r="I82">
        <v>3.06</v>
      </c>
      <c r="J82" s="427">
        <v>5.2</v>
      </c>
      <c r="K82" s="427">
        <v>44</v>
      </c>
      <c r="L82">
        <f t="shared" si="5"/>
        <v>8.41</v>
      </c>
      <c r="M82">
        <f t="shared" si="6"/>
        <v>0.57196261682242999</v>
      </c>
    </row>
    <row r="83" spans="1:13" x14ac:dyDescent="0.25">
      <c r="A83">
        <v>74</v>
      </c>
      <c r="B83" s="1">
        <v>44753</v>
      </c>
      <c r="C83" t="s">
        <v>3</v>
      </c>
      <c r="D83" t="s">
        <v>11</v>
      </c>
      <c r="E83" t="s">
        <v>26</v>
      </c>
      <c r="F83" t="s">
        <v>1</v>
      </c>
      <c r="G83">
        <v>61.71</v>
      </c>
      <c r="H83">
        <v>4.83</v>
      </c>
      <c r="I83">
        <v>3.16</v>
      </c>
      <c r="J83" s="427">
        <v>4.5</v>
      </c>
      <c r="K83" s="427">
        <v>43.2</v>
      </c>
      <c r="L83">
        <f t="shared" ref="L83:L114" si="7">+I83+H83</f>
        <v>7.99</v>
      </c>
      <c r="M83">
        <f t="shared" ref="M83:M114" si="8">+I83/IF(H83 = 0,1,H83)</f>
        <v>0.65424430641821951</v>
      </c>
    </row>
    <row r="84" spans="1:13" x14ac:dyDescent="0.25">
      <c r="A84">
        <v>75</v>
      </c>
      <c r="B84" s="1">
        <v>44764</v>
      </c>
      <c r="C84" t="s">
        <v>3</v>
      </c>
      <c r="D84" t="s">
        <v>11</v>
      </c>
      <c r="E84" t="s">
        <v>26</v>
      </c>
      <c r="F84" t="s">
        <v>1</v>
      </c>
      <c r="G84">
        <v>61.82</v>
      </c>
      <c r="H84">
        <v>4.8499999999999996</v>
      </c>
      <c r="I84">
        <v>2.81</v>
      </c>
      <c r="L84">
        <f t="shared" si="7"/>
        <v>7.66</v>
      </c>
      <c r="M84">
        <f t="shared" si="8"/>
        <v>0.57938144329896912</v>
      </c>
    </row>
    <row r="85" spans="1:13" x14ac:dyDescent="0.25">
      <c r="A85">
        <v>76</v>
      </c>
      <c r="B85" s="1">
        <v>44759</v>
      </c>
      <c r="C85" t="s">
        <v>3</v>
      </c>
      <c r="D85" t="s">
        <v>10</v>
      </c>
      <c r="E85" t="s">
        <v>26</v>
      </c>
      <c r="F85" t="s">
        <v>1</v>
      </c>
      <c r="G85">
        <v>60.52</v>
      </c>
      <c r="H85">
        <v>4.58</v>
      </c>
      <c r="I85">
        <v>5.08</v>
      </c>
      <c r="L85">
        <f t="shared" si="7"/>
        <v>9.66</v>
      </c>
      <c r="M85">
        <f t="shared" si="8"/>
        <v>1.1091703056768558</v>
      </c>
    </row>
    <row r="86" spans="1:13" x14ac:dyDescent="0.25">
      <c r="A86">
        <v>77</v>
      </c>
      <c r="B86" s="1">
        <v>44743</v>
      </c>
      <c r="C86" t="s">
        <v>30</v>
      </c>
      <c r="D86" t="s">
        <v>9</v>
      </c>
      <c r="E86" t="s">
        <v>26</v>
      </c>
      <c r="F86" t="s">
        <v>1</v>
      </c>
      <c r="G86">
        <v>64.53</v>
      </c>
      <c r="H86">
        <v>2.1</v>
      </c>
      <c r="I86">
        <v>1.42</v>
      </c>
      <c r="J86" s="427">
        <v>5.2631578947368416</v>
      </c>
      <c r="K86" s="427">
        <v>43.609022556390975</v>
      </c>
      <c r="L86">
        <f t="shared" si="7"/>
        <v>3.52</v>
      </c>
      <c r="M86">
        <f t="shared" si="8"/>
        <v>0.67619047619047612</v>
      </c>
    </row>
    <row r="87" spans="1:13" x14ac:dyDescent="0.25">
      <c r="A87">
        <v>78</v>
      </c>
      <c r="B87" s="1">
        <v>44743</v>
      </c>
      <c r="C87" t="s">
        <v>30</v>
      </c>
      <c r="D87" t="s">
        <v>9</v>
      </c>
      <c r="E87" t="s">
        <v>26</v>
      </c>
      <c r="F87" t="s">
        <v>1</v>
      </c>
      <c r="G87">
        <v>62.98</v>
      </c>
      <c r="H87">
        <v>3.31</v>
      </c>
      <c r="I87">
        <v>1.98</v>
      </c>
      <c r="J87" s="427">
        <v>6.8027210884353746</v>
      </c>
      <c r="K87" s="427">
        <v>42.176870748299322</v>
      </c>
      <c r="L87">
        <f t="shared" si="7"/>
        <v>5.29</v>
      </c>
      <c r="M87">
        <f t="shared" si="8"/>
        <v>0.59818731117824775</v>
      </c>
    </row>
    <row r="88" spans="1:13" x14ac:dyDescent="0.25">
      <c r="A88">
        <v>79</v>
      </c>
      <c r="B88" s="1">
        <v>44744</v>
      </c>
      <c r="C88" t="s">
        <v>30</v>
      </c>
      <c r="D88" t="s">
        <v>9</v>
      </c>
      <c r="E88" t="s">
        <v>26</v>
      </c>
      <c r="F88" t="s">
        <v>1</v>
      </c>
      <c r="G88">
        <v>64.19</v>
      </c>
      <c r="H88">
        <v>2.21</v>
      </c>
      <c r="I88">
        <v>1.56</v>
      </c>
      <c r="J88" s="427">
        <v>7.096774193548387</v>
      </c>
      <c r="K88" s="427">
        <v>46.451612903225808</v>
      </c>
      <c r="L88">
        <f t="shared" si="7"/>
        <v>3.77</v>
      </c>
      <c r="M88">
        <f t="shared" si="8"/>
        <v>0.70588235294117652</v>
      </c>
    </row>
    <row r="89" spans="1:13" x14ac:dyDescent="0.25">
      <c r="A89">
        <v>80</v>
      </c>
      <c r="B89" s="1">
        <v>44744</v>
      </c>
      <c r="C89" t="s">
        <v>30</v>
      </c>
      <c r="D89" t="s">
        <v>9</v>
      </c>
      <c r="E89" t="s">
        <v>26</v>
      </c>
      <c r="F89" t="s">
        <v>1</v>
      </c>
      <c r="G89">
        <v>63.594999999999992</v>
      </c>
      <c r="H89">
        <v>3.03</v>
      </c>
      <c r="I89">
        <v>1.71</v>
      </c>
      <c r="J89" s="427">
        <v>7.4074074074074066</v>
      </c>
      <c r="K89" s="427">
        <v>45.925925925925924</v>
      </c>
      <c r="L89">
        <f t="shared" si="7"/>
        <v>4.74</v>
      </c>
      <c r="M89">
        <f t="shared" si="8"/>
        <v>0.56435643564356441</v>
      </c>
    </row>
    <row r="90" spans="1:13" x14ac:dyDescent="0.25">
      <c r="A90">
        <v>81</v>
      </c>
      <c r="B90" s="1">
        <v>44744</v>
      </c>
      <c r="C90" t="s">
        <v>30</v>
      </c>
      <c r="D90" t="s">
        <v>9</v>
      </c>
      <c r="E90" t="s">
        <v>26</v>
      </c>
      <c r="F90" t="s">
        <v>1</v>
      </c>
      <c r="G90">
        <v>62.677999999999997</v>
      </c>
      <c r="H90">
        <v>4.3099999999999996</v>
      </c>
      <c r="I90">
        <v>1.76</v>
      </c>
      <c r="J90" s="427">
        <v>8</v>
      </c>
      <c r="K90" s="427">
        <v>44.666666666666664</v>
      </c>
      <c r="L90">
        <f t="shared" si="7"/>
        <v>6.0699999999999994</v>
      </c>
      <c r="M90">
        <f t="shared" si="8"/>
        <v>0.40835266821345712</v>
      </c>
    </row>
    <row r="91" spans="1:13" x14ac:dyDescent="0.25">
      <c r="A91">
        <v>82</v>
      </c>
      <c r="B91" s="1">
        <v>44745</v>
      </c>
      <c r="C91" t="s">
        <v>30</v>
      </c>
      <c r="D91" t="s">
        <v>9</v>
      </c>
      <c r="E91" t="s">
        <v>26</v>
      </c>
      <c r="F91" t="s">
        <v>1</v>
      </c>
      <c r="G91">
        <v>62.307000000000002</v>
      </c>
      <c r="H91">
        <v>4.1100000000000003</v>
      </c>
      <c r="I91">
        <v>2.66</v>
      </c>
      <c r="J91" s="427">
        <v>6.4748201438848918</v>
      </c>
      <c r="K91" s="427">
        <v>43.165467625899282</v>
      </c>
      <c r="L91">
        <f t="shared" si="7"/>
        <v>6.7700000000000005</v>
      </c>
      <c r="M91">
        <f t="shared" si="8"/>
        <v>0.64720194647201945</v>
      </c>
    </row>
    <row r="92" spans="1:13" x14ac:dyDescent="0.25">
      <c r="A92">
        <v>83</v>
      </c>
      <c r="B92" s="1">
        <v>44745</v>
      </c>
      <c r="C92" t="s">
        <v>30</v>
      </c>
      <c r="D92" t="s">
        <v>9</v>
      </c>
      <c r="E92" t="s">
        <v>26</v>
      </c>
      <c r="F92" t="s">
        <v>1</v>
      </c>
      <c r="G92">
        <v>62.426000000000002</v>
      </c>
      <c r="H92">
        <v>4.3499999999999996</v>
      </c>
      <c r="I92">
        <v>1.96</v>
      </c>
      <c r="J92" s="427">
        <v>4.7244094488188972</v>
      </c>
      <c r="K92" s="427">
        <v>46.456692913385837</v>
      </c>
      <c r="L92">
        <f t="shared" si="7"/>
        <v>6.31</v>
      </c>
      <c r="M92">
        <f t="shared" si="8"/>
        <v>0.45057471264367821</v>
      </c>
    </row>
    <row r="93" spans="1:13" x14ac:dyDescent="0.25">
      <c r="A93">
        <v>84</v>
      </c>
      <c r="B93" s="1">
        <v>44745</v>
      </c>
      <c r="C93" t="s">
        <v>30</v>
      </c>
      <c r="D93" t="s">
        <v>9</v>
      </c>
      <c r="E93" t="s">
        <v>26</v>
      </c>
      <c r="F93" t="s">
        <v>1</v>
      </c>
      <c r="G93">
        <v>62.642999999999994</v>
      </c>
      <c r="H93">
        <v>4.1399999999999997</v>
      </c>
      <c r="I93">
        <v>1.7</v>
      </c>
      <c r="J93" s="427">
        <v>8.1300813008130071</v>
      </c>
      <c r="K93" s="427">
        <v>40.650406504065039</v>
      </c>
      <c r="L93">
        <f t="shared" si="7"/>
        <v>5.84</v>
      </c>
      <c r="M93">
        <f t="shared" si="8"/>
        <v>0.41062801932367154</v>
      </c>
    </row>
    <row r="94" spans="1:13" x14ac:dyDescent="0.25">
      <c r="A94">
        <v>85</v>
      </c>
      <c r="B94" s="1">
        <v>44746</v>
      </c>
      <c r="C94" t="s">
        <v>30</v>
      </c>
      <c r="D94" t="s">
        <v>9</v>
      </c>
      <c r="E94" t="s">
        <v>26</v>
      </c>
      <c r="F94" t="s">
        <v>1</v>
      </c>
      <c r="G94">
        <v>61.51</v>
      </c>
      <c r="H94">
        <v>6.08</v>
      </c>
      <c r="I94">
        <v>1.89</v>
      </c>
      <c r="J94" s="427">
        <v>6.4102564102564115</v>
      </c>
      <c r="K94" s="427">
        <v>47.435897435897438</v>
      </c>
      <c r="L94">
        <f t="shared" si="7"/>
        <v>7.97</v>
      </c>
      <c r="M94">
        <f t="shared" si="8"/>
        <v>0.31085526315789469</v>
      </c>
    </row>
    <row r="95" spans="1:13" x14ac:dyDescent="0.25">
      <c r="A95">
        <v>86</v>
      </c>
      <c r="B95" s="1">
        <v>44747</v>
      </c>
      <c r="C95" t="s">
        <v>30</v>
      </c>
      <c r="D95" t="s">
        <v>9</v>
      </c>
      <c r="E95" t="s">
        <v>26</v>
      </c>
      <c r="F95" t="s">
        <v>1</v>
      </c>
      <c r="G95">
        <v>63.38</v>
      </c>
      <c r="H95">
        <v>2.34</v>
      </c>
      <c r="I95">
        <v>2.46</v>
      </c>
      <c r="J95" s="427">
        <v>6.1224489795918373</v>
      </c>
      <c r="K95" s="427">
        <v>48.299319727891152</v>
      </c>
      <c r="L95">
        <f t="shared" si="7"/>
        <v>4.8</v>
      </c>
      <c r="M95">
        <f t="shared" si="8"/>
        <v>1.0512820512820513</v>
      </c>
    </row>
    <row r="96" spans="1:13" x14ac:dyDescent="0.25">
      <c r="A96">
        <v>87</v>
      </c>
      <c r="B96" s="1">
        <v>44747</v>
      </c>
      <c r="C96" t="s">
        <v>30</v>
      </c>
      <c r="D96" t="s">
        <v>9</v>
      </c>
      <c r="E96" t="s">
        <v>26</v>
      </c>
      <c r="F96" t="s">
        <v>1</v>
      </c>
      <c r="G96">
        <v>62.25</v>
      </c>
      <c r="H96">
        <v>4.6399999999999997</v>
      </c>
      <c r="I96">
        <v>2.14</v>
      </c>
      <c r="J96" s="427">
        <v>6.7567567567567561</v>
      </c>
      <c r="K96" s="427">
        <v>45.945945945945944</v>
      </c>
      <c r="L96">
        <f t="shared" si="7"/>
        <v>6.7799999999999994</v>
      </c>
      <c r="M96">
        <f t="shared" si="8"/>
        <v>0.4612068965517242</v>
      </c>
    </row>
    <row r="97" spans="1:13" x14ac:dyDescent="0.25">
      <c r="A97">
        <v>88</v>
      </c>
      <c r="B97" s="1">
        <v>44747</v>
      </c>
      <c r="C97" t="s">
        <v>30</v>
      </c>
      <c r="D97" t="s">
        <v>9</v>
      </c>
      <c r="E97" t="s">
        <v>26</v>
      </c>
      <c r="F97" t="s">
        <v>1</v>
      </c>
      <c r="G97">
        <v>60.34</v>
      </c>
      <c r="H97">
        <v>8.43</v>
      </c>
      <c r="I97">
        <v>1.74</v>
      </c>
      <c r="J97" s="427">
        <v>6.7164179104477624</v>
      </c>
      <c r="K97" s="427">
        <v>43.28358208955224</v>
      </c>
      <c r="L97">
        <f t="shared" si="7"/>
        <v>10.17</v>
      </c>
      <c r="M97">
        <f t="shared" si="8"/>
        <v>0.20640569395017794</v>
      </c>
    </row>
    <row r="98" spans="1:13" x14ac:dyDescent="0.25">
      <c r="A98">
        <v>89</v>
      </c>
      <c r="B98" s="1">
        <v>44748</v>
      </c>
      <c r="C98" t="s">
        <v>30</v>
      </c>
      <c r="D98" t="s">
        <v>9</v>
      </c>
      <c r="E98" t="s">
        <v>26</v>
      </c>
      <c r="F98" t="s">
        <v>1</v>
      </c>
      <c r="G98">
        <v>60.61</v>
      </c>
      <c r="H98">
        <v>5.36</v>
      </c>
      <c r="I98">
        <v>3.62</v>
      </c>
      <c r="J98" s="427">
        <v>6.3829787234042552</v>
      </c>
      <c r="K98" s="427">
        <v>47.5177304964539</v>
      </c>
      <c r="L98">
        <f t="shared" si="7"/>
        <v>8.98</v>
      </c>
      <c r="M98">
        <f t="shared" si="8"/>
        <v>0.67537313432835822</v>
      </c>
    </row>
    <row r="99" spans="1:13" x14ac:dyDescent="0.25">
      <c r="A99">
        <v>90</v>
      </c>
      <c r="B99" s="1">
        <v>44748</v>
      </c>
      <c r="C99" t="s">
        <v>30</v>
      </c>
      <c r="D99" t="s">
        <v>9</v>
      </c>
      <c r="E99" t="s">
        <v>26</v>
      </c>
      <c r="F99" t="s">
        <v>1</v>
      </c>
      <c r="G99">
        <v>61.67</v>
      </c>
      <c r="H99">
        <v>4.7699999999999996</v>
      </c>
      <c r="I99">
        <v>2.74</v>
      </c>
      <c r="J99" s="427">
        <v>6.3492063492063506</v>
      </c>
      <c r="K99" s="427">
        <v>46.031746031746032</v>
      </c>
      <c r="L99">
        <f t="shared" si="7"/>
        <v>7.51</v>
      </c>
      <c r="M99">
        <f t="shared" si="8"/>
        <v>0.57442348008385757</v>
      </c>
    </row>
    <row r="100" spans="1:13" x14ac:dyDescent="0.25">
      <c r="A100">
        <v>91</v>
      </c>
      <c r="B100" s="1">
        <v>44748</v>
      </c>
      <c r="C100" t="s">
        <v>30</v>
      </c>
      <c r="D100" t="s">
        <v>9</v>
      </c>
      <c r="E100" t="s">
        <v>26</v>
      </c>
      <c r="F100" t="s">
        <v>1</v>
      </c>
      <c r="G100">
        <v>62.15</v>
      </c>
      <c r="H100">
        <v>5.05</v>
      </c>
      <c r="I100">
        <v>1.93</v>
      </c>
      <c r="J100" s="427">
        <v>6.5359477124183014</v>
      </c>
      <c r="K100" s="427">
        <v>47.058823529411761</v>
      </c>
      <c r="L100">
        <f t="shared" si="7"/>
        <v>6.9799999999999995</v>
      </c>
      <c r="M100">
        <f t="shared" si="8"/>
        <v>0.38217821782178218</v>
      </c>
    </row>
    <row r="101" spans="1:13" x14ac:dyDescent="0.25">
      <c r="A101">
        <v>92</v>
      </c>
      <c r="B101" s="1">
        <v>44748</v>
      </c>
      <c r="C101" t="s">
        <v>30</v>
      </c>
      <c r="D101" t="s">
        <v>9</v>
      </c>
      <c r="E101" t="s">
        <v>26</v>
      </c>
      <c r="F101" t="s">
        <v>1</v>
      </c>
      <c r="G101">
        <v>59.95</v>
      </c>
      <c r="H101">
        <v>7.91</v>
      </c>
      <c r="I101">
        <v>2.5</v>
      </c>
      <c r="J101" s="427">
        <v>6.6265060240963862</v>
      </c>
      <c r="K101" s="427">
        <v>45.180722891566262</v>
      </c>
      <c r="L101">
        <f t="shared" si="7"/>
        <v>10.41</v>
      </c>
      <c r="M101">
        <f t="shared" si="8"/>
        <v>0.31605562579013907</v>
      </c>
    </row>
    <row r="102" spans="1:13" x14ac:dyDescent="0.25">
      <c r="A102">
        <v>93</v>
      </c>
      <c r="B102" s="1">
        <v>44750</v>
      </c>
      <c r="C102" t="s">
        <v>30</v>
      </c>
      <c r="D102" t="s">
        <v>9</v>
      </c>
      <c r="E102" t="s">
        <v>26</v>
      </c>
      <c r="F102" t="s">
        <v>1</v>
      </c>
      <c r="G102">
        <v>62.08</v>
      </c>
      <c r="H102">
        <v>4.9800000000000004</v>
      </c>
      <c r="I102">
        <v>2.0099999999999998</v>
      </c>
      <c r="J102" s="427">
        <v>6.3380281690140841</v>
      </c>
      <c r="K102" s="427">
        <v>44.366197183098592</v>
      </c>
      <c r="L102">
        <f t="shared" si="7"/>
        <v>6.99</v>
      </c>
      <c r="M102">
        <f t="shared" si="8"/>
        <v>0.40361445783132521</v>
      </c>
    </row>
    <row r="103" spans="1:13" x14ac:dyDescent="0.25">
      <c r="A103">
        <v>94</v>
      </c>
      <c r="B103" s="1">
        <v>44750</v>
      </c>
      <c r="C103" t="s">
        <v>30</v>
      </c>
      <c r="D103" t="s">
        <v>9</v>
      </c>
      <c r="E103" t="s">
        <v>26</v>
      </c>
      <c r="F103" t="s">
        <v>1</v>
      </c>
      <c r="G103">
        <v>61.31</v>
      </c>
      <c r="H103">
        <v>5.72</v>
      </c>
      <c r="I103">
        <v>2.59</v>
      </c>
      <c r="J103" s="427">
        <v>3.6496350364963508</v>
      </c>
      <c r="K103" s="427">
        <v>45.985401459854018</v>
      </c>
      <c r="L103">
        <f t="shared" si="7"/>
        <v>8.3099999999999987</v>
      </c>
      <c r="M103">
        <f t="shared" si="8"/>
        <v>0.45279720279720281</v>
      </c>
    </row>
    <row r="104" spans="1:13" x14ac:dyDescent="0.25">
      <c r="A104">
        <v>95</v>
      </c>
      <c r="B104" s="1">
        <v>44751</v>
      </c>
      <c r="C104" t="s">
        <v>30</v>
      </c>
      <c r="D104" t="s">
        <v>9</v>
      </c>
      <c r="E104" t="s">
        <v>26</v>
      </c>
      <c r="F104" t="s">
        <v>1</v>
      </c>
      <c r="G104">
        <v>60.780999999999992</v>
      </c>
      <c r="H104">
        <v>6.15</v>
      </c>
      <c r="I104">
        <v>2.83</v>
      </c>
      <c r="J104" s="427">
        <v>5.7971014492753632</v>
      </c>
      <c r="K104" s="427">
        <v>44.20289855072464</v>
      </c>
      <c r="L104">
        <f t="shared" si="7"/>
        <v>8.98</v>
      </c>
      <c r="M104">
        <f t="shared" si="8"/>
        <v>0.46016260162601624</v>
      </c>
    </row>
    <row r="105" spans="1:13" x14ac:dyDescent="0.25">
      <c r="A105">
        <v>96</v>
      </c>
      <c r="B105" s="1">
        <v>44751</v>
      </c>
      <c r="C105" t="s">
        <v>30</v>
      </c>
      <c r="D105" t="s">
        <v>9</v>
      </c>
      <c r="E105" t="s">
        <v>26</v>
      </c>
      <c r="F105" t="s">
        <v>1</v>
      </c>
      <c r="G105">
        <v>61.823999999999991</v>
      </c>
      <c r="H105">
        <v>4.72</v>
      </c>
      <c r="I105">
        <v>2.54</v>
      </c>
      <c r="J105" s="427">
        <v>5.8394160583941614</v>
      </c>
      <c r="K105" s="427">
        <v>45.255474452554751</v>
      </c>
      <c r="L105">
        <f t="shared" si="7"/>
        <v>7.26</v>
      </c>
      <c r="M105">
        <f t="shared" si="8"/>
        <v>0.53813559322033899</v>
      </c>
    </row>
    <row r="106" spans="1:13" x14ac:dyDescent="0.25">
      <c r="A106">
        <v>97</v>
      </c>
      <c r="B106" s="1">
        <v>44751</v>
      </c>
      <c r="C106" t="s">
        <v>30</v>
      </c>
      <c r="D106" t="s">
        <v>9</v>
      </c>
      <c r="E106" t="s">
        <v>26</v>
      </c>
      <c r="F106" t="s">
        <v>1</v>
      </c>
      <c r="G106">
        <v>62.215999999999994</v>
      </c>
      <c r="H106">
        <v>4.45</v>
      </c>
      <c r="I106">
        <v>2.14</v>
      </c>
      <c r="J106" s="427">
        <v>6.3829787234042561</v>
      </c>
      <c r="K106" s="427">
        <v>46.099290780141843</v>
      </c>
      <c r="L106">
        <f t="shared" si="7"/>
        <v>6.59</v>
      </c>
      <c r="M106">
        <f t="shared" si="8"/>
        <v>0.48089887640449441</v>
      </c>
    </row>
    <row r="107" spans="1:13" x14ac:dyDescent="0.25">
      <c r="A107">
        <v>98</v>
      </c>
      <c r="B107" s="1">
        <v>44752</v>
      </c>
      <c r="C107" t="s">
        <v>30</v>
      </c>
      <c r="D107" t="s">
        <v>9</v>
      </c>
      <c r="E107" t="s">
        <v>26</v>
      </c>
      <c r="F107" t="s">
        <v>1</v>
      </c>
      <c r="G107">
        <v>60.86</v>
      </c>
      <c r="H107">
        <v>6.22</v>
      </c>
      <c r="I107">
        <v>2.59</v>
      </c>
      <c r="J107" s="427">
        <v>6.0606060606060614</v>
      </c>
      <c r="K107" s="427">
        <v>43.939393939393938</v>
      </c>
      <c r="L107">
        <f t="shared" si="7"/>
        <v>8.8099999999999987</v>
      </c>
      <c r="M107">
        <f t="shared" si="8"/>
        <v>0.41639871382636656</v>
      </c>
    </row>
    <row r="108" spans="1:13" x14ac:dyDescent="0.25">
      <c r="A108">
        <v>99</v>
      </c>
      <c r="B108" s="1">
        <v>44752</v>
      </c>
      <c r="C108" t="s">
        <v>30</v>
      </c>
      <c r="D108" t="s">
        <v>9</v>
      </c>
      <c r="E108" t="s">
        <v>26</v>
      </c>
      <c r="F108" t="s">
        <v>1</v>
      </c>
      <c r="G108">
        <v>61.33</v>
      </c>
      <c r="H108">
        <v>5.03</v>
      </c>
      <c r="I108">
        <v>3.15</v>
      </c>
      <c r="J108" s="427">
        <v>5.298013245033113</v>
      </c>
      <c r="K108" s="427">
        <v>48.344370860927157</v>
      </c>
      <c r="L108">
        <f t="shared" si="7"/>
        <v>8.18</v>
      </c>
      <c r="M108">
        <f t="shared" si="8"/>
        <v>0.62624254473161034</v>
      </c>
    </row>
    <row r="109" spans="1:13" x14ac:dyDescent="0.25">
      <c r="A109">
        <v>100</v>
      </c>
      <c r="B109" s="1">
        <v>44753</v>
      </c>
      <c r="C109" t="s">
        <v>30</v>
      </c>
      <c r="D109" t="s">
        <v>9</v>
      </c>
      <c r="E109" t="s">
        <v>26</v>
      </c>
      <c r="F109" t="s">
        <v>1</v>
      </c>
      <c r="G109">
        <v>61.31</v>
      </c>
      <c r="H109">
        <v>5.47</v>
      </c>
      <c r="I109">
        <v>2.63</v>
      </c>
      <c r="J109" s="427">
        <v>7.4074074074074066</v>
      </c>
      <c r="K109" s="427">
        <v>40.74074074074074</v>
      </c>
      <c r="L109">
        <f t="shared" si="7"/>
        <v>8.1</v>
      </c>
      <c r="M109">
        <f t="shared" si="8"/>
        <v>0.48080438756855576</v>
      </c>
    </row>
    <row r="110" spans="1:13" x14ac:dyDescent="0.25">
      <c r="A110">
        <v>101</v>
      </c>
      <c r="B110" s="1">
        <v>44753</v>
      </c>
      <c r="C110" t="s">
        <v>30</v>
      </c>
      <c r="D110" t="s">
        <v>9</v>
      </c>
      <c r="E110" t="s">
        <v>26</v>
      </c>
      <c r="F110" t="s">
        <v>1</v>
      </c>
      <c r="G110">
        <v>61.35</v>
      </c>
      <c r="H110">
        <v>5.7</v>
      </c>
      <c r="I110">
        <v>2.34</v>
      </c>
      <c r="J110" s="427">
        <v>5.6603773584905666</v>
      </c>
      <c r="K110" s="427">
        <v>45.283018867924532</v>
      </c>
      <c r="L110">
        <f t="shared" si="7"/>
        <v>8.0399999999999991</v>
      </c>
      <c r="M110">
        <f t="shared" si="8"/>
        <v>0.41052631578947363</v>
      </c>
    </row>
    <row r="111" spans="1:13" x14ac:dyDescent="0.25">
      <c r="A111">
        <v>102</v>
      </c>
      <c r="B111" s="1">
        <v>44753</v>
      </c>
      <c r="C111" t="s">
        <v>30</v>
      </c>
      <c r="D111" t="s">
        <v>9</v>
      </c>
      <c r="E111" t="s">
        <v>26</v>
      </c>
      <c r="F111" t="s">
        <v>1</v>
      </c>
      <c r="G111">
        <v>59.55</v>
      </c>
      <c r="H111">
        <v>7.99</v>
      </c>
      <c r="I111">
        <v>3.07</v>
      </c>
      <c r="J111" s="427">
        <v>6.7901234567901234</v>
      </c>
      <c r="K111" s="427">
        <v>45.679012345679006</v>
      </c>
      <c r="L111">
        <f t="shared" si="7"/>
        <v>11.06</v>
      </c>
      <c r="M111">
        <f t="shared" si="8"/>
        <v>0.38423028785982477</v>
      </c>
    </row>
    <row r="112" spans="1:13" x14ac:dyDescent="0.25">
      <c r="A112">
        <v>103</v>
      </c>
      <c r="B112" s="1">
        <v>44754</v>
      </c>
      <c r="C112" t="s">
        <v>30</v>
      </c>
      <c r="D112" t="s">
        <v>9</v>
      </c>
      <c r="E112" t="s">
        <v>26</v>
      </c>
      <c r="F112" t="s">
        <v>1</v>
      </c>
      <c r="G112">
        <v>60.89</v>
      </c>
      <c r="H112">
        <v>5.69</v>
      </c>
      <c r="I112">
        <v>3.04</v>
      </c>
      <c r="J112" s="427">
        <v>8.9743589743589745</v>
      </c>
      <c r="K112" s="427">
        <v>42.948717948717956</v>
      </c>
      <c r="L112">
        <f t="shared" si="7"/>
        <v>8.73</v>
      </c>
      <c r="M112">
        <f t="shared" si="8"/>
        <v>0.53427065026362031</v>
      </c>
    </row>
    <row r="113" spans="1:13" x14ac:dyDescent="0.25">
      <c r="A113">
        <v>104</v>
      </c>
      <c r="B113" s="1">
        <v>44754</v>
      </c>
      <c r="C113" t="s">
        <v>30</v>
      </c>
      <c r="D113" t="s">
        <v>9</v>
      </c>
      <c r="E113" t="s">
        <v>26</v>
      </c>
      <c r="F113" t="s">
        <v>1</v>
      </c>
      <c r="G113">
        <v>59.87</v>
      </c>
      <c r="H113">
        <v>6.9</v>
      </c>
      <c r="I113">
        <v>3.44</v>
      </c>
      <c r="J113" s="427">
        <v>6.0869565217391299</v>
      </c>
      <c r="K113" s="427">
        <v>53.043478260869556</v>
      </c>
      <c r="L113">
        <f t="shared" si="7"/>
        <v>10.34</v>
      </c>
      <c r="M113">
        <f t="shared" si="8"/>
        <v>0.49855072463768113</v>
      </c>
    </row>
    <row r="114" spans="1:13" x14ac:dyDescent="0.25">
      <c r="A114">
        <v>105</v>
      </c>
      <c r="B114" s="1">
        <v>44754</v>
      </c>
      <c r="C114" t="s">
        <v>30</v>
      </c>
      <c r="D114" t="s">
        <v>9</v>
      </c>
      <c r="E114" t="s">
        <v>26</v>
      </c>
      <c r="F114" t="s">
        <v>1</v>
      </c>
      <c r="G114">
        <v>61.01</v>
      </c>
      <c r="H114">
        <v>5.55</v>
      </c>
      <c r="I114">
        <v>3.02</v>
      </c>
      <c r="J114" s="427">
        <v>9.4936708860759484</v>
      </c>
      <c r="K114" s="427">
        <v>40.506329113924053</v>
      </c>
      <c r="L114">
        <f t="shared" si="7"/>
        <v>8.57</v>
      </c>
      <c r="M114">
        <f t="shared" si="8"/>
        <v>0.54414414414414414</v>
      </c>
    </row>
    <row r="115" spans="1:13" x14ac:dyDescent="0.25">
      <c r="A115">
        <v>106</v>
      </c>
      <c r="B115" s="1">
        <v>44755</v>
      </c>
      <c r="C115" t="s">
        <v>30</v>
      </c>
      <c r="D115" t="s">
        <v>9</v>
      </c>
      <c r="E115" t="s">
        <v>26</v>
      </c>
      <c r="F115" t="s">
        <v>1</v>
      </c>
      <c r="G115">
        <v>62.75</v>
      </c>
      <c r="H115">
        <v>3.83</v>
      </c>
      <c r="I115">
        <v>1.86</v>
      </c>
      <c r="J115" s="427">
        <v>7.8125</v>
      </c>
      <c r="K115" s="427">
        <v>42.96875</v>
      </c>
      <c r="L115">
        <f t="shared" ref="L115:L146" si="9">+I115+H115</f>
        <v>5.69</v>
      </c>
      <c r="M115">
        <f t="shared" ref="M115:M146" si="10">+I115/IF(H115 = 0,1,H115)</f>
        <v>0.48563968668407315</v>
      </c>
    </row>
    <row r="116" spans="1:13" x14ac:dyDescent="0.25">
      <c r="A116">
        <v>107</v>
      </c>
      <c r="B116" s="1">
        <v>44755</v>
      </c>
      <c r="C116" t="s">
        <v>30</v>
      </c>
      <c r="D116" t="s">
        <v>9</v>
      </c>
      <c r="E116" t="s">
        <v>26</v>
      </c>
      <c r="F116" t="s">
        <v>1</v>
      </c>
      <c r="G116">
        <v>60.63</v>
      </c>
      <c r="H116">
        <v>6.15</v>
      </c>
      <c r="I116">
        <v>2.98</v>
      </c>
      <c r="J116" s="427">
        <v>6.4285714285714297</v>
      </c>
      <c r="K116" s="427">
        <v>42.857142857142854</v>
      </c>
      <c r="L116">
        <f t="shared" si="9"/>
        <v>9.1300000000000008</v>
      </c>
      <c r="M116">
        <f t="shared" si="10"/>
        <v>0.48455284552845523</v>
      </c>
    </row>
    <row r="117" spans="1:13" x14ac:dyDescent="0.25">
      <c r="A117">
        <v>108</v>
      </c>
      <c r="B117" s="1">
        <v>44755</v>
      </c>
      <c r="C117" t="s">
        <v>30</v>
      </c>
      <c r="D117" t="s">
        <v>9</v>
      </c>
      <c r="E117" t="s">
        <v>26</v>
      </c>
      <c r="F117" t="s">
        <v>1</v>
      </c>
      <c r="G117">
        <v>59.91</v>
      </c>
      <c r="H117">
        <v>6.94</v>
      </c>
      <c r="I117">
        <v>3.17</v>
      </c>
      <c r="J117" s="427">
        <v>9.039548022598872</v>
      </c>
      <c r="K117" s="427">
        <v>40.677966101694921</v>
      </c>
      <c r="L117">
        <f t="shared" si="9"/>
        <v>10.11</v>
      </c>
      <c r="M117">
        <f t="shared" si="10"/>
        <v>0.45677233429394809</v>
      </c>
    </row>
    <row r="118" spans="1:13" x14ac:dyDescent="0.25">
      <c r="A118">
        <v>109</v>
      </c>
      <c r="B118" s="1">
        <v>44756</v>
      </c>
      <c r="C118" t="s">
        <v>30</v>
      </c>
      <c r="D118" t="s">
        <v>9</v>
      </c>
      <c r="E118" t="s">
        <v>26</v>
      </c>
      <c r="F118" t="s">
        <v>1</v>
      </c>
      <c r="G118">
        <v>61.59</v>
      </c>
      <c r="H118">
        <v>5.47</v>
      </c>
      <c r="I118">
        <v>2.06</v>
      </c>
      <c r="J118" s="427">
        <v>6.2015503875969005</v>
      </c>
      <c r="K118" s="427">
        <v>44.186046511627914</v>
      </c>
      <c r="L118">
        <f t="shared" si="9"/>
        <v>7.5299999999999994</v>
      </c>
      <c r="M118">
        <f t="shared" si="10"/>
        <v>0.37659963436928706</v>
      </c>
    </row>
    <row r="119" spans="1:13" x14ac:dyDescent="0.25">
      <c r="A119">
        <v>110</v>
      </c>
      <c r="B119" s="1">
        <v>44756</v>
      </c>
      <c r="C119" t="s">
        <v>30</v>
      </c>
      <c r="D119" t="s">
        <v>9</v>
      </c>
      <c r="E119" t="s">
        <v>26</v>
      </c>
      <c r="F119" t="s">
        <v>1</v>
      </c>
      <c r="G119">
        <v>62.8</v>
      </c>
      <c r="H119">
        <v>3.29</v>
      </c>
      <c r="I119">
        <v>2.5099999999999998</v>
      </c>
      <c r="J119" s="427">
        <v>7.1942446043165482</v>
      </c>
      <c r="K119" s="427">
        <v>41.726618705035975</v>
      </c>
      <c r="L119">
        <f t="shared" si="9"/>
        <v>5.8</v>
      </c>
      <c r="M119">
        <f t="shared" si="10"/>
        <v>0.762917933130699</v>
      </c>
    </row>
    <row r="120" spans="1:13" x14ac:dyDescent="0.25">
      <c r="A120">
        <v>111</v>
      </c>
      <c r="B120" s="1">
        <v>44757</v>
      </c>
      <c r="C120" t="s">
        <v>30</v>
      </c>
      <c r="D120" t="s">
        <v>9</v>
      </c>
      <c r="E120" t="s">
        <v>26</v>
      </c>
      <c r="F120" t="s">
        <v>1</v>
      </c>
      <c r="G120">
        <v>62.86</v>
      </c>
      <c r="H120">
        <v>3.76</v>
      </c>
      <c r="I120">
        <v>1.63</v>
      </c>
      <c r="J120" s="427">
        <v>6.3380281690140841</v>
      </c>
      <c r="K120" s="427">
        <v>40.140845070422536</v>
      </c>
      <c r="L120">
        <f t="shared" si="9"/>
        <v>5.39</v>
      </c>
      <c r="M120">
        <f t="shared" si="10"/>
        <v>0.43351063829787234</v>
      </c>
    </row>
    <row r="121" spans="1:13" x14ac:dyDescent="0.25">
      <c r="A121">
        <v>112</v>
      </c>
      <c r="B121" s="1">
        <v>44757</v>
      </c>
      <c r="C121" t="s">
        <v>30</v>
      </c>
      <c r="D121" t="s">
        <v>9</v>
      </c>
      <c r="E121" t="s">
        <v>26</v>
      </c>
      <c r="F121" t="s">
        <v>1</v>
      </c>
      <c r="G121">
        <v>60.06</v>
      </c>
      <c r="H121">
        <v>7.44</v>
      </c>
      <c r="I121">
        <v>2.82</v>
      </c>
      <c r="J121" s="427">
        <v>5.5555555555555562</v>
      </c>
      <c r="K121" s="427">
        <v>45.138888888888893</v>
      </c>
      <c r="L121">
        <f t="shared" si="9"/>
        <v>10.26</v>
      </c>
      <c r="M121">
        <f t="shared" si="10"/>
        <v>0.37903225806451607</v>
      </c>
    </row>
    <row r="122" spans="1:13" x14ac:dyDescent="0.25">
      <c r="A122">
        <v>113</v>
      </c>
      <c r="B122" s="1">
        <v>44757</v>
      </c>
      <c r="C122" t="s">
        <v>30</v>
      </c>
      <c r="D122" t="s">
        <v>9</v>
      </c>
      <c r="E122" t="s">
        <v>26</v>
      </c>
      <c r="F122" t="s">
        <v>1</v>
      </c>
      <c r="G122">
        <v>61.27</v>
      </c>
      <c r="H122">
        <v>5.12</v>
      </c>
      <c r="I122">
        <v>2.98</v>
      </c>
      <c r="J122" s="427">
        <v>7.5862068965517242</v>
      </c>
      <c r="K122" s="427">
        <v>40.689655172413794</v>
      </c>
      <c r="L122">
        <f t="shared" si="9"/>
        <v>8.1</v>
      </c>
      <c r="M122">
        <f t="shared" si="10"/>
        <v>0.58203125</v>
      </c>
    </row>
    <row r="123" spans="1:13" x14ac:dyDescent="0.25">
      <c r="A123">
        <v>114</v>
      </c>
      <c r="B123" s="1">
        <v>44758</v>
      </c>
      <c r="C123" t="s">
        <v>30</v>
      </c>
      <c r="D123" t="s">
        <v>9</v>
      </c>
      <c r="E123" t="s">
        <v>26</v>
      </c>
      <c r="F123" t="s">
        <v>1</v>
      </c>
      <c r="G123">
        <v>62.36999999999999</v>
      </c>
      <c r="H123">
        <v>3.76</v>
      </c>
      <c r="I123">
        <v>2.4500000000000002</v>
      </c>
      <c r="J123" s="427">
        <v>7.1895424836601318</v>
      </c>
      <c r="K123" s="427">
        <v>44.444444444444443</v>
      </c>
      <c r="L123">
        <f t="shared" si="9"/>
        <v>6.21</v>
      </c>
      <c r="M123">
        <f t="shared" si="10"/>
        <v>0.65159574468085113</v>
      </c>
    </row>
    <row r="124" spans="1:13" x14ac:dyDescent="0.25">
      <c r="A124">
        <v>115</v>
      </c>
      <c r="B124" s="1">
        <v>44758</v>
      </c>
      <c r="C124" t="s">
        <v>30</v>
      </c>
      <c r="D124" t="s">
        <v>9</v>
      </c>
      <c r="E124" t="s">
        <v>26</v>
      </c>
      <c r="F124" t="s">
        <v>1</v>
      </c>
      <c r="G124">
        <v>61.697999999999993</v>
      </c>
      <c r="H124">
        <v>4.63</v>
      </c>
      <c r="I124">
        <v>2.66</v>
      </c>
      <c r="J124" s="427">
        <v>6.25</v>
      </c>
      <c r="K124" s="427">
        <v>48.611111111111107</v>
      </c>
      <c r="L124">
        <f t="shared" si="9"/>
        <v>7.29</v>
      </c>
      <c r="M124">
        <f t="shared" si="10"/>
        <v>0.5745140388768899</v>
      </c>
    </row>
    <row r="125" spans="1:13" x14ac:dyDescent="0.25">
      <c r="A125">
        <v>116</v>
      </c>
      <c r="B125" s="1">
        <v>44758</v>
      </c>
      <c r="C125" t="s">
        <v>30</v>
      </c>
      <c r="D125" t="s">
        <v>9</v>
      </c>
      <c r="E125" t="s">
        <v>26</v>
      </c>
      <c r="F125" t="s">
        <v>1</v>
      </c>
      <c r="G125">
        <v>60.416999999999994</v>
      </c>
      <c r="H125">
        <v>6.53</v>
      </c>
      <c r="I125">
        <v>2.87</v>
      </c>
      <c r="J125" s="427">
        <v>7.7464788732394378</v>
      </c>
      <c r="K125" s="427">
        <v>47.887323943661976</v>
      </c>
      <c r="L125">
        <f t="shared" si="9"/>
        <v>9.4</v>
      </c>
      <c r="M125">
        <f t="shared" si="10"/>
        <v>0.43950995405819293</v>
      </c>
    </row>
    <row r="126" spans="1:13" x14ac:dyDescent="0.25">
      <c r="A126">
        <v>117</v>
      </c>
      <c r="B126" s="1">
        <v>44759</v>
      </c>
      <c r="C126" t="s">
        <v>30</v>
      </c>
      <c r="D126" t="s">
        <v>9</v>
      </c>
      <c r="E126" t="s">
        <v>26</v>
      </c>
      <c r="F126" t="s">
        <v>1</v>
      </c>
      <c r="G126">
        <v>61.1</v>
      </c>
      <c r="H126">
        <v>7.64</v>
      </c>
      <c r="I126">
        <v>1.53</v>
      </c>
      <c r="J126" s="427">
        <v>6.8702290076335863</v>
      </c>
      <c r="K126" s="427">
        <v>48.854961832061065</v>
      </c>
      <c r="L126">
        <f t="shared" si="9"/>
        <v>9.17</v>
      </c>
      <c r="M126">
        <f t="shared" si="10"/>
        <v>0.20026178010471204</v>
      </c>
    </row>
    <row r="127" spans="1:13" x14ac:dyDescent="0.25">
      <c r="A127">
        <v>118</v>
      </c>
      <c r="B127" s="1">
        <v>44759</v>
      </c>
      <c r="C127" t="s">
        <v>30</v>
      </c>
      <c r="D127" t="s">
        <v>9</v>
      </c>
      <c r="E127" t="s">
        <v>26</v>
      </c>
      <c r="F127" t="s">
        <v>1</v>
      </c>
      <c r="G127">
        <v>62.18</v>
      </c>
      <c r="H127">
        <v>4.5199999999999996</v>
      </c>
      <c r="I127">
        <v>2.33</v>
      </c>
      <c r="J127" s="427">
        <v>6.7669172932330826</v>
      </c>
      <c r="K127" s="427">
        <v>45.864661654135332</v>
      </c>
      <c r="L127">
        <f t="shared" si="9"/>
        <v>6.85</v>
      </c>
      <c r="M127">
        <f t="shared" si="10"/>
        <v>0.51548672566371689</v>
      </c>
    </row>
    <row r="128" spans="1:13" x14ac:dyDescent="0.25">
      <c r="A128">
        <v>119</v>
      </c>
      <c r="B128" s="1">
        <v>44759</v>
      </c>
      <c r="C128" t="s">
        <v>30</v>
      </c>
      <c r="D128" t="s">
        <v>9</v>
      </c>
      <c r="E128" t="s">
        <v>26</v>
      </c>
      <c r="F128" t="s">
        <v>1</v>
      </c>
      <c r="G128">
        <v>62.79</v>
      </c>
      <c r="H128">
        <v>3.63</v>
      </c>
      <c r="I128">
        <v>2.02</v>
      </c>
      <c r="J128" s="427">
        <v>6.4777327935222671</v>
      </c>
      <c r="K128" s="427">
        <v>43.724696356275302</v>
      </c>
      <c r="L128">
        <f t="shared" si="9"/>
        <v>5.65</v>
      </c>
      <c r="M128">
        <f t="shared" si="10"/>
        <v>0.556473829201102</v>
      </c>
    </row>
    <row r="129" spans="1:13" x14ac:dyDescent="0.25">
      <c r="A129">
        <v>120</v>
      </c>
      <c r="B129" s="1">
        <v>44760</v>
      </c>
      <c r="C129" t="s">
        <v>30</v>
      </c>
      <c r="D129" t="s">
        <v>9</v>
      </c>
      <c r="E129" t="s">
        <v>26</v>
      </c>
      <c r="F129" t="s">
        <v>1</v>
      </c>
      <c r="G129">
        <v>60.78</v>
      </c>
      <c r="H129">
        <v>5.35</v>
      </c>
      <c r="I129">
        <v>3.8</v>
      </c>
      <c r="J129" s="427">
        <v>6.8965517241379306</v>
      </c>
      <c r="K129" s="427">
        <v>40</v>
      </c>
      <c r="L129">
        <f t="shared" si="9"/>
        <v>9.1499999999999986</v>
      </c>
      <c r="M129">
        <f t="shared" si="10"/>
        <v>0.71028037383177567</v>
      </c>
    </row>
    <row r="130" spans="1:13" x14ac:dyDescent="0.25">
      <c r="A130">
        <v>121</v>
      </c>
      <c r="B130" s="1">
        <v>44760</v>
      </c>
      <c r="C130" t="s">
        <v>30</v>
      </c>
      <c r="D130" t="s">
        <v>9</v>
      </c>
      <c r="E130" t="s">
        <v>26</v>
      </c>
      <c r="F130" t="s">
        <v>1</v>
      </c>
      <c r="G130">
        <v>62.1</v>
      </c>
      <c r="H130">
        <v>4.09</v>
      </c>
      <c r="I130">
        <v>2.71</v>
      </c>
      <c r="J130" s="427">
        <v>8.0586080586080602</v>
      </c>
      <c r="K130" s="427">
        <v>38.827838827838832</v>
      </c>
      <c r="L130">
        <f t="shared" si="9"/>
        <v>6.8</v>
      </c>
      <c r="M130">
        <f t="shared" si="10"/>
        <v>0.66259168704156479</v>
      </c>
    </row>
    <row r="131" spans="1:13" x14ac:dyDescent="0.25">
      <c r="A131">
        <v>122</v>
      </c>
      <c r="B131" s="1">
        <v>44760</v>
      </c>
      <c r="C131" t="s">
        <v>30</v>
      </c>
      <c r="D131" t="s">
        <v>9</v>
      </c>
      <c r="E131" t="s">
        <v>26</v>
      </c>
      <c r="F131" t="s">
        <v>1</v>
      </c>
      <c r="G131">
        <v>62.05</v>
      </c>
      <c r="H131">
        <v>4.3600000000000003</v>
      </c>
      <c r="I131">
        <v>2.4300000000000002</v>
      </c>
      <c r="J131" s="427">
        <v>6.6176470588235299</v>
      </c>
      <c r="K131" s="427">
        <v>41.544117647058826</v>
      </c>
      <c r="L131">
        <f t="shared" si="9"/>
        <v>6.7900000000000009</v>
      </c>
      <c r="M131">
        <f t="shared" si="10"/>
        <v>0.55733944954128445</v>
      </c>
    </row>
    <row r="132" spans="1:13" x14ac:dyDescent="0.25">
      <c r="A132">
        <v>123</v>
      </c>
      <c r="B132" s="1">
        <v>44761</v>
      </c>
      <c r="C132" t="s">
        <v>30</v>
      </c>
      <c r="D132" t="s">
        <v>9</v>
      </c>
      <c r="E132" t="s">
        <v>26</v>
      </c>
      <c r="F132" t="s">
        <v>1</v>
      </c>
      <c r="G132">
        <v>63.39</v>
      </c>
      <c r="H132">
        <v>3.33</v>
      </c>
      <c r="I132">
        <v>1.5</v>
      </c>
      <c r="J132" s="427">
        <v>3.9325842696629212</v>
      </c>
      <c r="K132" s="427">
        <v>58.988764044943821</v>
      </c>
      <c r="L132">
        <f t="shared" si="9"/>
        <v>4.83</v>
      </c>
      <c r="M132">
        <f t="shared" si="10"/>
        <v>0.45045045045045046</v>
      </c>
    </row>
    <row r="133" spans="1:13" x14ac:dyDescent="0.25">
      <c r="A133">
        <v>124</v>
      </c>
      <c r="B133" s="1">
        <v>44761</v>
      </c>
      <c r="C133" t="s">
        <v>30</v>
      </c>
      <c r="D133" t="s">
        <v>9</v>
      </c>
      <c r="E133" t="s">
        <v>26</v>
      </c>
      <c r="F133" t="s">
        <v>1</v>
      </c>
      <c r="G133">
        <v>61.61</v>
      </c>
      <c r="H133">
        <v>5.16</v>
      </c>
      <c r="I133">
        <v>2.66</v>
      </c>
      <c r="J133" s="427">
        <v>6.6298342541436464</v>
      </c>
      <c r="K133" s="427">
        <v>45.856353591160222</v>
      </c>
      <c r="L133">
        <f t="shared" si="9"/>
        <v>7.82</v>
      </c>
      <c r="M133">
        <f t="shared" si="10"/>
        <v>0.51550387596899228</v>
      </c>
    </row>
    <row r="134" spans="1:13" x14ac:dyDescent="0.25">
      <c r="A134">
        <v>125</v>
      </c>
      <c r="B134" s="1">
        <v>44761</v>
      </c>
      <c r="C134" t="s">
        <v>30</v>
      </c>
      <c r="D134" t="s">
        <v>9</v>
      </c>
      <c r="E134" t="s">
        <v>26</v>
      </c>
      <c r="F134" t="s">
        <v>1</v>
      </c>
      <c r="G134">
        <v>62.19</v>
      </c>
      <c r="H134">
        <v>3.92</v>
      </c>
      <c r="I134">
        <v>2.87</v>
      </c>
      <c r="J134" s="427">
        <v>6.9105691056910556</v>
      </c>
      <c r="K134" s="427">
        <v>42.27642276422764</v>
      </c>
      <c r="L134">
        <f t="shared" si="9"/>
        <v>6.79</v>
      </c>
      <c r="M134">
        <f t="shared" si="10"/>
        <v>0.73214285714285721</v>
      </c>
    </row>
    <row r="135" spans="1:13" x14ac:dyDescent="0.25">
      <c r="A135">
        <v>126</v>
      </c>
      <c r="B135" s="1">
        <v>44762</v>
      </c>
      <c r="C135" t="s">
        <v>30</v>
      </c>
      <c r="D135" t="s">
        <v>9</v>
      </c>
      <c r="E135" t="s">
        <v>26</v>
      </c>
      <c r="F135" t="s">
        <v>1</v>
      </c>
      <c r="G135">
        <v>61.42</v>
      </c>
      <c r="H135">
        <v>5.44</v>
      </c>
      <c r="I135">
        <v>2.5499999999999998</v>
      </c>
      <c r="J135" s="427">
        <v>5.8479532163742682</v>
      </c>
      <c r="K135" s="427">
        <v>39.76608187134503</v>
      </c>
      <c r="L135">
        <f t="shared" si="9"/>
        <v>7.99</v>
      </c>
      <c r="M135">
        <f t="shared" si="10"/>
        <v>0.46874999999999994</v>
      </c>
    </row>
    <row r="136" spans="1:13" x14ac:dyDescent="0.25">
      <c r="A136">
        <v>127</v>
      </c>
      <c r="B136" s="1">
        <v>44763</v>
      </c>
      <c r="C136" t="s">
        <v>30</v>
      </c>
      <c r="D136" t="s">
        <v>9</v>
      </c>
      <c r="E136" t="s">
        <v>26</v>
      </c>
      <c r="F136" t="s">
        <v>1</v>
      </c>
      <c r="G136">
        <v>60.98</v>
      </c>
      <c r="H136">
        <v>5.14</v>
      </c>
      <c r="I136">
        <v>3.49</v>
      </c>
      <c r="J136" s="427">
        <v>7.5471698113207548</v>
      </c>
      <c r="K136" s="427">
        <v>41.509433962264147</v>
      </c>
      <c r="L136">
        <f t="shared" si="9"/>
        <v>8.629999999999999</v>
      </c>
      <c r="M136">
        <f t="shared" si="10"/>
        <v>0.67898832684824906</v>
      </c>
    </row>
    <row r="137" spans="1:13" x14ac:dyDescent="0.25">
      <c r="A137">
        <v>128</v>
      </c>
      <c r="B137" s="1">
        <v>44763</v>
      </c>
      <c r="C137" t="s">
        <v>30</v>
      </c>
      <c r="D137" t="s">
        <v>9</v>
      </c>
      <c r="E137" t="s">
        <v>26</v>
      </c>
      <c r="F137" t="s">
        <v>1</v>
      </c>
      <c r="G137">
        <v>60.81</v>
      </c>
      <c r="H137">
        <v>6.39</v>
      </c>
      <c r="I137">
        <v>2.65</v>
      </c>
      <c r="J137" s="427">
        <v>6.6225165562913899</v>
      </c>
      <c r="K137" s="427">
        <v>43.046357615894038</v>
      </c>
      <c r="L137">
        <f t="shared" si="9"/>
        <v>9.0399999999999991</v>
      </c>
      <c r="M137">
        <f t="shared" si="10"/>
        <v>0.41471048513302033</v>
      </c>
    </row>
    <row r="138" spans="1:13" x14ac:dyDescent="0.25">
      <c r="A138">
        <v>129</v>
      </c>
      <c r="B138" s="1">
        <v>44763</v>
      </c>
      <c r="C138" t="s">
        <v>30</v>
      </c>
      <c r="D138" t="s">
        <v>9</v>
      </c>
      <c r="E138" t="s">
        <v>26</v>
      </c>
      <c r="F138" t="s">
        <v>1</v>
      </c>
      <c r="G138">
        <v>58.16</v>
      </c>
      <c r="H138">
        <v>7.9</v>
      </c>
      <c r="I138">
        <v>5.15</v>
      </c>
      <c r="J138" s="427">
        <v>6.7226890756302531</v>
      </c>
      <c r="K138" s="427">
        <v>47.058823529411768</v>
      </c>
      <c r="L138">
        <f t="shared" si="9"/>
        <v>13.05</v>
      </c>
      <c r="M138">
        <f t="shared" si="10"/>
        <v>0.65189873417721522</v>
      </c>
    </row>
    <row r="139" spans="1:13" x14ac:dyDescent="0.25">
      <c r="A139">
        <v>130</v>
      </c>
      <c r="B139" s="1">
        <v>44764</v>
      </c>
      <c r="C139" t="s">
        <v>30</v>
      </c>
      <c r="D139" t="s">
        <v>9</v>
      </c>
      <c r="E139" t="s">
        <v>26</v>
      </c>
      <c r="F139" t="s">
        <v>1</v>
      </c>
      <c r="G139">
        <v>59.89</v>
      </c>
      <c r="H139">
        <v>6.91</v>
      </c>
      <c r="I139">
        <v>3.39</v>
      </c>
      <c r="J139" s="427">
        <v>6.666666666666667</v>
      </c>
      <c r="K139" s="427">
        <v>47.272727272727273</v>
      </c>
      <c r="L139">
        <f t="shared" si="9"/>
        <v>10.3</v>
      </c>
      <c r="M139">
        <f t="shared" si="10"/>
        <v>0.49059334298118668</v>
      </c>
    </row>
    <row r="140" spans="1:13" x14ac:dyDescent="0.25">
      <c r="A140">
        <v>131</v>
      </c>
      <c r="B140" s="1">
        <v>44764</v>
      </c>
      <c r="C140" t="s">
        <v>30</v>
      </c>
      <c r="D140" t="s">
        <v>9</v>
      </c>
      <c r="E140" t="s">
        <v>26</v>
      </c>
      <c r="F140" t="s">
        <v>1</v>
      </c>
      <c r="G140">
        <v>59.47</v>
      </c>
      <c r="H140">
        <v>6.94</v>
      </c>
      <c r="I140">
        <v>3.89</v>
      </c>
      <c r="J140" s="427">
        <v>5.9210526315789478</v>
      </c>
      <c r="K140" s="427">
        <v>49.342105263157897</v>
      </c>
      <c r="L140">
        <f t="shared" si="9"/>
        <v>10.83</v>
      </c>
      <c r="M140">
        <f t="shared" si="10"/>
        <v>0.56051873198847257</v>
      </c>
    </row>
    <row r="141" spans="1:13" x14ac:dyDescent="0.25">
      <c r="A141">
        <v>132</v>
      </c>
      <c r="B141" s="1">
        <v>44765</v>
      </c>
      <c r="C141" t="s">
        <v>30</v>
      </c>
      <c r="D141" t="s">
        <v>9</v>
      </c>
      <c r="E141" t="s">
        <v>26</v>
      </c>
      <c r="F141" t="s">
        <v>1</v>
      </c>
      <c r="G141">
        <v>59.674999999999997</v>
      </c>
      <c r="H141">
        <v>7.53</v>
      </c>
      <c r="I141">
        <v>3.19</v>
      </c>
      <c r="J141" s="427">
        <v>6.4516129032258061</v>
      </c>
      <c r="K141" s="427">
        <v>44.516129032258064</v>
      </c>
      <c r="L141">
        <f t="shared" si="9"/>
        <v>10.72</v>
      </c>
      <c r="M141">
        <f t="shared" si="10"/>
        <v>0.42363877822045148</v>
      </c>
    </row>
    <row r="142" spans="1:13" x14ac:dyDescent="0.25">
      <c r="A142">
        <v>133</v>
      </c>
      <c r="B142" s="1">
        <v>44765</v>
      </c>
      <c r="C142" t="s">
        <v>30</v>
      </c>
      <c r="D142" t="s">
        <v>9</v>
      </c>
      <c r="E142" t="s">
        <v>26</v>
      </c>
      <c r="F142" t="s">
        <v>1</v>
      </c>
      <c r="G142">
        <v>60.024999999999999</v>
      </c>
      <c r="H142">
        <v>6.55</v>
      </c>
      <c r="I142">
        <v>3.48</v>
      </c>
      <c r="J142" s="427">
        <v>7.8431372549019605</v>
      </c>
      <c r="K142" s="427">
        <v>46.405228758169933</v>
      </c>
      <c r="L142">
        <f t="shared" si="9"/>
        <v>10.029999999999999</v>
      </c>
      <c r="M142">
        <f t="shared" si="10"/>
        <v>0.5312977099236641</v>
      </c>
    </row>
    <row r="143" spans="1:13" x14ac:dyDescent="0.25">
      <c r="A143">
        <v>134</v>
      </c>
      <c r="B143" s="1">
        <v>44766</v>
      </c>
      <c r="C143" t="s">
        <v>30</v>
      </c>
      <c r="D143" t="s">
        <v>9</v>
      </c>
      <c r="E143" t="s">
        <v>26</v>
      </c>
      <c r="F143" t="s">
        <v>1</v>
      </c>
      <c r="G143">
        <v>63.03</v>
      </c>
      <c r="H143">
        <v>3.37</v>
      </c>
      <c r="I143">
        <v>2.2200000000000002</v>
      </c>
      <c r="J143" s="427">
        <v>6.1538461538461542</v>
      </c>
      <c r="K143" s="427">
        <v>47.692307692307693</v>
      </c>
      <c r="L143">
        <f t="shared" si="9"/>
        <v>5.59</v>
      </c>
      <c r="M143">
        <f t="shared" si="10"/>
        <v>0.65875370919881304</v>
      </c>
    </row>
    <row r="144" spans="1:13" x14ac:dyDescent="0.25">
      <c r="A144">
        <v>135</v>
      </c>
      <c r="B144" s="1">
        <v>44766</v>
      </c>
      <c r="C144" t="s">
        <v>30</v>
      </c>
      <c r="D144" t="s">
        <v>9</v>
      </c>
      <c r="E144" t="s">
        <v>26</v>
      </c>
      <c r="F144" t="s">
        <v>1</v>
      </c>
      <c r="G144">
        <v>61.4</v>
      </c>
      <c r="H144">
        <v>4.74</v>
      </c>
      <c r="I144">
        <v>3.14</v>
      </c>
      <c r="J144" s="427">
        <v>5.806451612903226</v>
      </c>
      <c r="K144" s="427">
        <v>48.387096774193552</v>
      </c>
      <c r="L144">
        <f t="shared" si="9"/>
        <v>7.8800000000000008</v>
      </c>
      <c r="M144">
        <f t="shared" si="10"/>
        <v>0.66244725738396626</v>
      </c>
    </row>
    <row r="145" spans="1:13" x14ac:dyDescent="0.25">
      <c r="A145">
        <v>136</v>
      </c>
      <c r="B145" s="1">
        <v>44767</v>
      </c>
      <c r="C145" t="s">
        <v>30</v>
      </c>
      <c r="D145" t="s">
        <v>9</v>
      </c>
      <c r="E145" t="s">
        <v>26</v>
      </c>
      <c r="F145" t="s">
        <v>1</v>
      </c>
      <c r="G145">
        <v>62.59</v>
      </c>
      <c r="H145">
        <v>3.45</v>
      </c>
      <c r="I145">
        <v>2.42</v>
      </c>
      <c r="J145" s="427">
        <v>7.0063694267515935</v>
      </c>
      <c r="K145" s="427">
        <v>46.496815286624205</v>
      </c>
      <c r="L145">
        <f t="shared" si="9"/>
        <v>5.87</v>
      </c>
      <c r="M145">
        <f t="shared" si="10"/>
        <v>0.70144927536231882</v>
      </c>
    </row>
    <row r="146" spans="1:13" x14ac:dyDescent="0.25">
      <c r="A146">
        <v>137</v>
      </c>
      <c r="B146" s="1">
        <v>44746</v>
      </c>
      <c r="C146" t="s">
        <v>30</v>
      </c>
      <c r="D146" t="s">
        <v>11</v>
      </c>
      <c r="E146" t="s">
        <v>26</v>
      </c>
      <c r="F146" t="s">
        <v>1</v>
      </c>
      <c r="G146">
        <v>62.22</v>
      </c>
      <c r="H146">
        <v>5.81</v>
      </c>
      <c r="I146">
        <v>1.06</v>
      </c>
      <c r="J146" s="427">
        <v>8.0536912751677843</v>
      </c>
      <c r="K146" s="427">
        <v>42.95302013422819</v>
      </c>
      <c r="L146">
        <f t="shared" si="9"/>
        <v>6.8699999999999992</v>
      </c>
      <c r="M146">
        <f t="shared" si="10"/>
        <v>0.18244406196213428</v>
      </c>
    </row>
    <row r="147" spans="1:13" x14ac:dyDescent="0.25">
      <c r="A147">
        <v>138</v>
      </c>
      <c r="B147" s="1">
        <v>44749</v>
      </c>
      <c r="C147" t="s">
        <v>30</v>
      </c>
      <c r="D147" t="s">
        <v>11</v>
      </c>
      <c r="E147" t="s">
        <v>26</v>
      </c>
      <c r="F147" t="s">
        <v>1</v>
      </c>
      <c r="G147">
        <v>62.62</v>
      </c>
      <c r="H147">
        <v>3.94</v>
      </c>
      <c r="I147">
        <v>1.81</v>
      </c>
      <c r="J147" s="427">
        <v>8.4337349397590362</v>
      </c>
      <c r="K147" s="427">
        <v>33.734939759036145</v>
      </c>
      <c r="L147">
        <f t="shared" ref="L147:L152" si="11">+I147+H147</f>
        <v>5.75</v>
      </c>
      <c r="M147">
        <f t="shared" ref="M147:M152" si="12">+I147/IF(H147 = 0,1,H147)</f>
        <v>0.45939086294416248</v>
      </c>
    </row>
    <row r="148" spans="1:13" x14ac:dyDescent="0.25">
      <c r="A148">
        <v>139</v>
      </c>
      <c r="B148" s="1">
        <v>44754</v>
      </c>
      <c r="C148" t="s">
        <v>30</v>
      </c>
      <c r="D148" t="s">
        <v>11</v>
      </c>
      <c r="E148" t="s">
        <v>26</v>
      </c>
      <c r="F148" t="s">
        <v>1</v>
      </c>
      <c r="G148">
        <v>62.56</v>
      </c>
      <c r="H148">
        <v>3.95</v>
      </c>
      <c r="I148">
        <v>2.14</v>
      </c>
      <c r="J148" s="427">
        <v>9.6045197740112993</v>
      </c>
      <c r="K148" s="427">
        <v>34.463276836158194</v>
      </c>
      <c r="L148">
        <f t="shared" si="11"/>
        <v>6.09</v>
      </c>
      <c r="M148">
        <f t="shared" si="12"/>
        <v>0.54177215189873418</v>
      </c>
    </row>
    <row r="149" spans="1:13" x14ac:dyDescent="0.25">
      <c r="A149">
        <v>140</v>
      </c>
      <c r="B149" s="1">
        <v>44761</v>
      </c>
      <c r="C149" t="s">
        <v>30</v>
      </c>
      <c r="D149" t="s">
        <v>11</v>
      </c>
      <c r="E149" t="s">
        <v>26</v>
      </c>
      <c r="F149" t="s">
        <v>1</v>
      </c>
      <c r="G149">
        <v>63.41</v>
      </c>
      <c r="H149">
        <v>3.22</v>
      </c>
      <c r="I149">
        <v>1.63</v>
      </c>
      <c r="J149" s="427">
        <v>12.142857142857142</v>
      </c>
      <c r="K149" s="427">
        <v>37.142857142857146</v>
      </c>
      <c r="L149">
        <f t="shared" si="11"/>
        <v>4.8499999999999996</v>
      </c>
      <c r="M149">
        <f t="shared" si="12"/>
        <v>0.5062111801242235</v>
      </c>
    </row>
    <row r="150" spans="1:13" x14ac:dyDescent="0.25">
      <c r="A150">
        <v>141</v>
      </c>
      <c r="B150" s="1">
        <v>44754</v>
      </c>
      <c r="C150" t="s">
        <v>30</v>
      </c>
      <c r="D150" t="s">
        <v>2</v>
      </c>
      <c r="E150" t="s">
        <v>26</v>
      </c>
      <c r="F150" t="s">
        <v>1</v>
      </c>
      <c r="G150">
        <v>59.02</v>
      </c>
      <c r="H150">
        <v>8.77</v>
      </c>
      <c r="I150">
        <v>2.9</v>
      </c>
      <c r="J150" s="427">
        <v>6.1643835616438354</v>
      </c>
      <c r="K150" s="427">
        <v>46.575342465753415</v>
      </c>
      <c r="L150">
        <f t="shared" si="11"/>
        <v>11.67</v>
      </c>
      <c r="M150">
        <f t="shared" si="12"/>
        <v>0.33067274800456103</v>
      </c>
    </row>
    <row r="151" spans="1:13" x14ac:dyDescent="0.25">
      <c r="A151">
        <v>142</v>
      </c>
      <c r="B151" s="1">
        <v>44743</v>
      </c>
      <c r="C151" t="s">
        <v>4</v>
      </c>
      <c r="D151" t="s">
        <v>11</v>
      </c>
      <c r="E151" t="s">
        <v>26</v>
      </c>
      <c r="F151" t="s">
        <v>1</v>
      </c>
      <c r="G151">
        <v>60.9</v>
      </c>
      <c r="H151">
        <v>4.5999999999999996</v>
      </c>
      <c r="I151">
        <v>3.1</v>
      </c>
      <c r="J151" s="427">
        <v>13.4</v>
      </c>
      <c r="K151" s="427">
        <v>27.8</v>
      </c>
      <c r="L151">
        <f t="shared" si="11"/>
        <v>7.6999999999999993</v>
      </c>
      <c r="M151">
        <f t="shared" si="12"/>
        <v>0.67391304347826098</v>
      </c>
    </row>
    <row r="152" spans="1:13" x14ac:dyDescent="0.25">
      <c r="A152">
        <v>143</v>
      </c>
      <c r="B152" s="1">
        <v>44743</v>
      </c>
      <c r="C152" t="s">
        <v>4</v>
      </c>
      <c r="D152" t="s">
        <v>11</v>
      </c>
      <c r="E152" t="s">
        <v>26</v>
      </c>
      <c r="F152" t="s">
        <v>1</v>
      </c>
      <c r="G152">
        <v>59.9</v>
      </c>
      <c r="H152">
        <v>4.4000000000000004</v>
      </c>
      <c r="I152">
        <v>3.8</v>
      </c>
      <c r="J152" s="427">
        <v>15.7</v>
      </c>
      <c r="K152" s="427">
        <v>19.600000000000001</v>
      </c>
      <c r="L152">
        <f t="shared" si="11"/>
        <v>8.1999999999999993</v>
      </c>
      <c r="M152">
        <f t="shared" si="12"/>
        <v>0.86363636363636354</v>
      </c>
    </row>
    <row r="153" spans="1:13" x14ac:dyDescent="0.25">
      <c r="A153">
        <v>144</v>
      </c>
      <c r="B153" s="1">
        <v>44743</v>
      </c>
      <c r="C153" t="s">
        <v>4</v>
      </c>
      <c r="D153" t="s">
        <v>11</v>
      </c>
      <c r="E153" t="s">
        <v>26</v>
      </c>
      <c r="F153" t="s">
        <v>1</v>
      </c>
      <c r="G153">
        <v>61.4</v>
      </c>
      <c r="H153">
        <v>3.7</v>
      </c>
      <c r="I153">
        <v>2.9</v>
      </c>
      <c r="J153" s="427">
        <v>14.1</v>
      </c>
      <c r="K153" s="427">
        <v>21.2</v>
      </c>
      <c r="L153">
        <f t="shared" ref="L153:L190" si="13">+I153+H153</f>
        <v>6.6</v>
      </c>
      <c r="M153">
        <f t="shared" ref="M153:M190" si="14">+I153/IF(H153 = 0,1,H153)</f>
        <v>0.78378378378378377</v>
      </c>
    </row>
    <row r="154" spans="1:13" x14ac:dyDescent="0.25">
      <c r="A154">
        <v>145</v>
      </c>
      <c r="B154" s="1">
        <v>44744</v>
      </c>
      <c r="C154" t="s">
        <v>4</v>
      </c>
      <c r="D154" t="s">
        <v>11</v>
      </c>
      <c r="E154" t="s">
        <v>26</v>
      </c>
      <c r="F154" t="s">
        <v>1</v>
      </c>
      <c r="G154">
        <v>61</v>
      </c>
      <c r="H154">
        <v>3.3</v>
      </c>
      <c r="I154">
        <v>3</v>
      </c>
      <c r="J154" s="427">
        <v>12.3</v>
      </c>
      <c r="K154" s="427">
        <v>42</v>
      </c>
      <c r="L154">
        <f t="shared" si="13"/>
        <v>6.3</v>
      </c>
      <c r="M154">
        <f t="shared" si="14"/>
        <v>0.90909090909090917</v>
      </c>
    </row>
    <row r="155" spans="1:13" x14ac:dyDescent="0.25">
      <c r="A155">
        <v>146</v>
      </c>
      <c r="B155" s="1">
        <v>44744</v>
      </c>
      <c r="C155" t="s">
        <v>4</v>
      </c>
      <c r="D155" t="s">
        <v>11</v>
      </c>
      <c r="E155" t="s">
        <v>26</v>
      </c>
      <c r="F155" t="s">
        <v>1</v>
      </c>
      <c r="G155">
        <v>62.2</v>
      </c>
      <c r="H155">
        <v>3.2</v>
      </c>
      <c r="I155">
        <v>2.9</v>
      </c>
      <c r="J155" s="427">
        <v>5</v>
      </c>
      <c r="K155" s="427">
        <v>54.8</v>
      </c>
      <c r="L155">
        <f t="shared" si="13"/>
        <v>6.1</v>
      </c>
      <c r="M155">
        <f t="shared" si="14"/>
        <v>0.90624999999999989</v>
      </c>
    </row>
    <row r="156" spans="1:13" x14ac:dyDescent="0.25">
      <c r="A156">
        <v>147</v>
      </c>
      <c r="B156" s="1">
        <v>44745</v>
      </c>
      <c r="C156" t="s">
        <v>4</v>
      </c>
      <c r="D156" t="s">
        <v>11</v>
      </c>
      <c r="E156" t="s">
        <v>26</v>
      </c>
      <c r="F156" t="s">
        <v>1</v>
      </c>
      <c r="G156">
        <v>60.2</v>
      </c>
      <c r="H156">
        <v>4.4000000000000004</v>
      </c>
      <c r="I156">
        <v>3.5</v>
      </c>
      <c r="J156" s="427">
        <v>7.1</v>
      </c>
      <c r="K156" s="427">
        <v>35.4</v>
      </c>
      <c r="L156">
        <f t="shared" si="13"/>
        <v>7.9</v>
      </c>
      <c r="M156">
        <f t="shared" si="14"/>
        <v>0.79545454545454541</v>
      </c>
    </row>
    <row r="157" spans="1:13" x14ac:dyDescent="0.25">
      <c r="A157">
        <v>148</v>
      </c>
      <c r="B157" s="1">
        <v>44746</v>
      </c>
      <c r="C157" t="s">
        <v>4</v>
      </c>
      <c r="D157" t="s">
        <v>11</v>
      </c>
      <c r="E157" t="s">
        <v>26</v>
      </c>
      <c r="F157" t="s">
        <v>1</v>
      </c>
      <c r="G157">
        <v>61.5</v>
      </c>
      <c r="H157">
        <v>4</v>
      </c>
      <c r="I157">
        <v>3.1</v>
      </c>
      <c r="J157" s="427">
        <v>8.6</v>
      </c>
      <c r="K157" s="427">
        <v>38.4</v>
      </c>
      <c r="L157">
        <f t="shared" si="13"/>
        <v>7.1</v>
      </c>
      <c r="M157">
        <f t="shared" si="14"/>
        <v>0.77500000000000002</v>
      </c>
    </row>
    <row r="158" spans="1:13" x14ac:dyDescent="0.25">
      <c r="A158">
        <v>149</v>
      </c>
      <c r="B158" s="1">
        <v>44747</v>
      </c>
      <c r="C158" t="s">
        <v>4</v>
      </c>
      <c r="D158" t="s">
        <v>11</v>
      </c>
      <c r="E158" t="s">
        <v>26</v>
      </c>
      <c r="F158" t="s">
        <v>1</v>
      </c>
      <c r="G158">
        <v>61.2</v>
      </c>
      <c r="H158">
        <v>4</v>
      </c>
      <c r="I158">
        <v>3.3</v>
      </c>
      <c r="J158" s="427">
        <v>9.8000000000000007</v>
      </c>
      <c r="K158" s="427">
        <v>37.700000000000003</v>
      </c>
      <c r="L158">
        <f t="shared" si="13"/>
        <v>7.3</v>
      </c>
      <c r="M158">
        <f t="shared" si="14"/>
        <v>0.82499999999999996</v>
      </c>
    </row>
    <row r="159" spans="1:13" x14ac:dyDescent="0.25">
      <c r="A159">
        <v>150</v>
      </c>
      <c r="B159" s="1">
        <v>44747</v>
      </c>
      <c r="C159" t="s">
        <v>4</v>
      </c>
      <c r="D159" t="s">
        <v>11</v>
      </c>
      <c r="E159" t="s">
        <v>26</v>
      </c>
      <c r="F159" t="s">
        <v>1</v>
      </c>
      <c r="G159">
        <v>61.3</v>
      </c>
      <c r="H159">
        <v>5.5</v>
      </c>
      <c r="I159">
        <v>2.2999999999999998</v>
      </c>
      <c r="J159" s="427">
        <v>3.1</v>
      </c>
      <c r="K159" s="427">
        <v>54.1</v>
      </c>
      <c r="L159">
        <f t="shared" si="13"/>
        <v>7.8</v>
      </c>
      <c r="M159">
        <f t="shared" si="14"/>
        <v>0.41818181818181815</v>
      </c>
    </row>
    <row r="160" spans="1:13" x14ac:dyDescent="0.25">
      <c r="A160">
        <v>151</v>
      </c>
      <c r="B160" s="1">
        <v>44748</v>
      </c>
      <c r="C160" t="s">
        <v>4</v>
      </c>
      <c r="D160" t="s">
        <v>11</v>
      </c>
      <c r="E160" t="s">
        <v>26</v>
      </c>
      <c r="F160" t="s">
        <v>1</v>
      </c>
      <c r="G160">
        <v>61.6</v>
      </c>
      <c r="H160">
        <v>4.5</v>
      </c>
      <c r="I160">
        <v>2.4</v>
      </c>
      <c r="J160" s="427">
        <v>9.1999999999999993</v>
      </c>
      <c r="K160" s="427">
        <v>48.8</v>
      </c>
      <c r="L160">
        <f t="shared" si="13"/>
        <v>6.9</v>
      </c>
      <c r="M160">
        <f t="shared" si="14"/>
        <v>0.53333333333333333</v>
      </c>
    </row>
    <row r="161" spans="1:13" x14ac:dyDescent="0.25">
      <c r="A161">
        <v>152</v>
      </c>
      <c r="B161" s="1">
        <v>44748</v>
      </c>
      <c r="C161" t="s">
        <v>4</v>
      </c>
      <c r="D161" t="s">
        <v>11</v>
      </c>
      <c r="E161" t="s">
        <v>26</v>
      </c>
      <c r="F161" t="s">
        <v>1</v>
      </c>
      <c r="G161">
        <v>61.2</v>
      </c>
      <c r="H161">
        <v>5.2</v>
      </c>
      <c r="I161">
        <v>2.5</v>
      </c>
      <c r="J161" s="427">
        <v>10.5</v>
      </c>
      <c r="K161" s="427">
        <v>45.8</v>
      </c>
      <c r="L161">
        <f t="shared" si="13"/>
        <v>7.7</v>
      </c>
      <c r="M161">
        <f t="shared" si="14"/>
        <v>0.48076923076923073</v>
      </c>
    </row>
    <row r="162" spans="1:13" x14ac:dyDescent="0.25">
      <c r="A162">
        <v>153</v>
      </c>
      <c r="B162" s="1">
        <v>44748</v>
      </c>
      <c r="C162" t="s">
        <v>4</v>
      </c>
      <c r="D162" t="s">
        <v>11</v>
      </c>
      <c r="E162" t="s">
        <v>26</v>
      </c>
      <c r="F162" t="s">
        <v>1</v>
      </c>
      <c r="G162">
        <v>61.3</v>
      </c>
      <c r="H162">
        <v>4.2</v>
      </c>
      <c r="I162">
        <v>2.4</v>
      </c>
      <c r="J162" s="427">
        <v>4.4000000000000004</v>
      </c>
      <c r="K162" s="427">
        <v>46.9</v>
      </c>
      <c r="L162">
        <f t="shared" si="13"/>
        <v>6.6</v>
      </c>
      <c r="M162">
        <f t="shared" si="14"/>
        <v>0.5714285714285714</v>
      </c>
    </row>
    <row r="163" spans="1:13" x14ac:dyDescent="0.25">
      <c r="A163">
        <v>154</v>
      </c>
      <c r="B163" s="1">
        <v>44749</v>
      </c>
      <c r="C163" t="s">
        <v>4</v>
      </c>
      <c r="D163" t="s">
        <v>11</v>
      </c>
      <c r="E163" t="s">
        <v>26</v>
      </c>
      <c r="F163" t="s">
        <v>1</v>
      </c>
      <c r="G163">
        <v>61.7</v>
      </c>
      <c r="H163">
        <v>4</v>
      </c>
      <c r="I163">
        <v>2.5</v>
      </c>
      <c r="J163" s="427">
        <v>12.6</v>
      </c>
      <c r="K163" s="427">
        <v>36.700000000000003</v>
      </c>
      <c r="L163">
        <f t="shared" si="13"/>
        <v>6.5</v>
      </c>
      <c r="M163">
        <f t="shared" si="14"/>
        <v>0.625</v>
      </c>
    </row>
    <row r="164" spans="1:13" x14ac:dyDescent="0.25">
      <c r="A164">
        <v>155</v>
      </c>
      <c r="B164" s="1">
        <v>44751</v>
      </c>
      <c r="C164" t="s">
        <v>4</v>
      </c>
      <c r="D164" t="s">
        <v>11</v>
      </c>
      <c r="E164" t="s">
        <v>26</v>
      </c>
      <c r="F164" t="s">
        <v>1</v>
      </c>
      <c r="G164">
        <v>63.3</v>
      </c>
      <c r="H164">
        <v>2.9</v>
      </c>
      <c r="I164">
        <v>2.2000000000000002</v>
      </c>
      <c r="J164" s="427">
        <v>13.8</v>
      </c>
      <c r="K164" s="427">
        <v>34.9</v>
      </c>
      <c r="L164">
        <f t="shared" si="13"/>
        <v>5.0999999999999996</v>
      </c>
      <c r="M164">
        <f t="shared" si="14"/>
        <v>0.75862068965517249</v>
      </c>
    </row>
    <row r="165" spans="1:13" x14ac:dyDescent="0.25">
      <c r="A165">
        <v>156</v>
      </c>
      <c r="B165" s="1">
        <v>44752</v>
      </c>
      <c r="C165" t="s">
        <v>4</v>
      </c>
      <c r="D165" t="s">
        <v>11</v>
      </c>
      <c r="E165" t="s">
        <v>26</v>
      </c>
      <c r="F165" t="s">
        <v>1</v>
      </c>
      <c r="G165">
        <v>61.6</v>
      </c>
      <c r="H165">
        <v>4.5</v>
      </c>
      <c r="I165">
        <v>2.5</v>
      </c>
      <c r="J165" s="427">
        <v>6</v>
      </c>
      <c r="K165" s="427">
        <v>55.6</v>
      </c>
      <c r="L165">
        <f t="shared" si="13"/>
        <v>7</v>
      </c>
      <c r="M165">
        <f t="shared" si="14"/>
        <v>0.55555555555555558</v>
      </c>
    </row>
    <row r="166" spans="1:13" x14ac:dyDescent="0.25">
      <c r="A166">
        <v>157</v>
      </c>
      <c r="B166" s="1">
        <v>44753</v>
      </c>
      <c r="C166" t="s">
        <v>4</v>
      </c>
      <c r="D166" t="s">
        <v>11</v>
      </c>
      <c r="E166" t="s">
        <v>26</v>
      </c>
      <c r="F166" t="s">
        <v>1</v>
      </c>
      <c r="G166">
        <v>63.5</v>
      </c>
      <c r="H166">
        <v>2.4</v>
      </c>
      <c r="I166">
        <v>2</v>
      </c>
      <c r="J166" s="427">
        <v>6.1</v>
      </c>
      <c r="K166" s="427">
        <v>45.4</v>
      </c>
      <c r="L166">
        <f t="shared" si="13"/>
        <v>4.4000000000000004</v>
      </c>
      <c r="M166">
        <f t="shared" si="14"/>
        <v>0.83333333333333337</v>
      </c>
    </row>
    <row r="167" spans="1:13" x14ac:dyDescent="0.25">
      <c r="A167">
        <v>158</v>
      </c>
      <c r="B167" s="1">
        <v>44754</v>
      </c>
      <c r="C167" t="s">
        <v>4</v>
      </c>
      <c r="D167" t="s">
        <v>11</v>
      </c>
      <c r="E167" t="s">
        <v>26</v>
      </c>
      <c r="F167" t="s">
        <v>1</v>
      </c>
      <c r="G167">
        <v>61.9</v>
      </c>
      <c r="H167">
        <v>4</v>
      </c>
      <c r="I167">
        <v>2</v>
      </c>
      <c r="J167" s="427">
        <v>8.4</v>
      </c>
      <c r="K167" s="427">
        <v>42.8</v>
      </c>
      <c r="L167">
        <f t="shared" si="13"/>
        <v>6</v>
      </c>
      <c r="M167">
        <f t="shared" si="14"/>
        <v>0.5</v>
      </c>
    </row>
    <row r="168" spans="1:13" x14ac:dyDescent="0.25">
      <c r="A168">
        <v>159</v>
      </c>
      <c r="B168" s="1">
        <v>44754</v>
      </c>
      <c r="C168" t="s">
        <v>4</v>
      </c>
      <c r="D168" t="s">
        <v>11</v>
      </c>
      <c r="E168" t="s">
        <v>26</v>
      </c>
      <c r="F168" t="s">
        <v>1</v>
      </c>
      <c r="G168">
        <v>62.5</v>
      </c>
      <c r="H168">
        <v>3</v>
      </c>
      <c r="I168">
        <v>2.2000000000000002</v>
      </c>
      <c r="J168" s="427">
        <v>9.5</v>
      </c>
      <c r="K168" s="427">
        <v>43</v>
      </c>
      <c r="L168">
        <f t="shared" si="13"/>
        <v>5.2</v>
      </c>
      <c r="M168">
        <f t="shared" si="14"/>
        <v>0.73333333333333339</v>
      </c>
    </row>
    <row r="169" spans="1:13" x14ac:dyDescent="0.25">
      <c r="A169">
        <v>160</v>
      </c>
      <c r="B169" s="1">
        <v>44754</v>
      </c>
      <c r="C169" t="s">
        <v>4</v>
      </c>
      <c r="D169" t="s">
        <v>11</v>
      </c>
      <c r="E169" t="s">
        <v>26</v>
      </c>
      <c r="F169" t="s">
        <v>1</v>
      </c>
      <c r="G169">
        <v>62</v>
      </c>
      <c r="H169">
        <v>3.5</v>
      </c>
      <c r="I169">
        <v>1.9</v>
      </c>
      <c r="J169" s="427">
        <v>7.8</v>
      </c>
      <c r="K169" s="427">
        <v>40</v>
      </c>
      <c r="L169">
        <f t="shared" si="13"/>
        <v>5.4</v>
      </c>
      <c r="M169">
        <f t="shared" si="14"/>
        <v>0.54285714285714282</v>
      </c>
    </row>
    <row r="170" spans="1:13" x14ac:dyDescent="0.25">
      <c r="A170">
        <v>161</v>
      </c>
      <c r="B170" s="1">
        <v>44755</v>
      </c>
      <c r="C170" t="s">
        <v>4</v>
      </c>
      <c r="D170" t="s">
        <v>11</v>
      </c>
      <c r="E170" t="s">
        <v>26</v>
      </c>
      <c r="F170" t="s">
        <v>1</v>
      </c>
      <c r="G170">
        <v>62.2</v>
      </c>
      <c r="H170">
        <v>3.2</v>
      </c>
      <c r="I170">
        <v>1.6</v>
      </c>
      <c r="J170" s="427">
        <v>5.0999999999999996</v>
      </c>
      <c r="K170" s="427">
        <v>53.1</v>
      </c>
      <c r="L170">
        <f t="shared" si="13"/>
        <v>4.8000000000000007</v>
      </c>
      <c r="M170">
        <f t="shared" si="14"/>
        <v>0.5</v>
      </c>
    </row>
    <row r="171" spans="1:13" x14ac:dyDescent="0.25">
      <c r="A171">
        <v>162</v>
      </c>
      <c r="B171" s="1">
        <v>44755</v>
      </c>
      <c r="C171" t="s">
        <v>4</v>
      </c>
      <c r="D171" t="s">
        <v>11</v>
      </c>
      <c r="E171" t="s">
        <v>26</v>
      </c>
      <c r="F171" t="s">
        <v>1</v>
      </c>
      <c r="G171">
        <v>61.7</v>
      </c>
      <c r="H171">
        <v>4.2</v>
      </c>
      <c r="I171">
        <v>2</v>
      </c>
      <c r="J171" s="427">
        <v>13.1</v>
      </c>
      <c r="K171" s="427">
        <v>34.700000000000003</v>
      </c>
      <c r="L171">
        <f t="shared" si="13"/>
        <v>6.2</v>
      </c>
      <c r="M171">
        <f t="shared" si="14"/>
        <v>0.47619047619047616</v>
      </c>
    </row>
    <row r="172" spans="1:13" x14ac:dyDescent="0.25">
      <c r="A172">
        <v>163</v>
      </c>
      <c r="B172" s="1">
        <v>44756</v>
      </c>
      <c r="C172" t="s">
        <v>4</v>
      </c>
      <c r="D172" t="s">
        <v>11</v>
      </c>
      <c r="E172" t="s">
        <v>26</v>
      </c>
      <c r="F172" t="s">
        <v>1</v>
      </c>
      <c r="G172">
        <v>62.1</v>
      </c>
      <c r="H172">
        <v>4</v>
      </c>
      <c r="I172">
        <v>1.8</v>
      </c>
      <c r="J172" s="427">
        <v>7.7</v>
      </c>
      <c r="K172" s="427">
        <v>46.9</v>
      </c>
      <c r="L172">
        <f t="shared" si="13"/>
        <v>5.8</v>
      </c>
      <c r="M172">
        <f t="shared" si="14"/>
        <v>0.45</v>
      </c>
    </row>
    <row r="173" spans="1:13" x14ac:dyDescent="0.25">
      <c r="A173">
        <v>164</v>
      </c>
      <c r="B173" s="1">
        <v>44756</v>
      </c>
      <c r="C173" t="s">
        <v>4</v>
      </c>
      <c r="D173" t="s">
        <v>11</v>
      </c>
      <c r="E173" t="s">
        <v>26</v>
      </c>
      <c r="F173" t="s">
        <v>1</v>
      </c>
      <c r="G173">
        <v>62.4</v>
      </c>
      <c r="H173">
        <v>4.5</v>
      </c>
      <c r="I173">
        <v>2</v>
      </c>
      <c r="J173" s="427">
        <v>3.4</v>
      </c>
      <c r="K173" s="427">
        <v>51.1</v>
      </c>
      <c r="L173">
        <f t="shared" si="13"/>
        <v>6.5</v>
      </c>
      <c r="M173">
        <f t="shared" si="14"/>
        <v>0.44444444444444442</v>
      </c>
    </row>
    <row r="174" spans="1:13" x14ac:dyDescent="0.25">
      <c r="A174">
        <v>165</v>
      </c>
      <c r="B174" s="1">
        <v>44757</v>
      </c>
      <c r="C174" t="s">
        <v>4</v>
      </c>
      <c r="D174" t="s">
        <v>11</v>
      </c>
      <c r="E174" t="s">
        <v>26</v>
      </c>
      <c r="F174" t="s">
        <v>1</v>
      </c>
      <c r="G174">
        <v>63.2</v>
      </c>
      <c r="H174">
        <v>2.5</v>
      </c>
      <c r="I174">
        <v>1.4</v>
      </c>
      <c r="J174" s="427">
        <v>7.5</v>
      </c>
      <c r="K174" s="427">
        <v>44.4</v>
      </c>
      <c r="L174">
        <f t="shared" si="13"/>
        <v>3.9</v>
      </c>
      <c r="M174">
        <f t="shared" si="14"/>
        <v>0.55999999999999994</v>
      </c>
    </row>
    <row r="175" spans="1:13" x14ac:dyDescent="0.25">
      <c r="A175">
        <v>166</v>
      </c>
      <c r="B175" s="1">
        <v>44758</v>
      </c>
      <c r="C175" t="s">
        <v>4</v>
      </c>
      <c r="D175" t="s">
        <v>11</v>
      </c>
      <c r="E175" t="s">
        <v>26</v>
      </c>
      <c r="F175" t="s">
        <v>1</v>
      </c>
      <c r="G175">
        <v>61.3</v>
      </c>
      <c r="H175">
        <v>4.9000000000000004</v>
      </c>
      <c r="I175">
        <v>2.8</v>
      </c>
      <c r="J175" s="427">
        <v>6.3</v>
      </c>
      <c r="K175" s="427">
        <v>45</v>
      </c>
      <c r="L175">
        <f t="shared" si="13"/>
        <v>7.7</v>
      </c>
      <c r="M175">
        <f t="shared" si="14"/>
        <v>0.5714285714285714</v>
      </c>
    </row>
    <row r="176" spans="1:13" x14ac:dyDescent="0.25">
      <c r="A176">
        <v>167</v>
      </c>
      <c r="B176" s="1">
        <v>44758</v>
      </c>
      <c r="C176" t="s">
        <v>4</v>
      </c>
      <c r="D176" t="s">
        <v>11</v>
      </c>
      <c r="E176" t="s">
        <v>26</v>
      </c>
      <c r="F176" t="s">
        <v>1</v>
      </c>
      <c r="G176">
        <v>59.2</v>
      </c>
      <c r="H176">
        <v>8.4</v>
      </c>
      <c r="I176">
        <v>2.5</v>
      </c>
      <c r="J176" s="427">
        <v>7</v>
      </c>
      <c r="K176" s="427">
        <v>41.2</v>
      </c>
      <c r="L176">
        <f t="shared" si="13"/>
        <v>10.9</v>
      </c>
      <c r="M176">
        <f t="shared" si="14"/>
        <v>0.29761904761904762</v>
      </c>
    </row>
    <row r="177" spans="1:13" x14ac:dyDescent="0.25">
      <c r="A177">
        <v>168</v>
      </c>
      <c r="B177" s="1">
        <v>44759</v>
      </c>
      <c r="C177" t="s">
        <v>4</v>
      </c>
      <c r="D177" t="s">
        <v>11</v>
      </c>
      <c r="E177" t="s">
        <v>26</v>
      </c>
      <c r="F177" t="s">
        <v>1</v>
      </c>
      <c r="G177">
        <v>60</v>
      </c>
      <c r="H177">
        <v>6</v>
      </c>
      <c r="I177">
        <v>2.2999999999999998</v>
      </c>
      <c r="J177" s="427">
        <v>17</v>
      </c>
      <c r="K177" s="427">
        <v>25.2</v>
      </c>
      <c r="L177">
        <f t="shared" si="13"/>
        <v>8.3000000000000007</v>
      </c>
      <c r="M177">
        <f t="shared" si="14"/>
        <v>0.3833333333333333</v>
      </c>
    </row>
    <row r="178" spans="1:13" x14ac:dyDescent="0.25">
      <c r="A178">
        <v>169</v>
      </c>
      <c r="B178" s="1">
        <v>44760</v>
      </c>
      <c r="C178" t="s">
        <v>4</v>
      </c>
      <c r="D178" t="s">
        <v>11</v>
      </c>
      <c r="E178" t="s">
        <v>26</v>
      </c>
      <c r="F178" t="s">
        <v>1</v>
      </c>
      <c r="G178">
        <v>61.6</v>
      </c>
      <c r="H178">
        <v>3.2</v>
      </c>
      <c r="I178">
        <v>3</v>
      </c>
      <c r="J178" s="427">
        <v>11.5</v>
      </c>
      <c r="K178" s="427">
        <v>34</v>
      </c>
      <c r="L178">
        <f t="shared" si="13"/>
        <v>6.2</v>
      </c>
      <c r="M178">
        <f t="shared" si="14"/>
        <v>0.9375</v>
      </c>
    </row>
    <row r="179" spans="1:13" x14ac:dyDescent="0.25">
      <c r="A179">
        <v>170</v>
      </c>
      <c r="B179" s="1">
        <v>44760</v>
      </c>
      <c r="C179" t="s">
        <v>4</v>
      </c>
      <c r="D179" t="s">
        <v>11</v>
      </c>
      <c r="E179" t="s">
        <v>26</v>
      </c>
      <c r="F179" t="s">
        <v>1</v>
      </c>
      <c r="G179">
        <v>60.2</v>
      </c>
      <c r="H179">
        <v>2.2999999999999998</v>
      </c>
      <c r="I179">
        <v>1.9</v>
      </c>
      <c r="J179" s="427">
        <v>30.5</v>
      </c>
      <c r="K179" s="427">
        <v>9.4</v>
      </c>
      <c r="L179">
        <f t="shared" si="13"/>
        <v>4.1999999999999993</v>
      </c>
      <c r="M179">
        <f t="shared" si="14"/>
        <v>0.82608695652173914</v>
      </c>
    </row>
    <row r="180" spans="1:13" x14ac:dyDescent="0.25">
      <c r="A180">
        <v>171</v>
      </c>
      <c r="B180" s="1">
        <v>44760</v>
      </c>
      <c r="C180" t="s">
        <v>4</v>
      </c>
      <c r="D180" t="s">
        <v>11</v>
      </c>
      <c r="E180" t="s">
        <v>26</v>
      </c>
      <c r="F180" t="s">
        <v>1</v>
      </c>
      <c r="G180">
        <v>61.5</v>
      </c>
      <c r="H180">
        <v>3.5</v>
      </c>
      <c r="I180">
        <v>2.5</v>
      </c>
      <c r="J180" s="427">
        <v>15.9</v>
      </c>
      <c r="K180" s="427">
        <v>30.6</v>
      </c>
      <c r="L180">
        <f t="shared" si="13"/>
        <v>6</v>
      </c>
      <c r="M180">
        <f t="shared" si="14"/>
        <v>0.7142857142857143</v>
      </c>
    </row>
    <row r="181" spans="1:13" x14ac:dyDescent="0.25">
      <c r="A181">
        <v>172</v>
      </c>
      <c r="B181" s="1">
        <v>44761</v>
      </c>
      <c r="C181" t="s">
        <v>4</v>
      </c>
      <c r="D181" t="s">
        <v>11</v>
      </c>
      <c r="E181" t="s">
        <v>26</v>
      </c>
      <c r="F181" t="s">
        <v>1</v>
      </c>
      <c r="G181">
        <v>62.7</v>
      </c>
      <c r="H181">
        <v>2.7</v>
      </c>
      <c r="I181">
        <v>2.4</v>
      </c>
      <c r="J181" s="427">
        <v>9.1999999999999993</v>
      </c>
      <c r="K181" s="427">
        <v>41.2</v>
      </c>
      <c r="L181">
        <f t="shared" si="13"/>
        <v>5.0999999999999996</v>
      </c>
      <c r="M181">
        <f t="shared" si="14"/>
        <v>0.88888888888888884</v>
      </c>
    </row>
    <row r="182" spans="1:13" x14ac:dyDescent="0.25">
      <c r="A182">
        <v>173</v>
      </c>
      <c r="B182" s="1">
        <v>44762</v>
      </c>
      <c r="C182" t="s">
        <v>4</v>
      </c>
      <c r="D182" t="s">
        <v>11</v>
      </c>
      <c r="E182" t="s">
        <v>26</v>
      </c>
      <c r="F182" t="s">
        <v>1</v>
      </c>
      <c r="G182">
        <v>63.1</v>
      </c>
      <c r="H182">
        <v>2.4</v>
      </c>
      <c r="I182">
        <v>1.7</v>
      </c>
      <c r="J182" s="427">
        <v>9.6999999999999993</v>
      </c>
      <c r="K182" s="427">
        <v>40.200000000000003</v>
      </c>
      <c r="L182">
        <f t="shared" si="13"/>
        <v>4.0999999999999996</v>
      </c>
      <c r="M182">
        <f t="shared" si="14"/>
        <v>0.70833333333333337</v>
      </c>
    </row>
    <row r="183" spans="1:13" x14ac:dyDescent="0.25">
      <c r="A183">
        <v>174</v>
      </c>
      <c r="B183" s="1">
        <v>44762</v>
      </c>
      <c r="C183" t="s">
        <v>4</v>
      </c>
      <c r="D183" t="s">
        <v>11</v>
      </c>
      <c r="E183" t="s">
        <v>26</v>
      </c>
      <c r="F183" t="s">
        <v>1</v>
      </c>
      <c r="G183">
        <v>63.5</v>
      </c>
      <c r="H183">
        <v>2.5</v>
      </c>
      <c r="I183">
        <v>1.9</v>
      </c>
      <c r="J183" s="427">
        <v>10.5</v>
      </c>
      <c r="K183" s="427">
        <v>30</v>
      </c>
      <c r="L183">
        <f t="shared" si="13"/>
        <v>4.4000000000000004</v>
      </c>
      <c r="M183">
        <f t="shared" si="14"/>
        <v>0.76</v>
      </c>
    </row>
    <row r="184" spans="1:13" x14ac:dyDescent="0.25">
      <c r="A184">
        <v>175</v>
      </c>
      <c r="B184" s="1">
        <v>44762</v>
      </c>
      <c r="C184" t="s">
        <v>4</v>
      </c>
      <c r="D184" t="s">
        <v>11</v>
      </c>
      <c r="E184" t="s">
        <v>26</v>
      </c>
      <c r="F184" t="s">
        <v>1</v>
      </c>
      <c r="G184">
        <v>63.1</v>
      </c>
      <c r="H184">
        <v>2.8</v>
      </c>
      <c r="I184">
        <v>2</v>
      </c>
      <c r="J184" s="427">
        <v>17.100000000000001</v>
      </c>
      <c r="K184" s="427">
        <v>31.5</v>
      </c>
      <c r="L184">
        <f t="shared" si="13"/>
        <v>4.8</v>
      </c>
      <c r="M184">
        <f t="shared" si="14"/>
        <v>0.7142857142857143</v>
      </c>
    </row>
    <row r="185" spans="1:13" x14ac:dyDescent="0.25">
      <c r="A185">
        <v>176</v>
      </c>
      <c r="B185" s="1">
        <v>44763</v>
      </c>
      <c r="C185" t="s">
        <v>4</v>
      </c>
      <c r="D185" t="s">
        <v>11</v>
      </c>
      <c r="E185" t="s">
        <v>26</v>
      </c>
      <c r="F185" t="s">
        <v>1</v>
      </c>
      <c r="G185">
        <v>62.6</v>
      </c>
      <c r="H185">
        <v>3</v>
      </c>
      <c r="I185">
        <v>2.6</v>
      </c>
      <c r="J185" s="427">
        <v>15.7</v>
      </c>
      <c r="K185" s="427">
        <v>32.200000000000003</v>
      </c>
      <c r="L185">
        <f t="shared" si="13"/>
        <v>5.6</v>
      </c>
      <c r="M185">
        <f t="shared" si="14"/>
        <v>0.8666666666666667</v>
      </c>
    </row>
    <row r="186" spans="1:13" x14ac:dyDescent="0.25">
      <c r="A186">
        <v>177</v>
      </c>
      <c r="B186" s="1">
        <v>44763</v>
      </c>
      <c r="C186" t="s">
        <v>4</v>
      </c>
      <c r="D186" t="s">
        <v>11</v>
      </c>
      <c r="E186" t="s">
        <v>26</v>
      </c>
      <c r="F186" t="s">
        <v>1</v>
      </c>
      <c r="G186">
        <v>62.4</v>
      </c>
      <c r="H186">
        <v>3.2</v>
      </c>
      <c r="I186">
        <v>2.2999999999999998</v>
      </c>
      <c r="J186" s="427">
        <v>10.199999999999999</v>
      </c>
      <c r="K186" s="427">
        <v>34.1</v>
      </c>
      <c r="L186">
        <f t="shared" si="13"/>
        <v>5.5</v>
      </c>
      <c r="M186">
        <f t="shared" si="14"/>
        <v>0.71874999999999989</v>
      </c>
    </row>
    <row r="187" spans="1:13" x14ac:dyDescent="0.25">
      <c r="A187">
        <v>178</v>
      </c>
      <c r="B187" s="1">
        <v>44763</v>
      </c>
      <c r="C187" t="s">
        <v>4</v>
      </c>
      <c r="D187" t="s">
        <v>11</v>
      </c>
      <c r="E187" t="s">
        <v>26</v>
      </c>
      <c r="F187" t="s">
        <v>1</v>
      </c>
      <c r="G187">
        <v>61</v>
      </c>
      <c r="H187">
        <v>3.5</v>
      </c>
      <c r="I187">
        <v>3</v>
      </c>
      <c r="J187" s="427">
        <v>5.0999999999999996</v>
      </c>
      <c r="K187" s="427">
        <v>44.9</v>
      </c>
      <c r="L187">
        <f t="shared" si="13"/>
        <v>6.5</v>
      </c>
      <c r="M187">
        <f t="shared" si="14"/>
        <v>0.8571428571428571</v>
      </c>
    </row>
    <row r="188" spans="1:13" x14ac:dyDescent="0.25">
      <c r="A188">
        <v>179</v>
      </c>
      <c r="B188" s="1">
        <v>44765</v>
      </c>
      <c r="C188" t="s">
        <v>4</v>
      </c>
      <c r="D188" t="s">
        <v>11</v>
      </c>
      <c r="E188" t="s">
        <v>26</v>
      </c>
      <c r="F188" t="s">
        <v>1</v>
      </c>
      <c r="G188">
        <v>63.2</v>
      </c>
      <c r="H188">
        <v>2.7</v>
      </c>
      <c r="I188">
        <v>2.2999999999999998</v>
      </c>
      <c r="J188" s="427">
        <v>18.100000000000001</v>
      </c>
      <c r="K188" s="427">
        <v>31.5</v>
      </c>
      <c r="L188">
        <f t="shared" si="13"/>
        <v>5</v>
      </c>
      <c r="M188">
        <f t="shared" si="14"/>
        <v>0.85185185185185175</v>
      </c>
    </row>
    <row r="189" spans="1:13" x14ac:dyDescent="0.25">
      <c r="A189">
        <v>180</v>
      </c>
      <c r="B189" s="1">
        <v>44765</v>
      </c>
      <c r="C189" t="s">
        <v>4</v>
      </c>
      <c r="D189" t="s">
        <v>11</v>
      </c>
      <c r="E189" t="s">
        <v>26</v>
      </c>
      <c r="F189" t="s">
        <v>1</v>
      </c>
      <c r="G189">
        <v>61.5</v>
      </c>
      <c r="H189">
        <v>3.3</v>
      </c>
      <c r="I189">
        <v>3</v>
      </c>
      <c r="J189" s="427">
        <v>8.1999999999999993</v>
      </c>
      <c r="K189" s="427">
        <v>40.9</v>
      </c>
      <c r="L189">
        <f t="shared" si="13"/>
        <v>6.3</v>
      </c>
      <c r="M189">
        <f t="shared" si="14"/>
        <v>0.90909090909090917</v>
      </c>
    </row>
    <row r="190" spans="1:13" x14ac:dyDescent="0.25">
      <c r="A190">
        <v>181</v>
      </c>
      <c r="B190" s="1">
        <v>44766</v>
      </c>
      <c r="C190" t="s">
        <v>4</v>
      </c>
      <c r="D190" t="s">
        <v>11</v>
      </c>
      <c r="E190" t="s">
        <v>26</v>
      </c>
      <c r="F190" t="s">
        <v>1</v>
      </c>
      <c r="G190">
        <v>62.7</v>
      </c>
      <c r="H190">
        <v>3.5</v>
      </c>
      <c r="I190">
        <v>2.7</v>
      </c>
      <c r="J190" s="427">
        <v>12.3</v>
      </c>
      <c r="K190" s="427">
        <v>36.5</v>
      </c>
      <c r="L190">
        <f t="shared" si="13"/>
        <v>6.2</v>
      </c>
      <c r="M190">
        <f t="shared" si="14"/>
        <v>0.77142857142857146</v>
      </c>
    </row>
    <row r="191" spans="1:13" x14ac:dyDescent="0.25">
      <c r="A191">
        <v>182</v>
      </c>
      <c r="B191" s="1">
        <v>44766</v>
      </c>
      <c r="C191" t="s">
        <v>4</v>
      </c>
      <c r="D191" t="s">
        <v>11</v>
      </c>
      <c r="E191" t="s">
        <v>26</v>
      </c>
      <c r="F191" t="s">
        <v>1</v>
      </c>
      <c r="G191">
        <v>62.8</v>
      </c>
      <c r="H191">
        <v>2.5</v>
      </c>
      <c r="I191">
        <v>1.5</v>
      </c>
      <c r="J191" s="427">
        <v>18.100000000000001</v>
      </c>
      <c r="K191" s="427">
        <v>35.5</v>
      </c>
      <c r="L191">
        <f t="shared" ref="L191:L226" si="15">+I191+H191</f>
        <v>4</v>
      </c>
      <c r="M191">
        <f t="shared" ref="M191:M254" si="16">+I191/IF(H191 = 0,1,H191)</f>
        <v>0.6</v>
      </c>
    </row>
    <row r="192" spans="1:13" x14ac:dyDescent="0.25">
      <c r="A192">
        <v>183</v>
      </c>
      <c r="B192" s="1">
        <v>44766</v>
      </c>
      <c r="C192" t="s">
        <v>4</v>
      </c>
      <c r="D192" t="s">
        <v>11</v>
      </c>
      <c r="E192" t="s">
        <v>26</v>
      </c>
      <c r="F192" t="s">
        <v>1</v>
      </c>
      <c r="G192">
        <v>62.2</v>
      </c>
      <c r="H192">
        <v>4.0999999999999996</v>
      </c>
      <c r="I192">
        <v>2</v>
      </c>
      <c r="J192" s="427">
        <v>12.5</v>
      </c>
      <c r="K192" s="427">
        <v>31.5</v>
      </c>
      <c r="L192">
        <f t="shared" si="15"/>
        <v>6.1</v>
      </c>
      <c r="M192">
        <f t="shared" si="16"/>
        <v>0.48780487804878053</v>
      </c>
    </row>
    <row r="193" spans="1:13" x14ac:dyDescent="0.25">
      <c r="A193">
        <v>184</v>
      </c>
      <c r="B193" s="1">
        <v>44767</v>
      </c>
      <c r="C193" t="s">
        <v>4</v>
      </c>
      <c r="D193" t="s">
        <v>11</v>
      </c>
      <c r="E193" t="s">
        <v>26</v>
      </c>
      <c r="F193" t="s">
        <v>1</v>
      </c>
      <c r="G193">
        <v>62.2</v>
      </c>
      <c r="H193">
        <v>4</v>
      </c>
      <c r="I193">
        <v>1.9</v>
      </c>
      <c r="J193" s="427">
        <v>11.6</v>
      </c>
      <c r="K193" s="427">
        <v>38.6</v>
      </c>
      <c r="L193">
        <f t="shared" si="15"/>
        <v>5.9</v>
      </c>
      <c r="M193">
        <f t="shared" si="16"/>
        <v>0.47499999999999998</v>
      </c>
    </row>
    <row r="194" spans="1:13" x14ac:dyDescent="0.25">
      <c r="A194">
        <v>185</v>
      </c>
      <c r="B194" s="1">
        <v>44767</v>
      </c>
      <c r="C194" t="s">
        <v>4</v>
      </c>
      <c r="D194" t="s">
        <v>11</v>
      </c>
      <c r="E194" t="s">
        <v>26</v>
      </c>
      <c r="F194" t="s">
        <v>1</v>
      </c>
      <c r="G194">
        <v>62.2</v>
      </c>
      <c r="H194">
        <v>3.6</v>
      </c>
      <c r="I194">
        <v>2.2000000000000002</v>
      </c>
      <c r="J194" s="427">
        <v>9.5</v>
      </c>
      <c r="K194" s="427">
        <v>39</v>
      </c>
      <c r="L194">
        <f t="shared" si="15"/>
        <v>5.8000000000000007</v>
      </c>
      <c r="M194">
        <f t="shared" si="16"/>
        <v>0.61111111111111116</v>
      </c>
    </row>
    <row r="195" spans="1:13" x14ac:dyDescent="0.25">
      <c r="A195">
        <v>186</v>
      </c>
      <c r="B195" s="1">
        <v>44767</v>
      </c>
      <c r="C195" t="s">
        <v>4</v>
      </c>
      <c r="D195" t="s">
        <v>11</v>
      </c>
      <c r="E195" t="s">
        <v>26</v>
      </c>
      <c r="F195" t="s">
        <v>1</v>
      </c>
      <c r="G195">
        <v>62.4</v>
      </c>
      <c r="H195">
        <v>3.1</v>
      </c>
      <c r="I195">
        <v>2.2999999999999998</v>
      </c>
      <c r="J195" s="427">
        <v>4.5</v>
      </c>
      <c r="K195" s="427">
        <v>44.5</v>
      </c>
      <c r="L195">
        <f t="shared" si="15"/>
        <v>5.4</v>
      </c>
      <c r="M195">
        <f t="shared" si="16"/>
        <v>0.74193548387096764</v>
      </c>
    </row>
    <row r="196" spans="1:13" x14ac:dyDescent="0.25">
      <c r="A196">
        <v>187</v>
      </c>
      <c r="B196" s="1">
        <v>44745</v>
      </c>
      <c r="C196" t="s">
        <v>4</v>
      </c>
      <c r="D196" t="s">
        <v>9</v>
      </c>
      <c r="E196" t="s">
        <v>26</v>
      </c>
      <c r="F196" t="s">
        <v>1</v>
      </c>
      <c r="G196">
        <v>62.9</v>
      </c>
      <c r="H196">
        <v>3.7</v>
      </c>
      <c r="I196">
        <v>1.8</v>
      </c>
      <c r="J196" s="427">
        <v>2.8</v>
      </c>
      <c r="K196" s="427">
        <v>51.6</v>
      </c>
      <c r="L196">
        <f t="shared" si="15"/>
        <v>5.5</v>
      </c>
      <c r="M196">
        <f t="shared" si="16"/>
        <v>0.48648648648648646</v>
      </c>
    </row>
    <row r="197" spans="1:13" x14ac:dyDescent="0.25">
      <c r="A197">
        <v>188</v>
      </c>
      <c r="B197" s="1">
        <v>44751</v>
      </c>
      <c r="C197" t="s">
        <v>4</v>
      </c>
      <c r="D197" t="s">
        <v>9</v>
      </c>
      <c r="E197" t="s">
        <v>26</v>
      </c>
      <c r="F197" t="s">
        <v>1</v>
      </c>
      <c r="G197">
        <v>61.7</v>
      </c>
      <c r="H197">
        <v>5.8</v>
      </c>
      <c r="I197">
        <v>2</v>
      </c>
      <c r="J197" s="427">
        <v>4.2</v>
      </c>
      <c r="K197" s="427">
        <v>62</v>
      </c>
      <c r="L197">
        <f t="shared" si="15"/>
        <v>7.8</v>
      </c>
      <c r="M197">
        <f t="shared" si="16"/>
        <v>0.34482758620689657</v>
      </c>
    </row>
    <row r="198" spans="1:13" x14ac:dyDescent="0.25">
      <c r="A198">
        <v>189</v>
      </c>
      <c r="B198" s="1">
        <v>44751</v>
      </c>
      <c r="C198" t="s">
        <v>4</v>
      </c>
      <c r="D198" t="s">
        <v>9</v>
      </c>
      <c r="E198" t="s">
        <v>26</v>
      </c>
      <c r="F198" t="s">
        <v>1</v>
      </c>
      <c r="G198">
        <v>60.1</v>
      </c>
      <c r="H198">
        <v>7</v>
      </c>
      <c r="I198">
        <v>2.2000000000000002</v>
      </c>
      <c r="J198" s="427">
        <v>4.8</v>
      </c>
      <c r="K198" s="427">
        <v>51.3</v>
      </c>
      <c r="L198">
        <f t="shared" si="15"/>
        <v>9.1999999999999993</v>
      </c>
      <c r="M198">
        <f t="shared" si="16"/>
        <v>0.31428571428571433</v>
      </c>
    </row>
    <row r="199" spans="1:13" x14ac:dyDescent="0.25">
      <c r="A199">
        <v>190</v>
      </c>
      <c r="B199" s="1">
        <v>44743</v>
      </c>
      <c r="C199" t="s">
        <v>5</v>
      </c>
      <c r="D199" t="s">
        <v>146</v>
      </c>
      <c r="E199" t="s">
        <v>26</v>
      </c>
      <c r="F199" t="s">
        <v>1</v>
      </c>
      <c r="G199">
        <v>62.3</v>
      </c>
      <c r="H199">
        <v>3</v>
      </c>
      <c r="I199">
        <v>2.7</v>
      </c>
      <c r="J199" s="427">
        <v>8</v>
      </c>
      <c r="K199" s="427">
        <v>35</v>
      </c>
      <c r="L199">
        <f t="shared" si="15"/>
        <v>5.7</v>
      </c>
      <c r="M199">
        <f t="shared" si="16"/>
        <v>0.9</v>
      </c>
    </row>
    <row r="200" spans="1:13" x14ac:dyDescent="0.25">
      <c r="A200">
        <v>191</v>
      </c>
      <c r="B200" s="1">
        <v>44744</v>
      </c>
      <c r="C200" t="s">
        <v>5</v>
      </c>
      <c r="D200" t="s">
        <v>146</v>
      </c>
      <c r="E200" t="s">
        <v>26</v>
      </c>
      <c r="F200" t="s">
        <v>1</v>
      </c>
      <c r="G200">
        <v>62.1</v>
      </c>
      <c r="H200">
        <v>3.1</v>
      </c>
      <c r="I200">
        <v>2.9</v>
      </c>
      <c r="J200" s="427">
        <v>11</v>
      </c>
      <c r="K200" s="427">
        <v>38</v>
      </c>
      <c r="L200">
        <f t="shared" si="15"/>
        <v>6</v>
      </c>
      <c r="M200">
        <f t="shared" si="16"/>
        <v>0.93548387096774188</v>
      </c>
    </row>
    <row r="201" spans="1:13" x14ac:dyDescent="0.25">
      <c r="A201">
        <v>192</v>
      </c>
      <c r="B201" s="1">
        <v>44746</v>
      </c>
      <c r="C201" t="s">
        <v>5</v>
      </c>
      <c r="D201" t="s">
        <v>146</v>
      </c>
      <c r="E201" t="s">
        <v>26</v>
      </c>
      <c r="F201" t="s">
        <v>1</v>
      </c>
      <c r="G201">
        <v>62.5</v>
      </c>
      <c r="H201">
        <v>2.8</v>
      </c>
      <c r="I201">
        <v>2.7</v>
      </c>
      <c r="J201" s="427">
        <v>6</v>
      </c>
      <c r="K201" s="427">
        <v>36</v>
      </c>
      <c r="L201">
        <f t="shared" si="15"/>
        <v>5.5</v>
      </c>
      <c r="M201">
        <f t="shared" si="16"/>
        <v>0.96428571428571441</v>
      </c>
    </row>
    <row r="202" spans="1:13" x14ac:dyDescent="0.25">
      <c r="A202">
        <v>193</v>
      </c>
      <c r="B202" s="1">
        <v>44746</v>
      </c>
      <c r="C202" t="s">
        <v>5</v>
      </c>
      <c r="D202" t="s">
        <v>146</v>
      </c>
      <c r="E202" t="s">
        <v>26</v>
      </c>
      <c r="F202" t="s">
        <v>1</v>
      </c>
      <c r="G202">
        <v>62.4</v>
      </c>
      <c r="H202">
        <v>2.8</v>
      </c>
      <c r="I202">
        <v>3</v>
      </c>
      <c r="J202" s="427">
        <v>4</v>
      </c>
      <c r="K202" s="427">
        <v>37</v>
      </c>
      <c r="L202">
        <f t="shared" si="15"/>
        <v>5.8</v>
      </c>
      <c r="M202">
        <f t="shared" si="16"/>
        <v>1.0714285714285714</v>
      </c>
    </row>
    <row r="203" spans="1:13" x14ac:dyDescent="0.25">
      <c r="A203">
        <v>194</v>
      </c>
      <c r="B203" s="1">
        <v>44748</v>
      </c>
      <c r="C203" t="s">
        <v>5</v>
      </c>
      <c r="D203" t="s">
        <v>146</v>
      </c>
      <c r="E203" t="s">
        <v>26</v>
      </c>
      <c r="F203" t="s">
        <v>1</v>
      </c>
      <c r="G203">
        <v>62.2</v>
      </c>
      <c r="H203">
        <v>2.8</v>
      </c>
      <c r="I203">
        <v>3.1</v>
      </c>
      <c r="J203" s="427">
        <v>5</v>
      </c>
      <c r="K203" s="427">
        <v>39</v>
      </c>
      <c r="L203">
        <f t="shared" si="15"/>
        <v>5.9</v>
      </c>
      <c r="M203">
        <f t="shared" si="16"/>
        <v>1.1071428571428572</v>
      </c>
    </row>
    <row r="204" spans="1:13" x14ac:dyDescent="0.25">
      <c r="A204">
        <v>195</v>
      </c>
      <c r="B204" s="1">
        <v>44751</v>
      </c>
      <c r="C204" t="s">
        <v>5</v>
      </c>
      <c r="D204" t="s">
        <v>146</v>
      </c>
      <c r="E204" t="s">
        <v>26</v>
      </c>
      <c r="F204" t="s">
        <v>1</v>
      </c>
      <c r="G204">
        <v>62.2</v>
      </c>
      <c r="H204">
        <v>3.1</v>
      </c>
      <c r="I204">
        <v>2.8</v>
      </c>
      <c r="J204" s="427">
        <v>7</v>
      </c>
      <c r="K204" s="427">
        <v>38</v>
      </c>
      <c r="L204">
        <f t="shared" si="15"/>
        <v>5.9</v>
      </c>
      <c r="M204">
        <f t="shared" si="16"/>
        <v>0.90322580645161277</v>
      </c>
    </row>
    <row r="205" spans="1:13" x14ac:dyDescent="0.25">
      <c r="A205">
        <v>196</v>
      </c>
      <c r="B205" s="1">
        <v>44752</v>
      </c>
      <c r="C205" t="s">
        <v>5</v>
      </c>
      <c r="D205" t="s">
        <v>146</v>
      </c>
      <c r="E205" t="s">
        <v>26</v>
      </c>
      <c r="F205" t="s">
        <v>1</v>
      </c>
      <c r="G205">
        <v>62.4</v>
      </c>
      <c r="H205">
        <v>2.6</v>
      </c>
      <c r="I205">
        <v>3</v>
      </c>
      <c r="J205" s="427">
        <v>4</v>
      </c>
      <c r="K205" s="427">
        <v>39</v>
      </c>
      <c r="L205">
        <f t="shared" si="15"/>
        <v>5.6</v>
      </c>
      <c r="M205">
        <f t="shared" si="16"/>
        <v>1.1538461538461537</v>
      </c>
    </row>
    <row r="206" spans="1:13" x14ac:dyDescent="0.25">
      <c r="A206">
        <v>197</v>
      </c>
      <c r="B206" s="1">
        <v>44754</v>
      </c>
      <c r="C206" t="s">
        <v>5</v>
      </c>
      <c r="D206" t="s">
        <v>146</v>
      </c>
      <c r="E206" t="s">
        <v>26</v>
      </c>
      <c r="F206" t="s">
        <v>1</v>
      </c>
      <c r="G206">
        <v>62.3</v>
      </c>
      <c r="H206">
        <v>2.7</v>
      </c>
      <c r="I206">
        <v>3</v>
      </c>
      <c r="J206" s="427">
        <v>6</v>
      </c>
      <c r="K206" s="427">
        <v>37</v>
      </c>
      <c r="L206">
        <f t="shared" si="15"/>
        <v>5.7</v>
      </c>
      <c r="M206">
        <f t="shared" si="16"/>
        <v>1.1111111111111109</v>
      </c>
    </row>
    <row r="207" spans="1:13" x14ac:dyDescent="0.25">
      <c r="A207">
        <v>198</v>
      </c>
      <c r="B207" s="1">
        <v>44754</v>
      </c>
      <c r="C207" t="s">
        <v>5</v>
      </c>
      <c r="D207" t="s">
        <v>146</v>
      </c>
      <c r="E207" t="s">
        <v>26</v>
      </c>
      <c r="F207" t="s">
        <v>1</v>
      </c>
      <c r="G207">
        <v>62.4</v>
      </c>
      <c r="H207">
        <v>2.7</v>
      </c>
      <c r="I207">
        <v>2.9</v>
      </c>
      <c r="J207" s="427">
        <v>4</v>
      </c>
      <c r="K207" s="427">
        <v>37</v>
      </c>
      <c r="L207">
        <f t="shared" si="15"/>
        <v>5.6</v>
      </c>
      <c r="M207">
        <f t="shared" si="16"/>
        <v>1.074074074074074</v>
      </c>
    </row>
    <row r="208" spans="1:13" x14ac:dyDescent="0.25">
      <c r="A208">
        <v>199</v>
      </c>
      <c r="B208" s="1">
        <v>44754</v>
      </c>
      <c r="C208" t="s">
        <v>5</v>
      </c>
      <c r="D208" t="s">
        <v>146</v>
      </c>
      <c r="E208" t="s">
        <v>26</v>
      </c>
      <c r="F208" t="s">
        <v>1</v>
      </c>
      <c r="G208">
        <v>62.2</v>
      </c>
      <c r="H208">
        <v>2.5</v>
      </c>
      <c r="I208">
        <v>3.3</v>
      </c>
      <c r="J208" s="427">
        <v>3</v>
      </c>
      <c r="K208" s="427">
        <v>37</v>
      </c>
      <c r="L208">
        <f t="shared" si="15"/>
        <v>5.8</v>
      </c>
      <c r="M208">
        <f t="shared" si="16"/>
        <v>1.3199999999999998</v>
      </c>
    </row>
    <row r="209" spans="1:13" x14ac:dyDescent="0.25">
      <c r="A209">
        <v>200</v>
      </c>
      <c r="B209" s="1">
        <v>44755</v>
      </c>
      <c r="C209" t="s">
        <v>5</v>
      </c>
      <c r="D209" t="s">
        <v>146</v>
      </c>
      <c r="E209" t="s">
        <v>26</v>
      </c>
      <c r="F209" t="s">
        <v>1</v>
      </c>
      <c r="G209">
        <v>62.5</v>
      </c>
      <c r="H209">
        <v>2.4</v>
      </c>
      <c r="I209">
        <v>3</v>
      </c>
      <c r="J209" s="427">
        <v>5</v>
      </c>
      <c r="K209" s="427">
        <v>36</v>
      </c>
      <c r="L209">
        <f t="shared" si="15"/>
        <v>5.4</v>
      </c>
      <c r="M209">
        <f t="shared" si="16"/>
        <v>1.25</v>
      </c>
    </row>
    <row r="210" spans="1:13" x14ac:dyDescent="0.25">
      <c r="A210">
        <v>201</v>
      </c>
      <c r="B210" s="1">
        <v>44756</v>
      </c>
      <c r="C210" t="s">
        <v>5</v>
      </c>
      <c r="D210" t="s">
        <v>146</v>
      </c>
      <c r="E210" t="s">
        <v>26</v>
      </c>
      <c r="F210" t="s">
        <v>1</v>
      </c>
      <c r="G210">
        <v>62.3</v>
      </c>
      <c r="H210">
        <v>2.6</v>
      </c>
      <c r="I210">
        <v>3.1</v>
      </c>
      <c r="J210" s="427">
        <v>6</v>
      </c>
      <c r="K210" s="427">
        <v>38</v>
      </c>
      <c r="L210">
        <f t="shared" si="15"/>
        <v>5.7</v>
      </c>
      <c r="M210">
        <f t="shared" si="16"/>
        <v>1.1923076923076923</v>
      </c>
    </row>
    <row r="211" spans="1:13" x14ac:dyDescent="0.25">
      <c r="A211">
        <v>202</v>
      </c>
      <c r="B211" s="1">
        <v>44757</v>
      </c>
      <c r="C211" t="s">
        <v>5</v>
      </c>
      <c r="D211" t="s">
        <v>146</v>
      </c>
      <c r="E211" t="s">
        <v>26</v>
      </c>
      <c r="F211" t="s">
        <v>1</v>
      </c>
      <c r="G211">
        <v>62.2</v>
      </c>
      <c r="H211">
        <v>2.7</v>
      </c>
      <c r="I211">
        <v>3.2</v>
      </c>
      <c r="J211" s="427">
        <v>6</v>
      </c>
      <c r="K211" s="427">
        <v>37</v>
      </c>
      <c r="L211">
        <f t="shared" si="15"/>
        <v>5.9</v>
      </c>
      <c r="M211">
        <f t="shared" si="16"/>
        <v>1.1851851851851851</v>
      </c>
    </row>
    <row r="212" spans="1:13" x14ac:dyDescent="0.25">
      <c r="A212">
        <v>203</v>
      </c>
      <c r="B212" s="1">
        <v>44758</v>
      </c>
      <c r="C212" t="s">
        <v>5</v>
      </c>
      <c r="D212" t="s">
        <v>146</v>
      </c>
      <c r="E212" t="s">
        <v>26</v>
      </c>
      <c r="F212" t="s">
        <v>1</v>
      </c>
      <c r="G212">
        <v>62.3</v>
      </c>
      <c r="H212">
        <v>2.6</v>
      </c>
      <c r="I212">
        <v>3.1</v>
      </c>
      <c r="J212" s="427">
        <v>2</v>
      </c>
      <c r="K212" s="427">
        <v>42</v>
      </c>
      <c r="L212">
        <f t="shared" si="15"/>
        <v>5.7</v>
      </c>
      <c r="M212">
        <f t="shared" si="16"/>
        <v>1.1923076923076923</v>
      </c>
    </row>
    <row r="213" spans="1:13" x14ac:dyDescent="0.25">
      <c r="A213">
        <v>204</v>
      </c>
      <c r="B213" s="1">
        <v>44760</v>
      </c>
      <c r="C213" t="s">
        <v>5</v>
      </c>
      <c r="D213" t="s">
        <v>146</v>
      </c>
      <c r="E213" t="s">
        <v>26</v>
      </c>
      <c r="F213" t="s">
        <v>1</v>
      </c>
      <c r="G213">
        <v>62.3</v>
      </c>
      <c r="H213">
        <v>2.8</v>
      </c>
      <c r="I213">
        <v>3</v>
      </c>
      <c r="J213" s="427">
        <v>8</v>
      </c>
      <c r="K213" s="427">
        <v>34</v>
      </c>
      <c r="L213">
        <f t="shared" si="15"/>
        <v>5.8</v>
      </c>
      <c r="M213">
        <f t="shared" si="16"/>
        <v>1.0714285714285714</v>
      </c>
    </row>
    <row r="214" spans="1:13" x14ac:dyDescent="0.25">
      <c r="A214">
        <v>205</v>
      </c>
      <c r="B214" s="1">
        <v>44761</v>
      </c>
      <c r="C214" t="s">
        <v>5</v>
      </c>
      <c r="D214" t="s">
        <v>146</v>
      </c>
      <c r="E214" t="s">
        <v>26</v>
      </c>
      <c r="F214" t="s">
        <v>1</v>
      </c>
      <c r="G214">
        <v>62.4</v>
      </c>
      <c r="H214">
        <v>2.9</v>
      </c>
      <c r="I214">
        <v>2.8</v>
      </c>
      <c r="J214" s="427">
        <v>2</v>
      </c>
      <c r="K214" s="427">
        <v>44</v>
      </c>
      <c r="L214">
        <f t="shared" si="15"/>
        <v>5.6999999999999993</v>
      </c>
      <c r="M214">
        <f t="shared" si="16"/>
        <v>0.96551724137931028</v>
      </c>
    </row>
    <row r="215" spans="1:13" x14ac:dyDescent="0.25">
      <c r="A215">
        <v>206</v>
      </c>
      <c r="B215" s="1">
        <v>44762</v>
      </c>
      <c r="C215" t="s">
        <v>5</v>
      </c>
      <c r="D215" t="s">
        <v>146</v>
      </c>
      <c r="E215" t="s">
        <v>26</v>
      </c>
      <c r="F215" t="s">
        <v>1</v>
      </c>
      <c r="G215">
        <v>62.4</v>
      </c>
      <c r="H215">
        <v>2.7</v>
      </c>
      <c r="I215">
        <v>2.9</v>
      </c>
      <c r="J215" s="427">
        <v>2</v>
      </c>
      <c r="K215" s="427">
        <v>43</v>
      </c>
      <c r="L215">
        <f t="shared" si="15"/>
        <v>5.6</v>
      </c>
      <c r="M215">
        <f t="shared" si="16"/>
        <v>1.074074074074074</v>
      </c>
    </row>
    <row r="216" spans="1:13" x14ac:dyDescent="0.25">
      <c r="A216">
        <v>207</v>
      </c>
      <c r="B216" s="1">
        <v>44762</v>
      </c>
      <c r="C216" t="s">
        <v>5</v>
      </c>
      <c r="D216" t="s">
        <v>146</v>
      </c>
      <c r="E216" t="s">
        <v>26</v>
      </c>
      <c r="F216" t="s">
        <v>1</v>
      </c>
      <c r="G216">
        <v>62.3</v>
      </c>
      <c r="H216">
        <v>3.1</v>
      </c>
      <c r="I216">
        <v>2.7</v>
      </c>
      <c r="J216" s="427">
        <v>8</v>
      </c>
      <c r="K216" s="427">
        <v>40</v>
      </c>
      <c r="L216">
        <f t="shared" si="15"/>
        <v>5.8000000000000007</v>
      </c>
      <c r="M216">
        <f t="shared" si="16"/>
        <v>0.87096774193548387</v>
      </c>
    </row>
    <row r="217" spans="1:13" x14ac:dyDescent="0.25">
      <c r="A217">
        <v>208</v>
      </c>
      <c r="B217" s="1">
        <v>44763</v>
      </c>
      <c r="C217" t="s">
        <v>5</v>
      </c>
      <c r="D217" t="s">
        <v>146</v>
      </c>
      <c r="E217" t="s">
        <v>26</v>
      </c>
      <c r="F217" t="s">
        <v>1</v>
      </c>
      <c r="G217">
        <v>62.1</v>
      </c>
      <c r="H217">
        <v>3.2</v>
      </c>
      <c r="I217">
        <v>2.8</v>
      </c>
      <c r="J217" s="427">
        <v>8</v>
      </c>
      <c r="K217" s="427">
        <v>39</v>
      </c>
      <c r="L217">
        <f t="shared" si="15"/>
        <v>6</v>
      </c>
      <c r="M217">
        <f t="shared" si="16"/>
        <v>0.87499999999999989</v>
      </c>
    </row>
    <row r="218" spans="1:13" x14ac:dyDescent="0.25">
      <c r="A218">
        <v>209</v>
      </c>
      <c r="B218" s="1">
        <v>44764</v>
      </c>
      <c r="C218" t="s">
        <v>5</v>
      </c>
      <c r="D218" t="s">
        <v>146</v>
      </c>
      <c r="E218" t="s">
        <v>26</v>
      </c>
      <c r="F218" t="s">
        <v>1</v>
      </c>
      <c r="G218">
        <v>62.2</v>
      </c>
      <c r="H218">
        <v>2.9</v>
      </c>
      <c r="I218">
        <v>3</v>
      </c>
      <c r="J218" s="427">
        <v>7</v>
      </c>
      <c r="K218" s="427">
        <v>37</v>
      </c>
      <c r="L218">
        <f t="shared" si="15"/>
        <v>5.9</v>
      </c>
      <c r="M218">
        <f t="shared" si="16"/>
        <v>1.0344827586206897</v>
      </c>
    </row>
    <row r="219" spans="1:13" x14ac:dyDescent="0.25">
      <c r="A219">
        <v>210</v>
      </c>
      <c r="B219" s="1">
        <v>44765</v>
      </c>
      <c r="C219" t="s">
        <v>5</v>
      </c>
      <c r="D219" t="s">
        <v>146</v>
      </c>
      <c r="E219" t="s">
        <v>26</v>
      </c>
      <c r="F219" t="s">
        <v>1</v>
      </c>
      <c r="G219">
        <v>62.4</v>
      </c>
      <c r="H219">
        <v>2.7</v>
      </c>
      <c r="I219">
        <v>2.9</v>
      </c>
      <c r="L219">
        <f t="shared" si="15"/>
        <v>5.6</v>
      </c>
      <c r="M219">
        <f t="shared" si="16"/>
        <v>1.074074074074074</v>
      </c>
    </row>
    <row r="220" spans="1:13" x14ac:dyDescent="0.25">
      <c r="A220">
        <v>211</v>
      </c>
      <c r="B220" s="1">
        <v>44766</v>
      </c>
      <c r="C220" t="s">
        <v>5</v>
      </c>
      <c r="D220" t="s">
        <v>146</v>
      </c>
      <c r="E220" t="s">
        <v>26</v>
      </c>
      <c r="F220" t="s">
        <v>1</v>
      </c>
      <c r="G220">
        <v>62</v>
      </c>
      <c r="H220">
        <v>3.4</v>
      </c>
      <c r="I220">
        <v>2.8</v>
      </c>
      <c r="J220" s="427">
        <v>5</v>
      </c>
      <c r="K220" s="427">
        <v>38</v>
      </c>
      <c r="L220">
        <f t="shared" si="15"/>
        <v>6.1999999999999993</v>
      </c>
      <c r="M220">
        <f t="shared" si="16"/>
        <v>0.82352941176470584</v>
      </c>
    </row>
    <row r="221" spans="1:13" x14ac:dyDescent="0.25">
      <c r="A221">
        <v>212</v>
      </c>
      <c r="B221" s="1">
        <v>44768</v>
      </c>
      <c r="C221" t="s">
        <v>5</v>
      </c>
      <c r="D221" t="s">
        <v>146</v>
      </c>
      <c r="E221" t="s">
        <v>26</v>
      </c>
      <c r="F221" t="s">
        <v>1</v>
      </c>
      <c r="G221">
        <v>62.2</v>
      </c>
      <c r="H221">
        <v>2.7</v>
      </c>
      <c r="I221">
        <v>3.2</v>
      </c>
      <c r="J221" s="427">
        <v>9</v>
      </c>
      <c r="K221" s="427">
        <v>41</v>
      </c>
      <c r="L221">
        <f t="shared" si="15"/>
        <v>5.9</v>
      </c>
      <c r="M221">
        <f t="shared" si="16"/>
        <v>1.1851851851851851</v>
      </c>
    </row>
    <row r="222" spans="1:13" x14ac:dyDescent="0.25">
      <c r="A222">
        <v>213</v>
      </c>
      <c r="B222" s="1">
        <v>44750</v>
      </c>
      <c r="C222" t="s">
        <v>5</v>
      </c>
      <c r="D222" t="s">
        <v>27</v>
      </c>
      <c r="E222" t="s">
        <v>26</v>
      </c>
      <c r="F222" t="s">
        <v>1</v>
      </c>
      <c r="G222">
        <v>59.7</v>
      </c>
      <c r="H222">
        <v>6.8</v>
      </c>
      <c r="I222">
        <v>2.6</v>
      </c>
      <c r="J222" s="427">
        <v>8</v>
      </c>
      <c r="K222" s="427">
        <v>37</v>
      </c>
      <c r="L222">
        <f t="shared" si="15"/>
        <v>9.4</v>
      </c>
      <c r="M222">
        <f t="shared" si="16"/>
        <v>0.38235294117647062</v>
      </c>
    </row>
    <row r="223" spans="1:13" x14ac:dyDescent="0.25">
      <c r="A223">
        <v>214</v>
      </c>
      <c r="B223" s="1">
        <v>44765</v>
      </c>
      <c r="C223" t="s">
        <v>5</v>
      </c>
      <c r="D223" t="s">
        <v>27</v>
      </c>
      <c r="E223" t="s">
        <v>26</v>
      </c>
      <c r="F223" t="s">
        <v>1</v>
      </c>
      <c r="G223">
        <v>59.3</v>
      </c>
      <c r="H223">
        <v>6.5</v>
      </c>
      <c r="I223">
        <v>3.5</v>
      </c>
      <c r="J223" s="427">
        <v>8</v>
      </c>
      <c r="K223" s="427">
        <v>46</v>
      </c>
      <c r="L223">
        <f t="shared" si="15"/>
        <v>10</v>
      </c>
      <c r="M223">
        <f t="shared" si="16"/>
        <v>0.53846153846153844</v>
      </c>
    </row>
    <row r="224" spans="1:13" x14ac:dyDescent="0.25">
      <c r="A224">
        <v>215</v>
      </c>
      <c r="B224" s="1">
        <v>44766</v>
      </c>
      <c r="C224" t="s">
        <v>5</v>
      </c>
      <c r="D224" t="s">
        <v>27</v>
      </c>
      <c r="E224" t="s">
        <v>26</v>
      </c>
      <c r="F224" t="s">
        <v>1</v>
      </c>
      <c r="G224">
        <v>58.5</v>
      </c>
      <c r="H224">
        <v>9.1999999999999993</v>
      </c>
      <c r="I224">
        <v>2</v>
      </c>
      <c r="J224" s="427">
        <v>10</v>
      </c>
      <c r="K224" s="427">
        <v>44</v>
      </c>
      <c r="L224">
        <f t="shared" si="15"/>
        <v>11.2</v>
      </c>
      <c r="M224">
        <f t="shared" si="16"/>
        <v>0.21739130434782611</v>
      </c>
    </row>
    <row r="225" spans="1:13" x14ac:dyDescent="0.25">
      <c r="A225">
        <v>216</v>
      </c>
      <c r="B225" s="1">
        <v>44756</v>
      </c>
      <c r="C225" t="s">
        <v>5</v>
      </c>
      <c r="D225" t="s">
        <v>2</v>
      </c>
      <c r="E225" t="s">
        <v>26</v>
      </c>
      <c r="F225" t="s">
        <v>1</v>
      </c>
      <c r="G225">
        <v>59.3</v>
      </c>
      <c r="H225">
        <v>6.8</v>
      </c>
      <c r="I225">
        <v>3.2</v>
      </c>
      <c r="J225" s="427">
        <v>4</v>
      </c>
      <c r="K225" s="427">
        <v>37</v>
      </c>
      <c r="L225">
        <f t="shared" si="15"/>
        <v>10</v>
      </c>
      <c r="M225">
        <f t="shared" si="16"/>
        <v>0.4705882352941177</v>
      </c>
    </row>
    <row r="226" spans="1:13" x14ac:dyDescent="0.25">
      <c r="A226">
        <v>217</v>
      </c>
      <c r="B226" s="1">
        <v>44759</v>
      </c>
      <c r="C226" t="s">
        <v>5</v>
      </c>
      <c r="D226" t="s">
        <v>2</v>
      </c>
      <c r="E226" t="s">
        <v>26</v>
      </c>
      <c r="F226" t="s">
        <v>1</v>
      </c>
      <c r="G226">
        <v>61.3</v>
      </c>
      <c r="H226">
        <v>3.3</v>
      </c>
      <c r="I226">
        <v>3.8</v>
      </c>
      <c r="J226" s="427">
        <v>8</v>
      </c>
      <c r="K226" s="427">
        <v>43</v>
      </c>
      <c r="L226">
        <f t="shared" si="15"/>
        <v>7.1</v>
      </c>
      <c r="M226">
        <f t="shared" si="16"/>
        <v>1.1515151515151516</v>
      </c>
    </row>
    <row r="227" spans="1:13" x14ac:dyDescent="0.25">
      <c r="A227">
        <v>218</v>
      </c>
      <c r="B227" s="1">
        <v>44763</v>
      </c>
      <c r="C227" t="s">
        <v>5</v>
      </c>
      <c r="D227" t="s">
        <v>2</v>
      </c>
      <c r="E227" t="s">
        <v>26</v>
      </c>
      <c r="F227" t="s">
        <v>1</v>
      </c>
      <c r="G227">
        <v>58.6</v>
      </c>
      <c r="H227">
        <v>7.1</v>
      </c>
      <c r="I227">
        <v>4</v>
      </c>
      <c r="L227">
        <f t="shared" ref="L227:L279" si="17">+I227+H227</f>
        <v>11.1</v>
      </c>
      <c r="M227">
        <f t="shared" si="16"/>
        <v>0.56338028169014087</v>
      </c>
    </row>
    <row r="228" spans="1:13" x14ac:dyDescent="0.25">
      <c r="A228">
        <v>219</v>
      </c>
      <c r="B228" s="1">
        <v>44766</v>
      </c>
      <c r="C228" t="s">
        <v>5</v>
      </c>
      <c r="D228" t="s">
        <v>2</v>
      </c>
      <c r="E228" t="s">
        <v>26</v>
      </c>
      <c r="F228" t="s">
        <v>1</v>
      </c>
      <c r="G228">
        <v>59</v>
      </c>
      <c r="H228">
        <v>7.5</v>
      </c>
      <c r="I228">
        <v>3</v>
      </c>
      <c r="J228" s="427">
        <v>8</v>
      </c>
      <c r="K228" s="427">
        <v>36</v>
      </c>
      <c r="L228">
        <f t="shared" si="17"/>
        <v>10.5</v>
      </c>
      <c r="M228">
        <f t="shared" si="16"/>
        <v>0.4</v>
      </c>
    </row>
    <row r="229" spans="1:13" x14ac:dyDescent="0.25">
      <c r="A229">
        <v>220</v>
      </c>
      <c r="B229" s="1">
        <v>44747</v>
      </c>
      <c r="C229" t="s">
        <v>5</v>
      </c>
      <c r="D229" t="s">
        <v>10</v>
      </c>
      <c r="E229" t="s">
        <v>26</v>
      </c>
      <c r="F229" t="s">
        <v>1</v>
      </c>
      <c r="G229">
        <v>60.8</v>
      </c>
      <c r="H229">
        <v>5.2</v>
      </c>
      <c r="I229">
        <v>2.7</v>
      </c>
      <c r="J229" s="427">
        <v>5</v>
      </c>
      <c r="K229" s="427">
        <v>39</v>
      </c>
      <c r="L229">
        <f t="shared" si="17"/>
        <v>7.9</v>
      </c>
      <c r="M229">
        <f t="shared" si="16"/>
        <v>0.51923076923076927</v>
      </c>
    </row>
    <row r="230" spans="1:13" x14ac:dyDescent="0.25">
      <c r="A230">
        <v>221</v>
      </c>
      <c r="B230" s="1">
        <v>44756</v>
      </c>
      <c r="C230" t="s">
        <v>5</v>
      </c>
      <c r="D230" t="s">
        <v>10</v>
      </c>
      <c r="E230" t="s">
        <v>26</v>
      </c>
      <c r="F230" t="s">
        <v>1</v>
      </c>
      <c r="G230">
        <v>58.5</v>
      </c>
      <c r="H230">
        <v>7.2</v>
      </c>
      <c r="I230">
        <v>3.9</v>
      </c>
      <c r="J230" s="427">
        <v>3</v>
      </c>
      <c r="K230" s="427">
        <v>39</v>
      </c>
      <c r="L230">
        <f t="shared" si="17"/>
        <v>11.1</v>
      </c>
      <c r="M230">
        <f t="shared" si="16"/>
        <v>0.54166666666666663</v>
      </c>
    </row>
    <row r="231" spans="1:13" x14ac:dyDescent="0.25">
      <c r="A231">
        <v>222</v>
      </c>
      <c r="B231" s="1">
        <v>44758</v>
      </c>
      <c r="C231" t="s">
        <v>5</v>
      </c>
      <c r="D231" t="s">
        <v>10</v>
      </c>
      <c r="E231" t="s">
        <v>26</v>
      </c>
      <c r="F231" t="s">
        <v>1</v>
      </c>
      <c r="G231">
        <v>58.6</v>
      </c>
      <c r="H231">
        <v>4.2</v>
      </c>
      <c r="I231">
        <v>6.8</v>
      </c>
      <c r="J231" s="427">
        <v>4</v>
      </c>
      <c r="K231" s="427">
        <v>38</v>
      </c>
      <c r="L231">
        <f t="shared" si="17"/>
        <v>11</v>
      </c>
      <c r="M231">
        <f t="shared" si="16"/>
        <v>1.6190476190476188</v>
      </c>
    </row>
    <row r="232" spans="1:13" x14ac:dyDescent="0.25">
      <c r="A232">
        <v>223</v>
      </c>
      <c r="B232" s="1">
        <v>44759</v>
      </c>
      <c r="C232" t="s">
        <v>5</v>
      </c>
      <c r="D232" t="s">
        <v>10</v>
      </c>
      <c r="E232" t="s">
        <v>26</v>
      </c>
      <c r="F232" t="s">
        <v>1</v>
      </c>
      <c r="G232">
        <v>61</v>
      </c>
      <c r="H232">
        <v>3.6</v>
      </c>
      <c r="I232">
        <v>4</v>
      </c>
      <c r="J232" s="427">
        <v>6</v>
      </c>
      <c r="K232" s="427">
        <v>44</v>
      </c>
      <c r="L232">
        <f t="shared" si="17"/>
        <v>7.6</v>
      </c>
      <c r="M232">
        <f t="shared" si="16"/>
        <v>1.1111111111111112</v>
      </c>
    </row>
    <row r="233" spans="1:13" x14ac:dyDescent="0.25">
      <c r="A233">
        <v>224</v>
      </c>
      <c r="B233" s="1">
        <v>44763</v>
      </c>
      <c r="C233" t="s">
        <v>5</v>
      </c>
      <c r="D233" t="s">
        <v>10</v>
      </c>
      <c r="E233" t="s">
        <v>26</v>
      </c>
      <c r="F233" t="s">
        <v>1</v>
      </c>
      <c r="G233">
        <v>58.5</v>
      </c>
      <c r="H233">
        <v>7.3</v>
      </c>
      <c r="I233">
        <v>3.9</v>
      </c>
      <c r="J233" s="427">
        <v>2</v>
      </c>
      <c r="K233" s="427">
        <v>44</v>
      </c>
      <c r="L233">
        <f t="shared" si="17"/>
        <v>11.2</v>
      </c>
      <c r="M233">
        <f t="shared" si="16"/>
        <v>0.53424657534246578</v>
      </c>
    </row>
    <row r="234" spans="1:13" x14ac:dyDescent="0.25">
      <c r="A234">
        <v>225</v>
      </c>
      <c r="B234" s="1">
        <v>44743</v>
      </c>
      <c r="C234" t="s">
        <v>5</v>
      </c>
      <c r="D234" t="s">
        <v>31</v>
      </c>
      <c r="E234" t="s">
        <v>26</v>
      </c>
      <c r="F234" t="s">
        <v>1</v>
      </c>
      <c r="G234">
        <v>62.9</v>
      </c>
      <c r="H234">
        <v>2.5</v>
      </c>
      <c r="I234">
        <v>2.4</v>
      </c>
      <c r="J234" s="427">
        <v>3</v>
      </c>
      <c r="K234" s="427">
        <v>44</v>
      </c>
      <c r="L234">
        <f t="shared" si="17"/>
        <v>4.9000000000000004</v>
      </c>
      <c r="M234">
        <f t="shared" si="16"/>
        <v>0.96</v>
      </c>
    </row>
    <row r="235" spans="1:13" x14ac:dyDescent="0.25">
      <c r="A235">
        <v>226</v>
      </c>
      <c r="B235" s="1">
        <v>44744</v>
      </c>
      <c r="C235" t="s">
        <v>5</v>
      </c>
      <c r="D235" t="s">
        <v>31</v>
      </c>
      <c r="E235" t="s">
        <v>26</v>
      </c>
      <c r="F235" t="s">
        <v>1</v>
      </c>
      <c r="G235">
        <v>62.9</v>
      </c>
      <c r="H235">
        <v>2.2999999999999998</v>
      </c>
      <c r="I235">
        <v>2.5</v>
      </c>
      <c r="J235" s="427">
        <v>3</v>
      </c>
      <c r="K235" s="427">
        <v>39</v>
      </c>
      <c r="L235">
        <f t="shared" si="17"/>
        <v>4.8</v>
      </c>
      <c r="M235">
        <f t="shared" si="16"/>
        <v>1.0869565217391306</v>
      </c>
    </row>
    <row r="236" spans="1:13" x14ac:dyDescent="0.25">
      <c r="A236">
        <v>227</v>
      </c>
      <c r="B236" s="1">
        <v>44744</v>
      </c>
      <c r="C236" t="s">
        <v>5</v>
      </c>
      <c r="D236" t="s">
        <v>31</v>
      </c>
      <c r="E236" t="s">
        <v>26</v>
      </c>
      <c r="F236" t="s">
        <v>1</v>
      </c>
      <c r="G236">
        <v>63</v>
      </c>
      <c r="H236">
        <v>2.1</v>
      </c>
      <c r="I236">
        <v>2.6</v>
      </c>
      <c r="J236" s="427">
        <v>4</v>
      </c>
      <c r="K236" s="427">
        <v>43</v>
      </c>
      <c r="L236">
        <f t="shared" si="17"/>
        <v>4.7</v>
      </c>
      <c r="M236">
        <f t="shared" si="16"/>
        <v>1.2380952380952381</v>
      </c>
    </row>
    <row r="237" spans="1:13" x14ac:dyDescent="0.25">
      <c r="A237">
        <v>228</v>
      </c>
      <c r="B237" s="1">
        <v>44745</v>
      </c>
      <c r="C237" t="s">
        <v>5</v>
      </c>
      <c r="D237" t="s">
        <v>31</v>
      </c>
      <c r="E237" t="s">
        <v>26</v>
      </c>
      <c r="F237" t="s">
        <v>1</v>
      </c>
      <c r="G237">
        <v>62.8</v>
      </c>
      <c r="H237">
        <v>2.2999999999999998</v>
      </c>
      <c r="I237">
        <v>2.7</v>
      </c>
      <c r="J237" s="427">
        <v>6</v>
      </c>
      <c r="K237" s="427">
        <v>41</v>
      </c>
      <c r="L237">
        <f t="shared" si="17"/>
        <v>5</v>
      </c>
      <c r="M237">
        <f t="shared" si="16"/>
        <v>1.173913043478261</v>
      </c>
    </row>
    <row r="238" spans="1:13" x14ac:dyDescent="0.25">
      <c r="A238">
        <v>229</v>
      </c>
      <c r="B238" s="1">
        <v>44745</v>
      </c>
      <c r="C238" t="s">
        <v>5</v>
      </c>
      <c r="D238" t="s">
        <v>31</v>
      </c>
      <c r="E238" t="s">
        <v>26</v>
      </c>
      <c r="F238" t="s">
        <v>1</v>
      </c>
      <c r="G238">
        <v>62.9</v>
      </c>
      <c r="H238">
        <v>2.5</v>
      </c>
      <c r="I238">
        <v>2.4</v>
      </c>
      <c r="J238" s="427">
        <v>5</v>
      </c>
      <c r="K238" s="427">
        <v>37</v>
      </c>
      <c r="L238">
        <f t="shared" si="17"/>
        <v>4.9000000000000004</v>
      </c>
      <c r="M238">
        <f t="shared" si="16"/>
        <v>0.96</v>
      </c>
    </row>
    <row r="239" spans="1:13" x14ac:dyDescent="0.25">
      <c r="A239">
        <v>230</v>
      </c>
      <c r="B239" s="1">
        <v>44745</v>
      </c>
      <c r="C239" t="s">
        <v>5</v>
      </c>
      <c r="D239" t="s">
        <v>31</v>
      </c>
      <c r="E239" t="s">
        <v>26</v>
      </c>
      <c r="F239" t="s">
        <v>1</v>
      </c>
      <c r="G239">
        <v>63</v>
      </c>
      <c r="H239">
        <v>2.4</v>
      </c>
      <c r="I239">
        <v>2.4</v>
      </c>
      <c r="J239" s="427">
        <v>3</v>
      </c>
      <c r="K239" s="427">
        <v>38</v>
      </c>
      <c r="L239">
        <f t="shared" si="17"/>
        <v>4.8</v>
      </c>
      <c r="M239">
        <f t="shared" si="16"/>
        <v>1</v>
      </c>
    </row>
    <row r="240" spans="1:13" x14ac:dyDescent="0.25">
      <c r="A240">
        <v>231</v>
      </c>
      <c r="B240" s="1">
        <v>44746</v>
      </c>
      <c r="C240" t="s">
        <v>5</v>
      </c>
      <c r="D240" t="s">
        <v>31</v>
      </c>
      <c r="E240" t="s">
        <v>26</v>
      </c>
      <c r="F240" t="s">
        <v>1</v>
      </c>
      <c r="G240">
        <v>63</v>
      </c>
      <c r="H240">
        <v>2.5</v>
      </c>
      <c r="I240">
        <v>2.2999999999999998</v>
      </c>
      <c r="J240" s="427">
        <v>5</v>
      </c>
      <c r="K240" s="427">
        <v>38</v>
      </c>
      <c r="L240">
        <f t="shared" si="17"/>
        <v>4.8</v>
      </c>
      <c r="M240">
        <f t="shared" si="16"/>
        <v>0.91999999999999993</v>
      </c>
    </row>
    <row r="241" spans="1:13" x14ac:dyDescent="0.25">
      <c r="A241">
        <v>232</v>
      </c>
      <c r="B241" s="1">
        <v>44746</v>
      </c>
      <c r="C241" t="s">
        <v>5</v>
      </c>
      <c r="D241" t="s">
        <v>31</v>
      </c>
      <c r="E241" t="s">
        <v>26</v>
      </c>
      <c r="F241" t="s">
        <v>1</v>
      </c>
      <c r="G241">
        <v>62.8</v>
      </c>
      <c r="H241">
        <v>2.9</v>
      </c>
      <c r="I241">
        <v>2.1</v>
      </c>
      <c r="J241" s="427">
        <v>5</v>
      </c>
      <c r="K241" s="427">
        <v>40</v>
      </c>
      <c r="L241">
        <f t="shared" si="17"/>
        <v>5</v>
      </c>
      <c r="M241">
        <f t="shared" si="16"/>
        <v>0.72413793103448276</v>
      </c>
    </row>
    <row r="242" spans="1:13" x14ac:dyDescent="0.25">
      <c r="A242">
        <v>233</v>
      </c>
      <c r="B242" s="1">
        <v>44747</v>
      </c>
      <c r="C242" t="s">
        <v>5</v>
      </c>
      <c r="D242" t="s">
        <v>31</v>
      </c>
      <c r="E242" t="s">
        <v>26</v>
      </c>
      <c r="F242" t="s">
        <v>1</v>
      </c>
      <c r="G242">
        <v>62.8</v>
      </c>
      <c r="H242">
        <v>3</v>
      </c>
      <c r="I242">
        <v>2.1</v>
      </c>
      <c r="L242">
        <f t="shared" si="17"/>
        <v>5.0999999999999996</v>
      </c>
      <c r="M242">
        <f t="shared" si="16"/>
        <v>0.70000000000000007</v>
      </c>
    </row>
    <row r="243" spans="1:13" x14ac:dyDescent="0.25">
      <c r="A243">
        <v>234</v>
      </c>
      <c r="B243" s="1">
        <v>44747</v>
      </c>
      <c r="C243" t="s">
        <v>5</v>
      </c>
      <c r="D243" t="s">
        <v>31</v>
      </c>
      <c r="E243" t="s">
        <v>26</v>
      </c>
      <c r="F243" t="s">
        <v>1</v>
      </c>
      <c r="G243">
        <v>62.9</v>
      </c>
      <c r="H243">
        <v>2.4</v>
      </c>
      <c r="I243">
        <v>2.5</v>
      </c>
      <c r="J243" s="427">
        <v>4</v>
      </c>
      <c r="K243" s="427">
        <v>37</v>
      </c>
      <c r="L243">
        <f t="shared" si="17"/>
        <v>4.9000000000000004</v>
      </c>
      <c r="M243">
        <f t="shared" si="16"/>
        <v>1.0416666666666667</v>
      </c>
    </row>
    <row r="244" spans="1:13" x14ac:dyDescent="0.25">
      <c r="A244">
        <v>235</v>
      </c>
      <c r="B244" s="1">
        <v>44748</v>
      </c>
      <c r="C244" t="s">
        <v>5</v>
      </c>
      <c r="D244" t="s">
        <v>31</v>
      </c>
      <c r="E244" t="s">
        <v>26</v>
      </c>
      <c r="F244" t="s">
        <v>1</v>
      </c>
      <c r="G244">
        <v>62.7</v>
      </c>
      <c r="H244">
        <v>2.7</v>
      </c>
      <c r="I244">
        <v>2.5</v>
      </c>
      <c r="J244" s="427">
        <v>3</v>
      </c>
      <c r="K244" s="427">
        <v>38</v>
      </c>
      <c r="L244">
        <f t="shared" si="17"/>
        <v>5.2</v>
      </c>
      <c r="M244">
        <f t="shared" si="16"/>
        <v>0.92592592592592582</v>
      </c>
    </row>
    <row r="245" spans="1:13" x14ac:dyDescent="0.25">
      <c r="A245">
        <v>236</v>
      </c>
      <c r="B245" s="1">
        <v>44748</v>
      </c>
      <c r="C245" t="s">
        <v>5</v>
      </c>
      <c r="D245" t="s">
        <v>31</v>
      </c>
      <c r="E245" t="s">
        <v>26</v>
      </c>
      <c r="F245" t="s">
        <v>1</v>
      </c>
      <c r="G245">
        <v>63</v>
      </c>
      <c r="H245">
        <v>2.4</v>
      </c>
      <c r="I245">
        <v>2.4</v>
      </c>
      <c r="L245">
        <f t="shared" si="17"/>
        <v>4.8</v>
      </c>
      <c r="M245">
        <f t="shared" si="16"/>
        <v>1</v>
      </c>
    </row>
    <row r="246" spans="1:13" x14ac:dyDescent="0.25">
      <c r="A246">
        <v>237</v>
      </c>
      <c r="B246" s="1">
        <v>44749</v>
      </c>
      <c r="C246" t="s">
        <v>5</v>
      </c>
      <c r="D246" t="s">
        <v>31</v>
      </c>
      <c r="E246" t="s">
        <v>26</v>
      </c>
      <c r="F246" t="s">
        <v>1</v>
      </c>
      <c r="G246">
        <v>62.8</v>
      </c>
      <c r="H246">
        <v>2.4</v>
      </c>
      <c r="I246">
        <v>2.6</v>
      </c>
      <c r="J246" s="427">
        <v>7</v>
      </c>
      <c r="K246" s="427">
        <v>41</v>
      </c>
      <c r="L246">
        <f t="shared" si="17"/>
        <v>5</v>
      </c>
      <c r="M246">
        <f t="shared" si="16"/>
        <v>1.0833333333333335</v>
      </c>
    </row>
    <row r="247" spans="1:13" x14ac:dyDescent="0.25">
      <c r="A247">
        <v>238</v>
      </c>
      <c r="B247" s="1">
        <v>44750</v>
      </c>
      <c r="C247" t="s">
        <v>5</v>
      </c>
      <c r="D247" t="s">
        <v>31</v>
      </c>
      <c r="E247" t="s">
        <v>26</v>
      </c>
      <c r="F247" t="s">
        <v>1</v>
      </c>
      <c r="G247">
        <v>62.9</v>
      </c>
      <c r="H247">
        <v>2.2999999999999998</v>
      </c>
      <c r="I247">
        <v>2.6</v>
      </c>
      <c r="J247" s="427">
        <v>4</v>
      </c>
      <c r="K247" s="427">
        <v>32</v>
      </c>
      <c r="L247">
        <f t="shared" si="17"/>
        <v>4.9000000000000004</v>
      </c>
      <c r="M247">
        <f t="shared" si="16"/>
        <v>1.1304347826086958</v>
      </c>
    </row>
    <row r="248" spans="1:13" x14ac:dyDescent="0.25">
      <c r="A248">
        <v>239</v>
      </c>
      <c r="B248" s="1">
        <v>44750</v>
      </c>
      <c r="C248" t="s">
        <v>5</v>
      </c>
      <c r="D248" t="s">
        <v>31</v>
      </c>
      <c r="E248" t="s">
        <v>26</v>
      </c>
      <c r="F248" t="s">
        <v>1</v>
      </c>
      <c r="G248">
        <v>62.9</v>
      </c>
      <c r="H248">
        <v>2.5</v>
      </c>
      <c r="I248">
        <v>2.4</v>
      </c>
      <c r="J248" s="427">
        <v>4</v>
      </c>
      <c r="K248" s="427">
        <v>40</v>
      </c>
      <c r="L248">
        <f t="shared" si="17"/>
        <v>4.9000000000000004</v>
      </c>
      <c r="M248">
        <f t="shared" si="16"/>
        <v>0.96</v>
      </c>
    </row>
    <row r="249" spans="1:13" x14ac:dyDescent="0.25">
      <c r="A249">
        <v>240</v>
      </c>
      <c r="B249" s="1">
        <v>44751</v>
      </c>
      <c r="C249" t="s">
        <v>5</v>
      </c>
      <c r="D249" t="s">
        <v>31</v>
      </c>
      <c r="E249" t="s">
        <v>26</v>
      </c>
      <c r="F249" t="s">
        <v>1</v>
      </c>
      <c r="G249">
        <v>63</v>
      </c>
      <c r="H249">
        <v>2.1</v>
      </c>
      <c r="I249">
        <v>2.6</v>
      </c>
      <c r="J249" s="427">
        <v>3</v>
      </c>
      <c r="K249" s="427">
        <v>40</v>
      </c>
      <c r="L249">
        <f t="shared" si="17"/>
        <v>4.7</v>
      </c>
      <c r="M249">
        <f t="shared" si="16"/>
        <v>1.2380952380952381</v>
      </c>
    </row>
    <row r="250" spans="1:13" x14ac:dyDescent="0.25">
      <c r="A250">
        <v>241</v>
      </c>
      <c r="B250" s="1">
        <v>44751</v>
      </c>
      <c r="C250" t="s">
        <v>5</v>
      </c>
      <c r="D250" t="s">
        <v>31</v>
      </c>
      <c r="E250" t="s">
        <v>26</v>
      </c>
      <c r="F250" t="s">
        <v>1</v>
      </c>
      <c r="G250">
        <v>62.8</v>
      </c>
      <c r="H250">
        <v>2.4</v>
      </c>
      <c r="I250">
        <v>2.6</v>
      </c>
      <c r="J250" s="427">
        <v>3</v>
      </c>
      <c r="K250" s="427">
        <v>42</v>
      </c>
      <c r="L250">
        <f t="shared" si="17"/>
        <v>5</v>
      </c>
      <c r="M250">
        <f t="shared" si="16"/>
        <v>1.0833333333333335</v>
      </c>
    </row>
    <row r="251" spans="1:13" x14ac:dyDescent="0.25">
      <c r="A251">
        <v>242</v>
      </c>
      <c r="B251" s="1">
        <v>44752</v>
      </c>
      <c r="C251" t="s">
        <v>5</v>
      </c>
      <c r="D251" t="s">
        <v>31</v>
      </c>
      <c r="E251" t="s">
        <v>26</v>
      </c>
      <c r="F251" t="s">
        <v>1</v>
      </c>
      <c r="G251">
        <v>62.9</v>
      </c>
      <c r="H251">
        <v>2.6</v>
      </c>
      <c r="I251">
        <v>2.2999999999999998</v>
      </c>
      <c r="J251" s="427">
        <v>3</v>
      </c>
      <c r="K251" s="427">
        <v>40</v>
      </c>
      <c r="L251">
        <f t="shared" si="17"/>
        <v>4.9000000000000004</v>
      </c>
      <c r="M251">
        <f t="shared" si="16"/>
        <v>0.88461538461538447</v>
      </c>
    </row>
    <row r="252" spans="1:13" x14ac:dyDescent="0.25">
      <c r="A252">
        <v>243</v>
      </c>
      <c r="B252" s="1">
        <v>44753</v>
      </c>
      <c r="C252" t="s">
        <v>5</v>
      </c>
      <c r="D252" t="s">
        <v>31</v>
      </c>
      <c r="E252" t="s">
        <v>26</v>
      </c>
      <c r="F252" t="s">
        <v>1</v>
      </c>
      <c r="G252">
        <v>62.7</v>
      </c>
      <c r="H252">
        <v>2.5</v>
      </c>
      <c r="I252">
        <v>2.7</v>
      </c>
      <c r="J252" s="427">
        <v>3</v>
      </c>
      <c r="K252" s="427">
        <v>36</v>
      </c>
      <c r="L252">
        <f t="shared" si="17"/>
        <v>5.2</v>
      </c>
      <c r="M252">
        <f t="shared" si="16"/>
        <v>1.08</v>
      </c>
    </row>
    <row r="253" spans="1:13" x14ac:dyDescent="0.25">
      <c r="A253">
        <v>244</v>
      </c>
      <c r="B253" s="1">
        <v>44753</v>
      </c>
      <c r="C253" t="s">
        <v>5</v>
      </c>
      <c r="D253" t="s">
        <v>31</v>
      </c>
      <c r="E253" t="s">
        <v>26</v>
      </c>
      <c r="F253" t="s">
        <v>1</v>
      </c>
      <c r="G253">
        <v>62.8</v>
      </c>
      <c r="H253">
        <v>2.2999999999999998</v>
      </c>
      <c r="I253">
        <v>2.7</v>
      </c>
      <c r="J253" s="427">
        <v>3</v>
      </c>
      <c r="K253" s="427">
        <v>37</v>
      </c>
      <c r="L253">
        <f t="shared" si="17"/>
        <v>5</v>
      </c>
      <c r="M253">
        <f t="shared" si="16"/>
        <v>1.173913043478261</v>
      </c>
    </row>
    <row r="254" spans="1:13" x14ac:dyDescent="0.25">
      <c r="A254">
        <v>245</v>
      </c>
      <c r="B254" s="1">
        <v>44753</v>
      </c>
      <c r="C254" t="s">
        <v>5</v>
      </c>
      <c r="D254" t="s">
        <v>31</v>
      </c>
      <c r="E254" t="s">
        <v>26</v>
      </c>
      <c r="F254" t="s">
        <v>1</v>
      </c>
      <c r="G254">
        <v>62.8</v>
      </c>
      <c r="H254">
        <v>2.1</v>
      </c>
      <c r="I254">
        <v>2.9</v>
      </c>
      <c r="J254" s="427">
        <v>4</v>
      </c>
      <c r="K254" s="427">
        <v>39</v>
      </c>
      <c r="L254">
        <f t="shared" si="17"/>
        <v>5</v>
      </c>
      <c r="M254">
        <f t="shared" si="16"/>
        <v>1.3809523809523809</v>
      </c>
    </row>
    <row r="255" spans="1:13" x14ac:dyDescent="0.25">
      <c r="A255">
        <v>246</v>
      </c>
      <c r="B255" s="1">
        <v>44754</v>
      </c>
      <c r="C255" t="s">
        <v>5</v>
      </c>
      <c r="D255" t="s">
        <v>31</v>
      </c>
      <c r="E255" t="s">
        <v>26</v>
      </c>
      <c r="F255" t="s">
        <v>1</v>
      </c>
      <c r="G255">
        <v>62.9</v>
      </c>
      <c r="H255">
        <v>2.5</v>
      </c>
      <c r="I255">
        <v>2.2999999999999998</v>
      </c>
      <c r="J255" s="427">
        <v>4</v>
      </c>
      <c r="K255" s="427">
        <v>39</v>
      </c>
      <c r="L255">
        <f t="shared" si="17"/>
        <v>4.8</v>
      </c>
      <c r="M255">
        <f t="shared" ref="M255:M318" si="18">+I255/IF(H255 = 0,1,H255)</f>
        <v>0.91999999999999993</v>
      </c>
    </row>
    <row r="256" spans="1:13" x14ac:dyDescent="0.25">
      <c r="A256">
        <v>247</v>
      </c>
      <c r="B256" s="1">
        <v>44754</v>
      </c>
      <c r="C256" t="s">
        <v>5</v>
      </c>
      <c r="D256" t="s">
        <v>31</v>
      </c>
      <c r="E256" t="s">
        <v>26</v>
      </c>
      <c r="F256" t="s">
        <v>1</v>
      </c>
      <c r="G256">
        <v>62.7</v>
      </c>
      <c r="H256">
        <v>2.7</v>
      </c>
      <c r="I256">
        <v>2.4</v>
      </c>
      <c r="J256" s="427">
        <v>5</v>
      </c>
      <c r="K256" s="427">
        <v>38</v>
      </c>
      <c r="L256">
        <f t="shared" si="17"/>
        <v>5.0999999999999996</v>
      </c>
      <c r="M256">
        <f t="shared" si="18"/>
        <v>0.88888888888888884</v>
      </c>
    </row>
    <row r="257" spans="1:13" x14ac:dyDescent="0.25">
      <c r="A257">
        <v>248</v>
      </c>
      <c r="B257" s="1">
        <v>44755</v>
      </c>
      <c r="C257" t="s">
        <v>5</v>
      </c>
      <c r="D257" t="s">
        <v>31</v>
      </c>
      <c r="E257" t="s">
        <v>26</v>
      </c>
      <c r="F257" t="s">
        <v>1</v>
      </c>
      <c r="G257">
        <v>62.8</v>
      </c>
      <c r="H257">
        <v>2.6</v>
      </c>
      <c r="I257">
        <v>2.4</v>
      </c>
      <c r="J257" s="427">
        <v>3</v>
      </c>
      <c r="K257" s="427">
        <v>40</v>
      </c>
      <c r="L257">
        <f t="shared" si="17"/>
        <v>5</v>
      </c>
      <c r="M257">
        <f t="shared" si="18"/>
        <v>0.92307692307692302</v>
      </c>
    </row>
    <row r="258" spans="1:13" x14ac:dyDescent="0.25">
      <c r="A258">
        <v>249</v>
      </c>
      <c r="B258" s="1">
        <v>44755</v>
      </c>
      <c r="C258" t="s">
        <v>5</v>
      </c>
      <c r="D258" t="s">
        <v>31</v>
      </c>
      <c r="E258" t="s">
        <v>26</v>
      </c>
      <c r="F258" t="s">
        <v>1</v>
      </c>
      <c r="G258">
        <v>62.9</v>
      </c>
      <c r="H258">
        <v>2.2999999999999998</v>
      </c>
      <c r="I258">
        <v>2.5</v>
      </c>
      <c r="J258" s="427">
        <v>3</v>
      </c>
      <c r="K258" s="427">
        <v>41</v>
      </c>
      <c r="L258">
        <f t="shared" si="17"/>
        <v>4.8</v>
      </c>
      <c r="M258">
        <f t="shared" si="18"/>
        <v>1.0869565217391306</v>
      </c>
    </row>
    <row r="259" spans="1:13" x14ac:dyDescent="0.25">
      <c r="A259">
        <v>250</v>
      </c>
      <c r="B259" s="1">
        <v>44756</v>
      </c>
      <c r="C259" t="s">
        <v>5</v>
      </c>
      <c r="D259" t="s">
        <v>31</v>
      </c>
      <c r="E259" t="s">
        <v>26</v>
      </c>
      <c r="F259" t="s">
        <v>1</v>
      </c>
      <c r="G259">
        <v>62.8</v>
      </c>
      <c r="H259">
        <v>2.2000000000000002</v>
      </c>
      <c r="I259">
        <v>2.8</v>
      </c>
      <c r="J259" s="427">
        <v>2</v>
      </c>
      <c r="K259" s="427">
        <v>39</v>
      </c>
      <c r="L259">
        <f t="shared" si="17"/>
        <v>5</v>
      </c>
      <c r="M259">
        <f t="shared" si="18"/>
        <v>1.2727272727272725</v>
      </c>
    </row>
    <row r="260" spans="1:13" x14ac:dyDescent="0.25">
      <c r="A260">
        <v>251</v>
      </c>
      <c r="B260" s="1">
        <v>44756</v>
      </c>
      <c r="C260" t="s">
        <v>5</v>
      </c>
      <c r="D260" t="s">
        <v>31</v>
      </c>
      <c r="E260" t="s">
        <v>26</v>
      </c>
      <c r="F260" t="s">
        <v>1</v>
      </c>
      <c r="G260">
        <v>62.7</v>
      </c>
      <c r="H260">
        <v>2.7</v>
      </c>
      <c r="I260">
        <v>2.4</v>
      </c>
      <c r="J260" s="427">
        <v>3</v>
      </c>
      <c r="K260" s="427">
        <v>40</v>
      </c>
      <c r="L260">
        <f t="shared" si="17"/>
        <v>5.0999999999999996</v>
      </c>
      <c r="M260">
        <f t="shared" si="18"/>
        <v>0.88888888888888884</v>
      </c>
    </row>
    <row r="261" spans="1:13" x14ac:dyDescent="0.25">
      <c r="A261">
        <v>252</v>
      </c>
      <c r="B261" s="1">
        <v>44758</v>
      </c>
      <c r="C261" t="s">
        <v>5</v>
      </c>
      <c r="D261" t="s">
        <v>31</v>
      </c>
      <c r="E261" t="s">
        <v>26</v>
      </c>
      <c r="F261" t="s">
        <v>1</v>
      </c>
      <c r="G261">
        <v>62.8</v>
      </c>
      <c r="H261">
        <v>2.4</v>
      </c>
      <c r="I261">
        <v>2.6</v>
      </c>
      <c r="J261" s="427">
        <v>2</v>
      </c>
      <c r="K261" s="427">
        <v>42</v>
      </c>
      <c r="L261">
        <f t="shared" si="17"/>
        <v>5</v>
      </c>
      <c r="M261">
        <f t="shared" si="18"/>
        <v>1.0833333333333335</v>
      </c>
    </row>
    <row r="262" spans="1:13" x14ac:dyDescent="0.25">
      <c r="A262">
        <v>253</v>
      </c>
      <c r="B262" s="1">
        <v>44759</v>
      </c>
      <c r="C262" t="s">
        <v>5</v>
      </c>
      <c r="D262" t="s">
        <v>31</v>
      </c>
      <c r="E262" t="s">
        <v>26</v>
      </c>
      <c r="F262" t="s">
        <v>1</v>
      </c>
      <c r="G262">
        <v>62.9</v>
      </c>
      <c r="H262">
        <v>2.2000000000000002</v>
      </c>
      <c r="I262">
        <v>2.7</v>
      </c>
      <c r="J262" s="427">
        <v>2</v>
      </c>
      <c r="K262" s="427">
        <v>35</v>
      </c>
      <c r="L262">
        <f t="shared" si="17"/>
        <v>4.9000000000000004</v>
      </c>
      <c r="M262">
        <f t="shared" si="18"/>
        <v>1.2272727272727273</v>
      </c>
    </row>
    <row r="263" spans="1:13" x14ac:dyDescent="0.25">
      <c r="A263">
        <v>254</v>
      </c>
      <c r="B263" s="1">
        <v>44759</v>
      </c>
      <c r="C263" t="s">
        <v>5</v>
      </c>
      <c r="D263" t="s">
        <v>31</v>
      </c>
      <c r="E263" t="s">
        <v>26</v>
      </c>
      <c r="F263" t="s">
        <v>1</v>
      </c>
      <c r="G263">
        <v>62.8</v>
      </c>
      <c r="H263">
        <v>2.6</v>
      </c>
      <c r="I263">
        <v>2.4</v>
      </c>
      <c r="J263" s="427">
        <v>3</v>
      </c>
      <c r="K263" s="427">
        <v>38</v>
      </c>
      <c r="L263">
        <f t="shared" si="17"/>
        <v>5</v>
      </c>
      <c r="M263">
        <f t="shared" si="18"/>
        <v>0.92307692307692302</v>
      </c>
    </row>
    <row r="264" spans="1:13" x14ac:dyDescent="0.25">
      <c r="A264">
        <v>255</v>
      </c>
      <c r="B264" s="1">
        <v>44760</v>
      </c>
      <c r="C264" t="s">
        <v>5</v>
      </c>
      <c r="D264" t="s">
        <v>31</v>
      </c>
      <c r="E264" t="s">
        <v>26</v>
      </c>
      <c r="F264" t="s">
        <v>1</v>
      </c>
      <c r="G264">
        <v>62.9</v>
      </c>
      <c r="H264">
        <v>2.4</v>
      </c>
      <c r="I264">
        <v>2.5</v>
      </c>
      <c r="J264" s="427">
        <v>2</v>
      </c>
      <c r="K264" s="427">
        <v>42</v>
      </c>
      <c r="L264">
        <f t="shared" si="17"/>
        <v>4.9000000000000004</v>
      </c>
      <c r="M264">
        <f t="shared" si="18"/>
        <v>1.0416666666666667</v>
      </c>
    </row>
    <row r="265" spans="1:13" x14ac:dyDescent="0.25">
      <c r="A265">
        <v>256</v>
      </c>
      <c r="B265" s="1">
        <v>44760</v>
      </c>
      <c r="C265" t="s">
        <v>5</v>
      </c>
      <c r="D265" t="s">
        <v>31</v>
      </c>
      <c r="E265" t="s">
        <v>26</v>
      </c>
      <c r="F265" t="s">
        <v>1</v>
      </c>
      <c r="G265">
        <v>62.9</v>
      </c>
      <c r="H265">
        <v>2.5</v>
      </c>
      <c r="I265">
        <v>2.4</v>
      </c>
      <c r="J265" s="427">
        <v>3</v>
      </c>
      <c r="K265" s="427">
        <v>42</v>
      </c>
      <c r="L265">
        <f t="shared" si="17"/>
        <v>4.9000000000000004</v>
      </c>
      <c r="M265">
        <f t="shared" si="18"/>
        <v>0.96</v>
      </c>
    </row>
    <row r="266" spans="1:13" x14ac:dyDescent="0.25">
      <c r="A266">
        <v>257</v>
      </c>
      <c r="B266" s="1">
        <v>44761</v>
      </c>
      <c r="C266" t="s">
        <v>5</v>
      </c>
      <c r="D266" t="s">
        <v>31</v>
      </c>
      <c r="E266" t="s">
        <v>26</v>
      </c>
      <c r="F266" t="s">
        <v>1</v>
      </c>
      <c r="G266">
        <v>62.9</v>
      </c>
      <c r="H266">
        <v>2.5</v>
      </c>
      <c r="I266">
        <v>2.4</v>
      </c>
      <c r="J266" s="427">
        <v>3</v>
      </c>
      <c r="K266" s="427">
        <v>45</v>
      </c>
      <c r="L266">
        <f t="shared" si="17"/>
        <v>4.9000000000000004</v>
      </c>
      <c r="M266">
        <f t="shared" si="18"/>
        <v>0.96</v>
      </c>
    </row>
    <row r="267" spans="1:13" x14ac:dyDescent="0.25">
      <c r="A267">
        <v>258</v>
      </c>
      <c r="B267" s="1">
        <v>44761</v>
      </c>
      <c r="C267" t="s">
        <v>5</v>
      </c>
      <c r="D267" t="s">
        <v>31</v>
      </c>
      <c r="E267" t="s">
        <v>26</v>
      </c>
      <c r="F267" t="s">
        <v>1</v>
      </c>
      <c r="G267">
        <v>63</v>
      </c>
      <c r="H267">
        <v>2.2999999999999998</v>
      </c>
      <c r="I267">
        <v>2.5</v>
      </c>
      <c r="J267" s="427">
        <v>2</v>
      </c>
      <c r="K267" s="427">
        <v>44</v>
      </c>
      <c r="L267">
        <f t="shared" si="17"/>
        <v>4.8</v>
      </c>
      <c r="M267">
        <f t="shared" si="18"/>
        <v>1.0869565217391306</v>
      </c>
    </row>
    <row r="268" spans="1:13" x14ac:dyDescent="0.25">
      <c r="A268">
        <v>259</v>
      </c>
      <c r="B268" s="1">
        <v>44762</v>
      </c>
      <c r="C268" t="s">
        <v>5</v>
      </c>
      <c r="D268" t="s">
        <v>31</v>
      </c>
      <c r="E268" t="s">
        <v>26</v>
      </c>
      <c r="F268" t="s">
        <v>1</v>
      </c>
      <c r="G268">
        <v>62.8</v>
      </c>
      <c r="H268">
        <v>2.5</v>
      </c>
      <c r="I268">
        <v>2.6</v>
      </c>
      <c r="L268">
        <f t="shared" si="17"/>
        <v>5.0999999999999996</v>
      </c>
      <c r="M268">
        <f t="shared" si="18"/>
        <v>1.04</v>
      </c>
    </row>
    <row r="269" spans="1:13" x14ac:dyDescent="0.25">
      <c r="A269">
        <v>260</v>
      </c>
      <c r="B269" s="1">
        <v>44763</v>
      </c>
      <c r="C269" t="s">
        <v>5</v>
      </c>
      <c r="D269" t="s">
        <v>31</v>
      </c>
      <c r="E269" t="s">
        <v>26</v>
      </c>
      <c r="F269" t="s">
        <v>1</v>
      </c>
      <c r="G269">
        <v>62.9</v>
      </c>
      <c r="H269">
        <v>2.2999999999999998</v>
      </c>
      <c r="I269">
        <v>2.6</v>
      </c>
      <c r="J269" s="427">
        <v>3</v>
      </c>
      <c r="K269" s="427">
        <v>35</v>
      </c>
      <c r="L269">
        <f t="shared" si="17"/>
        <v>4.9000000000000004</v>
      </c>
      <c r="M269">
        <f t="shared" si="18"/>
        <v>1.1304347826086958</v>
      </c>
    </row>
    <row r="270" spans="1:13" x14ac:dyDescent="0.25">
      <c r="A270">
        <v>261</v>
      </c>
      <c r="B270" s="1">
        <v>44764</v>
      </c>
      <c r="C270" t="s">
        <v>5</v>
      </c>
      <c r="D270" t="s">
        <v>31</v>
      </c>
      <c r="E270" t="s">
        <v>26</v>
      </c>
      <c r="F270" t="s">
        <v>1</v>
      </c>
      <c r="G270">
        <v>62.8</v>
      </c>
      <c r="H270">
        <v>2.2999999999999998</v>
      </c>
      <c r="I270">
        <v>2.7</v>
      </c>
      <c r="J270" s="427">
        <v>2</v>
      </c>
      <c r="K270" s="427">
        <v>43</v>
      </c>
      <c r="L270">
        <f t="shared" si="17"/>
        <v>5</v>
      </c>
      <c r="M270">
        <f t="shared" si="18"/>
        <v>1.173913043478261</v>
      </c>
    </row>
    <row r="271" spans="1:13" x14ac:dyDescent="0.25">
      <c r="A271">
        <v>262</v>
      </c>
      <c r="B271" s="1">
        <v>44764</v>
      </c>
      <c r="C271" t="s">
        <v>5</v>
      </c>
      <c r="D271" t="s">
        <v>31</v>
      </c>
      <c r="E271" t="s">
        <v>26</v>
      </c>
      <c r="F271" t="s">
        <v>1</v>
      </c>
      <c r="G271">
        <v>63</v>
      </c>
      <c r="H271">
        <v>2.2999999999999998</v>
      </c>
      <c r="I271">
        <v>2.5</v>
      </c>
      <c r="J271" s="427">
        <v>5</v>
      </c>
      <c r="K271" s="427">
        <v>36</v>
      </c>
      <c r="L271">
        <f t="shared" si="17"/>
        <v>4.8</v>
      </c>
      <c r="M271">
        <f t="shared" si="18"/>
        <v>1.0869565217391306</v>
      </c>
    </row>
    <row r="272" spans="1:13" x14ac:dyDescent="0.25">
      <c r="A272">
        <v>263</v>
      </c>
      <c r="B272" s="1">
        <v>44765</v>
      </c>
      <c r="C272" t="s">
        <v>5</v>
      </c>
      <c r="D272" t="s">
        <v>31</v>
      </c>
      <c r="E272" t="s">
        <v>26</v>
      </c>
      <c r="F272" t="s">
        <v>1</v>
      </c>
      <c r="G272">
        <v>62.9</v>
      </c>
      <c r="H272">
        <v>2.5</v>
      </c>
      <c r="I272">
        <v>2.4</v>
      </c>
      <c r="J272" s="427">
        <v>3</v>
      </c>
      <c r="K272" s="427">
        <v>41</v>
      </c>
      <c r="L272">
        <f t="shared" si="17"/>
        <v>4.9000000000000004</v>
      </c>
      <c r="M272">
        <f t="shared" si="18"/>
        <v>0.96</v>
      </c>
    </row>
    <row r="273" spans="1:13" x14ac:dyDescent="0.25">
      <c r="A273">
        <v>264</v>
      </c>
      <c r="B273" s="1">
        <v>44765</v>
      </c>
      <c r="C273" t="s">
        <v>5</v>
      </c>
      <c r="D273" t="s">
        <v>31</v>
      </c>
      <c r="E273" t="s">
        <v>26</v>
      </c>
      <c r="F273" t="s">
        <v>1</v>
      </c>
      <c r="G273">
        <v>62.7</v>
      </c>
      <c r="H273">
        <v>3</v>
      </c>
      <c r="I273">
        <v>2.1</v>
      </c>
      <c r="J273" s="427">
        <v>3</v>
      </c>
      <c r="K273" s="427">
        <v>43</v>
      </c>
      <c r="L273">
        <f t="shared" si="17"/>
        <v>5.0999999999999996</v>
      </c>
      <c r="M273">
        <f t="shared" si="18"/>
        <v>0.70000000000000007</v>
      </c>
    </row>
    <row r="274" spans="1:13" x14ac:dyDescent="0.25">
      <c r="A274">
        <v>265</v>
      </c>
      <c r="B274" s="1">
        <v>44766</v>
      </c>
      <c r="C274" t="s">
        <v>5</v>
      </c>
      <c r="D274" t="s">
        <v>31</v>
      </c>
      <c r="E274" t="s">
        <v>26</v>
      </c>
      <c r="F274" t="s">
        <v>1</v>
      </c>
      <c r="G274">
        <v>62.8</v>
      </c>
      <c r="H274">
        <v>2.4</v>
      </c>
      <c r="I274">
        <v>2.6</v>
      </c>
      <c r="J274" s="427">
        <v>6</v>
      </c>
      <c r="K274" s="427">
        <v>35</v>
      </c>
      <c r="L274">
        <f t="shared" si="17"/>
        <v>5</v>
      </c>
      <c r="M274">
        <f t="shared" si="18"/>
        <v>1.0833333333333335</v>
      </c>
    </row>
    <row r="275" spans="1:13" x14ac:dyDescent="0.25">
      <c r="A275">
        <v>266</v>
      </c>
      <c r="B275" s="1">
        <v>44766</v>
      </c>
      <c r="C275" t="s">
        <v>5</v>
      </c>
      <c r="D275" t="s">
        <v>31</v>
      </c>
      <c r="E275" t="s">
        <v>26</v>
      </c>
      <c r="F275" t="s">
        <v>1</v>
      </c>
      <c r="G275">
        <v>63</v>
      </c>
      <c r="H275">
        <v>2.2999999999999998</v>
      </c>
      <c r="I275">
        <v>2.4</v>
      </c>
      <c r="J275" s="427">
        <v>3</v>
      </c>
      <c r="K275" s="427">
        <v>41</v>
      </c>
      <c r="L275">
        <f t="shared" si="17"/>
        <v>4.6999999999999993</v>
      </c>
      <c r="M275">
        <f t="shared" si="18"/>
        <v>1.0434782608695652</v>
      </c>
    </row>
    <row r="276" spans="1:13" x14ac:dyDescent="0.25">
      <c r="A276">
        <v>267</v>
      </c>
      <c r="B276" s="1">
        <v>44767</v>
      </c>
      <c r="C276" t="s">
        <v>5</v>
      </c>
      <c r="D276" t="s">
        <v>31</v>
      </c>
      <c r="E276" t="s">
        <v>26</v>
      </c>
      <c r="F276" t="s">
        <v>1</v>
      </c>
      <c r="G276">
        <v>63</v>
      </c>
      <c r="H276">
        <v>2.2000000000000002</v>
      </c>
      <c r="I276">
        <v>2.5</v>
      </c>
      <c r="J276" s="427">
        <v>5</v>
      </c>
      <c r="K276" s="427">
        <v>40</v>
      </c>
      <c r="L276">
        <f t="shared" si="17"/>
        <v>4.7</v>
      </c>
      <c r="M276">
        <f t="shared" si="18"/>
        <v>1.1363636363636362</v>
      </c>
    </row>
    <row r="277" spans="1:13" x14ac:dyDescent="0.25">
      <c r="A277">
        <v>268</v>
      </c>
      <c r="B277" s="1">
        <v>44767</v>
      </c>
      <c r="C277" t="s">
        <v>5</v>
      </c>
      <c r="D277" t="s">
        <v>31</v>
      </c>
      <c r="E277" t="s">
        <v>26</v>
      </c>
      <c r="F277" t="s">
        <v>1</v>
      </c>
      <c r="G277">
        <v>62.8</v>
      </c>
      <c r="H277">
        <v>2.8</v>
      </c>
      <c r="I277">
        <v>2.2000000000000002</v>
      </c>
      <c r="J277" s="427">
        <v>4</v>
      </c>
      <c r="K277" s="427">
        <v>42</v>
      </c>
      <c r="L277">
        <f t="shared" si="17"/>
        <v>5</v>
      </c>
      <c r="M277">
        <f t="shared" si="18"/>
        <v>0.78571428571428581</v>
      </c>
    </row>
    <row r="278" spans="1:13" x14ac:dyDescent="0.25">
      <c r="A278">
        <v>269</v>
      </c>
      <c r="B278" s="1">
        <v>44768</v>
      </c>
      <c r="C278" t="s">
        <v>3</v>
      </c>
      <c r="D278" t="s">
        <v>27</v>
      </c>
      <c r="E278" t="s">
        <v>26</v>
      </c>
      <c r="F278" t="s">
        <v>1</v>
      </c>
      <c r="G278">
        <v>59.87</v>
      </c>
      <c r="H278">
        <v>8.09</v>
      </c>
      <c r="I278">
        <v>2.74</v>
      </c>
      <c r="J278" s="427">
        <v>6.5</v>
      </c>
      <c r="K278" s="427">
        <v>45.2</v>
      </c>
      <c r="L278">
        <f t="shared" si="17"/>
        <v>10.83</v>
      </c>
      <c r="M278">
        <f t="shared" si="18"/>
        <v>0.33868974042027195</v>
      </c>
    </row>
    <row r="279" spans="1:13" x14ac:dyDescent="0.25">
      <c r="A279">
        <v>270</v>
      </c>
      <c r="B279" s="1">
        <v>44768</v>
      </c>
      <c r="C279" t="s">
        <v>3</v>
      </c>
      <c r="D279" t="s">
        <v>27</v>
      </c>
      <c r="E279" t="s">
        <v>26</v>
      </c>
      <c r="F279" t="s">
        <v>1</v>
      </c>
      <c r="G279">
        <v>59.83</v>
      </c>
      <c r="H279">
        <v>8.2899999999999991</v>
      </c>
      <c r="I279">
        <v>2.61</v>
      </c>
      <c r="L279">
        <f t="shared" si="17"/>
        <v>10.899999999999999</v>
      </c>
      <c r="M279">
        <f t="shared" si="18"/>
        <v>0.31483715319662248</v>
      </c>
    </row>
    <row r="280" spans="1:13" x14ac:dyDescent="0.25">
      <c r="A280">
        <v>271</v>
      </c>
      <c r="B280" s="1">
        <v>44769</v>
      </c>
      <c r="C280" t="s">
        <v>3</v>
      </c>
      <c r="D280" t="s">
        <v>27</v>
      </c>
      <c r="E280" t="s">
        <v>26</v>
      </c>
      <c r="F280" t="s">
        <v>1</v>
      </c>
      <c r="G280">
        <v>60.23</v>
      </c>
      <c r="H280">
        <v>7.15</v>
      </c>
      <c r="I280">
        <v>2.37</v>
      </c>
      <c r="J280" s="427">
        <v>5.2</v>
      </c>
      <c r="K280" s="427">
        <v>45</v>
      </c>
      <c r="L280">
        <f t="shared" ref="L280:L343" si="19">+I280+H280</f>
        <v>9.52</v>
      </c>
      <c r="M280">
        <f t="shared" si="18"/>
        <v>0.33146853146853145</v>
      </c>
    </row>
    <row r="281" spans="1:13" x14ac:dyDescent="0.25">
      <c r="A281">
        <v>272</v>
      </c>
      <c r="B281" s="1">
        <v>44770</v>
      </c>
      <c r="C281" t="s">
        <v>3</v>
      </c>
      <c r="D281" t="s">
        <v>27</v>
      </c>
      <c r="E281" t="s">
        <v>26</v>
      </c>
      <c r="F281" t="s">
        <v>1</v>
      </c>
      <c r="G281">
        <v>60.3</v>
      </c>
      <c r="H281">
        <v>6.58</v>
      </c>
      <c r="I281">
        <v>2.73</v>
      </c>
      <c r="L281">
        <f t="shared" si="19"/>
        <v>9.31</v>
      </c>
      <c r="M281">
        <f t="shared" si="18"/>
        <v>0.41489361702127658</v>
      </c>
    </row>
    <row r="282" spans="1:13" x14ac:dyDescent="0.25">
      <c r="A282">
        <v>273</v>
      </c>
      <c r="B282" s="1">
        <v>44772</v>
      </c>
      <c r="C282" t="s">
        <v>3</v>
      </c>
      <c r="D282" t="s">
        <v>27</v>
      </c>
      <c r="E282" t="s">
        <v>26</v>
      </c>
      <c r="F282" t="s">
        <v>1</v>
      </c>
      <c r="G282">
        <v>59.56</v>
      </c>
      <c r="H282">
        <v>8.02</v>
      </c>
      <c r="I282">
        <v>2.66</v>
      </c>
      <c r="J282" s="427">
        <v>5.6</v>
      </c>
      <c r="K282" s="427">
        <v>45.1</v>
      </c>
      <c r="L282">
        <f t="shared" si="19"/>
        <v>10.68</v>
      </c>
      <c r="M282">
        <f t="shared" si="18"/>
        <v>0.33167082294264344</v>
      </c>
    </row>
    <row r="283" spans="1:13" x14ac:dyDescent="0.25">
      <c r="A283">
        <v>274</v>
      </c>
      <c r="B283" s="1">
        <v>44765</v>
      </c>
      <c r="C283" t="s">
        <v>3</v>
      </c>
      <c r="D283" t="s">
        <v>27</v>
      </c>
      <c r="E283" t="s">
        <v>26</v>
      </c>
      <c r="F283" t="s">
        <v>1</v>
      </c>
      <c r="G283">
        <v>61.2</v>
      </c>
      <c r="H283">
        <v>5.68</v>
      </c>
      <c r="I283">
        <v>2.89</v>
      </c>
      <c r="J283" s="427">
        <v>6.5</v>
      </c>
      <c r="K283" s="427">
        <v>40.299999999999997</v>
      </c>
      <c r="L283">
        <f t="shared" si="19"/>
        <v>8.57</v>
      </c>
      <c r="M283">
        <f t="shared" si="18"/>
        <v>0.50880281690140849</v>
      </c>
    </row>
    <row r="284" spans="1:13" x14ac:dyDescent="0.25">
      <c r="A284">
        <v>275</v>
      </c>
      <c r="B284" s="1">
        <v>44766</v>
      </c>
      <c r="C284" t="s">
        <v>3</v>
      </c>
      <c r="D284" t="s">
        <v>27</v>
      </c>
      <c r="E284" t="s">
        <v>26</v>
      </c>
      <c r="F284" t="s">
        <v>1</v>
      </c>
      <c r="G284">
        <v>59.23</v>
      </c>
      <c r="H284">
        <v>9.11</v>
      </c>
      <c r="I284">
        <v>2.64</v>
      </c>
      <c r="J284" s="427">
        <v>4.0999999999999996</v>
      </c>
      <c r="K284" s="427">
        <v>42.4</v>
      </c>
      <c r="L284">
        <f t="shared" si="19"/>
        <v>11.75</v>
      </c>
      <c r="M284">
        <f t="shared" si="18"/>
        <v>0.28979143798024154</v>
      </c>
    </row>
    <row r="285" spans="1:13" x14ac:dyDescent="0.25">
      <c r="A285">
        <v>276</v>
      </c>
      <c r="B285" s="1">
        <v>44765</v>
      </c>
      <c r="C285" t="s">
        <v>3</v>
      </c>
      <c r="D285" t="s">
        <v>2</v>
      </c>
      <c r="E285" t="s">
        <v>26</v>
      </c>
      <c r="F285" t="s">
        <v>1</v>
      </c>
      <c r="G285">
        <v>60.83</v>
      </c>
      <c r="H285">
        <v>6.47</v>
      </c>
      <c r="I285">
        <v>2.9</v>
      </c>
      <c r="J285" s="427">
        <v>5.5</v>
      </c>
      <c r="K285" s="427">
        <v>39.299999999999997</v>
      </c>
      <c r="L285">
        <f t="shared" si="19"/>
        <v>9.3699999999999992</v>
      </c>
      <c r="M285">
        <f t="shared" si="18"/>
        <v>0.44822256568778979</v>
      </c>
    </row>
    <row r="286" spans="1:13" x14ac:dyDescent="0.25">
      <c r="A286">
        <v>277</v>
      </c>
      <c r="B286" s="1">
        <v>44766</v>
      </c>
      <c r="C286" t="s">
        <v>3</v>
      </c>
      <c r="D286" t="s">
        <v>2</v>
      </c>
      <c r="E286" t="s">
        <v>26</v>
      </c>
      <c r="F286" t="s">
        <v>1</v>
      </c>
      <c r="G286">
        <v>60.75</v>
      </c>
      <c r="H286">
        <v>6.37</v>
      </c>
      <c r="I286">
        <v>3.1</v>
      </c>
      <c r="J286" s="427">
        <v>4.5999999999999996</v>
      </c>
      <c r="K286" s="427">
        <v>42.3</v>
      </c>
      <c r="L286">
        <f t="shared" si="19"/>
        <v>9.4700000000000006</v>
      </c>
      <c r="M286">
        <f t="shared" si="18"/>
        <v>0.48665620094191525</v>
      </c>
    </row>
    <row r="287" spans="1:13" x14ac:dyDescent="0.25">
      <c r="A287">
        <v>278</v>
      </c>
      <c r="B287" s="1">
        <v>44766</v>
      </c>
      <c r="C287" t="s">
        <v>3</v>
      </c>
      <c r="D287" t="s">
        <v>2</v>
      </c>
      <c r="E287" t="s">
        <v>26</v>
      </c>
      <c r="F287" t="s">
        <v>1</v>
      </c>
      <c r="G287">
        <v>61.07</v>
      </c>
      <c r="H287">
        <v>5.97</v>
      </c>
      <c r="I287">
        <v>3.14</v>
      </c>
      <c r="J287" s="427">
        <v>5.3</v>
      </c>
      <c r="K287" s="427">
        <v>45.2</v>
      </c>
      <c r="L287">
        <f t="shared" si="19"/>
        <v>9.11</v>
      </c>
      <c r="M287">
        <f t="shared" si="18"/>
        <v>0.52596314907872699</v>
      </c>
    </row>
    <row r="288" spans="1:13" x14ac:dyDescent="0.25">
      <c r="A288">
        <v>279</v>
      </c>
      <c r="B288" s="1">
        <v>44767</v>
      </c>
      <c r="C288" t="s">
        <v>3</v>
      </c>
      <c r="D288" t="s">
        <v>2</v>
      </c>
      <c r="E288" t="s">
        <v>26</v>
      </c>
      <c r="F288" t="s">
        <v>1</v>
      </c>
      <c r="G288">
        <v>60.87</v>
      </c>
      <c r="H288">
        <v>6.86</v>
      </c>
      <c r="I288">
        <v>2.5499999999999998</v>
      </c>
      <c r="J288" s="427">
        <v>4.7</v>
      </c>
      <c r="K288" s="427">
        <v>42.6</v>
      </c>
      <c r="L288">
        <f t="shared" si="19"/>
        <v>9.41</v>
      </c>
      <c r="M288">
        <f t="shared" si="18"/>
        <v>0.37172011661807575</v>
      </c>
    </row>
    <row r="289" spans="1:13" x14ac:dyDescent="0.25">
      <c r="A289">
        <v>280</v>
      </c>
      <c r="B289" s="1">
        <v>44768</v>
      </c>
      <c r="C289" t="s">
        <v>3</v>
      </c>
      <c r="D289" t="s">
        <v>2</v>
      </c>
      <c r="E289" t="s">
        <v>26</v>
      </c>
      <c r="F289" t="s">
        <v>1</v>
      </c>
      <c r="G289">
        <v>60.65</v>
      </c>
      <c r="H289">
        <v>6.58</v>
      </c>
      <c r="I289">
        <v>3.04</v>
      </c>
      <c r="J289" s="427">
        <v>5.2</v>
      </c>
      <c r="K289" s="427">
        <v>44.3</v>
      </c>
      <c r="L289">
        <f t="shared" si="19"/>
        <v>9.620000000000001</v>
      </c>
      <c r="M289">
        <f t="shared" si="18"/>
        <v>0.46200607902735563</v>
      </c>
    </row>
    <row r="290" spans="1:13" x14ac:dyDescent="0.25">
      <c r="A290">
        <v>281</v>
      </c>
      <c r="B290" s="1">
        <v>44768</v>
      </c>
      <c r="C290" t="s">
        <v>3</v>
      </c>
      <c r="D290" t="s">
        <v>2</v>
      </c>
      <c r="E290" t="s">
        <v>26</v>
      </c>
      <c r="F290" t="s">
        <v>1</v>
      </c>
      <c r="G290">
        <v>60.24</v>
      </c>
      <c r="H290">
        <v>7.27</v>
      </c>
      <c r="I290">
        <v>3.03</v>
      </c>
      <c r="L290">
        <f t="shared" si="19"/>
        <v>10.299999999999999</v>
      </c>
      <c r="M290">
        <f t="shared" si="18"/>
        <v>0.41678129298486932</v>
      </c>
    </row>
    <row r="291" spans="1:13" x14ac:dyDescent="0.25">
      <c r="A291">
        <v>282</v>
      </c>
      <c r="B291" s="1">
        <v>44769</v>
      </c>
      <c r="C291" t="s">
        <v>3</v>
      </c>
      <c r="D291" t="s">
        <v>2</v>
      </c>
      <c r="E291" t="s">
        <v>26</v>
      </c>
      <c r="F291" t="s">
        <v>1</v>
      </c>
      <c r="G291">
        <v>60.22</v>
      </c>
      <c r="H291">
        <v>7.39</v>
      </c>
      <c r="I291">
        <v>2.54</v>
      </c>
      <c r="L291">
        <f t="shared" si="19"/>
        <v>9.93</v>
      </c>
      <c r="M291">
        <f t="shared" si="18"/>
        <v>0.34370771312584575</v>
      </c>
    </row>
    <row r="292" spans="1:13" x14ac:dyDescent="0.25">
      <c r="A292">
        <v>283</v>
      </c>
      <c r="B292" s="1">
        <v>44770</v>
      </c>
      <c r="C292" t="s">
        <v>3</v>
      </c>
      <c r="D292" t="s">
        <v>2</v>
      </c>
      <c r="E292" t="s">
        <v>26</v>
      </c>
      <c r="F292" t="s">
        <v>1</v>
      </c>
      <c r="G292">
        <v>60.15</v>
      </c>
      <c r="H292">
        <v>6.97</v>
      </c>
      <c r="I292">
        <v>2.5499999999999998</v>
      </c>
      <c r="J292" s="427">
        <v>4.7</v>
      </c>
      <c r="K292" s="427">
        <v>43.6</v>
      </c>
      <c r="L292">
        <f t="shared" si="19"/>
        <v>9.52</v>
      </c>
      <c r="M292">
        <f t="shared" si="18"/>
        <v>0.36585365853658536</v>
      </c>
    </row>
    <row r="293" spans="1:13" x14ac:dyDescent="0.25">
      <c r="A293">
        <v>284</v>
      </c>
      <c r="B293" s="1">
        <v>44772</v>
      </c>
      <c r="C293" t="s">
        <v>3</v>
      </c>
      <c r="D293" t="s">
        <v>2</v>
      </c>
      <c r="E293" t="s">
        <v>26</v>
      </c>
      <c r="F293" t="s">
        <v>1</v>
      </c>
      <c r="G293">
        <v>59.08</v>
      </c>
      <c r="H293">
        <v>8.52</v>
      </c>
      <c r="I293">
        <v>2.71</v>
      </c>
      <c r="J293" s="427">
        <v>5.0999999999999996</v>
      </c>
      <c r="K293" s="427">
        <v>44.3</v>
      </c>
      <c r="L293">
        <f t="shared" si="19"/>
        <v>11.23</v>
      </c>
      <c r="M293">
        <f t="shared" si="18"/>
        <v>0.31807511737089206</v>
      </c>
    </row>
    <row r="294" spans="1:13" x14ac:dyDescent="0.25">
      <c r="A294">
        <v>285</v>
      </c>
      <c r="B294" s="1">
        <v>44772</v>
      </c>
      <c r="C294" t="s">
        <v>3</v>
      </c>
      <c r="D294" t="s">
        <v>2</v>
      </c>
      <c r="E294" t="s">
        <v>26</v>
      </c>
      <c r="F294" t="s">
        <v>1</v>
      </c>
      <c r="G294">
        <v>60.14</v>
      </c>
      <c r="H294">
        <v>7.05</v>
      </c>
      <c r="I294">
        <v>2.69</v>
      </c>
      <c r="L294">
        <f t="shared" si="19"/>
        <v>9.74</v>
      </c>
      <c r="M294">
        <f t="shared" si="18"/>
        <v>0.38156028368794326</v>
      </c>
    </row>
    <row r="295" spans="1:13" x14ac:dyDescent="0.25">
      <c r="A295">
        <v>286</v>
      </c>
      <c r="B295" s="1">
        <v>44765</v>
      </c>
      <c r="C295" t="s">
        <v>3</v>
      </c>
      <c r="D295" t="s">
        <v>9</v>
      </c>
      <c r="E295" t="s">
        <v>26</v>
      </c>
      <c r="F295" t="s">
        <v>1</v>
      </c>
      <c r="G295">
        <v>60.85</v>
      </c>
      <c r="H295">
        <v>6.44</v>
      </c>
      <c r="I295">
        <v>2.88</v>
      </c>
      <c r="J295" s="427">
        <v>4.2</v>
      </c>
      <c r="K295" s="427">
        <v>44.1</v>
      </c>
      <c r="L295">
        <f t="shared" si="19"/>
        <v>9.32</v>
      </c>
      <c r="M295">
        <f t="shared" si="18"/>
        <v>0.44720496894409933</v>
      </c>
    </row>
    <row r="296" spans="1:13" x14ac:dyDescent="0.25">
      <c r="A296">
        <v>287</v>
      </c>
      <c r="B296" s="1">
        <v>44766</v>
      </c>
      <c r="C296" t="s">
        <v>3</v>
      </c>
      <c r="D296" t="s">
        <v>9</v>
      </c>
      <c r="E296" t="s">
        <v>26</v>
      </c>
      <c r="F296" t="s">
        <v>1</v>
      </c>
      <c r="G296">
        <v>60.77</v>
      </c>
      <c r="H296">
        <v>6.48</v>
      </c>
      <c r="I296">
        <v>2.96</v>
      </c>
      <c r="J296" s="427">
        <v>6.6</v>
      </c>
      <c r="K296" s="427">
        <v>47.2</v>
      </c>
      <c r="L296">
        <f t="shared" si="19"/>
        <v>9.4400000000000013</v>
      </c>
      <c r="M296">
        <f t="shared" si="18"/>
        <v>0.4567901234567901</v>
      </c>
    </row>
    <row r="297" spans="1:13" x14ac:dyDescent="0.25">
      <c r="A297">
        <v>288</v>
      </c>
      <c r="B297" s="1">
        <v>44767</v>
      </c>
      <c r="C297" t="s">
        <v>3</v>
      </c>
      <c r="D297" t="s">
        <v>9</v>
      </c>
      <c r="E297" t="s">
        <v>26</v>
      </c>
      <c r="F297" t="s">
        <v>1</v>
      </c>
      <c r="G297">
        <v>60.61</v>
      </c>
      <c r="H297">
        <v>6.0720000000000001</v>
      </c>
      <c r="I297">
        <v>3.06</v>
      </c>
      <c r="J297" s="427">
        <v>3.5</v>
      </c>
      <c r="K297" s="427">
        <v>43.1</v>
      </c>
      <c r="L297">
        <f t="shared" si="19"/>
        <v>9.1319999999999997</v>
      </c>
      <c r="M297">
        <f t="shared" si="18"/>
        <v>0.50395256916996045</v>
      </c>
    </row>
    <row r="298" spans="1:13" x14ac:dyDescent="0.25">
      <c r="A298">
        <v>289</v>
      </c>
      <c r="B298" s="1">
        <v>44768</v>
      </c>
      <c r="C298" t="s">
        <v>3</v>
      </c>
      <c r="D298" t="s">
        <v>9</v>
      </c>
      <c r="E298" t="s">
        <v>26</v>
      </c>
      <c r="F298" t="s">
        <v>1</v>
      </c>
      <c r="G298">
        <v>60.43</v>
      </c>
      <c r="H298">
        <v>6.75</v>
      </c>
      <c r="I298">
        <v>3.18</v>
      </c>
      <c r="L298">
        <f t="shared" si="19"/>
        <v>9.93</v>
      </c>
      <c r="M298">
        <f t="shared" si="18"/>
        <v>0.47111111111111115</v>
      </c>
    </row>
    <row r="299" spans="1:13" x14ac:dyDescent="0.25">
      <c r="A299">
        <v>290</v>
      </c>
      <c r="B299" s="1">
        <v>44769</v>
      </c>
      <c r="C299" t="s">
        <v>3</v>
      </c>
      <c r="D299" t="s">
        <v>9</v>
      </c>
      <c r="E299" t="s">
        <v>26</v>
      </c>
      <c r="F299" t="s">
        <v>1</v>
      </c>
      <c r="G299">
        <v>60.04</v>
      </c>
      <c r="H299">
        <v>6.38</v>
      </c>
      <c r="I299">
        <v>3.29</v>
      </c>
      <c r="J299" s="427">
        <v>3.2</v>
      </c>
      <c r="K299" s="427">
        <v>49.3</v>
      </c>
      <c r="L299">
        <f t="shared" si="19"/>
        <v>9.67</v>
      </c>
      <c r="M299">
        <f t="shared" si="18"/>
        <v>0.51567398119122254</v>
      </c>
    </row>
    <row r="300" spans="1:13" x14ac:dyDescent="0.25">
      <c r="A300">
        <v>291</v>
      </c>
      <c r="B300" s="1">
        <v>44772</v>
      </c>
      <c r="C300" t="s">
        <v>3</v>
      </c>
      <c r="D300" t="s">
        <v>9</v>
      </c>
      <c r="E300" t="s">
        <v>26</v>
      </c>
      <c r="F300" t="s">
        <v>1</v>
      </c>
      <c r="G300">
        <v>60.62</v>
      </c>
      <c r="H300">
        <v>6.15</v>
      </c>
      <c r="I300">
        <v>2.81</v>
      </c>
      <c r="J300" s="427">
        <v>3.6</v>
      </c>
      <c r="K300" s="427">
        <v>43.2</v>
      </c>
      <c r="L300">
        <f t="shared" si="19"/>
        <v>8.9600000000000009</v>
      </c>
      <c r="M300">
        <f t="shared" si="18"/>
        <v>0.45691056910569106</v>
      </c>
    </row>
    <row r="301" spans="1:13" x14ac:dyDescent="0.25">
      <c r="A301">
        <v>292</v>
      </c>
      <c r="B301" s="1">
        <v>44770</v>
      </c>
      <c r="C301" t="s">
        <v>3</v>
      </c>
      <c r="D301" t="s">
        <v>11</v>
      </c>
      <c r="E301" t="s">
        <v>26</v>
      </c>
      <c r="F301" t="s">
        <v>1</v>
      </c>
      <c r="G301">
        <v>60.73</v>
      </c>
      <c r="H301">
        <v>5.54</v>
      </c>
      <c r="I301">
        <v>3.25</v>
      </c>
      <c r="J301" s="427">
        <v>6.7</v>
      </c>
      <c r="K301" s="427">
        <v>40.5</v>
      </c>
      <c r="L301">
        <f t="shared" si="19"/>
        <v>8.7899999999999991</v>
      </c>
      <c r="M301">
        <f t="shared" si="18"/>
        <v>0.58664259927797835</v>
      </c>
    </row>
    <row r="302" spans="1:13" x14ac:dyDescent="0.25">
      <c r="A302">
        <v>293</v>
      </c>
      <c r="B302" s="1">
        <v>44771</v>
      </c>
      <c r="C302" t="s">
        <v>3</v>
      </c>
      <c r="D302" t="s">
        <v>11</v>
      </c>
      <c r="E302" t="s">
        <v>26</v>
      </c>
      <c r="F302" t="s">
        <v>1</v>
      </c>
      <c r="G302">
        <v>61.09</v>
      </c>
      <c r="H302">
        <v>5.59</v>
      </c>
      <c r="I302">
        <v>2.89</v>
      </c>
      <c r="L302">
        <f t="shared" si="19"/>
        <v>8.48</v>
      </c>
      <c r="M302">
        <f t="shared" si="18"/>
        <v>0.5169946332737031</v>
      </c>
    </row>
    <row r="303" spans="1:13" x14ac:dyDescent="0.25">
      <c r="A303">
        <v>294</v>
      </c>
      <c r="B303" s="1">
        <v>44771</v>
      </c>
      <c r="C303" t="s">
        <v>3</v>
      </c>
      <c r="D303" t="s">
        <v>10</v>
      </c>
      <c r="E303" t="s">
        <v>26</v>
      </c>
      <c r="F303" t="s">
        <v>1</v>
      </c>
      <c r="G303">
        <v>59.87</v>
      </c>
      <c r="H303">
        <v>5.34</v>
      </c>
      <c r="I303">
        <v>4.78</v>
      </c>
      <c r="J303" s="427">
        <v>5.2</v>
      </c>
      <c r="K303" s="427">
        <v>45.3</v>
      </c>
      <c r="L303">
        <f t="shared" si="19"/>
        <v>10.120000000000001</v>
      </c>
      <c r="M303">
        <f t="shared" si="18"/>
        <v>0.89513108614232217</v>
      </c>
    </row>
    <row r="304" spans="1:13" x14ac:dyDescent="0.25">
      <c r="A304">
        <v>295</v>
      </c>
      <c r="B304" s="1">
        <v>44743</v>
      </c>
      <c r="C304" t="s">
        <v>60</v>
      </c>
      <c r="D304" t="s">
        <v>27</v>
      </c>
      <c r="E304" t="s">
        <v>26</v>
      </c>
      <c r="F304" t="s">
        <v>1</v>
      </c>
      <c r="G304">
        <v>58.67</v>
      </c>
      <c r="H304">
        <v>8.93</v>
      </c>
      <c r="I304">
        <v>3.82</v>
      </c>
      <c r="J304" s="427">
        <v>12</v>
      </c>
      <c r="K304" s="427">
        <v>42.9</v>
      </c>
      <c r="L304">
        <f t="shared" si="19"/>
        <v>12.75</v>
      </c>
      <c r="M304">
        <f t="shared" si="18"/>
        <v>0.42777155655095184</v>
      </c>
    </row>
    <row r="305" spans="1:13" x14ac:dyDescent="0.25">
      <c r="A305">
        <v>296</v>
      </c>
      <c r="B305" s="1">
        <v>44744</v>
      </c>
      <c r="C305" t="s">
        <v>60</v>
      </c>
      <c r="D305" t="s">
        <v>27</v>
      </c>
      <c r="E305" t="s">
        <v>26</v>
      </c>
      <c r="F305" t="s">
        <v>1</v>
      </c>
      <c r="G305">
        <v>53.45</v>
      </c>
      <c r="H305">
        <v>16.47</v>
      </c>
      <c r="I305">
        <v>3.61</v>
      </c>
      <c r="J305" s="427">
        <v>8.1</v>
      </c>
      <c r="K305" s="427">
        <v>42.8</v>
      </c>
      <c r="L305">
        <f t="shared" si="19"/>
        <v>20.079999999999998</v>
      </c>
      <c r="M305">
        <f t="shared" si="18"/>
        <v>0.21918639951426838</v>
      </c>
    </row>
    <row r="306" spans="1:13" x14ac:dyDescent="0.25">
      <c r="A306">
        <v>297</v>
      </c>
      <c r="B306" s="1">
        <v>44744</v>
      </c>
      <c r="C306" t="s">
        <v>60</v>
      </c>
      <c r="D306" t="s">
        <v>27</v>
      </c>
      <c r="E306" t="s">
        <v>26</v>
      </c>
      <c r="F306" t="s">
        <v>1</v>
      </c>
      <c r="G306">
        <v>56.38</v>
      </c>
      <c r="H306">
        <v>8.77</v>
      </c>
      <c r="I306">
        <v>5.23</v>
      </c>
      <c r="J306" s="427">
        <v>13.1</v>
      </c>
      <c r="K306" s="427">
        <v>28.5</v>
      </c>
      <c r="L306">
        <f t="shared" si="19"/>
        <v>14</v>
      </c>
      <c r="M306">
        <f t="shared" si="18"/>
        <v>0.59635119726339803</v>
      </c>
    </row>
    <row r="307" spans="1:13" x14ac:dyDescent="0.25">
      <c r="A307">
        <v>298</v>
      </c>
      <c r="B307" s="1">
        <v>44745</v>
      </c>
      <c r="C307" t="s">
        <v>60</v>
      </c>
      <c r="D307" t="s">
        <v>27</v>
      </c>
      <c r="E307" t="s">
        <v>26</v>
      </c>
      <c r="F307" t="s">
        <v>1</v>
      </c>
      <c r="G307">
        <v>58.33</v>
      </c>
      <c r="H307">
        <v>8.44</v>
      </c>
      <c r="I307">
        <v>4.05</v>
      </c>
      <c r="J307" s="427">
        <v>10.9</v>
      </c>
      <c r="K307" s="427">
        <v>31.8</v>
      </c>
      <c r="L307">
        <f t="shared" si="19"/>
        <v>12.489999999999998</v>
      </c>
      <c r="M307">
        <f t="shared" si="18"/>
        <v>0.47985781990521326</v>
      </c>
    </row>
    <row r="308" spans="1:13" x14ac:dyDescent="0.25">
      <c r="A308">
        <v>299</v>
      </c>
      <c r="B308" s="1">
        <v>44747</v>
      </c>
      <c r="C308" t="s">
        <v>60</v>
      </c>
      <c r="D308" t="s">
        <v>27</v>
      </c>
      <c r="E308" t="s">
        <v>26</v>
      </c>
      <c r="F308" t="s">
        <v>1</v>
      </c>
      <c r="G308">
        <v>56.86</v>
      </c>
      <c r="H308">
        <v>11.67</v>
      </c>
      <c r="I308">
        <v>3.03</v>
      </c>
      <c r="J308" s="427">
        <v>9.5</v>
      </c>
      <c r="K308" s="427">
        <v>41.2</v>
      </c>
      <c r="L308">
        <f t="shared" si="19"/>
        <v>14.7</v>
      </c>
      <c r="M308">
        <f t="shared" si="18"/>
        <v>0.25964010282776351</v>
      </c>
    </row>
    <row r="309" spans="1:13" x14ac:dyDescent="0.25">
      <c r="A309">
        <v>300</v>
      </c>
      <c r="B309" s="1">
        <v>44749</v>
      </c>
      <c r="C309" t="s">
        <v>60</v>
      </c>
      <c r="D309" t="s">
        <v>27</v>
      </c>
      <c r="E309" t="s">
        <v>26</v>
      </c>
      <c r="F309" t="s">
        <v>1</v>
      </c>
      <c r="G309">
        <v>57.31</v>
      </c>
      <c r="H309">
        <v>11.86</v>
      </c>
      <c r="I309">
        <v>2.79</v>
      </c>
      <c r="J309" s="427">
        <v>9.3000000000000007</v>
      </c>
      <c r="K309" s="427">
        <v>44.55</v>
      </c>
      <c r="L309">
        <f t="shared" si="19"/>
        <v>14.649999999999999</v>
      </c>
      <c r="M309">
        <f t="shared" si="18"/>
        <v>0.23524451939291738</v>
      </c>
    </row>
    <row r="310" spans="1:13" x14ac:dyDescent="0.25">
      <c r="A310">
        <v>301</v>
      </c>
      <c r="B310" s="1">
        <v>44750</v>
      </c>
      <c r="C310" t="s">
        <v>60</v>
      </c>
      <c r="D310" t="s">
        <v>27</v>
      </c>
      <c r="E310" t="s">
        <v>26</v>
      </c>
      <c r="F310" t="s">
        <v>1</v>
      </c>
      <c r="G310">
        <v>59.4</v>
      </c>
      <c r="H310">
        <v>7.39</v>
      </c>
      <c r="I310">
        <v>3.34</v>
      </c>
      <c r="J310" s="427">
        <v>5.6</v>
      </c>
      <c r="K310" s="427">
        <v>52.1</v>
      </c>
      <c r="L310">
        <f t="shared" si="19"/>
        <v>10.73</v>
      </c>
      <c r="M310">
        <f t="shared" si="18"/>
        <v>0.45196211096075778</v>
      </c>
    </row>
    <row r="311" spans="1:13" x14ac:dyDescent="0.25">
      <c r="A311">
        <v>302</v>
      </c>
      <c r="B311" s="1">
        <v>44751</v>
      </c>
      <c r="C311" t="s">
        <v>60</v>
      </c>
      <c r="D311" t="s">
        <v>27</v>
      </c>
      <c r="E311" t="s">
        <v>26</v>
      </c>
      <c r="F311" t="s">
        <v>1</v>
      </c>
      <c r="G311">
        <v>55.49</v>
      </c>
      <c r="H311">
        <v>12.9</v>
      </c>
      <c r="I311">
        <v>3.8</v>
      </c>
      <c r="J311" s="427">
        <v>13.3</v>
      </c>
      <c r="K311" s="427">
        <v>31.5</v>
      </c>
      <c r="L311">
        <f t="shared" si="19"/>
        <v>16.7</v>
      </c>
      <c r="M311">
        <f t="shared" si="18"/>
        <v>0.29457364341085268</v>
      </c>
    </row>
    <row r="312" spans="1:13" x14ac:dyDescent="0.25">
      <c r="A312">
        <v>303</v>
      </c>
      <c r="B312" s="1">
        <v>44753</v>
      </c>
      <c r="C312" t="s">
        <v>60</v>
      </c>
      <c r="D312" t="s">
        <v>27</v>
      </c>
      <c r="E312" t="s">
        <v>26</v>
      </c>
      <c r="F312" t="s">
        <v>1</v>
      </c>
      <c r="G312">
        <v>62.55</v>
      </c>
      <c r="H312">
        <v>3.48</v>
      </c>
      <c r="I312">
        <v>2.19</v>
      </c>
      <c r="J312" s="427">
        <v>14.9</v>
      </c>
      <c r="K312" s="427">
        <v>47.2</v>
      </c>
      <c r="L312">
        <f t="shared" si="19"/>
        <v>5.67</v>
      </c>
      <c r="M312">
        <f t="shared" si="18"/>
        <v>0.62931034482758619</v>
      </c>
    </row>
    <row r="313" spans="1:13" x14ac:dyDescent="0.25">
      <c r="A313">
        <v>304</v>
      </c>
      <c r="B313" s="1">
        <v>44754</v>
      </c>
      <c r="C313" t="s">
        <v>60</v>
      </c>
      <c r="D313" t="s">
        <v>27</v>
      </c>
      <c r="E313" t="s">
        <v>26</v>
      </c>
      <c r="F313" t="s">
        <v>1</v>
      </c>
      <c r="G313">
        <v>60.47</v>
      </c>
      <c r="H313">
        <v>6.93</v>
      </c>
      <c r="I313">
        <v>2.19</v>
      </c>
      <c r="J313" s="427">
        <v>6.6</v>
      </c>
      <c r="K313" s="427">
        <v>53.2</v>
      </c>
      <c r="L313">
        <f t="shared" si="19"/>
        <v>9.1199999999999992</v>
      </c>
      <c r="M313">
        <f t="shared" si="18"/>
        <v>0.31601731601731603</v>
      </c>
    </row>
    <row r="314" spans="1:13" x14ac:dyDescent="0.25">
      <c r="A314">
        <v>305</v>
      </c>
      <c r="B314" s="1">
        <v>44757</v>
      </c>
      <c r="C314" t="s">
        <v>60</v>
      </c>
      <c r="D314" t="s">
        <v>31</v>
      </c>
      <c r="E314" t="s">
        <v>26</v>
      </c>
      <c r="F314" t="s">
        <v>1</v>
      </c>
      <c r="G314">
        <v>61.26</v>
      </c>
      <c r="H314">
        <v>4.1399999999999997</v>
      </c>
      <c r="I314">
        <v>3.97</v>
      </c>
      <c r="J314" s="427">
        <v>0</v>
      </c>
      <c r="K314" s="427">
        <v>42.7</v>
      </c>
      <c r="L314">
        <f t="shared" si="19"/>
        <v>8.11</v>
      </c>
      <c r="M314">
        <f t="shared" si="18"/>
        <v>0.958937198067633</v>
      </c>
    </row>
    <row r="315" spans="1:13" x14ac:dyDescent="0.25">
      <c r="A315">
        <v>306</v>
      </c>
      <c r="B315" s="1">
        <v>44768</v>
      </c>
      <c r="C315" t="s">
        <v>4</v>
      </c>
      <c r="D315" t="s">
        <v>11</v>
      </c>
      <c r="E315" t="s">
        <v>26</v>
      </c>
      <c r="F315" t="s">
        <v>1</v>
      </c>
      <c r="G315">
        <v>62.2</v>
      </c>
      <c r="H315">
        <v>4.3</v>
      </c>
      <c r="I315">
        <v>2.1</v>
      </c>
      <c r="J315" s="427">
        <v>10</v>
      </c>
      <c r="K315" s="427">
        <v>50.9</v>
      </c>
      <c r="L315">
        <f t="shared" si="19"/>
        <v>6.4</v>
      </c>
      <c r="M315">
        <f t="shared" si="18"/>
        <v>0.48837209302325585</v>
      </c>
    </row>
    <row r="316" spans="1:13" x14ac:dyDescent="0.25">
      <c r="A316">
        <v>307</v>
      </c>
      <c r="B316" s="1">
        <v>44769</v>
      </c>
      <c r="C316" t="s">
        <v>4</v>
      </c>
      <c r="D316" t="s">
        <v>11</v>
      </c>
      <c r="E316" t="s">
        <v>26</v>
      </c>
      <c r="F316" t="s">
        <v>1</v>
      </c>
      <c r="G316">
        <v>60.7</v>
      </c>
      <c r="H316">
        <v>5.2</v>
      </c>
      <c r="I316">
        <v>2.8</v>
      </c>
      <c r="J316" s="427">
        <v>10.9</v>
      </c>
      <c r="K316" s="427">
        <v>39.799999999999997</v>
      </c>
      <c r="L316">
        <f t="shared" si="19"/>
        <v>8</v>
      </c>
      <c r="M316">
        <f t="shared" si="18"/>
        <v>0.53846153846153844</v>
      </c>
    </row>
    <row r="317" spans="1:13" x14ac:dyDescent="0.25">
      <c r="A317">
        <v>308</v>
      </c>
      <c r="B317" s="1">
        <v>44769</v>
      </c>
      <c r="C317" t="s">
        <v>4</v>
      </c>
      <c r="D317" t="s">
        <v>11</v>
      </c>
      <c r="E317" t="s">
        <v>26</v>
      </c>
      <c r="F317" t="s">
        <v>1</v>
      </c>
      <c r="G317">
        <v>62.9</v>
      </c>
      <c r="H317">
        <v>2.4</v>
      </c>
      <c r="I317">
        <v>2.1</v>
      </c>
      <c r="J317" s="427">
        <v>12.4</v>
      </c>
      <c r="K317" s="427">
        <v>37.700000000000003</v>
      </c>
      <c r="L317">
        <f t="shared" si="19"/>
        <v>4.5</v>
      </c>
      <c r="M317">
        <f t="shared" si="18"/>
        <v>0.87500000000000011</v>
      </c>
    </row>
    <row r="318" spans="1:13" x14ac:dyDescent="0.25">
      <c r="A318">
        <v>309</v>
      </c>
      <c r="B318" s="1">
        <v>44772</v>
      </c>
      <c r="C318" t="s">
        <v>4</v>
      </c>
      <c r="D318" t="s">
        <v>11</v>
      </c>
      <c r="E318" t="s">
        <v>26</v>
      </c>
      <c r="F318" t="s">
        <v>1</v>
      </c>
      <c r="G318">
        <v>60.4</v>
      </c>
      <c r="H318">
        <v>3.5</v>
      </c>
      <c r="I318">
        <v>1.5</v>
      </c>
      <c r="J318" s="427">
        <v>4.9000000000000004</v>
      </c>
      <c r="K318" s="427">
        <v>40.200000000000003</v>
      </c>
      <c r="L318">
        <f t="shared" si="19"/>
        <v>5</v>
      </c>
      <c r="M318">
        <f t="shared" si="18"/>
        <v>0.42857142857142855</v>
      </c>
    </row>
    <row r="319" spans="1:13" x14ac:dyDescent="0.25">
      <c r="A319">
        <v>310</v>
      </c>
      <c r="B319" s="1">
        <v>44773</v>
      </c>
      <c r="C319" t="s">
        <v>4</v>
      </c>
      <c r="D319" t="s">
        <v>11</v>
      </c>
      <c r="E319" t="s">
        <v>26</v>
      </c>
      <c r="F319" t="s">
        <v>1</v>
      </c>
      <c r="G319">
        <v>62.4</v>
      </c>
      <c r="H319">
        <v>4.5</v>
      </c>
      <c r="I319">
        <v>1.8</v>
      </c>
      <c r="J319" s="427">
        <v>16.2</v>
      </c>
      <c r="K319" s="427">
        <v>37.700000000000003</v>
      </c>
      <c r="L319">
        <f t="shared" si="19"/>
        <v>6.3</v>
      </c>
      <c r="M319">
        <f t="shared" ref="M319:M382" si="20">+I319/IF(H319 = 0,1,H319)</f>
        <v>0.4</v>
      </c>
    </row>
    <row r="320" spans="1:13" x14ac:dyDescent="0.25">
      <c r="A320">
        <v>311</v>
      </c>
      <c r="B320" s="1">
        <v>44773</v>
      </c>
      <c r="C320" t="s">
        <v>4</v>
      </c>
      <c r="D320" t="s">
        <v>11</v>
      </c>
      <c r="E320" t="s">
        <v>26</v>
      </c>
      <c r="F320" t="s">
        <v>1</v>
      </c>
      <c r="G320">
        <v>62.5</v>
      </c>
      <c r="H320">
        <v>4</v>
      </c>
      <c r="I320">
        <v>1.8</v>
      </c>
      <c r="J320" s="427">
        <v>6.4</v>
      </c>
      <c r="K320" s="427">
        <v>41.8</v>
      </c>
      <c r="L320">
        <f t="shared" si="19"/>
        <v>5.8</v>
      </c>
      <c r="M320">
        <f t="shared" si="20"/>
        <v>0.45</v>
      </c>
    </row>
    <row r="321" spans="1:13" x14ac:dyDescent="0.25">
      <c r="A321">
        <v>312</v>
      </c>
      <c r="B321" s="1">
        <v>44771</v>
      </c>
      <c r="C321" t="s">
        <v>4</v>
      </c>
      <c r="D321" t="s">
        <v>9</v>
      </c>
      <c r="E321" t="s">
        <v>26</v>
      </c>
      <c r="F321" t="s">
        <v>1</v>
      </c>
      <c r="G321">
        <v>63.3</v>
      </c>
      <c r="H321">
        <v>3.1</v>
      </c>
      <c r="I321">
        <v>2.2000000000000002</v>
      </c>
      <c r="J321" s="427">
        <v>5.7</v>
      </c>
      <c r="K321" s="427">
        <v>50</v>
      </c>
      <c r="L321">
        <f t="shared" si="19"/>
        <v>5.3000000000000007</v>
      </c>
      <c r="M321">
        <f t="shared" si="20"/>
        <v>0.70967741935483875</v>
      </c>
    </row>
    <row r="322" spans="1:13" x14ac:dyDescent="0.25">
      <c r="A322">
        <v>313</v>
      </c>
      <c r="B322" s="1">
        <v>44768</v>
      </c>
      <c r="C322" t="s">
        <v>30</v>
      </c>
      <c r="D322" t="s">
        <v>9</v>
      </c>
      <c r="E322" t="s">
        <v>26</v>
      </c>
      <c r="F322" t="s">
        <v>1</v>
      </c>
      <c r="G322">
        <v>61.22</v>
      </c>
      <c r="H322">
        <v>5.25</v>
      </c>
      <c r="I322">
        <v>3.11</v>
      </c>
      <c r="J322" s="427">
        <v>6.5217391304347823</v>
      </c>
      <c r="K322" s="427">
        <v>45.652173913043477</v>
      </c>
      <c r="L322">
        <f t="shared" si="19"/>
        <v>8.36</v>
      </c>
      <c r="M322">
        <f t="shared" si="20"/>
        <v>0.59238095238095234</v>
      </c>
    </row>
    <row r="323" spans="1:13" x14ac:dyDescent="0.25">
      <c r="A323">
        <v>314</v>
      </c>
      <c r="B323" s="1">
        <v>44768</v>
      </c>
      <c r="C323" t="s">
        <v>30</v>
      </c>
      <c r="D323" t="s">
        <v>9</v>
      </c>
      <c r="E323" t="s">
        <v>26</v>
      </c>
      <c r="F323" t="s">
        <v>1</v>
      </c>
      <c r="G323">
        <v>63.1</v>
      </c>
      <c r="H323">
        <v>3.27</v>
      </c>
      <c r="I323">
        <v>2.0499999999999998</v>
      </c>
      <c r="J323" s="427">
        <v>5.9171597633136095</v>
      </c>
      <c r="K323" s="427">
        <v>47.928994082840234</v>
      </c>
      <c r="L323">
        <f t="shared" si="19"/>
        <v>5.32</v>
      </c>
      <c r="M323">
        <f t="shared" si="20"/>
        <v>0.62691131498470942</v>
      </c>
    </row>
    <row r="324" spans="1:13" x14ac:dyDescent="0.25">
      <c r="A324">
        <v>315</v>
      </c>
      <c r="B324" s="1">
        <v>44769</v>
      </c>
      <c r="C324" t="s">
        <v>30</v>
      </c>
      <c r="D324" t="s">
        <v>9</v>
      </c>
      <c r="E324" t="s">
        <v>26</v>
      </c>
      <c r="F324" t="s">
        <v>1</v>
      </c>
      <c r="G324">
        <v>64.349999999999994</v>
      </c>
      <c r="H324">
        <v>2.2599999999999998</v>
      </c>
      <c r="I324">
        <v>1.3</v>
      </c>
      <c r="J324" s="427">
        <v>5.6</v>
      </c>
      <c r="K324" s="427">
        <v>46.4</v>
      </c>
      <c r="L324">
        <f t="shared" si="19"/>
        <v>3.5599999999999996</v>
      </c>
      <c r="M324">
        <f t="shared" si="20"/>
        <v>0.57522123893805321</v>
      </c>
    </row>
    <row r="325" spans="1:13" x14ac:dyDescent="0.25">
      <c r="A325">
        <v>316</v>
      </c>
      <c r="B325" s="1">
        <v>44769</v>
      </c>
      <c r="C325" t="s">
        <v>30</v>
      </c>
      <c r="D325" t="s">
        <v>9</v>
      </c>
      <c r="E325" t="s">
        <v>26</v>
      </c>
      <c r="F325" t="s">
        <v>1</v>
      </c>
      <c r="G325">
        <v>61.36</v>
      </c>
      <c r="H325">
        <v>4.72</v>
      </c>
      <c r="I325">
        <v>3.24</v>
      </c>
      <c r="J325" s="427">
        <v>6.3380281690140841</v>
      </c>
      <c r="K325" s="427">
        <v>43.661971830985919</v>
      </c>
      <c r="L325">
        <f t="shared" si="19"/>
        <v>7.96</v>
      </c>
      <c r="M325">
        <f t="shared" si="20"/>
        <v>0.68644067796610175</v>
      </c>
    </row>
    <row r="326" spans="1:13" x14ac:dyDescent="0.25">
      <c r="A326">
        <v>317</v>
      </c>
      <c r="B326" s="1">
        <v>44769</v>
      </c>
      <c r="C326" t="s">
        <v>30</v>
      </c>
      <c r="D326" t="s">
        <v>9</v>
      </c>
      <c r="E326" t="s">
        <v>26</v>
      </c>
      <c r="F326" t="s">
        <v>1</v>
      </c>
      <c r="G326">
        <v>64.34</v>
      </c>
      <c r="H326">
        <v>2.4300000000000002</v>
      </c>
      <c r="I326">
        <v>1.32</v>
      </c>
      <c r="J326" s="427">
        <v>7.096774193548387</v>
      </c>
      <c r="K326" s="427">
        <v>46.451612903225808</v>
      </c>
      <c r="L326">
        <f t="shared" si="19"/>
        <v>3.75</v>
      </c>
      <c r="M326">
        <f t="shared" si="20"/>
        <v>0.54320987654320985</v>
      </c>
    </row>
    <row r="327" spans="1:13" x14ac:dyDescent="0.25">
      <c r="A327">
        <v>318</v>
      </c>
      <c r="B327" s="1">
        <v>44770</v>
      </c>
      <c r="C327" t="s">
        <v>30</v>
      </c>
      <c r="D327" t="s">
        <v>9</v>
      </c>
      <c r="E327" t="s">
        <v>26</v>
      </c>
      <c r="F327" t="s">
        <v>1</v>
      </c>
      <c r="G327">
        <v>63.63</v>
      </c>
      <c r="H327">
        <v>2.72</v>
      </c>
      <c r="I327">
        <v>1.53</v>
      </c>
      <c r="J327" s="427">
        <v>7.0063694267515935</v>
      </c>
      <c r="K327" s="427">
        <v>43.312101910828027</v>
      </c>
      <c r="L327">
        <f t="shared" si="19"/>
        <v>4.25</v>
      </c>
      <c r="M327">
        <f t="shared" si="20"/>
        <v>0.5625</v>
      </c>
    </row>
    <row r="328" spans="1:13" x14ac:dyDescent="0.25">
      <c r="A328">
        <v>319</v>
      </c>
      <c r="B328" s="1">
        <v>44771</v>
      </c>
      <c r="C328" t="s">
        <v>30</v>
      </c>
      <c r="D328" t="s">
        <v>9</v>
      </c>
      <c r="E328" t="s">
        <v>26</v>
      </c>
      <c r="F328" t="s">
        <v>1</v>
      </c>
      <c r="G328">
        <v>64.540000000000006</v>
      </c>
      <c r="H328">
        <v>1.56</v>
      </c>
      <c r="I328">
        <v>1.31</v>
      </c>
      <c r="J328" s="427">
        <v>6.666666666666667</v>
      </c>
      <c r="K328" s="427">
        <v>45.925925925925924</v>
      </c>
      <c r="L328">
        <f t="shared" si="19"/>
        <v>2.87</v>
      </c>
      <c r="M328">
        <f t="shared" si="20"/>
        <v>0.83974358974358976</v>
      </c>
    </row>
    <row r="329" spans="1:13" x14ac:dyDescent="0.25">
      <c r="A329">
        <v>320</v>
      </c>
      <c r="B329" s="1">
        <v>44772</v>
      </c>
      <c r="C329" t="s">
        <v>30</v>
      </c>
      <c r="D329" t="s">
        <v>9</v>
      </c>
      <c r="E329" t="s">
        <v>26</v>
      </c>
      <c r="F329" t="s">
        <v>1</v>
      </c>
      <c r="G329">
        <v>62.467999999999989</v>
      </c>
      <c r="H329">
        <v>3.63</v>
      </c>
      <c r="I329">
        <v>2.5499999999999998</v>
      </c>
      <c r="J329" s="427">
        <v>6.4285714285714297</v>
      </c>
      <c r="K329" s="427">
        <v>48.571428571428569</v>
      </c>
      <c r="L329">
        <f t="shared" si="19"/>
        <v>6.18</v>
      </c>
      <c r="M329">
        <f t="shared" si="20"/>
        <v>0.7024793388429752</v>
      </c>
    </row>
    <row r="330" spans="1:13" x14ac:dyDescent="0.25">
      <c r="A330">
        <v>321</v>
      </c>
      <c r="B330" s="1">
        <v>44773</v>
      </c>
      <c r="C330" t="s">
        <v>30</v>
      </c>
      <c r="D330" t="s">
        <v>9</v>
      </c>
      <c r="E330" t="s">
        <v>26</v>
      </c>
      <c r="F330" t="s">
        <v>1</v>
      </c>
      <c r="G330">
        <v>61.34</v>
      </c>
      <c r="H330">
        <v>4.95</v>
      </c>
      <c r="I330">
        <v>3.18</v>
      </c>
      <c r="J330" s="427">
        <v>5.7971014492753632</v>
      </c>
      <c r="K330" s="427">
        <v>47.826086956521742</v>
      </c>
      <c r="L330">
        <f t="shared" si="19"/>
        <v>8.1300000000000008</v>
      </c>
      <c r="M330">
        <f t="shared" si="20"/>
        <v>0.64242424242424245</v>
      </c>
    </row>
    <row r="331" spans="1:13" x14ac:dyDescent="0.25">
      <c r="A331">
        <v>322</v>
      </c>
      <c r="B331" s="1">
        <v>44770</v>
      </c>
      <c r="C331" t="s">
        <v>30</v>
      </c>
      <c r="D331" t="s">
        <v>11</v>
      </c>
      <c r="E331" t="s">
        <v>26</v>
      </c>
      <c r="F331" t="s">
        <v>1</v>
      </c>
      <c r="G331">
        <v>63.3</v>
      </c>
      <c r="H331">
        <v>2.71</v>
      </c>
      <c r="I331">
        <v>1.99</v>
      </c>
      <c r="J331" s="427">
        <v>6.5789473684210522</v>
      </c>
      <c r="K331" s="427">
        <v>46.05263157894737</v>
      </c>
      <c r="L331">
        <f t="shared" si="19"/>
        <v>4.7</v>
      </c>
      <c r="M331">
        <f t="shared" si="20"/>
        <v>0.73431734317343178</v>
      </c>
    </row>
    <row r="332" spans="1:13" x14ac:dyDescent="0.25">
      <c r="A332">
        <v>323</v>
      </c>
      <c r="B332" s="1">
        <v>44772</v>
      </c>
      <c r="C332" t="s">
        <v>30</v>
      </c>
      <c r="D332" t="s">
        <v>11</v>
      </c>
      <c r="E332" t="s">
        <v>26</v>
      </c>
      <c r="F332" t="s">
        <v>1</v>
      </c>
      <c r="G332">
        <v>61.201000000000001</v>
      </c>
      <c r="H332">
        <v>4.7699999999999996</v>
      </c>
      <c r="I332">
        <v>3.29</v>
      </c>
      <c r="J332" s="427">
        <v>6.6225165562913908</v>
      </c>
      <c r="K332" s="427">
        <v>45.695364238410605</v>
      </c>
      <c r="L332">
        <f t="shared" si="19"/>
        <v>8.0599999999999987</v>
      </c>
      <c r="M332">
        <f t="shared" si="20"/>
        <v>0.689727463312369</v>
      </c>
    </row>
    <row r="333" spans="1:13" x14ac:dyDescent="0.25">
      <c r="A333">
        <v>324</v>
      </c>
      <c r="B333" s="1">
        <v>44773</v>
      </c>
      <c r="C333" t="s">
        <v>30</v>
      </c>
      <c r="D333" t="s">
        <v>11</v>
      </c>
      <c r="E333" t="s">
        <v>26</v>
      </c>
      <c r="F333" t="s">
        <v>1</v>
      </c>
      <c r="G333">
        <v>62.78</v>
      </c>
      <c r="H333">
        <v>4.04</v>
      </c>
      <c r="I333">
        <v>1.71</v>
      </c>
      <c r="J333" s="427">
        <v>8.8435374149659864</v>
      </c>
      <c r="K333" s="427">
        <v>37.414965986394563</v>
      </c>
      <c r="L333">
        <f t="shared" si="19"/>
        <v>5.75</v>
      </c>
      <c r="M333">
        <f t="shared" si="20"/>
        <v>0.42326732673267325</v>
      </c>
    </row>
    <row r="334" spans="1:13" x14ac:dyDescent="0.25">
      <c r="A334">
        <v>325</v>
      </c>
      <c r="B334" s="1">
        <v>44769</v>
      </c>
      <c r="C334" t="s">
        <v>60</v>
      </c>
      <c r="D334" t="s">
        <v>11</v>
      </c>
      <c r="E334" t="s">
        <v>26</v>
      </c>
      <c r="F334" t="s">
        <v>1</v>
      </c>
      <c r="G334">
        <v>65.78</v>
      </c>
      <c r="H334">
        <v>1.99</v>
      </c>
      <c r="I334">
        <v>1.51</v>
      </c>
      <c r="J334" s="427">
        <v>0</v>
      </c>
      <c r="K334" s="427">
        <v>64.5</v>
      </c>
      <c r="L334">
        <f t="shared" si="19"/>
        <v>3.5</v>
      </c>
      <c r="M334">
        <f t="shared" si="20"/>
        <v>0.75879396984924619</v>
      </c>
    </row>
    <row r="335" spans="1:13" x14ac:dyDescent="0.25">
      <c r="A335">
        <v>326</v>
      </c>
      <c r="B335" s="1">
        <v>44769</v>
      </c>
      <c r="C335" t="s">
        <v>5</v>
      </c>
      <c r="D335" t="s">
        <v>146</v>
      </c>
      <c r="E335" t="s">
        <v>26</v>
      </c>
      <c r="F335" t="s">
        <v>1</v>
      </c>
      <c r="G335">
        <v>62.2</v>
      </c>
      <c r="H335">
        <v>2.7</v>
      </c>
      <c r="I335">
        <v>3.2</v>
      </c>
      <c r="J335" s="427">
        <v>6</v>
      </c>
      <c r="K335" s="427">
        <v>36</v>
      </c>
      <c r="L335">
        <f t="shared" si="19"/>
        <v>5.9</v>
      </c>
      <c r="M335">
        <f t="shared" si="20"/>
        <v>1.1851851851851851</v>
      </c>
    </row>
    <row r="336" spans="1:13" x14ac:dyDescent="0.25">
      <c r="A336">
        <v>327</v>
      </c>
      <c r="B336" s="1">
        <v>44772</v>
      </c>
      <c r="C336" t="s">
        <v>5</v>
      </c>
      <c r="D336" t="s">
        <v>146</v>
      </c>
      <c r="E336" t="s">
        <v>26</v>
      </c>
      <c r="F336" t="s">
        <v>1</v>
      </c>
      <c r="G336">
        <v>62.3</v>
      </c>
      <c r="H336">
        <v>3</v>
      </c>
      <c r="I336">
        <v>2.7</v>
      </c>
      <c r="J336" s="427">
        <v>5</v>
      </c>
      <c r="K336" s="427">
        <v>37</v>
      </c>
      <c r="L336">
        <f t="shared" si="19"/>
        <v>5.7</v>
      </c>
      <c r="M336">
        <f t="shared" si="20"/>
        <v>0.9</v>
      </c>
    </row>
    <row r="337" spans="1:13" x14ac:dyDescent="0.25">
      <c r="A337">
        <v>328</v>
      </c>
      <c r="B337" s="1">
        <v>44772</v>
      </c>
      <c r="C337" t="s">
        <v>5</v>
      </c>
      <c r="D337" t="s">
        <v>146</v>
      </c>
      <c r="E337" t="s">
        <v>26</v>
      </c>
      <c r="F337" t="s">
        <v>1</v>
      </c>
      <c r="G337">
        <v>62.2</v>
      </c>
      <c r="H337">
        <v>2.7</v>
      </c>
      <c r="I337">
        <v>3.1</v>
      </c>
      <c r="J337" s="427">
        <v>8</v>
      </c>
      <c r="K337" s="427">
        <v>37</v>
      </c>
      <c r="L337">
        <f t="shared" si="19"/>
        <v>5.8000000000000007</v>
      </c>
      <c r="M337">
        <f t="shared" si="20"/>
        <v>1.1481481481481481</v>
      </c>
    </row>
    <row r="338" spans="1:13" x14ac:dyDescent="0.25">
      <c r="A338">
        <v>329</v>
      </c>
      <c r="B338" s="1">
        <v>44768</v>
      </c>
      <c r="C338" t="s">
        <v>5</v>
      </c>
      <c r="D338" t="s">
        <v>27</v>
      </c>
      <c r="E338" t="s">
        <v>26</v>
      </c>
      <c r="F338" t="s">
        <v>1</v>
      </c>
      <c r="G338">
        <v>59.2</v>
      </c>
      <c r="H338">
        <v>6.7</v>
      </c>
      <c r="I338">
        <v>3.4</v>
      </c>
      <c r="J338" s="427">
        <v>7</v>
      </c>
      <c r="K338" s="427">
        <v>45</v>
      </c>
      <c r="L338">
        <f t="shared" si="19"/>
        <v>10.1</v>
      </c>
      <c r="M338">
        <f t="shared" si="20"/>
        <v>0.5074626865671642</v>
      </c>
    </row>
    <row r="339" spans="1:13" x14ac:dyDescent="0.25">
      <c r="A339">
        <v>330</v>
      </c>
      <c r="B339" s="1">
        <v>44770</v>
      </c>
      <c r="C339" t="s">
        <v>5</v>
      </c>
      <c r="D339" t="s">
        <v>27</v>
      </c>
      <c r="E339" t="s">
        <v>26</v>
      </c>
      <c r="F339" t="s">
        <v>1</v>
      </c>
      <c r="G339">
        <v>60.8</v>
      </c>
      <c r="H339">
        <v>5</v>
      </c>
      <c r="I339">
        <v>2.9</v>
      </c>
      <c r="J339" s="427">
        <v>5</v>
      </c>
      <c r="K339" s="427">
        <v>45</v>
      </c>
      <c r="L339">
        <f t="shared" si="19"/>
        <v>7.9</v>
      </c>
      <c r="M339">
        <f t="shared" si="20"/>
        <v>0.57999999999999996</v>
      </c>
    </row>
    <row r="340" spans="1:13" x14ac:dyDescent="0.25">
      <c r="A340">
        <v>331</v>
      </c>
      <c r="B340" s="1">
        <v>44770</v>
      </c>
      <c r="C340" t="s">
        <v>5</v>
      </c>
      <c r="D340" t="s">
        <v>27</v>
      </c>
      <c r="E340" t="s">
        <v>26</v>
      </c>
      <c r="F340" t="s">
        <v>1</v>
      </c>
      <c r="G340">
        <v>57.9</v>
      </c>
      <c r="H340">
        <v>9.4</v>
      </c>
      <c r="I340">
        <v>2.7</v>
      </c>
      <c r="L340">
        <f t="shared" si="19"/>
        <v>12.100000000000001</v>
      </c>
      <c r="M340">
        <f t="shared" si="20"/>
        <v>0.28723404255319152</v>
      </c>
    </row>
    <row r="341" spans="1:13" x14ac:dyDescent="0.25">
      <c r="A341">
        <v>332</v>
      </c>
      <c r="B341" s="1">
        <v>44772</v>
      </c>
      <c r="C341" t="s">
        <v>5</v>
      </c>
      <c r="D341" t="s">
        <v>27</v>
      </c>
      <c r="E341" t="s">
        <v>26</v>
      </c>
      <c r="F341" t="s">
        <v>1</v>
      </c>
      <c r="G341">
        <v>58.1</v>
      </c>
      <c r="H341">
        <v>9.3000000000000007</v>
      </c>
      <c r="I341">
        <v>2.5</v>
      </c>
      <c r="J341" s="427">
        <v>10</v>
      </c>
      <c r="K341" s="427">
        <v>37</v>
      </c>
      <c r="L341">
        <f t="shared" si="19"/>
        <v>11.8</v>
      </c>
      <c r="M341">
        <f t="shared" si="20"/>
        <v>0.26881720430107525</v>
      </c>
    </row>
    <row r="342" spans="1:13" x14ac:dyDescent="0.25">
      <c r="A342">
        <v>333</v>
      </c>
      <c r="B342" s="1">
        <v>44769</v>
      </c>
      <c r="C342" t="s">
        <v>5</v>
      </c>
      <c r="D342" t="s">
        <v>2</v>
      </c>
      <c r="E342" t="s">
        <v>26</v>
      </c>
      <c r="F342" t="s">
        <v>1</v>
      </c>
      <c r="G342">
        <v>59.5</v>
      </c>
      <c r="H342">
        <v>6.4</v>
      </c>
      <c r="I342">
        <v>3.1</v>
      </c>
      <c r="J342" s="427">
        <v>5</v>
      </c>
      <c r="K342" s="427">
        <v>42</v>
      </c>
      <c r="L342">
        <f t="shared" si="19"/>
        <v>9.5</v>
      </c>
      <c r="M342">
        <f t="shared" si="20"/>
        <v>0.484375</v>
      </c>
    </row>
    <row r="343" spans="1:13" x14ac:dyDescent="0.25">
      <c r="A343">
        <v>334</v>
      </c>
      <c r="B343" s="1">
        <v>44768</v>
      </c>
      <c r="C343" t="s">
        <v>5</v>
      </c>
      <c r="D343" t="s">
        <v>31</v>
      </c>
      <c r="E343" t="s">
        <v>26</v>
      </c>
      <c r="F343" t="s">
        <v>1</v>
      </c>
      <c r="G343">
        <v>62.8</v>
      </c>
      <c r="H343">
        <v>3</v>
      </c>
      <c r="I343">
        <v>2</v>
      </c>
      <c r="J343" s="427">
        <v>5</v>
      </c>
      <c r="K343" s="427">
        <v>42</v>
      </c>
      <c r="L343">
        <f t="shared" si="19"/>
        <v>5</v>
      </c>
      <c r="M343">
        <f t="shared" si="20"/>
        <v>0.66666666666666663</v>
      </c>
    </row>
    <row r="344" spans="1:13" x14ac:dyDescent="0.25">
      <c r="A344">
        <v>335</v>
      </c>
      <c r="B344" s="1">
        <v>44769</v>
      </c>
      <c r="C344" t="s">
        <v>5</v>
      </c>
      <c r="D344" t="s">
        <v>31</v>
      </c>
      <c r="E344" t="s">
        <v>26</v>
      </c>
      <c r="F344" t="s">
        <v>1</v>
      </c>
      <c r="G344">
        <v>62.8</v>
      </c>
      <c r="H344">
        <v>2.4</v>
      </c>
      <c r="I344">
        <v>2.6</v>
      </c>
      <c r="J344" s="427">
        <v>5</v>
      </c>
      <c r="K344" s="427">
        <v>37</v>
      </c>
      <c r="L344">
        <f t="shared" ref="L344:L407" si="21">+I344+H344</f>
        <v>5</v>
      </c>
      <c r="M344">
        <f t="shared" si="20"/>
        <v>1.0833333333333335</v>
      </c>
    </row>
    <row r="345" spans="1:13" x14ac:dyDescent="0.25">
      <c r="A345">
        <v>336</v>
      </c>
      <c r="B345" s="1">
        <v>44769</v>
      </c>
      <c r="C345" t="s">
        <v>5</v>
      </c>
      <c r="D345" t="s">
        <v>31</v>
      </c>
      <c r="E345" t="s">
        <v>26</v>
      </c>
      <c r="F345" t="s">
        <v>1</v>
      </c>
      <c r="G345">
        <v>63</v>
      </c>
      <c r="H345">
        <v>2.6</v>
      </c>
      <c r="I345">
        <v>2.1</v>
      </c>
      <c r="J345" s="427">
        <v>4</v>
      </c>
      <c r="K345" s="427">
        <v>39</v>
      </c>
      <c r="L345">
        <f t="shared" si="21"/>
        <v>4.7</v>
      </c>
      <c r="M345">
        <f t="shared" si="20"/>
        <v>0.80769230769230771</v>
      </c>
    </row>
    <row r="346" spans="1:13" x14ac:dyDescent="0.25">
      <c r="A346">
        <v>337</v>
      </c>
      <c r="B346" s="1">
        <v>44769</v>
      </c>
      <c r="C346" t="s">
        <v>5</v>
      </c>
      <c r="D346" t="s">
        <v>31</v>
      </c>
      <c r="E346" t="s">
        <v>26</v>
      </c>
      <c r="F346" t="s">
        <v>1</v>
      </c>
      <c r="G346">
        <v>62.9</v>
      </c>
      <c r="H346">
        <v>2.2999999999999998</v>
      </c>
      <c r="I346">
        <v>2.6</v>
      </c>
      <c r="J346" s="427">
        <v>5</v>
      </c>
      <c r="K346" s="427">
        <v>35</v>
      </c>
      <c r="L346">
        <f t="shared" si="21"/>
        <v>4.9000000000000004</v>
      </c>
      <c r="M346">
        <f t="shared" si="20"/>
        <v>1.1304347826086958</v>
      </c>
    </row>
    <row r="347" spans="1:13" x14ac:dyDescent="0.25">
      <c r="A347">
        <v>338</v>
      </c>
      <c r="B347" s="1">
        <v>44770</v>
      </c>
      <c r="C347" t="s">
        <v>5</v>
      </c>
      <c r="D347" t="s">
        <v>31</v>
      </c>
      <c r="E347" t="s">
        <v>26</v>
      </c>
      <c r="F347" t="s">
        <v>1</v>
      </c>
      <c r="G347">
        <v>63</v>
      </c>
      <c r="H347">
        <v>2.5</v>
      </c>
      <c r="I347">
        <v>2.2000000000000002</v>
      </c>
      <c r="J347" s="427">
        <v>4</v>
      </c>
      <c r="K347" s="427">
        <v>40</v>
      </c>
      <c r="L347">
        <f t="shared" si="21"/>
        <v>4.7</v>
      </c>
      <c r="M347">
        <f t="shared" si="20"/>
        <v>0.88000000000000012</v>
      </c>
    </row>
    <row r="348" spans="1:13" x14ac:dyDescent="0.25">
      <c r="A348">
        <v>339</v>
      </c>
      <c r="B348" s="1">
        <v>44770</v>
      </c>
      <c r="C348" t="s">
        <v>5</v>
      </c>
      <c r="D348" t="s">
        <v>31</v>
      </c>
      <c r="E348" t="s">
        <v>26</v>
      </c>
      <c r="F348" t="s">
        <v>1</v>
      </c>
      <c r="G348">
        <v>62.4</v>
      </c>
      <c r="H348">
        <v>2.9</v>
      </c>
      <c r="I348">
        <v>2.7</v>
      </c>
      <c r="J348" s="427">
        <v>3</v>
      </c>
      <c r="K348" s="427">
        <v>40</v>
      </c>
      <c r="L348">
        <f t="shared" si="21"/>
        <v>5.6</v>
      </c>
      <c r="M348">
        <f t="shared" si="20"/>
        <v>0.93103448275862077</v>
      </c>
    </row>
    <row r="349" spans="1:13" x14ac:dyDescent="0.25">
      <c r="A349">
        <v>340</v>
      </c>
      <c r="B349" s="1">
        <v>44771</v>
      </c>
      <c r="C349" t="s">
        <v>5</v>
      </c>
      <c r="D349" t="s">
        <v>31</v>
      </c>
      <c r="E349" t="s">
        <v>26</v>
      </c>
      <c r="F349" t="s">
        <v>1</v>
      </c>
      <c r="G349">
        <v>62.7</v>
      </c>
      <c r="H349">
        <v>2.4</v>
      </c>
      <c r="I349">
        <v>2.8</v>
      </c>
      <c r="J349" s="427">
        <v>2</v>
      </c>
      <c r="K349" s="427">
        <v>42</v>
      </c>
      <c r="L349">
        <f t="shared" si="21"/>
        <v>5.1999999999999993</v>
      </c>
      <c r="M349">
        <f t="shared" si="20"/>
        <v>1.1666666666666667</v>
      </c>
    </row>
    <row r="350" spans="1:13" x14ac:dyDescent="0.25">
      <c r="A350">
        <v>341</v>
      </c>
      <c r="B350" s="1">
        <v>44771</v>
      </c>
      <c r="C350" t="s">
        <v>5</v>
      </c>
      <c r="D350" t="s">
        <v>31</v>
      </c>
      <c r="E350" t="s">
        <v>26</v>
      </c>
      <c r="F350" t="s">
        <v>1</v>
      </c>
      <c r="G350">
        <v>63</v>
      </c>
      <c r="H350">
        <v>2.2000000000000002</v>
      </c>
      <c r="I350">
        <v>2.5</v>
      </c>
      <c r="J350" s="427">
        <v>3</v>
      </c>
      <c r="K350" s="427">
        <v>36</v>
      </c>
      <c r="L350">
        <f t="shared" si="21"/>
        <v>4.7</v>
      </c>
      <c r="M350">
        <f t="shared" si="20"/>
        <v>1.1363636363636362</v>
      </c>
    </row>
    <row r="351" spans="1:13" x14ac:dyDescent="0.25">
      <c r="A351">
        <v>342</v>
      </c>
      <c r="B351" s="1">
        <v>44772</v>
      </c>
      <c r="C351" t="s">
        <v>5</v>
      </c>
      <c r="D351" t="s">
        <v>31</v>
      </c>
      <c r="E351" t="s">
        <v>26</v>
      </c>
      <c r="F351" t="s">
        <v>1</v>
      </c>
      <c r="G351">
        <v>62.9</v>
      </c>
      <c r="H351">
        <v>2.2999999999999998</v>
      </c>
      <c r="I351">
        <v>2.6</v>
      </c>
      <c r="J351" s="427">
        <v>3</v>
      </c>
      <c r="K351" s="427">
        <v>40</v>
      </c>
      <c r="L351">
        <f t="shared" si="21"/>
        <v>4.9000000000000004</v>
      </c>
      <c r="M351">
        <f t="shared" si="20"/>
        <v>1.1304347826086958</v>
      </c>
    </row>
    <row r="352" spans="1:13" x14ac:dyDescent="0.25">
      <c r="A352">
        <v>343</v>
      </c>
      <c r="B352" s="1">
        <v>44772</v>
      </c>
      <c r="C352" t="s">
        <v>5</v>
      </c>
      <c r="D352" t="s">
        <v>31</v>
      </c>
      <c r="E352" t="s">
        <v>26</v>
      </c>
      <c r="F352" t="s">
        <v>1</v>
      </c>
      <c r="G352">
        <v>63</v>
      </c>
      <c r="H352">
        <v>2.1</v>
      </c>
      <c r="I352">
        <v>2.6</v>
      </c>
      <c r="J352" s="427">
        <v>3</v>
      </c>
      <c r="K352" s="427">
        <v>41</v>
      </c>
      <c r="L352">
        <f t="shared" si="21"/>
        <v>4.7</v>
      </c>
      <c r="M352">
        <f t="shared" si="20"/>
        <v>1.2380952380952381</v>
      </c>
    </row>
    <row r="353" spans="1:13" x14ac:dyDescent="0.25">
      <c r="A353">
        <v>344</v>
      </c>
      <c r="B353" s="1">
        <v>44772</v>
      </c>
      <c r="C353" t="s">
        <v>5</v>
      </c>
      <c r="D353" t="s">
        <v>31</v>
      </c>
      <c r="E353" t="s">
        <v>26</v>
      </c>
      <c r="F353" t="s">
        <v>1</v>
      </c>
      <c r="G353">
        <v>62.8</v>
      </c>
      <c r="H353">
        <v>2.7</v>
      </c>
      <c r="I353">
        <v>2.2999999999999998</v>
      </c>
      <c r="J353" s="427">
        <v>4</v>
      </c>
      <c r="K353" s="427">
        <v>43</v>
      </c>
      <c r="L353">
        <f t="shared" si="21"/>
        <v>5</v>
      </c>
      <c r="M353">
        <f t="shared" si="20"/>
        <v>0.85185185185185175</v>
      </c>
    </row>
    <row r="354" spans="1:13" x14ac:dyDescent="0.25">
      <c r="A354">
        <v>345</v>
      </c>
      <c r="B354" s="1"/>
      <c r="L354">
        <f t="shared" si="21"/>
        <v>0</v>
      </c>
      <c r="M354">
        <f t="shared" si="20"/>
        <v>0</v>
      </c>
    </row>
    <row r="355" spans="1:13" x14ac:dyDescent="0.25">
      <c r="A355">
        <v>346</v>
      </c>
      <c r="B355" s="1"/>
      <c r="L355">
        <f t="shared" si="21"/>
        <v>0</v>
      </c>
      <c r="M355">
        <f t="shared" si="20"/>
        <v>0</v>
      </c>
    </row>
    <row r="356" spans="1:13" x14ac:dyDescent="0.25">
      <c r="A356">
        <v>347</v>
      </c>
      <c r="B356" s="1"/>
      <c r="L356">
        <f t="shared" si="21"/>
        <v>0</v>
      </c>
      <c r="M356">
        <f t="shared" si="20"/>
        <v>0</v>
      </c>
    </row>
    <row r="357" spans="1:13" x14ac:dyDescent="0.25">
      <c r="A357">
        <v>348</v>
      </c>
      <c r="B357" s="1"/>
      <c r="L357">
        <f t="shared" si="21"/>
        <v>0</v>
      </c>
      <c r="M357">
        <f t="shared" si="20"/>
        <v>0</v>
      </c>
    </row>
    <row r="358" spans="1:13" x14ac:dyDescent="0.25">
      <c r="A358">
        <v>349</v>
      </c>
      <c r="B358" s="1"/>
      <c r="L358">
        <f t="shared" si="21"/>
        <v>0</v>
      </c>
      <c r="M358">
        <f t="shared" si="20"/>
        <v>0</v>
      </c>
    </row>
    <row r="359" spans="1:13" x14ac:dyDescent="0.25">
      <c r="A359">
        <v>350</v>
      </c>
      <c r="B359" s="1"/>
      <c r="L359">
        <f t="shared" si="21"/>
        <v>0</v>
      </c>
      <c r="M359">
        <f t="shared" si="20"/>
        <v>0</v>
      </c>
    </row>
    <row r="360" spans="1:13" x14ac:dyDescent="0.25">
      <c r="A360">
        <v>351</v>
      </c>
      <c r="B360" s="1"/>
      <c r="L360">
        <f t="shared" si="21"/>
        <v>0</v>
      </c>
      <c r="M360">
        <f t="shared" si="20"/>
        <v>0</v>
      </c>
    </row>
    <row r="361" spans="1:13" x14ac:dyDescent="0.25">
      <c r="A361">
        <v>352</v>
      </c>
      <c r="B361" s="1"/>
      <c r="L361">
        <f t="shared" si="21"/>
        <v>0</v>
      </c>
      <c r="M361">
        <f t="shared" si="20"/>
        <v>0</v>
      </c>
    </row>
    <row r="362" spans="1:13" x14ac:dyDescent="0.25">
      <c r="A362">
        <v>353</v>
      </c>
      <c r="B362" s="1"/>
      <c r="L362">
        <f t="shared" si="21"/>
        <v>0</v>
      </c>
      <c r="M362">
        <f t="shared" si="20"/>
        <v>0</v>
      </c>
    </row>
    <row r="363" spans="1:13" x14ac:dyDescent="0.25">
      <c r="A363">
        <v>354</v>
      </c>
      <c r="B363" s="1"/>
      <c r="L363">
        <f t="shared" si="21"/>
        <v>0</v>
      </c>
      <c r="M363">
        <f t="shared" si="20"/>
        <v>0</v>
      </c>
    </row>
    <row r="364" spans="1:13" x14ac:dyDescent="0.25">
      <c r="A364">
        <v>355</v>
      </c>
      <c r="B364" s="1"/>
      <c r="L364">
        <f t="shared" si="21"/>
        <v>0</v>
      </c>
      <c r="M364">
        <f t="shared" si="20"/>
        <v>0</v>
      </c>
    </row>
    <row r="365" spans="1:13" x14ac:dyDescent="0.25">
      <c r="A365">
        <v>356</v>
      </c>
      <c r="B365" s="1"/>
      <c r="L365">
        <f t="shared" si="21"/>
        <v>0</v>
      </c>
      <c r="M365">
        <f t="shared" si="20"/>
        <v>0</v>
      </c>
    </row>
    <row r="366" spans="1:13" x14ac:dyDescent="0.25">
      <c r="A366">
        <v>357</v>
      </c>
      <c r="B366" s="1"/>
      <c r="L366">
        <f t="shared" si="21"/>
        <v>0</v>
      </c>
      <c r="M366">
        <f t="shared" si="20"/>
        <v>0</v>
      </c>
    </row>
    <row r="367" spans="1:13" x14ac:dyDescent="0.25">
      <c r="A367">
        <v>358</v>
      </c>
      <c r="B367" s="1"/>
      <c r="L367">
        <f t="shared" si="21"/>
        <v>0</v>
      </c>
      <c r="M367">
        <f t="shared" si="20"/>
        <v>0</v>
      </c>
    </row>
    <row r="368" spans="1:13" x14ac:dyDescent="0.25">
      <c r="A368">
        <v>359</v>
      </c>
      <c r="B368" s="1"/>
      <c r="L368">
        <f t="shared" si="21"/>
        <v>0</v>
      </c>
      <c r="M368">
        <f t="shared" si="20"/>
        <v>0</v>
      </c>
    </row>
    <row r="369" spans="1:13" x14ac:dyDescent="0.25">
      <c r="A369">
        <v>360</v>
      </c>
      <c r="B369" s="1"/>
      <c r="L369">
        <f t="shared" si="21"/>
        <v>0</v>
      </c>
      <c r="M369">
        <f t="shared" si="20"/>
        <v>0</v>
      </c>
    </row>
    <row r="370" spans="1:13" x14ac:dyDescent="0.25">
      <c r="A370">
        <v>361</v>
      </c>
      <c r="B370" s="1"/>
      <c r="L370">
        <f t="shared" si="21"/>
        <v>0</v>
      </c>
      <c r="M370">
        <f t="shared" si="20"/>
        <v>0</v>
      </c>
    </row>
    <row r="371" spans="1:13" x14ac:dyDescent="0.25">
      <c r="A371">
        <v>362</v>
      </c>
      <c r="B371" s="1"/>
      <c r="L371">
        <f t="shared" si="21"/>
        <v>0</v>
      </c>
      <c r="M371">
        <f t="shared" si="20"/>
        <v>0</v>
      </c>
    </row>
    <row r="372" spans="1:13" x14ac:dyDescent="0.25">
      <c r="A372">
        <v>363</v>
      </c>
      <c r="B372" s="1"/>
      <c r="L372">
        <f t="shared" si="21"/>
        <v>0</v>
      </c>
      <c r="M372">
        <f t="shared" si="20"/>
        <v>0</v>
      </c>
    </row>
    <row r="373" spans="1:13" x14ac:dyDescent="0.25">
      <c r="A373">
        <v>364</v>
      </c>
      <c r="B373" s="1"/>
      <c r="L373">
        <f t="shared" si="21"/>
        <v>0</v>
      </c>
      <c r="M373">
        <f t="shared" si="20"/>
        <v>0</v>
      </c>
    </row>
    <row r="374" spans="1:13" x14ac:dyDescent="0.25">
      <c r="A374">
        <v>365</v>
      </c>
      <c r="B374" s="1"/>
      <c r="L374">
        <f t="shared" si="21"/>
        <v>0</v>
      </c>
      <c r="M374">
        <f t="shared" si="20"/>
        <v>0</v>
      </c>
    </row>
    <row r="375" spans="1:13" x14ac:dyDescent="0.25">
      <c r="A375">
        <v>366</v>
      </c>
      <c r="B375" s="1"/>
      <c r="L375">
        <f t="shared" si="21"/>
        <v>0</v>
      </c>
      <c r="M375">
        <f t="shared" si="20"/>
        <v>0</v>
      </c>
    </row>
    <row r="376" spans="1:13" x14ac:dyDescent="0.25">
      <c r="A376">
        <v>367</v>
      </c>
      <c r="B376" s="1"/>
      <c r="L376">
        <f t="shared" si="21"/>
        <v>0</v>
      </c>
      <c r="M376">
        <f t="shared" si="20"/>
        <v>0</v>
      </c>
    </row>
    <row r="377" spans="1:13" x14ac:dyDescent="0.25">
      <c r="A377">
        <v>368</v>
      </c>
      <c r="B377" s="1"/>
      <c r="L377">
        <f t="shared" si="21"/>
        <v>0</v>
      </c>
      <c r="M377">
        <f t="shared" si="20"/>
        <v>0</v>
      </c>
    </row>
    <row r="378" spans="1:13" x14ac:dyDescent="0.25">
      <c r="A378">
        <v>369</v>
      </c>
      <c r="B378" s="1"/>
      <c r="L378">
        <f t="shared" si="21"/>
        <v>0</v>
      </c>
      <c r="M378">
        <f t="shared" si="20"/>
        <v>0</v>
      </c>
    </row>
    <row r="379" spans="1:13" x14ac:dyDescent="0.25">
      <c r="A379">
        <v>370</v>
      </c>
      <c r="B379" s="1"/>
      <c r="L379">
        <f t="shared" si="21"/>
        <v>0</v>
      </c>
      <c r="M379">
        <f t="shared" si="20"/>
        <v>0</v>
      </c>
    </row>
    <row r="380" spans="1:13" x14ac:dyDescent="0.25">
      <c r="A380">
        <v>371</v>
      </c>
      <c r="B380" s="1"/>
      <c r="L380">
        <f t="shared" si="21"/>
        <v>0</v>
      </c>
      <c r="M380">
        <f t="shared" si="20"/>
        <v>0</v>
      </c>
    </row>
    <row r="381" spans="1:13" x14ac:dyDescent="0.25">
      <c r="A381">
        <v>372</v>
      </c>
      <c r="B381" s="1"/>
      <c r="L381">
        <f t="shared" si="21"/>
        <v>0</v>
      </c>
      <c r="M381">
        <f t="shared" si="20"/>
        <v>0</v>
      </c>
    </row>
    <row r="382" spans="1:13" x14ac:dyDescent="0.25">
      <c r="A382">
        <v>373</v>
      </c>
      <c r="B382" s="1"/>
      <c r="L382">
        <f t="shared" si="21"/>
        <v>0</v>
      </c>
      <c r="M382">
        <f t="shared" si="20"/>
        <v>0</v>
      </c>
    </row>
    <row r="383" spans="1:13" x14ac:dyDescent="0.25">
      <c r="A383">
        <v>374</v>
      </c>
      <c r="B383" s="1"/>
      <c r="L383">
        <f t="shared" si="21"/>
        <v>0</v>
      </c>
      <c r="M383">
        <f t="shared" ref="M383:M446" si="22">+I383/IF(H383 = 0,1,H383)</f>
        <v>0</v>
      </c>
    </row>
    <row r="384" spans="1:13" x14ac:dyDescent="0.25">
      <c r="A384">
        <v>375</v>
      </c>
      <c r="B384" s="1"/>
      <c r="L384">
        <f t="shared" si="21"/>
        <v>0</v>
      </c>
      <c r="M384">
        <f t="shared" si="22"/>
        <v>0</v>
      </c>
    </row>
    <row r="385" spans="1:13" x14ac:dyDescent="0.25">
      <c r="A385">
        <v>376</v>
      </c>
      <c r="B385" s="1"/>
      <c r="L385">
        <f t="shared" si="21"/>
        <v>0</v>
      </c>
      <c r="M385">
        <f t="shared" si="22"/>
        <v>0</v>
      </c>
    </row>
    <row r="386" spans="1:13" x14ac:dyDescent="0.25">
      <c r="A386">
        <v>377</v>
      </c>
      <c r="B386" s="1"/>
      <c r="L386">
        <f t="shared" si="21"/>
        <v>0</v>
      </c>
      <c r="M386">
        <f t="shared" si="22"/>
        <v>0</v>
      </c>
    </row>
    <row r="387" spans="1:13" x14ac:dyDescent="0.25">
      <c r="A387">
        <v>378</v>
      </c>
      <c r="B387" s="1"/>
      <c r="L387">
        <f t="shared" si="21"/>
        <v>0</v>
      </c>
      <c r="M387">
        <f t="shared" si="22"/>
        <v>0</v>
      </c>
    </row>
    <row r="388" spans="1:13" x14ac:dyDescent="0.25">
      <c r="A388">
        <v>379</v>
      </c>
      <c r="B388" s="1"/>
      <c r="L388">
        <f t="shared" si="21"/>
        <v>0</v>
      </c>
      <c r="M388">
        <f t="shared" si="22"/>
        <v>0</v>
      </c>
    </row>
    <row r="389" spans="1:13" x14ac:dyDescent="0.25">
      <c r="A389">
        <v>380</v>
      </c>
      <c r="B389" s="1"/>
      <c r="L389">
        <f t="shared" si="21"/>
        <v>0</v>
      </c>
      <c r="M389">
        <f t="shared" si="22"/>
        <v>0</v>
      </c>
    </row>
    <row r="390" spans="1:13" x14ac:dyDescent="0.25">
      <c r="A390">
        <v>381</v>
      </c>
      <c r="B390" s="1"/>
      <c r="L390">
        <f t="shared" si="21"/>
        <v>0</v>
      </c>
      <c r="M390">
        <f t="shared" si="22"/>
        <v>0</v>
      </c>
    </row>
    <row r="391" spans="1:13" x14ac:dyDescent="0.25">
      <c r="A391">
        <v>382</v>
      </c>
      <c r="B391" s="1"/>
      <c r="L391">
        <f t="shared" si="21"/>
        <v>0</v>
      </c>
      <c r="M391">
        <f t="shared" si="22"/>
        <v>0</v>
      </c>
    </row>
    <row r="392" spans="1:13" x14ac:dyDescent="0.25">
      <c r="A392">
        <v>383</v>
      </c>
      <c r="B392" s="1"/>
      <c r="L392">
        <f t="shared" si="21"/>
        <v>0</v>
      </c>
      <c r="M392">
        <f t="shared" si="22"/>
        <v>0</v>
      </c>
    </row>
    <row r="393" spans="1:13" x14ac:dyDescent="0.25">
      <c r="A393">
        <v>384</v>
      </c>
      <c r="B393" s="1"/>
      <c r="L393">
        <f t="shared" si="21"/>
        <v>0</v>
      </c>
      <c r="M393">
        <f t="shared" si="22"/>
        <v>0</v>
      </c>
    </row>
    <row r="394" spans="1:13" x14ac:dyDescent="0.25">
      <c r="A394">
        <v>385</v>
      </c>
      <c r="B394" s="1"/>
      <c r="L394">
        <f t="shared" si="21"/>
        <v>0</v>
      </c>
      <c r="M394">
        <f t="shared" si="22"/>
        <v>0</v>
      </c>
    </row>
    <row r="395" spans="1:13" x14ac:dyDescent="0.25">
      <c r="A395">
        <v>386</v>
      </c>
      <c r="B395" s="1"/>
      <c r="L395">
        <f t="shared" si="21"/>
        <v>0</v>
      </c>
      <c r="M395">
        <f t="shared" si="22"/>
        <v>0</v>
      </c>
    </row>
    <row r="396" spans="1:13" x14ac:dyDescent="0.25">
      <c r="A396">
        <v>387</v>
      </c>
      <c r="B396" s="1"/>
      <c r="L396">
        <f t="shared" si="21"/>
        <v>0</v>
      </c>
      <c r="M396">
        <f t="shared" si="22"/>
        <v>0</v>
      </c>
    </row>
    <row r="397" spans="1:13" x14ac:dyDescent="0.25">
      <c r="A397">
        <v>388</v>
      </c>
      <c r="B397" s="1"/>
      <c r="L397">
        <f t="shared" si="21"/>
        <v>0</v>
      </c>
      <c r="M397">
        <f t="shared" si="22"/>
        <v>0</v>
      </c>
    </row>
    <row r="398" spans="1:13" x14ac:dyDescent="0.25">
      <c r="A398">
        <v>389</v>
      </c>
      <c r="B398" s="1"/>
      <c r="L398">
        <f t="shared" si="21"/>
        <v>0</v>
      </c>
      <c r="M398">
        <f t="shared" si="22"/>
        <v>0</v>
      </c>
    </row>
    <row r="399" spans="1:13" x14ac:dyDescent="0.25">
      <c r="A399">
        <v>390</v>
      </c>
      <c r="B399" s="1"/>
      <c r="L399">
        <f t="shared" si="21"/>
        <v>0</v>
      </c>
      <c r="M399">
        <f t="shared" si="22"/>
        <v>0</v>
      </c>
    </row>
    <row r="400" spans="1:13" x14ac:dyDescent="0.25">
      <c r="A400">
        <v>391</v>
      </c>
      <c r="B400" s="1"/>
      <c r="L400">
        <f t="shared" si="21"/>
        <v>0</v>
      </c>
      <c r="M400">
        <f t="shared" si="22"/>
        <v>0</v>
      </c>
    </row>
    <row r="401" spans="1:13" x14ac:dyDescent="0.25">
      <c r="A401">
        <v>392</v>
      </c>
      <c r="B401" s="1"/>
      <c r="L401">
        <f t="shared" si="21"/>
        <v>0</v>
      </c>
      <c r="M401">
        <f t="shared" si="22"/>
        <v>0</v>
      </c>
    </row>
    <row r="402" spans="1:13" x14ac:dyDescent="0.25">
      <c r="A402">
        <v>393</v>
      </c>
      <c r="B402" s="1"/>
      <c r="L402">
        <f t="shared" si="21"/>
        <v>0</v>
      </c>
      <c r="M402">
        <f t="shared" si="22"/>
        <v>0</v>
      </c>
    </row>
    <row r="403" spans="1:13" x14ac:dyDescent="0.25">
      <c r="A403">
        <v>394</v>
      </c>
      <c r="B403" s="1"/>
      <c r="L403">
        <f t="shared" si="21"/>
        <v>0</v>
      </c>
      <c r="M403">
        <f t="shared" si="22"/>
        <v>0</v>
      </c>
    </row>
    <row r="404" spans="1:13" x14ac:dyDescent="0.25">
      <c r="A404">
        <v>395</v>
      </c>
      <c r="B404" s="1"/>
      <c r="L404">
        <f t="shared" si="21"/>
        <v>0</v>
      </c>
      <c r="M404">
        <f t="shared" si="22"/>
        <v>0</v>
      </c>
    </row>
    <row r="405" spans="1:13" x14ac:dyDescent="0.25">
      <c r="A405">
        <v>396</v>
      </c>
      <c r="L405">
        <f t="shared" si="21"/>
        <v>0</v>
      </c>
      <c r="M405">
        <f t="shared" si="22"/>
        <v>0</v>
      </c>
    </row>
    <row r="406" spans="1:13" x14ac:dyDescent="0.25">
      <c r="A406">
        <v>397</v>
      </c>
      <c r="L406">
        <f t="shared" si="21"/>
        <v>0</v>
      </c>
      <c r="M406">
        <f t="shared" si="22"/>
        <v>0</v>
      </c>
    </row>
    <row r="407" spans="1:13" x14ac:dyDescent="0.25">
      <c r="A407">
        <v>398</v>
      </c>
      <c r="L407">
        <f t="shared" si="21"/>
        <v>0</v>
      </c>
      <c r="M407">
        <f t="shared" si="22"/>
        <v>0</v>
      </c>
    </row>
    <row r="408" spans="1:13" x14ac:dyDescent="0.25">
      <c r="A408">
        <v>399</v>
      </c>
      <c r="L408">
        <f t="shared" ref="L408:L471" si="23">+I408+H408</f>
        <v>0</v>
      </c>
      <c r="M408">
        <f t="shared" si="22"/>
        <v>0</v>
      </c>
    </row>
    <row r="409" spans="1:13" x14ac:dyDescent="0.25">
      <c r="A409">
        <v>400</v>
      </c>
      <c r="L409">
        <f t="shared" si="23"/>
        <v>0</v>
      </c>
      <c r="M409">
        <f t="shared" si="22"/>
        <v>0</v>
      </c>
    </row>
    <row r="410" spans="1:13" x14ac:dyDescent="0.25">
      <c r="A410">
        <v>401</v>
      </c>
      <c r="L410">
        <f t="shared" si="23"/>
        <v>0</v>
      </c>
      <c r="M410">
        <f t="shared" si="22"/>
        <v>0</v>
      </c>
    </row>
    <row r="411" spans="1:13" x14ac:dyDescent="0.25">
      <c r="A411">
        <v>402</v>
      </c>
      <c r="L411">
        <f t="shared" si="23"/>
        <v>0</v>
      </c>
      <c r="M411">
        <f t="shared" si="22"/>
        <v>0</v>
      </c>
    </row>
    <row r="412" spans="1:13" x14ac:dyDescent="0.25">
      <c r="A412">
        <v>403</v>
      </c>
      <c r="L412">
        <f t="shared" si="23"/>
        <v>0</v>
      </c>
      <c r="M412">
        <f t="shared" si="22"/>
        <v>0</v>
      </c>
    </row>
    <row r="413" spans="1:13" x14ac:dyDescent="0.25">
      <c r="A413">
        <v>404</v>
      </c>
      <c r="L413">
        <f t="shared" si="23"/>
        <v>0</v>
      </c>
      <c r="M413">
        <f t="shared" si="22"/>
        <v>0</v>
      </c>
    </row>
    <row r="414" spans="1:13" x14ac:dyDescent="0.25">
      <c r="A414">
        <v>405</v>
      </c>
      <c r="L414">
        <f t="shared" si="23"/>
        <v>0</v>
      </c>
      <c r="M414">
        <f t="shared" si="22"/>
        <v>0</v>
      </c>
    </row>
    <row r="415" spans="1:13" x14ac:dyDescent="0.25">
      <c r="A415">
        <v>406</v>
      </c>
      <c r="L415">
        <f t="shared" si="23"/>
        <v>0</v>
      </c>
      <c r="M415">
        <f t="shared" si="22"/>
        <v>0</v>
      </c>
    </row>
    <row r="416" spans="1:13" x14ac:dyDescent="0.25">
      <c r="A416">
        <v>407</v>
      </c>
      <c r="L416">
        <f t="shared" si="23"/>
        <v>0</v>
      </c>
      <c r="M416">
        <f t="shared" si="22"/>
        <v>0</v>
      </c>
    </row>
    <row r="417" spans="1:13" x14ac:dyDescent="0.25">
      <c r="A417">
        <v>408</v>
      </c>
      <c r="L417">
        <f t="shared" si="23"/>
        <v>0</v>
      </c>
      <c r="M417">
        <f t="shared" si="22"/>
        <v>0</v>
      </c>
    </row>
    <row r="418" spans="1:13" x14ac:dyDescent="0.25">
      <c r="A418">
        <v>409</v>
      </c>
      <c r="L418">
        <f t="shared" si="23"/>
        <v>0</v>
      </c>
      <c r="M418">
        <f t="shared" si="22"/>
        <v>0</v>
      </c>
    </row>
    <row r="419" spans="1:13" x14ac:dyDescent="0.25">
      <c r="A419">
        <v>410</v>
      </c>
      <c r="L419">
        <f t="shared" si="23"/>
        <v>0</v>
      </c>
      <c r="M419">
        <f t="shared" si="22"/>
        <v>0</v>
      </c>
    </row>
    <row r="420" spans="1:13" x14ac:dyDescent="0.25">
      <c r="A420">
        <v>411</v>
      </c>
      <c r="L420">
        <f t="shared" si="23"/>
        <v>0</v>
      </c>
      <c r="M420">
        <f t="shared" si="22"/>
        <v>0</v>
      </c>
    </row>
    <row r="421" spans="1:13" x14ac:dyDescent="0.25">
      <c r="A421">
        <v>412</v>
      </c>
      <c r="L421">
        <f t="shared" si="23"/>
        <v>0</v>
      </c>
      <c r="M421">
        <f t="shared" si="22"/>
        <v>0</v>
      </c>
    </row>
    <row r="422" spans="1:13" x14ac:dyDescent="0.25">
      <c r="A422">
        <v>413</v>
      </c>
      <c r="L422">
        <f t="shared" si="23"/>
        <v>0</v>
      </c>
      <c r="M422">
        <f t="shared" si="22"/>
        <v>0</v>
      </c>
    </row>
    <row r="423" spans="1:13" x14ac:dyDescent="0.25">
      <c r="A423">
        <v>414</v>
      </c>
      <c r="L423">
        <f t="shared" si="23"/>
        <v>0</v>
      </c>
      <c r="M423">
        <f t="shared" si="22"/>
        <v>0</v>
      </c>
    </row>
    <row r="424" spans="1:13" x14ac:dyDescent="0.25">
      <c r="A424">
        <v>415</v>
      </c>
      <c r="L424">
        <f t="shared" si="23"/>
        <v>0</v>
      </c>
      <c r="M424">
        <f t="shared" si="22"/>
        <v>0</v>
      </c>
    </row>
    <row r="425" spans="1:13" x14ac:dyDescent="0.25">
      <c r="A425">
        <v>416</v>
      </c>
      <c r="L425">
        <f t="shared" si="23"/>
        <v>0</v>
      </c>
      <c r="M425">
        <f t="shared" si="22"/>
        <v>0</v>
      </c>
    </row>
    <row r="426" spans="1:13" x14ac:dyDescent="0.25">
      <c r="A426">
        <v>417</v>
      </c>
      <c r="L426">
        <f t="shared" si="23"/>
        <v>0</v>
      </c>
      <c r="M426">
        <f t="shared" si="22"/>
        <v>0</v>
      </c>
    </row>
    <row r="427" spans="1:13" x14ac:dyDescent="0.25">
      <c r="A427">
        <v>418</v>
      </c>
      <c r="L427">
        <f t="shared" si="23"/>
        <v>0</v>
      </c>
      <c r="M427">
        <f t="shared" si="22"/>
        <v>0</v>
      </c>
    </row>
    <row r="428" spans="1:13" x14ac:dyDescent="0.25">
      <c r="A428">
        <v>419</v>
      </c>
      <c r="L428">
        <f t="shared" si="23"/>
        <v>0</v>
      </c>
      <c r="M428">
        <f t="shared" si="22"/>
        <v>0</v>
      </c>
    </row>
    <row r="429" spans="1:13" x14ac:dyDescent="0.25">
      <c r="A429">
        <v>420</v>
      </c>
      <c r="L429">
        <f t="shared" si="23"/>
        <v>0</v>
      </c>
      <c r="M429">
        <f t="shared" si="22"/>
        <v>0</v>
      </c>
    </row>
    <row r="430" spans="1:13" x14ac:dyDescent="0.25">
      <c r="A430">
        <v>421</v>
      </c>
      <c r="L430">
        <f t="shared" si="23"/>
        <v>0</v>
      </c>
      <c r="M430">
        <f t="shared" si="22"/>
        <v>0</v>
      </c>
    </row>
    <row r="431" spans="1:13" x14ac:dyDescent="0.25">
      <c r="A431">
        <v>422</v>
      </c>
      <c r="L431">
        <f t="shared" si="23"/>
        <v>0</v>
      </c>
      <c r="M431">
        <f t="shared" si="22"/>
        <v>0</v>
      </c>
    </row>
    <row r="432" spans="1:13" x14ac:dyDescent="0.25">
      <c r="A432">
        <v>423</v>
      </c>
      <c r="L432">
        <f t="shared" si="23"/>
        <v>0</v>
      </c>
      <c r="M432">
        <f t="shared" si="22"/>
        <v>0</v>
      </c>
    </row>
    <row r="433" spans="1:13" x14ac:dyDescent="0.25">
      <c r="A433">
        <v>424</v>
      </c>
      <c r="L433">
        <f t="shared" si="23"/>
        <v>0</v>
      </c>
      <c r="M433">
        <f t="shared" si="22"/>
        <v>0</v>
      </c>
    </row>
    <row r="434" spans="1:13" x14ac:dyDescent="0.25">
      <c r="A434">
        <v>425</v>
      </c>
      <c r="L434">
        <f t="shared" si="23"/>
        <v>0</v>
      </c>
      <c r="M434">
        <f t="shared" si="22"/>
        <v>0</v>
      </c>
    </row>
    <row r="435" spans="1:13" x14ac:dyDescent="0.25">
      <c r="A435">
        <v>426</v>
      </c>
      <c r="L435">
        <f t="shared" si="23"/>
        <v>0</v>
      </c>
      <c r="M435">
        <f t="shared" si="22"/>
        <v>0</v>
      </c>
    </row>
    <row r="436" spans="1:13" x14ac:dyDescent="0.25">
      <c r="A436">
        <v>427</v>
      </c>
      <c r="L436">
        <f t="shared" si="23"/>
        <v>0</v>
      </c>
      <c r="M436">
        <f t="shared" si="22"/>
        <v>0</v>
      </c>
    </row>
    <row r="437" spans="1:13" x14ac:dyDescent="0.25">
      <c r="A437">
        <v>428</v>
      </c>
      <c r="L437">
        <f t="shared" si="23"/>
        <v>0</v>
      </c>
      <c r="M437">
        <f t="shared" si="22"/>
        <v>0</v>
      </c>
    </row>
    <row r="438" spans="1:13" x14ac:dyDescent="0.25">
      <c r="A438">
        <v>429</v>
      </c>
      <c r="L438">
        <f t="shared" si="23"/>
        <v>0</v>
      </c>
      <c r="M438">
        <f t="shared" si="22"/>
        <v>0</v>
      </c>
    </row>
    <row r="439" spans="1:13" x14ac:dyDescent="0.25">
      <c r="A439">
        <v>430</v>
      </c>
      <c r="L439">
        <f t="shared" si="23"/>
        <v>0</v>
      </c>
      <c r="M439">
        <f t="shared" si="22"/>
        <v>0</v>
      </c>
    </row>
    <row r="440" spans="1:13" x14ac:dyDescent="0.25">
      <c r="A440">
        <v>431</v>
      </c>
      <c r="L440">
        <f t="shared" si="23"/>
        <v>0</v>
      </c>
      <c r="M440">
        <f t="shared" si="22"/>
        <v>0</v>
      </c>
    </row>
    <row r="441" spans="1:13" x14ac:dyDescent="0.25">
      <c r="A441">
        <v>432</v>
      </c>
      <c r="L441">
        <f t="shared" si="23"/>
        <v>0</v>
      </c>
      <c r="M441">
        <f t="shared" si="22"/>
        <v>0</v>
      </c>
    </row>
    <row r="442" spans="1:13" x14ac:dyDescent="0.25">
      <c r="A442">
        <v>433</v>
      </c>
      <c r="L442">
        <f t="shared" si="23"/>
        <v>0</v>
      </c>
      <c r="M442">
        <f t="shared" si="22"/>
        <v>0</v>
      </c>
    </row>
    <row r="443" spans="1:13" x14ac:dyDescent="0.25">
      <c r="A443">
        <v>434</v>
      </c>
      <c r="L443">
        <f t="shared" si="23"/>
        <v>0</v>
      </c>
      <c r="M443">
        <f t="shared" si="22"/>
        <v>0</v>
      </c>
    </row>
    <row r="444" spans="1:13" x14ac:dyDescent="0.25">
      <c r="A444">
        <v>435</v>
      </c>
      <c r="L444">
        <f t="shared" si="23"/>
        <v>0</v>
      </c>
      <c r="M444">
        <f t="shared" si="22"/>
        <v>0</v>
      </c>
    </row>
    <row r="445" spans="1:13" x14ac:dyDescent="0.25">
      <c r="A445">
        <v>436</v>
      </c>
      <c r="L445">
        <f t="shared" si="23"/>
        <v>0</v>
      </c>
      <c r="M445">
        <f t="shared" si="22"/>
        <v>0</v>
      </c>
    </row>
    <row r="446" spans="1:13" x14ac:dyDescent="0.25">
      <c r="A446">
        <v>437</v>
      </c>
      <c r="L446">
        <f t="shared" si="23"/>
        <v>0</v>
      </c>
      <c r="M446">
        <f t="shared" si="22"/>
        <v>0</v>
      </c>
    </row>
    <row r="447" spans="1:13" x14ac:dyDescent="0.25">
      <c r="A447">
        <v>438</v>
      </c>
      <c r="L447">
        <f t="shared" si="23"/>
        <v>0</v>
      </c>
      <c r="M447">
        <f t="shared" ref="M447:M510" si="24">+I447/IF(H447 = 0,1,H447)</f>
        <v>0</v>
      </c>
    </row>
    <row r="448" spans="1:13" x14ac:dyDescent="0.25">
      <c r="A448">
        <v>439</v>
      </c>
      <c r="L448">
        <f t="shared" si="23"/>
        <v>0</v>
      </c>
      <c r="M448">
        <f t="shared" si="24"/>
        <v>0</v>
      </c>
    </row>
    <row r="449" spans="1:13" x14ac:dyDescent="0.25">
      <c r="A449">
        <v>440</v>
      </c>
      <c r="L449">
        <f t="shared" si="23"/>
        <v>0</v>
      </c>
      <c r="M449">
        <f t="shared" si="24"/>
        <v>0</v>
      </c>
    </row>
    <row r="450" spans="1:13" x14ac:dyDescent="0.25">
      <c r="A450">
        <v>441</v>
      </c>
      <c r="L450">
        <f t="shared" si="23"/>
        <v>0</v>
      </c>
      <c r="M450">
        <f t="shared" si="24"/>
        <v>0</v>
      </c>
    </row>
    <row r="451" spans="1:13" x14ac:dyDescent="0.25">
      <c r="A451">
        <v>442</v>
      </c>
      <c r="L451">
        <f t="shared" si="23"/>
        <v>0</v>
      </c>
      <c r="M451">
        <f t="shared" si="24"/>
        <v>0</v>
      </c>
    </row>
    <row r="452" spans="1:13" x14ac:dyDescent="0.25">
      <c r="A452">
        <v>443</v>
      </c>
      <c r="L452">
        <f t="shared" si="23"/>
        <v>0</v>
      </c>
      <c r="M452">
        <f t="shared" si="24"/>
        <v>0</v>
      </c>
    </row>
    <row r="453" spans="1:13" x14ac:dyDescent="0.25">
      <c r="A453">
        <v>444</v>
      </c>
      <c r="L453">
        <f t="shared" si="23"/>
        <v>0</v>
      </c>
      <c r="M453">
        <f t="shared" si="24"/>
        <v>0</v>
      </c>
    </row>
    <row r="454" spans="1:13" x14ac:dyDescent="0.25">
      <c r="A454">
        <v>445</v>
      </c>
      <c r="L454">
        <f t="shared" si="23"/>
        <v>0</v>
      </c>
      <c r="M454">
        <f t="shared" si="24"/>
        <v>0</v>
      </c>
    </row>
    <row r="455" spans="1:13" x14ac:dyDescent="0.25">
      <c r="A455">
        <v>446</v>
      </c>
      <c r="L455">
        <f t="shared" si="23"/>
        <v>0</v>
      </c>
      <c r="M455">
        <f t="shared" si="24"/>
        <v>0</v>
      </c>
    </row>
    <row r="456" spans="1:13" x14ac:dyDescent="0.25">
      <c r="A456">
        <v>447</v>
      </c>
      <c r="L456">
        <f t="shared" si="23"/>
        <v>0</v>
      </c>
      <c r="M456">
        <f t="shared" si="24"/>
        <v>0</v>
      </c>
    </row>
    <row r="457" spans="1:13" x14ac:dyDescent="0.25">
      <c r="A457">
        <v>448</v>
      </c>
      <c r="L457">
        <f t="shared" si="23"/>
        <v>0</v>
      </c>
      <c r="M457">
        <f t="shared" si="24"/>
        <v>0</v>
      </c>
    </row>
    <row r="458" spans="1:13" x14ac:dyDescent="0.25">
      <c r="A458">
        <v>449</v>
      </c>
      <c r="L458">
        <f t="shared" si="23"/>
        <v>0</v>
      </c>
      <c r="M458">
        <f t="shared" si="24"/>
        <v>0</v>
      </c>
    </row>
    <row r="459" spans="1:13" x14ac:dyDescent="0.25">
      <c r="A459">
        <v>450</v>
      </c>
      <c r="L459">
        <f t="shared" si="23"/>
        <v>0</v>
      </c>
      <c r="M459">
        <f t="shared" si="24"/>
        <v>0</v>
      </c>
    </row>
    <row r="460" spans="1:13" x14ac:dyDescent="0.25">
      <c r="A460">
        <v>451</v>
      </c>
      <c r="L460">
        <f t="shared" si="23"/>
        <v>0</v>
      </c>
      <c r="M460">
        <f t="shared" si="24"/>
        <v>0</v>
      </c>
    </row>
    <row r="461" spans="1:13" x14ac:dyDescent="0.25">
      <c r="A461">
        <v>452</v>
      </c>
      <c r="L461">
        <f t="shared" si="23"/>
        <v>0</v>
      </c>
      <c r="M461">
        <f t="shared" si="24"/>
        <v>0</v>
      </c>
    </row>
    <row r="462" spans="1:13" x14ac:dyDescent="0.25">
      <c r="A462">
        <v>453</v>
      </c>
      <c r="L462">
        <f t="shared" si="23"/>
        <v>0</v>
      </c>
      <c r="M462">
        <f t="shared" si="24"/>
        <v>0</v>
      </c>
    </row>
    <row r="463" spans="1:13" x14ac:dyDescent="0.25">
      <c r="A463">
        <v>454</v>
      </c>
      <c r="L463">
        <f t="shared" si="23"/>
        <v>0</v>
      </c>
      <c r="M463">
        <f t="shared" si="24"/>
        <v>0</v>
      </c>
    </row>
    <row r="464" spans="1:13" x14ac:dyDescent="0.25">
      <c r="A464">
        <v>455</v>
      </c>
      <c r="L464">
        <f t="shared" si="23"/>
        <v>0</v>
      </c>
      <c r="M464">
        <f t="shared" si="24"/>
        <v>0</v>
      </c>
    </row>
    <row r="465" spans="1:13" x14ac:dyDescent="0.25">
      <c r="A465">
        <v>456</v>
      </c>
      <c r="L465">
        <f t="shared" si="23"/>
        <v>0</v>
      </c>
      <c r="M465">
        <f t="shared" si="24"/>
        <v>0</v>
      </c>
    </row>
    <row r="466" spans="1:13" x14ac:dyDescent="0.25">
      <c r="A466">
        <v>457</v>
      </c>
      <c r="L466">
        <f t="shared" si="23"/>
        <v>0</v>
      </c>
      <c r="M466">
        <f t="shared" si="24"/>
        <v>0</v>
      </c>
    </row>
    <row r="467" spans="1:13" x14ac:dyDescent="0.25">
      <c r="A467">
        <v>458</v>
      </c>
      <c r="L467">
        <f t="shared" si="23"/>
        <v>0</v>
      </c>
      <c r="M467">
        <f t="shared" si="24"/>
        <v>0</v>
      </c>
    </row>
    <row r="468" spans="1:13" x14ac:dyDescent="0.25">
      <c r="A468">
        <v>459</v>
      </c>
      <c r="L468">
        <f t="shared" si="23"/>
        <v>0</v>
      </c>
      <c r="M468">
        <f t="shared" si="24"/>
        <v>0</v>
      </c>
    </row>
    <row r="469" spans="1:13" x14ac:dyDescent="0.25">
      <c r="A469">
        <v>460</v>
      </c>
      <c r="L469">
        <f t="shared" si="23"/>
        <v>0</v>
      </c>
      <c r="M469">
        <f t="shared" si="24"/>
        <v>0</v>
      </c>
    </row>
    <row r="470" spans="1:13" x14ac:dyDescent="0.25">
      <c r="A470">
        <v>461</v>
      </c>
      <c r="L470">
        <f t="shared" si="23"/>
        <v>0</v>
      </c>
      <c r="M470">
        <f t="shared" si="24"/>
        <v>0</v>
      </c>
    </row>
    <row r="471" spans="1:13" x14ac:dyDescent="0.25">
      <c r="A471">
        <v>462</v>
      </c>
      <c r="L471">
        <f t="shared" si="23"/>
        <v>0</v>
      </c>
      <c r="M471">
        <f t="shared" si="24"/>
        <v>0</v>
      </c>
    </row>
    <row r="472" spans="1:13" x14ac:dyDescent="0.25">
      <c r="A472">
        <v>463</v>
      </c>
      <c r="L472">
        <f t="shared" ref="L472:L535" si="25">+I472+H472</f>
        <v>0</v>
      </c>
      <c r="M472">
        <f t="shared" si="24"/>
        <v>0</v>
      </c>
    </row>
    <row r="473" spans="1:13" x14ac:dyDescent="0.25">
      <c r="A473">
        <v>464</v>
      </c>
      <c r="L473">
        <f t="shared" si="25"/>
        <v>0</v>
      </c>
      <c r="M473">
        <f t="shared" si="24"/>
        <v>0</v>
      </c>
    </row>
    <row r="474" spans="1:13" x14ac:dyDescent="0.25">
      <c r="A474">
        <v>465</v>
      </c>
      <c r="L474">
        <f t="shared" si="25"/>
        <v>0</v>
      </c>
      <c r="M474">
        <f t="shared" si="24"/>
        <v>0</v>
      </c>
    </row>
    <row r="475" spans="1:13" x14ac:dyDescent="0.25">
      <c r="A475">
        <v>466</v>
      </c>
      <c r="L475">
        <f t="shared" si="25"/>
        <v>0</v>
      </c>
      <c r="M475">
        <f t="shared" si="24"/>
        <v>0</v>
      </c>
    </row>
    <row r="476" spans="1:13" x14ac:dyDescent="0.25">
      <c r="A476">
        <v>467</v>
      </c>
      <c r="L476">
        <f t="shared" si="25"/>
        <v>0</v>
      </c>
      <c r="M476">
        <f t="shared" si="24"/>
        <v>0</v>
      </c>
    </row>
    <row r="477" spans="1:13" x14ac:dyDescent="0.25">
      <c r="A477">
        <v>468</v>
      </c>
      <c r="L477">
        <f t="shared" si="25"/>
        <v>0</v>
      </c>
      <c r="M477">
        <f t="shared" si="24"/>
        <v>0</v>
      </c>
    </row>
    <row r="478" spans="1:13" x14ac:dyDescent="0.25">
      <c r="A478">
        <v>469</v>
      </c>
      <c r="L478">
        <f t="shared" si="25"/>
        <v>0</v>
      </c>
      <c r="M478">
        <f t="shared" si="24"/>
        <v>0</v>
      </c>
    </row>
    <row r="479" spans="1:13" x14ac:dyDescent="0.25">
      <c r="A479">
        <v>470</v>
      </c>
      <c r="L479">
        <f t="shared" si="25"/>
        <v>0</v>
      </c>
      <c r="M479">
        <f t="shared" si="24"/>
        <v>0</v>
      </c>
    </row>
    <row r="480" spans="1:13" x14ac:dyDescent="0.25">
      <c r="A480">
        <v>471</v>
      </c>
      <c r="L480">
        <f t="shared" si="25"/>
        <v>0</v>
      </c>
      <c r="M480">
        <f t="shared" si="24"/>
        <v>0</v>
      </c>
    </row>
    <row r="481" spans="1:13" x14ac:dyDescent="0.25">
      <c r="A481">
        <v>472</v>
      </c>
      <c r="L481">
        <f t="shared" si="25"/>
        <v>0</v>
      </c>
      <c r="M481">
        <f t="shared" si="24"/>
        <v>0</v>
      </c>
    </row>
    <row r="482" spans="1:13" x14ac:dyDescent="0.25">
      <c r="A482">
        <v>473</v>
      </c>
      <c r="L482">
        <f t="shared" si="25"/>
        <v>0</v>
      </c>
      <c r="M482">
        <f t="shared" si="24"/>
        <v>0</v>
      </c>
    </row>
    <row r="483" spans="1:13" x14ac:dyDescent="0.25">
      <c r="A483">
        <v>474</v>
      </c>
      <c r="L483">
        <f t="shared" si="25"/>
        <v>0</v>
      </c>
      <c r="M483">
        <f t="shared" si="24"/>
        <v>0</v>
      </c>
    </row>
    <row r="484" spans="1:13" x14ac:dyDescent="0.25">
      <c r="A484">
        <v>475</v>
      </c>
      <c r="L484">
        <f t="shared" si="25"/>
        <v>0</v>
      </c>
      <c r="M484">
        <f t="shared" si="24"/>
        <v>0</v>
      </c>
    </row>
    <row r="485" spans="1:13" x14ac:dyDescent="0.25">
      <c r="A485">
        <v>476</v>
      </c>
      <c r="L485">
        <f t="shared" si="25"/>
        <v>0</v>
      </c>
      <c r="M485">
        <f t="shared" si="24"/>
        <v>0</v>
      </c>
    </row>
    <row r="486" spans="1:13" x14ac:dyDescent="0.25">
      <c r="A486">
        <v>477</v>
      </c>
      <c r="L486">
        <f t="shared" si="25"/>
        <v>0</v>
      </c>
      <c r="M486">
        <f t="shared" si="24"/>
        <v>0</v>
      </c>
    </row>
    <row r="487" spans="1:13" x14ac:dyDescent="0.25">
      <c r="A487">
        <v>478</v>
      </c>
      <c r="L487">
        <f t="shared" si="25"/>
        <v>0</v>
      </c>
      <c r="M487">
        <f t="shared" si="24"/>
        <v>0</v>
      </c>
    </row>
    <row r="488" spans="1:13" x14ac:dyDescent="0.25">
      <c r="A488">
        <v>479</v>
      </c>
      <c r="L488">
        <f t="shared" si="25"/>
        <v>0</v>
      </c>
      <c r="M488">
        <f t="shared" si="24"/>
        <v>0</v>
      </c>
    </row>
    <row r="489" spans="1:13" x14ac:dyDescent="0.25">
      <c r="A489">
        <v>480</v>
      </c>
      <c r="L489">
        <f t="shared" si="25"/>
        <v>0</v>
      </c>
      <c r="M489">
        <f t="shared" si="24"/>
        <v>0</v>
      </c>
    </row>
    <row r="490" spans="1:13" x14ac:dyDescent="0.25">
      <c r="A490">
        <v>481</v>
      </c>
      <c r="L490">
        <f t="shared" si="25"/>
        <v>0</v>
      </c>
      <c r="M490">
        <f t="shared" si="24"/>
        <v>0</v>
      </c>
    </row>
    <row r="491" spans="1:13" x14ac:dyDescent="0.25">
      <c r="A491">
        <v>482</v>
      </c>
      <c r="L491">
        <f t="shared" si="25"/>
        <v>0</v>
      </c>
      <c r="M491">
        <f t="shared" si="24"/>
        <v>0</v>
      </c>
    </row>
    <row r="492" spans="1:13" x14ac:dyDescent="0.25">
      <c r="A492">
        <v>483</v>
      </c>
      <c r="L492">
        <f t="shared" si="25"/>
        <v>0</v>
      </c>
      <c r="M492">
        <f t="shared" si="24"/>
        <v>0</v>
      </c>
    </row>
    <row r="493" spans="1:13" x14ac:dyDescent="0.25">
      <c r="A493">
        <v>484</v>
      </c>
      <c r="L493">
        <f t="shared" si="25"/>
        <v>0</v>
      </c>
      <c r="M493">
        <f t="shared" si="24"/>
        <v>0</v>
      </c>
    </row>
    <row r="494" spans="1:13" x14ac:dyDescent="0.25">
      <c r="A494">
        <v>485</v>
      </c>
      <c r="L494">
        <f t="shared" si="25"/>
        <v>0</v>
      </c>
      <c r="M494">
        <f t="shared" si="24"/>
        <v>0</v>
      </c>
    </row>
    <row r="495" spans="1:13" x14ac:dyDescent="0.25">
      <c r="A495">
        <v>486</v>
      </c>
      <c r="L495">
        <f t="shared" si="25"/>
        <v>0</v>
      </c>
      <c r="M495">
        <f t="shared" si="24"/>
        <v>0</v>
      </c>
    </row>
    <row r="496" spans="1:13" x14ac:dyDescent="0.25">
      <c r="A496">
        <v>487</v>
      </c>
      <c r="L496">
        <f t="shared" si="25"/>
        <v>0</v>
      </c>
      <c r="M496">
        <f t="shared" si="24"/>
        <v>0</v>
      </c>
    </row>
    <row r="497" spans="1:13" x14ac:dyDescent="0.25">
      <c r="A497">
        <v>488</v>
      </c>
      <c r="L497">
        <f t="shared" si="25"/>
        <v>0</v>
      </c>
      <c r="M497">
        <f t="shared" si="24"/>
        <v>0</v>
      </c>
    </row>
    <row r="498" spans="1:13" x14ac:dyDescent="0.25">
      <c r="A498">
        <v>489</v>
      </c>
      <c r="L498">
        <f t="shared" si="25"/>
        <v>0</v>
      </c>
      <c r="M498">
        <f t="shared" si="24"/>
        <v>0</v>
      </c>
    </row>
    <row r="499" spans="1:13" x14ac:dyDescent="0.25">
      <c r="A499">
        <v>490</v>
      </c>
      <c r="L499">
        <f t="shared" si="25"/>
        <v>0</v>
      </c>
      <c r="M499">
        <f t="shared" si="24"/>
        <v>0</v>
      </c>
    </row>
    <row r="500" spans="1:13" x14ac:dyDescent="0.25">
      <c r="A500">
        <v>491</v>
      </c>
      <c r="L500">
        <f t="shared" si="25"/>
        <v>0</v>
      </c>
      <c r="M500">
        <f t="shared" si="24"/>
        <v>0</v>
      </c>
    </row>
    <row r="501" spans="1:13" x14ac:dyDescent="0.25">
      <c r="A501">
        <v>492</v>
      </c>
      <c r="L501">
        <f t="shared" si="25"/>
        <v>0</v>
      </c>
      <c r="M501">
        <f t="shared" si="24"/>
        <v>0</v>
      </c>
    </row>
    <row r="502" spans="1:13" x14ac:dyDescent="0.25">
      <c r="A502">
        <v>493</v>
      </c>
      <c r="L502">
        <f t="shared" si="25"/>
        <v>0</v>
      </c>
      <c r="M502">
        <f t="shared" si="24"/>
        <v>0</v>
      </c>
    </row>
    <row r="503" spans="1:13" x14ac:dyDescent="0.25">
      <c r="A503">
        <v>494</v>
      </c>
      <c r="L503">
        <f t="shared" si="25"/>
        <v>0</v>
      </c>
      <c r="M503">
        <f t="shared" si="24"/>
        <v>0</v>
      </c>
    </row>
    <row r="504" spans="1:13" x14ac:dyDescent="0.25">
      <c r="A504">
        <v>495</v>
      </c>
      <c r="L504">
        <f t="shared" si="25"/>
        <v>0</v>
      </c>
      <c r="M504">
        <f t="shared" si="24"/>
        <v>0</v>
      </c>
    </row>
    <row r="505" spans="1:13" x14ac:dyDescent="0.25">
      <c r="A505">
        <v>496</v>
      </c>
      <c r="L505">
        <f t="shared" si="25"/>
        <v>0</v>
      </c>
      <c r="M505">
        <f t="shared" si="24"/>
        <v>0</v>
      </c>
    </row>
    <row r="506" spans="1:13" x14ac:dyDescent="0.25">
      <c r="A506">
        <v>497</v>
      </c>
      <c r="L506">
        <f t="shared" si="25"/>
        <v>0</v>
      </c>
      <c r="M506">
        <f t="shared" si="24"/>
        <v>0</v>
      </c>
    </row>
    <row r="507" spans="1:13" x14ac:dyDescent="0.25">
      <c r="A507">
        <v>498</v>
      </c>
      <c r="L507">
        <f t="shared" si="25"/>
        <v>0</v>
      </c>
      <c r="M507">
        <f t="shared" si="24"/>
        <v>0</v>
      </c>
    </row>
    <row r="508" spans="1:13" x14ac:dyDescent="0.25">
      <c r="A508">
        <v>499</v>
      </c>
      <c r="L508">
        <f t="shared" si="25"/>
        <v>0</v>
      </c>
      <c r="M508">
        <f t="shared" si="24"/>
        <v>0</v>
      </c>
    </row>
    <row r="509" spans="1:13" x14ac:dyDescent="0.25">
      <c r="A509">
        <v>500</v>
      </c>
      <c r="L509">
        <f t="shared" si="25"/>
        <v>0</v>
      </c>
      <c r="M509">
        <f t="shared" si="24"/>
        <v>0</v>
      </c>
    </row>
    <row r="510" spans="1:13" x14ac:dyDescent="0.25">
      <c r="A510">
        <v>501</v>
      </c>
      <c r="L510">
        <f t="shared" si="25"/>
        <v>0</v>
      </c>
      <c r="M510">
        <f t="shared" si="24"/>
        <v>0</v>
      </c>
    </row>
    <row r="511" spans="1:13" x14ac:dyDescent="0.25">
      <c r="A511">
        <v>502</v>
      </c>
      <c r="L511">
        <f t="shared" si="25"/>
        <v>0</v>
      </c>
      <c r="M511">
        <f t="shared" ref="M511:M574" si="26">+I511/IF(H511 = 0,1,H511)</f>
        <v>0</v>
      </c>
    </row>
    <row r="512" spans="1:13" x14ac:dyDescent="0.25">
      <c r="A512">
        <v>503</v>
      </c>
      <c r="L512">
        <f t="shared" si="25"/>
        <v>0</v>
      </c>
      <c r="M512">
        <f t="shared" si="26"/>
        <v>0</v>
      </c>
    </row>
    <row r="513" spans="1:13" x14ac:dyDescent="0.25">
      <c r="A513">
        <v>504</v>
      </c>
      <c r="L513">
        <f t="shared" si="25"/>
        <v>0</v>
      </c>
      <c r="M513">
        <f t="shared" si="26"/>
        <v>0</v>
      </c>
    </row>
    <row r="514" spans="1:13" x14ac:dyDescent="0.25">
      <c r="A514">
        <v>505</v>
      </c>
      <c r="L514">
        <f t="shared" si="25"/>
        <v>0</v>
      </c>
      <c r="M514">
        <f t="shared" si="26"/>
        <v>0</v>
      </c>
    </row>
    <row r="515" spans="1:13" x14ac:dyDescent="0.25">
      <c r="A515">
        <v>506</v>
      </c>
      <c r="L515">
        <f t="shared" si="25"/>
        <v>0</v>
      </c>
      <c r="M515">
        <f t="shared" si="26"/>
        <v>0</v>
      </c>
    </row>
    <row r="516" spans="1:13" x14ac:dyDescent="0.25">
      <c r="A516">
        <v>507</v>
      </c>
      <c r="L516">
        <f t="shared" si="25"/>
        <v>0</v>
      </c>
      <c r="M516">
        <f t="shared" si="26"/>
        <v>0</v>
      </c>
    </row>
    <row r="517" spans="1:13" x14ac:dyDescent="0.25">
      <c r="A517">
        <v>508</v>
      </c>
      <c r="L517">
        <f t="shared" si="25"/>
        <v>0</v>
      </c>
      <c r="M517">
        <f t="shared" si="26"/>
        <v>0</v>
      </c>
    </row>
    <row r="518" spans="1:13" x14ac:dyDescent="0.25">
      <c r="A518">
        <v>509</v>
      </c>
      <c r="L518">
        <f t="shared" si="25"/>
        <v>0</v>
      </c>
      <c r="M518">
        <f t="shared" si="26"/>
        <v>0</v>
      </c>
    </row>
    <row r="519" spans="1:13" x14ac:dyDescent="0.25">
      <c r="A519">
        <v>510</v>
      </c>
      <c r="L519">
        <f t="shared" si="25"/>
        <v>0</v>
      </c>
      <c r="M519">
        <f t="shared" si="26"/>
        <v>0</v>
      </c>
    </row>
    <row r="520" spans="1:13" x14ac:dyDescent="0.25">
      <c r="A520">
        <v>511</v>
      </c>
      <c r="L520">
        <f t="shared" si="25"/>
        <v>0</v>
      </c>
      <c r="M520">
        <f t="shared" si="26"/>
        <v>0</v>
      </c>
    </row>
    <row r="521" spans="1:13" x14ac:dyDescent="0.25">
      <c r="A521">
        <v>512</v>
      </c>
      <c r="L521">
        <f t="shared" si="25"/>
        <v>0</v>
      </c>
      <c r="M521">
        <f t="shared" si="26"/>
        <v>0</v>
      </c>
    </row>
    <row r="522" spans="1:13" x14ac:dyDescent="0.25">
      <c r="A522">
        <v>513</v>
      </c>
      <c r="L522">
        <f t="shared" si="25"/>
        <v>0</v>
      </c>
      <c r="M522">
        <f t="shared" si="26"/>
        <v>0</v>
      </c>
    </row>
    <row r="523" spans="1:13" x14ac:dyDescent="0.25">
      <c r="A523">
        <v>514</v>
      </c>
      <c r="L523">
        <f t="shared" si="25"/>
        <v>0</v>
      </c>
      <c r="M523">
        <f t="shared" si="26"/>
        <v>0</v>
      </c>
    </row>
    <row r="524" spans="1:13" x14ac:dyDescent="0.25">
      <c r="A524">
        <v>515</v>
      </c>
      <c r="L524">
        <f t="shared" si="25"/>
        <v>0</v>
      </c>
      <c r="M524">
        <f t="shared" si="26"/>
        <v>0</v>
      </c>
    </row>
    <row r="525" spans="1:13" x14ac:dyDescent="0.25">
      <c r="A525">
        <v>516</v>
      </c>
      <c r="L525">
        <f t="shared" si="25"/>
        <v>0</v>
      </c>
      <c r="M525">
        <f t="shared" si="26"/>
        <v>0</v>
      </c>
    </row>
    <row r="526" spans="1:13" x14ac:dyDescent="0.25">
      <c r="A526">
        <v>517</v>
      </c>
      <c r="L526">
        <f t="shared" si="25"/>
        <v>0</v>
      </c>
      <c r="M526">
        <f t="shared" si="26"/>
        <v>0</v>
      </c>
    </row>
    <row r="527" spans="1:13" x14ac:dyDescent="0.25">
      <c r="A527">
        <v>518</v>
      </c>
      <c r="L527">
        <f t="shared" si="25"/>
        <v>0</v>
      </c>
      <c r="M527">
        <f t="shared" si="26"/>
        <v>0</v>
      </c>
    </row>
    <row r="528" spans="1:13" x14ac:dyDescent="0.25">
      <c r="A528">
        <v>519</v>
      </c>
      <c r="L528">
        <f t="shared" si="25"/>
        <v>0</v>
      </c>
      <c r="M528">
        <f t="shared" si="26"/>
        <v>0</v>
      </c>
    </row>
    <row r="529" spans="1:13" x14ac:dyDescent="0.25">
      <c r="A529">
        <v>520</v>
      </c>
      <c r="L529">
        <f t="shared" si="25"/>
        <v>0</v>
      </c>
      <c r="M529">
        <f t="shared" si="26"/>
        <v>0</v>
      </c>
    </row>
    <row r="530" spans="1:13" x14ac:dyDescent="0.25">
      <c r="A530">
        <v>521</v>
      </c>
      <c r="L530">
        <f t="shared" si="25"/>
        <v>0</v>
      </c>
      <c r="M530">
        <f t="shared" si="26"/>
        <v>0</v>
      </c>
    </row>
    <row r="531" spans="1:13" x14ac:dyDescent="0.25">
      <c r="A531">
        <v>522</v>
      </c>
      <c r="L531">
        <f t="shared" si="25"/>
        <v>0</v>
      </c>
      <c r="M531">
        <f t="shared" si="26"/>
        <v>0</v>
      </c>
    </row>
    <row r="532" spans="1:13" x14ac:dyDescent="0.25">
      <c r="A532">
        <v>523</v>
      </c>
      <c r="L532">
        <f t="shared" si="25"/>
        <v>0</v>
      </c>
      <c r="M532">
        <f t="shared" si="26"/>
        <v>0</v>
      </c>
    </row>
    <row r="533" spans="1:13" x14ac:dyDescent="0.25">
      <c r="A533">
        <v>524</v>
      </c>
      <c r="L533">
        <f t="shared" si="25"/>
        <v>0</v>
      </c>
      <c r="M533">
        <f t="shared" si="26"/>
        <v>0</v>
      </c>
    </row>
    <row r="534" spans="1:13" x14ac:dyDescent="0.25">
      <c r="A534">
        <v>525</v>
      </c>
      <c r="L534">
        <f t="shared" si="25"/>
        <v>0</v>
      </c>
      <c r="M534">
        <f t="shared" si="26"/>
        <v>0</v>
      </c>
    </row>
    <row r="535" spans="1:13" x14ac:dyDescent="0.25">
      <c r="A535">
        <v>526</v>
      </c>
      <c r="L535">
        <f t="shared" si="25"/>
        <v>0</v>
      </c>
      <c r="M535">
        <f t="shared" si="26"/>
        <v>0</v>
      </c>
    </row>
    <row r="536" spans="1:13" x14ac:dyDescent="0.25">
      <c r="A536">
        <v>527</v>
      </c>
      <c r="L536">
        <f t="shared" ref="L536:L544" si="27">+I536+H536</f>
        <v>0</v>
      </c>
      <c r="M536">
        <f t="shared" si="26"/>
        <v>0</v>
      </c>
    </row>
    <row r="537" spans="1:13" x14ac:dyDescent="0.25">
      <c r="A537">
        <v>528</v>
      </c>
      <c r="L537">
        <f t="shared" si="27"/>
        <v>0</v>
      </c>
      <c r="M537">
        <f t="shared" si="26"/>
        <v>0</v>
      </c>
    </row>
    <row r="538" spans="1:13" x14ac:dyDescent="0.25">
      <c r="A538">
        <v>529</v>
      </c>
      <c r="L538">
        <f t="shared" si="27"/>
        <v>0</v>
      </c>
      <c r="M538">
        <f t="shared" si="26"/>
        <v>0</v>
      </c>
    </row>
    <row r="539" spans="1:13" x14ac:dyDescent="0.25">
      <c r="A539">
        <v>530</v>
      </c>
      <c r="L539">
        <f t="shared" si="27"/>
        <v>0</v>
      </c>
      <c r="M539">
        <f t="shared" si="26"/>
        <v>0</v>
      </c>
    </row>
    <row r="540" spans="1:13" x14ac:dyDescent="0.25">
      <c r="A540">
        <v>531</v>
      </c>
      <c r="L540">
        <f t="shared" si="27"/>
        <v>0</v>
      </c>
      <c r="M540">
        <f t="shared" si="26"/>
        <v>0</v>
      </c>
    </row>
    <row r="541" spans="1:13" x14ac:dyDescent="0.25">
      <c r="A541">
        <v>532</v>
      </c>
      <c r="L541">
        <f t="shared" si="27"/>
        <v>0</v>
      </c>
      <c r="M541">
        <f t="shared" si="26"/>
        <v>0</v>
      </c>
    </row>
    <row r="542" spans="1:13" x14ac:dyDescent="0.25">
      <c r="A542">
        <v>533</v>
      </c>
      <c r="L542">
        <f t="shared" si="27"/>
        <v>0</v>
      </c>
      <c r="M542">
        <f t="shared" si="26"/>
        <v>0</v>
      </c>
    </row>
    <row r="543" spans="1:13" x14ac:dyDescent="0.25">
      <c r="A543">
        <v>534</v>
      </c>
      <c r="L543">
        <f t="shared" si="27"/>
        <v>0</v>
      </c>
      <c r="M543">
        <f t="shared" si="26"/>
        <v>0</v>
      </c>
    </row>
    <row r="544" spans="1:13" x14ac:dyDescent="0.25">
      <c r="A544">
        <v>535</v>
      </c>
      <c r="L544">
        <f t="shared" si="27"/>
        <v>0</v>
      </c>
      <c r="M544">
        <f t="shared" si="26"/>
        <v>0</v>
      </c>
    </row>
    <row r="545" spans="1:13" x14ac:dyDescent="0.25">
      <c r="A545">
        <v>536</v>
      </c>
      <c r="L545">
        <f t="shared" ref="L545:L608" si="28">+I545+H545</f>
        <v>0</v>
      </c>
      <c r="M545">
        <f t="shared" si="26"/>
        <v>0</v>
      </c>
    </row>
    <row r="546" spans="1:13" x14ac:dyDescent="0.25">
      <c r="A546">
        <v>537</v>
      </c>
      <c r="L546">
        <f t="shared" si="28"/>
        <v>0</v>
      </c>
      <c r="M546">
        <f t="shared" si="26"/>
        <v>0</v>
      </c>
    </row>
    <row r="547" spans="1:13" x14ac:dyDescent="0.25">
      <c r="A547">
        <v>538</v>
      </c>
      <c r="L547">
        <f t="shared" si="28"/>
        <v>0</v>
      </c>
      <c r="M547">
        <f t="shared" si="26"/>
        <v>0</v>
      </c>
    </row>
    <row r="548" spans="1:13" x14ac:dyDescent="0.25">
      <c r="A548">
        <v>539</v>
      </c>
      <c r="L548">
        <f t="shared" si="28"/>
        <v>0</v>
      </c>
      <c r="M548">
        <f t="shared" si="26"/>
        <v>0</v>
      </c>
    </row>
    <row r="549" spans="1:13" x14ac:dyDescent="0.25">
      <c r="A549">
        <v>540</v>
      </c>
      <c r="L549">
        <f t="shared" si="28"/>
        <v>0</v>
      </c>
      <c r="M549">
        <f t="shared" si="26"/>
        <v>0</v>
      </c>
    </row>
    <row r="550" spans="1:13" x14ac:dyDescent="0.25">
      <c r="A550">
        <v>541</v>
      </c>
      <c r="L550">
        <f t="shared" si="28"/>
        <v>0</v>
      </c>
      <c r="M550">
        <f t="shared" si="26"/>
        <v>0</v>
      </c>
    </row>
    <row r="551" spans="1:13" x14ac:dyDescent="0.25">
      <c r="A551">
        <v>542</v>
      </c>
      <c r="L551">
        <f t="shared" si="28"/>
        <v>0</v>
      </c>
      <c r="M551">
        <f t="shared" si="26"/>
        <v>0</v>
      </c>
    </row>
    <row r="552" spans="1:13" x14ac:dyDescent="0.25">
      <c r="A552">
        <v>543</v>
      </c>
      <c r="L552">
        <f t="shared" si="28"/>
        <v>0</v>
      </c>
      <c r="M552">
        <f t="shared" si="26"/>
        <v>0</v>
      </c>
    </row>
    <row r="553" spans="1:13" x14ac:dyDescent="0.25">
      <c r="A553">
        <v>544</v>
      </c>
      <c r="L553">
        <f t="shared" si="28"/>
        <v>0</v>
      </c>
      <c r="M553">
        <f t="shared" si="26"/>
        <v>0</v>
      </c>
    </row>
    <row r="554" spans="1:13" x14ac:dyDescent="0.25">
      <c r="A554">
        <v>545</v>
      </c>
      <c r="L554">
        <f t="shared" si="28"/>
        <v>0</v>
      </c>
      <c r="M554">
        <f t="shared" si="26"/>
        <v>0</v>
      </c>
    </row>
    <row r="555" spans="1:13" x14ac:dyDescent="0.25">
      <c r="A555">
        <v>546</v>
      </c>
      <c r="L555">
        <f t="shared" si="28"/>
        <v>0</v>
      </c>
      <c r="M555">
        <f t="shared" si="26"/>
        <v>0</v>
      </c>
    </row>
    <row r="556" spans="1:13" x14ac:dyDescent="0.25">
      <c r="A556">
        <v>547</v>
      </c>
      <c r="L556">
        <f t="shared" si="28"/>
        <v>0</v>
      </c>
      <c r="M556">
        <f t="shared" si="26"/>
        <v>0</v>
      </c>
    </row>
    <row r="557" spans="1:13" x14ac:dyDescent="0.25">
      <c r="A557">
        <v>548</v>
      </c>
      <c r="L557">
        <f t="shared" si="28"/>
        <v>0</v>
      </c>
      <c r="M557">
        <f t="shared" si="26"/>
        <v>0</v>
      </c>
    </row>
    <row r="558" spans="1:13" x14ac:dyDescent="0.25">
      <c r="A558">
        <v>549</v>
      </c>
      <c r="L558">
        <f t="shared" si="28"/>
        <v>0</v>
      </c>
      <c r="M558">
        <f t="shared" si="26"/>
        <v>0</v>
      </c>
    </row>
    <row r="559" spans="1:13" x14ac:dyDescent="0.25">
      <c r="A559">
        <v>550</v>
      </c>
      <c r="L559">
        <f t="shared" si="28"/>
        <v>0</v>
      </c>
      <c r="M559">
        <f t="shared" si="26"/>
        <v>0</v>
      </c>
    </row>
    <row r="560" spans="1:13" x14ac:dyDescent="0.25">
      <c r="A560">
        <v>551</v>
      </c>
      <c r="L560">
        <f t="shared" si="28"/>
        <v>0</v>
      </c>
      <c r="M560">
        <f t="shared" si="26"/>
        <v>0</v>
      </c>
    </row>
    <row r="561" spans="1:13" x14ac:dyDescent="0.25">
      <c r="A561">
        <v>552</v>
      </c>
      <c r="L561">
        <f t="shared" si="28"/>
        <v>0</v>
      </c>
      <c r="M561">
        <f t="shared" si="26"/>
        <v>0</v>
      </c>
    </row>
    <row r="562" spans="1:13" x14ac:dyDescent="0.25">
      <c r="A562">
        <v>553</v>
      </c>
      <c r="L562">
        <f t="shared" si="28"/>
        <v>0</v>
      </c>
      <c r="M562">
        <f t="shared" si="26"/>
        <v>0</v>
      </c>
    </row>
    <row r="563" spans="1:13" x14ac:dyDescent="0.25">
      <c r="A563">
        <v>554</v>
      </c>
      <c r="L563">
        <f t="shared" si="28"/>
        <v>0</v>
      </c>
      <c r="M563">
        <f t="shared" si="26"/>
        <v>0</v>
      </c>
    </row>
    <row r="564" spans="1:13" x14ac:dyDescent="0.25">
      <c r="A564">
        <v>555</v>
      </c>
      <c r="L564">
        <f t="shared" si="28"/>
        <v>0</v>
      </c>
      <c r="M564">
        <f t="shared" si="26"/>
        <v>0</v>
      </c>
    </row>
    <row r="565" spans="1:13" x14ac:dyDescent="0.25">
      <c r="A565">
        <v>556</v>
      </c>
      <c r="L565">
        <f t="shared" si="28"/>
        <v>0</v>
      </c>
      <c r="M565">
        <f t="shared" si="26"/>
        <v>0</v>
      </c>
    </row>
    <row r="566" spans="1:13" x14ac:dyDescent="0.25">
      <c r="A566">
        <v>557</v>
      </c>
      <c r="L566">
        <f t="shared" si="28"/>
        <v>0</v>
      </c>
      <c r="M566">
        <f t="shared" si="26"/>
        <v>0</v>
      </c>
    </row>
    <row r="567" spans="1:13" x14ac:dyDescent="0.25">
      <c r="A567">
        <v>558</v>
      </c>
      <c r="L567">
        <f t="shared" si="28"/>
        <v>0</v>
      </c>
      <c r="M567">
        <f t="shared" si="26"/>
        <v>0</v>
      </c>
    </row>
    <row r="568" spans="1:13" x14ac:dyDescent="0.25">
      <c r="A568">
        <v>559</v>
      </c>
      <c r="L568">
        <f t="shared" si="28"/>
        <v>0</v>
      </c>
      <c r="M568">
        <f t="shared" si="26"/>
        <v>0</v>
      </c>
    </row>
    <row r="569" spans="1:13" x14ac:dyDescent="0.25">
      <c r="A569">
        <v>560</v>
      </c>
      <c r="L569">
        <f t="shared" si="28"/>
        <v>0</v>
      </c>
      <c r="M569">
        <f t="shared" si="26"/>
        <v>0</v>
      </c>
    </row>
    <row r="570" spans="1:13" x14ac:dyDescent="0.25">
      <c r="A570">
        <v>561</v>
      </c>
      <c r="L570">
        <f t="shared" si="28"/>
        <v>0</v>
      </c>
      <c r="M570">
        <f t="shared" si="26"/>
        <v>0</v>
      </c>
    </row>
    <row r="571" spans="1:13" x14ac:dyDescent="0.25">
      <c r="A571">
        <v>562</v>
      </c>
      <c r="L571">
        <f t="shared" si="28"/>
        <v>0</v>
      </c>
      <c r="M571">
        <f t="shared" si="26"/>
        <v>0</v>
      </c>
    </row>
    <row r="572" spans="1:13" x14ac:dyDescent="0.25">
      <c r="A572">
        <v>563</v>
      </c>
      <c r="L572">
        <f t="shared" si="28"/>
        <v>0</v>
      </c>
      <c r="M572">
        <f t="shared" si="26"/>
        <v>0</v>
      </c>
    </row>
    <row r="573" spans="1:13" x14ac:dyDescent="0.25">
      <c r="A573">
        <v>564</v>
      </c>
      <c r="L573">
        <f t="shared" si="28"/>
        <v>0</v>
      </c>
      <c r="M573">
        <f t="shared" si="26"/>
        <v>0</v>
      </c>
    </row>
    <row r="574" spans="1:13" x14ac:dyDescent="0.25">
      <c r="A574">
        <v>565</v>
      </c>
      <c r="L574">
        <f t="shared" si="28"/>
        <v>0</v>
      </c>
      <c r="M574">
        <f t="shared" si="26"/>
        <v>0</v>
      </c>
    </row>
    <row r="575" spans="1:13" x14ac:dyDescent="0.25">
      <c r="A575">
        <v>566</v>
      </c>
      <c r="L575">
        <f t="shared" si="28"/>
        <v>0</v>
      </c>
      <c r="M575">
        <f t="shared" ref="M575:M638" si="29">+I575/IF(H575 = 0,1,H575)</f>
        <v>0</v>
      </c>
    </row>
    <row r="576" spans="1:13" x14ac:dyDescent="0.25">
      <c r="A576">
        <v>567</v>
      </c>
      <c r="L576">
        <f t="shared" si="28"/>
        <v>0</v>
      </c>
      <c r="M576">
        <f t="shared" si="29"/>
        <v>0</v>
      </c>
    </row>
    <row r="577" spans="1:13" x14ac:dyDescent="0.25">
      <c r="A577">
        <v>568</v>
      </c>
      <c r="L577">
        <f t="shared" si="28"/>
        <v>0</v>
      </c>
      <c r="M577">
        <f t="shared" si="29"/>
        <v>0</v>
      </c>
    </row>
    <row r="578" spans="1:13" x14ac:dyDescent="0.25">
      <c r="A578">
        <v>569</v>
      </c>
      <c r="L578">
        <f t="shared" si="28"/>
        <v>0</v>
      </c>
      <c r="M578">
        <f t="shared" si="29"/>
        <v>0</v>
      </c>
    </row>
    <row r="579" spans="1:13" x14ac:dyDescent="0.25">
      <c r="A579">
        <v>570</v>
      </c>
      <c r="L579">
        <f t="shared" si="28"/>
        <v>0</v>
      </c>
      <c r="M579">
        <f t="shared" si="29"/>
        <v>0</v>
      </c>
    </row>
    <row r="580" spans="1:13" x14ac:dyDescent="0.25">
      <c r="A580">
        <v>571</v>
      </c>
      <c r="L580">
        <f t="shared" si="28"/>
        <v>0</v>
      </c>
      <c r="M580">
        <f t="shared" si="29"/>
        <v>0</v>
      </c>
    </row>
    <row r="581" spans="1:13" x14ac:dyDescent="0.25">
      <c r="A581">
        <v>572</v>
      </c>
      <c r="L581">
        <f t="shared" si="28"/>
        <v>0</v>
      </c>
      <c r="M581">
        <f t="shared" si="29"/>
        <v>0</v>
      </c>
    </row>
    <row r="582" spans="1:13" x14ac:dyDescent="0.25">
      <c r="A582">
        <v>573</v>
      </c>
      <c r="L582">
        <f t="shared" si="28"/>
        <v>0</v>
      </c>
      <c r="M582">
        <f t="shared" si="29"/>
        <v>0</v>
      </c>
    </row>
    <row r="583" spans="1:13" x14ac:dyDescent="0.25">
      <c r="A583">
        <v>574</v>
      </c>
      <c r="L583">
        <f t="shared" si="28"/>
        <v>0</v>
      </c>
      <c r="M583">
        <f t="shared" si="29"/>
        <v>0</v>
      </c>
    </row>
    <row r="584" spans="1:13" x14ac:dyDescent="0.25">
      <c r="A584">
        <v>575</v>
      </c>
      <c r="L584">
        <f t="shared" si="28"/>
        <v>0</v>
      </c>
      <c r="M584">
        <f t="shared" si="29"/>
        <v>0</v>
      </c>
    </row>
    <row r="585" spans="1:13" x14ac:dyDescent="0.25">
      <c r="A585">
        <v>576</v>
      </c>
      <c r="L585">
        <f t="shared" si="28"/>
        <v>0</v>
      </c>
      <c r="M585">
        <f t="shared" si="29"/>
        <v>0</v>
      </c>
    </row>
    <row r="586" spans="1:13" x14ac:dyDescent="0.25">
      <c r="A586">
        <v>577</v>
      </c>
      <c r="L586">
        <f t="shared" si="28"/>
        <v>0</v>
      </c>
      <c r="M586">
        <f t="shared" si="29"/>
        <v>0</v>
      </c>
    </row>
    <row r="587" spans="1:13" x14ac:dyDescent="0.25">
      <c r="A587">
        <v>578</v>
      </c>
      <c r="L587">
        <f t="shared" si="28"/>
        <v>0</v>
      </c>
      <c r="M587">
        <f t="shared" si="29"/>
        <v>0</v>
      </c>
    </row>
    <row r="588" spans="1:13" x14ac:dyDescent="0.25">
      <c r="A588">
        <v>579</v>
      </c>
      <c r="L588">
        <f t="shared" si="28"/>
        <v>0</v>
      </c>
      <c r="M588">
        <f t="shared" si="29"/>
        <v>0</v>
      </c>
    </row>
    <row r="589" spans="1:13" x14ac:dyDescent="0.25">
      <c r="A589">
        <v>580</v>
      </c>
      <c r="L589">
        <f t="shared" si="28"/>
        <v>0</v>
      </c>
      <c r="M589">
        <f t="shared" si="29"/>
        <v>0</v>
      </c>
    </row>
    <row r="590" spans="1:13" x14ac:dyDescent="0.25">
      <c r="A590">
        <v>581</v>
      </c>
      <c r="L590">
        <f t="shared" si="28"/>
        <v>0</v>
      </c>
      <c r="M590">
        <f t="shared" si="29"/>
        <v>0</v>
      </c>
    </row>
    <row r="591" spans="1:13" x14ac:dyDescent="0.25">
      <c r="A591">
        <v>582</v>
      </c>
      <c r="L591">
        <f t="shared" si="28"/>
        <v>0</v>
      </c>
      <c r="M591">
        <f t="shared" si="29"/>
        <v>0</v>
      </c>
    </row>
    <row r="592" spans="1:13" x14ac:dyDescent="0.25">
      <c r="A592">
        <v>583</v>
      </c>
      <c r="L592">
        <f t="shared" si="28"/>
        <v>0</v>
      </c>
      <c r="M592">
        <f t="shared" si="29"/>
        <v>0</v>
      </c>
    </row>
    <row r="593" spans="1:13" x14ac:dyDescent="0.25">
      <c r="A593">
        <v>584</v>
      </c>
      <c r="L593">
        <f t="shared" si="28"/>
        <v>0</v>
      </c>
      <c r="M593">
        <f t="shared" si="29"/>
        <v>0</v>
      </c>
    </row>
    <row r="594" spans="1:13" x14ac:dyDescent="0.25">
      <c r="A594">
        <v>585</v>
      </c>
      <c r="L594">
        <f t="shared" si="28"/>
        <v>0</v>
      </c>
      <c r="M594">
        <f t="shared" si="29"/>
        <v>0</v>
      </c>
    </row>
    <row r="595" spans="1:13" x14ac:dyDescent="0.25">
      <c r="A595">
        <v>586</v>
      </c>
      <c r="L595">
        <f t="shared" si="28"/>
        <v>0</v>
      </c>
      <c r="M595">
        <f t="shared" si="29"/>
        <v>0</v>
      </c>
    </row>
    <row r="596" spans="1:13" x14ac:dyDescent="0.25">
      <c r="A596">
        <v>587</v>
      </c>
      <c r="L596">
        <f t="shared" si="28"/>
        <v>0</v>
      </c>
      <c r="M596">
        <f t="shared" si="29"/>
        <v>0</v>
      </c>
    </row>
    <row r="597" spans="1:13" x14ac:dyDescent="0.25">
      <c r="A597">
        <v>588</v>
      </c>
      <c r="L597">
        <f t="shared" si="28"/>
        <v>0</v>
      </c>
      <c r="M597">
        <f t="shared" si="29"/>
        <v>0</v>
      </c>
    </row>
    <row r="598" spans="1:13" x14ac:dyDescent="0.25">
      <c r="A598">
        <v>589</v>
      </c>
      <c r="L598">
        <f t="shared" si="28"/>
        <v>0</v>
      </c>
      <c r="M598">
        <f t="shared" si="29"/>
        <v>0</v>
      </c>
    </row>
    <row r="599" spans="1:13" x14ac:dyDescent="0.25">
      <c r="A599">
        <v>590</v>
      </c>
      <c r="L599">
        <f t="shared" si="28"/>
        <v>0</v>
      </c>
      <c r="M599">
        <f t="shared" si="29"/>
        <v>0</v>
      </c>
    </row>
    <row r="600" spans="1:13" x14ac:dyDescent="0.25">
      <c r="A600">
        <v>591</v>
      </c>
      <c r="L600">
        <f t="shared" si="28"/>
        <v>0</v>
      </c>
      <c r="M600">
        <f t="shared" si="29"/>
        <v>0</v>
      </c>
    </row>
    <row r="601" spans="1:13" x14ac:dyDescent="0.25">
      <c r="A601">
        <v>592</v>
      </c>
      <c r="L601">
        <f t="shared" si="28"/>
        <v>0</v>
      </c>
      <c r="M601">
        <f t="shared" si="29"/>
        <v>0</v>
      </c>
    </row>
    <row r="602" spans="1:13" x14ac:dyDescent="0.25">
      <c r="A602">
        <v>593</v>
      </c>
      <c r="L602">
        <f t="shared" si="28"/>
        <v>0</v>
      </c>
      <c r="M602">
        <f t="shared" si="29"/>
        <v>0</v>
      </c>
    </row>
    <row r="603" spans="1:13" x14ac:dyDescent="0.25">
      <c r="A603">
        <v>594</v>
      </c>
      <c r="L603">
        <f t="shared" si="28"/>
        <v>0</v>
      </c>
      <c r="M603">
        <f t="shared" si="29"/>
        <v>0</v>
      </c>
    </row>
    <row r="604" spans="1:13" x14ac:dyDescent="0.25">
      <c r="A604">
        <v>595</v>
      </c>
      <c r="L604">
        <f t="shared" si="28"/>
        <v>0</v>
      </c>
      <c r="M604">
        <f t="shared" si="29"/>
        <v>0</v>
      </c>
    </row>
    <row r="605" spans="1:13" x14ac:dyDescent="0.25">
      <c r="A605">
        <v>596</v>
      </c>
      <c r="L605">
        <f t="shared" si="28"/>
        <v>0</v>
      </c>
      <c r="M605">
        <f t="shared" si="29"/>
        <v>0</v>
      </c>
    </row>
    <row r="606" spans="1:13" x14ac:dyDescent="0.25">
      <c r="A606">
        <v>597</v>
      </c>
      <c r="L606">
        <f t="shared" si="28"/>
        <v>0</v>
      </c>
      <c r="M606">
        <f t="shared" si="29"/>
        <v>0</v>
      </c>
    </row>
    <row r="607" spans="1:13" x14ac:dyDescent="0.25">
      <c r="A607">
        <v>598</v>
      </c>
      <c r="L607">
        <f t="shared" si="28"/>
        <v>0</v>
      </c>
      <c r="M607">
        <f t="shared" si="29"/>
        <v>0</v>
      </c>
    </row>
    <row r="608" spans="1:13" x14ac:dyDescent="0.25">
      <c r="A608">
        <v>599</v>
      </c>
      <c r="L608">
        <f t="shared" si="28"/>
        <v>0</v>
      </c>
      <c r="M608">
        <f t="shared" si="29"/>
        <v>0</v>
      </c>
    </row>
    <row r="609" spans="1:13" x14ac:dyDescent="0.25">
      <c r="A609">
        <v>600</v>
      </c>
      <c r="L609">
        <f t="shared" ref="L609:L621" si="30">+I609+H609</f>
        <v>0</v>
      </c>
      <c r="M609">
        <f t="shared" si="29"/>
        <v>0</v>
      </c>
    </row>
    <row r="610" spans="1:13" x14ac:dyDescent="0.25">
      <c r="A610">
        <v>601</v>
      </c>
      <c r="L610">
        <f t="shared" si="30"/>
        <v>0</v>
      </c>
      <c r="M610">
        <f t="shared" si="29"/>
        <v>0</v>
      </c>
    </row>
    <row r="611" spans="1:13" x14ac:dyDescent="0.25">
      <c r="A611">
        <v>602</v>
      </c>
      <c r="L611">
        <f t="shared" si="30"/>
        <v>0</v>
      </c>
      <c r="M611">
        <f t="shared" si="29"/>
        <v>0</v>
      </c>
    </row>
    <row r="612" spans="1:13" x14ac:dyDescent="0.25">
      <c r="A612">
        <v>603</v>
      </c>
      <c r="L612">
        <f t="shared" si="30"/>
        <v>0</v>
      </c>
      <c r="M612">
        <f t="shared" si="29"/>
        <v>0</v>
      </c>
    </row>
    <row r="613" spans="1:13" x14ac:dyDescent="0.25">
      <c r="A613">
        <v>604</v>
      </c>
      <c r="L613">
        <f t="shared" si="30"/>
        <v>0</v>
      </c>
      <c r="M613">
        <f t="shared" si="29"/>
        <v>0</v>
      </c>
    </row>
    <row r="614" spans="1:13" x14ac:dyDescent="0.25">
      <c r="A614">
        <v>605</v>
      </c>
      <c r="L614">
        <f t="shared" si="30"/>
        <v>0</v>
      </c>
      <c r="M614">
        <f t="shared" si="29"/>
        <v>0</v>
      </c>
    </row>
    <row r="615" spans="1:13" x14ac:dyDescent="0.25">
      <c r="A615">
        <v>606</v>
      </c>
      <c r="L615">
        <f t="shared" si="30"/>
        <v>0</v>
      </c>
      <c r="M615">
        <f t="shared" si="29"/>
        <v>0</v>
      </c>
    </row>
    <row r="616" spans="1:13" x14ac:dyDescent="0.25">
      <c r="A616">
        <v>607</v>
      </c>
      <c r="L616">
        <f t="shared" si="30"/>
        <v>0</v>
      </c>
      <c r="M616">
        <f t="shared" si="29"/>
        <v>0</v>
      </c>
    </row>
    <row r="617" spans="1:13" x14ac:dyDescent="0.25">
      <c r="A617">
        <v>608</v>
      </c>
      <c r="L617">
        <f t="shared" si="30"/>
        <v>0</v>
      </c>
      <c r="M617">
        <f t="shared" si="29"/>
        <v>0</v>
      </c>
    </row>
    <row r="618" spans="1:13" x14ac:dyDescent="0.25">
      <c r="A618">
        <v>609</v>
      </c>
      <c r="L618">
        <f t="shared" si="30"/>
        <v>0</v>
      </c>
      <c r="M618">
        <f t="shared" si="29"/>
        <v>0</v>
      </c>
    </row>
    <row r="619" spans="1:13" x14ac:dyDescent="0.25">
      <c r="A619">
        <v>610</v>
      </c>
      <c r="L619">
        <f t="shared" si="30"/>
        <v>0</v>
      </c>
      <c r="M619">
        <f t="shared" si="29"/>
        <v>0</v>
      </c>
    </row>
    <row r="620" spans="1:13" x14ac:dyDescent="0.25">
      <c r="A620">
        <v>611</v>
      </c>
      <c r="L620">
        <f t="shared" si="30"/>
        <v>0</v>
      </c>
      <c r="M620">
        <f t="shared" si="29"/>
        <v>0</v>
      </c>
    </row>
    <row r="621" spans="1:13" x14ac:dyDescent="0.25">
      <c r="A621">
        <v>612</v>
      </c>
      <c r="L621">
        <f t="shared" si="30"/>
        <v>0</v>
      </c>
      <c r="M621">
        <f t="shared" si="29"/>
        <v>0</v>
      </c>
    </row>
    <row r="622" spans="1:13" x14ac:dyDescent="0.25">
      <c r="A622">
        <v>613</v>
      </c>
      <c r="L622">
        <f t="shared" ref="L622:L685" si="31">+I622+H622</f>
        <v>0</v>
      </c>
      <c r="M622">
        <f t="shared" si="29"/>
        <v>0</v>
      </c>
    </row>
    <row r="623" spans="1:13" x14ac:dyDescent="0.25">
      <c r="A623">
        <v>614</v>
      </c>
      <c r="L623">
        <f t="shared" si="31"/>
        <v>0</v>
      </c>
      <c r="M623">
        <f t="shared" si="29"/>
        <v>0</v>
      </c>
    </row>
    <row r="624" spans="1:13" x14ac:dyDescent="0.25">
      <c r="A624">
        <v>615</v>
      </c>
      <c r="L624">
        <f t="shared" si="31"/>
        <v>0</v>
      </c>
      <c r="M624">
        <f t="shared" si="29"/>
        <v>0</v>
      </c>
    </row>
    <row r="625" spans="1:13" x14ac:dyDescent="0.25">
      <c r="A625">
        <v>616</v>
      </c>
      <c r="L625">
        <f t="shared" si="31"/>
        <v>0</v>
      </c>
      <c r="M625">
        <f t="shared" si="29"/>
        <v>0</v>
      </c>
    </row>
    <row r="626" spans="1:13" x14ac:dyDescent="0.25">
      <c r="A626">
        <v>617</v>
      </c>
      <c r="L626">
        <f t="shared" si="31"/>
        <v>0</v>
      </c>
      <c r="M626">
        <f t="shared" si="29"/>
        <v>0</v>
      </c>
    </row>
    <row r="627" spans="1:13" x14ac:dyDescent="0.25">
      <c r="A627">
        <v>618</v>
      </c>
      <c r="L627">
        <f t="shared" si="31"/>
        <v>0</v>
      </c>
      <c r="M627">
        <f t="shared" si="29"/>
        <v>0</v>
      </c>
    </row>
    <row r="628" spans="1:13" x14ac:dyDescent="0.25">
      <c r="A628">
        <v>619</v>
      </c>
      <c r="L628">
        <f t="shared" si="31"/>
        <v>0</v>
      </c>
      <c r="M628">
        <f t="shared" si="29"/>
        <v>0</v>
      </c>
    </row>
    <row r="629" spans="1:13" x14ac:dyDescent="0.25">
      <c r="A629">
        <v>620</v>
      </c>
      <c r="L629">
        <f t="shared" si="31"/>
        <v>0</v>
      </c>
      <c r="M629">
        <f t="shared" si="29"/>
        <v>0</v>
      </c>
    </row>
    <row r="630" spans="1:13" x14ac:dyDescent="0.25">
      <c r="A630">
        <v>621</v>
      </c>
      <c r="L630">
        <f t="shared" si="31"/>
        <v>0</v>
      </c>
      <c r="M630">
        <f t="shared" si="29"/>
        <v>0</v>
      </c>
    </row>
    <row r="631" spans="1:13" x14ac:dyDescent="0.25">
      <c r="A631">
        <v>622</v>
      </c>
      <c r="L631">
        <f t="shared" si="31"/>
        <v>0</v>
      </c>
      <c r="M631">
        <f t="shared" si="29"/>
        <v>0</v>
      </c>
    </row>
    <row r="632" spans="1:13" x14ac:dyDescent="0.25">
      <c r="A632">
        <v>623</v>
      </c>
      <c r="L632">
        <f t="shared" si="31"/>
        <v>0</v>
      </c>
      <c r="M632">
        <f t="shared" si="29"/>
        <v>0</v>
      </c>
    </row>
    <row r="633" spans="1:13" x14ac:dyDescent="0.25">
      <c r="A633">
        <v>624</v>
      </c>
      <c r="L633">
        <f t="shared" si="31"/>
        <v>0</v>
      </c>
      <c r="M633">
        <f t="shared" si="29"/>
        <v>0</v>
      </c>
    </row>
    <row r="634" spans="1:13" x14ac:dyDescent="0.25">
      <c r="A634">
        <v>625</v>
      </c>
      <c r="L634">
        <f t="shared" si="31"/>
        <v>0</v>
      </c>
      <c r="M634">
        <f t="shared" si="29"/>
        <v>0</v>
      </c>
    </row>
    <row r="635" spans="1:13" x14ac:dyDescent="0.25">
      <c r="A635">
        <v>626</v>
      </c>
      <c r="L635">
        <f t="shared" si="31"/>
        <v>0</v>
      </c>
      <c r="M635">
        <f t="shared" si="29"/>
        <v>0</v>
      </c>
    </row>
    <row r="636" spans="1:13" x14ac:dyDescent="0.25">
      <c r="A636">
        <v>627</v>
      </c>
      <c r="L636">
        <f t="shared" si="31"/>
        <v>0</v>
      </c>
      <c r="M636">
        <f t="shared" si="29"/>
        <v>0</v>
      </c>
    </row>
    <row r="637" spans="1:13" x14ac:dyDescent="0.25">
      <c r="A637">
        <v>628</v>
      </c>
      <c r="L637">
        <f t="shared" si="31"/>
        <v>0</v>
      </c>
      <c r="M637">
        <f t="shared" si="29"/>
        <v>0</v>
      </c>
    </row>
    <row r="638" spans="1:13" x14ac:dyDescent="0.25">
      <c r="A638">
        <v>629</v>
      </c>
      <c r="L638">
        <f t="shared" si="31"/>
        <v>0</v>
      </c>
      <c r="M638">
        <f t="shared" si="29"/>
        <v>0</v>
      </c>
    </row>
    <row r="639" spans="1:13" x14ac:dyDescent="0.25">
      <c r="A639">
        <v>630</v>
      </c>
      <c r="L639">
        <f t="shared" si="31"/>
        <v>0</v>
      </c>
      <c r="M639">
        <f t="shared" ref="M639:M702" si="32">+I639/IF(H639 = 0,1,H639)</f>
        <v>0</v>
      </c>
    </row>
    <row r="640" spans="1:13" x14ac:dyDescent="0.25">
      <c r="A640">
        <v>631</v>
      </c>
      <c r="L640">
        <f t="shared" si="31"/>
        <v>0</v>
      </c>
      <c r="M640">
        <f t="shared" si="32"/>
        <v>0</v>
      </c>
    </row>
    <row r="641" spans="1:13" x14ac:dyDescent="0.25">
      <c r="A641">
        <v>632</v>
      </c>
      <c r="L641">
        <f t="shared" si="31"/>
        <v>0</v>
      </c>
      <c r="M641">
        <f t="shared" si="32"/>
        <v>0</v>
      </c>
    </row>
    <row r="642" spans="1:13" x14ac:dyDescent="0.25">
      <c r="A642">
        <v>633</v>
      </c>
      <c r="L642">
        <f t="shared" si="31"/>
        <v>0</v>
      </c>
      <c r="M642">
        <f t="shared" si="32"/>
        <v>0</v>
      </c>
    </row>
    <row r="643" spans="1:13" x14ac:dyDescent="0.25">
      <c r="A643">
        <v>634</v>
      </c>
      <c r="L643">
        <f t="shared" si="31"/>
        <v>0</v>
      </c>
      <c r="M643">
        <f t="shared" si="32"/>
        <v>0</v>
      </c>
    </row>
    <row r="644" spans="1:13" x14ac:dyDescent="0.25">
      <c r="A644">
        <v>635</v>
      </c>
      <c r="L644">
        <f t="shared" si="31"/>
        <v>0</v>
      </c>
      <c r="M644">
        <f t="shared" si="32"/>
        <v>0</v>
      </c>
    </row>
    <row r="645" spans="1:13" x14ac:dyDescent="0.25">
      <c r="A645">
        <v>636</v>
      </c>
      <c r="L645">
        <f t="shared" si="31"/>
        <v>0</v>
      </c>
      <c r="M645">
        <f t="shared" si="32"/>
        <v>0</v>
      </c>
    </row>
    <row r="646" spans="1:13" x14ac:dyDescent="0.25">
      <c r="A646">
        <v>637</v>
      </c>
      <c r="L646">
        <f t="shared" si="31"/>
        <v>0</v>
      </c>
      <c r="M646">
        <f t="shared" si="32"/>
        <v>0</v>
      </c>
    </row>
    <row r="647" spans="1:13" x14ac:dyDescent="0.25">
      <c r="A647">
        <v>638</v>
      </c>
      <c r="L647">
        <f t="shared" si="31"/>
        <v>0</v>
      </c>
      <c r="M647">
        <f t="shared" si="32"/>
        <v>0</v>
      </c>
    </row>
    <row r="648" spans="1:13" x14ac:dyDescent="0.25">
      <c r="A648">
        <v>639</v>
      </c>
      <c r="L648">
        <f t="shared" si="31"/>
        <v>0</v>
      </c>
      <c r="M648">
        <f t="shared" si="32"/>
        <v>0</v>
      </c>
    </row>
    <row r="649" spans="1:13" x14ac:dyDescent="0.25">
      <c r="A649">
        <v>640</v>
      </c>
      <c r="L649">
        <f t="shared" si="31"/>
        <v>0</v>
      </c>
      <c r="M649">
        <f t="shared" si="32"/>
        <v>0</v>
      </c>
    </row>
    <row r="650" spans="1:13" x14ac:dyDescent="0.25">
      <c r="A650">
        <v>641</v>
      </c>
      <c r="L650">
        <f t="shared" si="31"/>
        <v>0</v>
      </c>
      <c r="M650">
        <f t="shared" si="32"/>
        <v>0</v>
      </c>
    </row>
    <row r="651" spans="1:13" x14ac:dyDescent="0.25">
      <c r="A651">
        <v>642</v>
      </c>
      <c r="L651">
        <f t="shared" si="31"/>
        <v>0</v>
      </c>
      <c r="M651">
        <f t="shared" si="32"/>
        <v>0</v>
      </c>
    </row>
    <row r="652" spans="1:13" x14ac:dyDescent="0.25">
      <c r="A652">
        <v>643</v>
      </c>
      <c r="L652">
        <f t="shared" si="31"/>
        <v>0</v>
      </c>
      <c r="M652">
        <f t="shared" si="32"/>
        <v>0</v>
      </c>
    </row>
    <row r="653" spans="1:13" x14ac:dyDescent="0.25">
      <c r="A653">
        <v>644</v>
      </c>
      <c r="L653">
        <f t="shared" si="31"/>
        <v>0</v>
      </c>
      <c r="M653">
        <f t="shared" si="32"/>
        <v>0</v>
      </c>
    </row>
    <row r="654" spans="1:13" x14ac:dyDescent="0.25">
      <c r="A654">
        <v>645</v>
      </c>
      <c r="L654">
        <f t="shared" si="31"/>
        <v>0</v>
      </c>
      <c r="M654">
        <f t="shared" si="32"/>
        <v>0</v>
      </c>
    </row>
    <row r="655" spans="1:13" x14ac:dyDescent="0.25">
      <c r="A655">
        <v>646</v>
      </c>
      <c r="L655">
        <f t="shared" si="31"/>
        <v>0</v>
      </c>
      <c r="M655">
        <f t="shared" si="32"/>
        <v>0</v>
      </c>
    </row>
    <row r="656" spans="1:13" x14ac:dyDescent="0.25">
      <c r="A656">
        <v>647</v>
      </c>
      <c r="L656">
        <f t="shared" si="31"/>
        <v>0</v>
      </c>
      <c r="M656">
        <f t="shared" si="32"/>
        <v>0</v>
      </c>
    </row>
    <row r="657" spans="1:13" x14ac:dyDescent="0.25">
      <c r="A657">
        <v>648</v>
      </c>
      <c r="L657">
        <f t="shared" si="31"/>
        <v>0</v>
      </c>
      <c r="M657">
        <f t="shared" si="32"/>
        <v>0</v>
      </c>
    </row>
    <row r="658" spans="1:13" x14ac:dyDescent="0.25">
      <c r="A658">
        <v>649</v>
      </c>
      <c r="L658">
        <f t="shared" si="31"/>
        <v>0</v>
      </c>
      <c r="M658">
        <f t="shared" si="32"/>
        <v>0</v>
      </c>
    </row>
    <row r="659" spans="1:13" x14ac:dyDescent="0.25">
      <c r="A659">
        <v>650</v>
      </c>
      <c r="L659">
        <f t="shared" si="31"/>
        <v>0</v>
      </c>
      <c r="M659">
        <f t="shared" si="32"/>
        <v>0</v>
      </c>
    </row>
    <row r="660" spans="1:13" x14ac:dyDescent="0.25">
      <c r="A660">
        <v>651</v>
      </c>
      <c r="L660">
        <f t="shared" si="31"/>
        <v>0</v>
      </c>
      <c r="M660">
        <f t="shared" si="32"/>
        <v>0</v>
      </c>
    </row>
    <row r="661" spans="1:13" x14ac:dyDescent="0.25">
      <c r="A661">
        <v>652</v>
      </c>
      <c r="L661">
        <f t="shared" si="31"/>
        <v>0</v>
      </c>
      <c r="M661">
        <f t="shared" si="32"/>
        <v>0</v>
      </c>
    </row>
    <row r="662" spans="1:13" x14ac:dyDescent="0.25">
      <c r="A662">
        <v>653</v>
      </c>
      <c r="L662">
        <f t="shared" si="31"/>
        <v>0</v>
      </c>
      <c r="M662">
        <f t="shared" si="32"/>
        <v>0</v>
      </c>
    </row>
    <row r="663" spans="1:13" x14ac:dyDescent="0.25">
      <c r="A663">
        <v>654</v>
      </c>
      <c r="L663">
        <f t="shared" si="31"/>
        <v>0</v>
      </c>
      <c r="M663">
        <f t="shared" si="32"/>
        <v>0</v>
      </c>
    </row>
    <row r="664" spans="1:13" x14ac:dyDescent="0.25">
      <c r="A664">
        <v>655</v>
      </c>
      <c r="L664">
        <f t="shared" si="31"/>
        <v>0</v>
      </c>
      <c r="M664">
        <f t="shared" si="32"/>
        <v>0</v>
      </c>
    </row>
    <row r="665" spans="1:13" x14ac:dyDescent="0.25">
      <c r="A665">
        <v>656</v>
      </c>
      <c r="L665">
        <f t="shared" si="31"/>
        <v>0</v>
      </c>
      <c r="M665">
        <f t="shared" si="32"/>
        <v>0</v>
      </c>
    </row>
    <row r="666" spans="1:13" x14ac:dyDescent="0.25">
      <c r="A666">
        <v>657</v>
      </c>
      <c r="L666">
        <f t="shared" si="31"/>
        <v>0</v>
      </c>
      <c r="M666">
        <f t="shared" si="32"/>
        <v>0</v>
      </c>
    </row>
    <row r="667" spans="1:13" x14ac:dyDescent="0.25">
      <c r="A667">
        <v>658</v>
      </c>
      <c r="L667">
        <f t="shared" si="31"/>
        <v>0</v>
      </c>
      <c r="M667">
        <f t="shared" si="32"/>
        <v>0</v>
      </c>
    </row>
    <row r="668" spans="1:13" x14ac:dyDescent="0.25">
      <c r="A668">
        <v>659</v>
      </c>
      <c r="L668">
        <f t="shared" si="31"/>
        <v>0</v>
      </c>
      <c r="M668">
        <f t="shared" si="32"/>
        <v>0</v>
      </c>
    </row>
    <row r="669" spans="1:13" x14ac:dyDescent="0.25">
      <c r="A669">
        <v>660</v>
      </c>
      <c r="L669">
        <f t="shared" si="31"/>
        <v>0</v>
      </c>
      <c r="M669">
        <f t="shared" si="32"/>
        <v>0</v>
      </c>
    </row>
    <row r="670" spans="1:13" x14ac:dyDescent="0.25">
      <c r="A670">
        <v>661</v>
      </c>
      <c r="L670">
        <f t="shared" si="31"/>
        <v>0</v>
      </c>
      <c r="M670">
        <f t="shared" si="32"/>
        <v>0</v>
      </c>
    </row>
    <row r="671" spans="1:13" x14ac:dyDescent="0.25">
      <c r="A671">
        <v>662</v>
      </c>
      <c r="L671">
        <f t="shared" si="31"/>
        <v>0</v>
      </c>
      <c r="M671">
        <f t="shared" si="32"/>
        <v>0</v>
      </c>
    </row>
    <row r="672" spans="1:13" x14ac:dyDescent="0.25">
      <c r="A672">
        <v>663</v>
      </c>
      <c r="L672">
        <f t="shared" si="31"/>
        <v>0</v>
      </c>
      <c r="M672">
        <f t="shared" si="32"/>
        <v>0</v>
      </c>
    </row>
    <row r="673" spans="1:13" x14ac:dyDescent="0.25">
      <c r="A673">
        <v>664</v>
      </c>
      <c r="L673">
        <f t="shared" si="31"/>
        <v>0</v>
      </c>
      <c r="M673">
        <f t="shared" si="32"/>
        <v>0</v>
      </c>
    </row>
    <row r="674" spans="1:13" x14ac:dyDescent="0.25">
      <c r="A674">
        <v>665</v>
      </c>
      <c r="L674">
        <f t="shared" si="31"/>
        <v>0</v>
      </c>
      <c r="M674">
        <f t="shared" si="32"/>
        <v>0</v>
      </c>
    </row>
    <row r="675" spans="1:13" x14ac:dyDescent="0.25">
      <c r="A675">
        <v>666</v>
      </c>
      <c r="L675">
        <f t="shared" si="31"/>
        <v>0</v>
      </c>
      <c r="M675">
        <f t="shared" si="32"/>
        <v>0</v>
      </c>
    </row>
    <row r="676" spans="1:13" x14ac:dyDescent="0.25">
      <c r="A676">
        <v>667</v>
      </c>
      <c r="L676">
        <f t="shared" si="31"/>
        <v>0</v>
      </c>
      <c r="M676">
        <f t="shared" si="32"/>
        <v>0</v>
      </c>
    </row>
    <row r="677" spans="1:13" x14ac:dyDescent="0.25">
      <c r="A677">
        <v>668</v>
      </c>
      <c r="L677">
        <f t="shared" si="31"/>
        <v>0</v>
      </c>
      <c r="M677">
        <f t="shared" si="32"/>
        <v>0</v>
      </c>
    </row>
    <row r="678" spans="1:13" x14ac:dyDescent="0.25">
      <c r="A678">
        <v>669</v>
      </c>
      <c r="L678">
        <f t="shared" si="31"/>
        <v>0</v>
      </c>
      <c r="M678">
        <f t="shared" si="32"/>
        <v>0</v>
      </c>
    </row>
    <row r="679" spans="1:13" x14ac:dyDescent="0.25">
      <c r="A679">
        <v>670</v>
      </c>
      <c r="L679">
        <f t="shared" si="31"/>
        <v>0</v>
      </c>
      <c r="M679">
        <f t="shared" si="32"/>
        <v>0</v>
      </c>
    </row>
    <row r="680" spans="1:13" x14ac:dyDescent="0.25">
      <c r="A680">
        <v>671</v>
      </c>
      <c r="L680">
        <f t="shared" si="31"/>
        <v>0</v>
      </c>
      <c r="M680">
        <f t="shared" si="32"/>
        <v>0</v>
      </c>
    </row>
    <row r="681" spans="1:13" x14ac:dyDescent="0.25">
      <c r="A681">
        <v>672</v>
      </c>
      <c r="L681">
        <f t="shared" si="31"/>
        <v>0</v>
      </c>
      <c r="M681">
        <f t="shared" si="32"/>
        <v>0</v>
      </c>
    </row>
    <row r="682" spans="1:13" x14ac:dyDescent="0.25">
      <c r="A682">
        <v>673</v>
      </c>
      <c r="L682">
        <f t="shared" si="31"/>
        <v>0</v>
      </c>
      <c r="M682">
        <f t="shared" si="32"/>
        <v>0</v>
      </c>
    </row>
    <row r="683" spans="1:13" x14ac:dyDescent="0.25">
      <c r="A683">
        <v>674</v>
      </c>
      <c r="L683">
        <f t="shared" si="31"/>
        <v>0</v>
      </c>
      <c r="M683">
        <f t="shared" si="32"/>
        <v>0</v>
      </c>
    </row>
    <row r="684" spans="1:13" x14ac:dyDescent="0.25">
      <c r="A684">
        <v>675</v>
      </c>
      <c r="L684">
        <f t="shared" si="31"/>
        <v>0</v>
      </c>
      <c r="M684">
        <f t="shared" si="32"/>
        <v>0</v>
      </c>
    </row>
    <row r="685" spans="1:13" x14ac:dyDescent="0.25">
      <c r="A685">
        <v>676</v>
      </c>
      <c r="L685">
        <f t="shared" si="31"/>
        <v>0</v>
      </c>
      <c r="M685">
        <f t="shared" si="32"/>
        <v>0</v>
      </c>
    </row>
    <row r="686" spans="1:13" x14ac:dyDescent="0.25">
      <c r="A686">
        <v>677</v>
      </c>
      <c r="L686">
        <f t="shared" ref="L686:L749" si="33">+I686+H686</f>
        <v>0</v>
      </c>
      <c r="M686">
        <f t="shared" si="32"/>
        <v>0</v>
      </c>
    </row>
    <row r="687" spans="1:13" x14ac:dyDescent="0.25">
      <c r="A687">
        <v>678</v>
      </c>
      <c r="L687">
        <f t="shared" si="33"/>
        <v>0</v>
      </c>
      <c r="M687">
        <f t="shared" si="32"/>
        <v>0</v>
      </c>
    </row>
    <row r="688" spans="1:13" x14ac:dyDescent="0.25">
      <c r="A688">
        <v>679</v>
      </c>
      <c r="L688">
        <f t="shared" si="33"/>
        <v>0</v>
      </c>
      <c r="M688">
        <f t="shared" si="32"/>
        <v>0</v>
      </c>
    </row>
    <row r="689" spans="1:13" x14ac:dyDescent="0.25">
      <c r="A689">
        <v>680</v>
      </c>
      <c r="L689">
        <f t="shared" si="33"/>
        <v>0</v>
      </c>
      <c r="M689">
        <f t="shared" si="32"/>
        <v>0</v>
      </c>
    </row>
    <row r="690" spans="1:13" x14ac:dyDescent="0.25">
      <c r="A690">
        <v>681</v>
      </c>
      <c r="L690">
        <f t="shared" si="33"/>
        <v>0</v>
      </c>
      <c r="M690">
        <f t="shared" si="32"/>
        <v>0</v>
      </c>
    </row>
    <row r="691" spans="1:13" x14ac:dyDescent="0.25">
      <c r="A691">
        <v>682</v>
      </c>
      <c r="L691">
        <f t="shared" si="33"/>
        <v>0</v>
      </c>
      <c r="M691">
        <f t="shared" si="32"/>
        <v>0</v>
      </c>
    </row>
    <row r="692" spans="1:13" x14ac:dyDescent="0.25">
      <c r="A692">
        <v>683</v>
      </c>
      <c r="L692">
        <f t="shared" si="33"/>
        <v>0</v>
      </c>
      <c r="M692">
        <f t="shared" si="32"/>
        <v>0</v>
      </c>
    </row>
    <row r="693" spans="1:13" x14ac:dyDescent="0.25">
      <c r="A693">
        <v>684</v>
      </c>
      <c r="L693">
        <f t="shared" si="33"/>
        <v>0</v>
      </c>
      <c r="M693">
        <f t="shared" si="32"/>
        <v>0</v>
      </c>
    </row>
    <row r="694" spans="1:13" x14ac:dyDescent="0.25">
      <c r="A694">
        <v>685</v>
      </c>
      <c r="L694">
        <f t="shared" si="33"/>
        <v>0</v>
      </c>
      <c r="M694">
        <f t="shared" si="32"/>
        <v>0</v>
      </c>
    </row>
    <row r="695" spans="1:13" x14ac:dyDescent="0.25">
      <c r="A695">
        <v>686</v>
      </c>
      <c r="L695">
        <f t="shared" si="33"/>
        <v>0</v>
      </c>
      <c r="M695">
        <f t="shared" si="32"/>
        <v>0</v>
      </c>
    </row>
    <row r="696" spans="1:13" x14ac:dyDescent="0.25">
      <c r="A696">
        <v>687</v>
      </c>
      <c r="L696">
        <f t="shared" si="33"/>
        <v>0</v>
      </c>
      <c r="M696">
        <f t="shared" si="32"/>
        <v>0</v>
      </c>
    </row>
    <row r="697" spans="1:13" x14ac:dyDescent="0.25">
      <c r="A697">
        <v>688</v>
      </c>
      <c r="L697">
        <f t="shared" si="33"/>
        <v>0</v>
      </c>
      <c r="M697">
        <f t="shared" si="32"/>
        <v>0</v>
      </c>
    </row>
    <row r="698" spans="1:13" x14ac:dyDescent="0.25">
      <c r="A698">
        <v>689</v>
      </c>
      <c r="L698">
        <f t="shared" si="33"/>
        <v>0</v>
      </c>
      <c r="M698">
        <f t="shared" si="32"/>
        <v>0</v>
      </c>
    </row>
    <row r="699" spans="1:13" x14ac:dyDescent="0.25">
      <c r="A699">
        <v>690</v>
      </c>
      <c r="L699">
        <f t="shared" si="33"/>
        <v>0</v>
      </c>
      <c r="M699">
        <f t="shared" si="32"/>
        <v>0</v>
      </c>
    </row>
    <row r="700" spans="1:13" x14ac:dyDescent="0.25">
      <c r="A700">
        <v>691</v>
      </c>
      <c r="L700">
        <f t="shared" si="33"/>
        <v>0</v>
      </c>
      <c r="M700">
        <f t="shared" si="32"/>
        <v>0</v>
      </c>
    </row>
    <row r="701" spans="1:13" x14ac:dyDescent="0.25">
      <c r="A701">
        <v>692</v>
      </c>
      <c r="L701">
        <f t="shared" si="33"/>
        <v>0</v>
      </c>
      <c r="M701">
        <f t="shared" si="32"/>
        <v>0</v>
      </c>
    </row>
    <row r="702" spans="1:13" x14ac:dyDescent="0.25">
      <c r="A702">
        <v>693</v>
      </c>
      <c r="L702">
        <f t="shared" si="33"/>
        <v>0</v>
      </c>
      <c r="M702">
        <f t="shared" si="32"/>
        <v>0</v>
      </c>
    </row>
    <row r="703" spans="1:13" x14ac:dyDescent="0.25">
      <c r="A703">
        <v>694</v>
      </c>
      <c r="L703">
        <f t="shared" si="33"/>
        <v>0</v>
      </c>
      <c r="M703">
        <f t="shared" ref="M703:M766" si="34">+I703/IF(H703 = 0,1,H703)</f>
        <v>0</v>
      </c>
    </row>
    <row r="704" spans="1:13" x14ac:dyDescent="0.25">
      <c r="A704">
        <v>695</v>
      </c>
      <c r="L704">
        <f t="shared" si="33"/>
        <v>0</v>
      </c>
      <c r="M704">
        <f t="shared" si="34"/>
        <v>0</v>
      </c>
    </row>
    <row r="705" spans="1:13" x14ac:dyDescent="0.25">
      <c r="A705">
        <v>696</v>
      </c>
      <c r="L705">
        <f t="shared" si="33"/>
        <v>0</v>
      </c>
      <c r="M705">
        <f t="shared" si="34"/>
        <v>0</v>
      </c>
    </row>
    <row r="706" spans="1:13" x14ac:dyDescent="0.25">
      <c r="A706">
        <v>697</v>
      </c>
      <c r="L706">
        <f t="shared" si="33"/>
        <v>0</v>
      </c>
      <c r="M706">
        <f t="shared" si="34"/>
        <v>0</v>
      </c>
    </row>
    <row r="707" spans="1:13" x14ac:dyDescent="0.25">
      <c r="A707">
        <v>698</v>
      </c>
      <c r="L707">
        <f t="shared" si="33"/>
        <v>0</v>
      </c>
      <c r="M707">
        <f t="shared" si="34"/>
        <v>0</v>
      </c>
    </row>
    <row r="708" spans="1:13" x14ac:dyDescent="0.25">
      <c r="A708">
        <v>699</v>
      </c>
      <c r="L708">
        <f t="shared" si="33"/>
        <v>0</v>
      </c>
      <c r="M708">
        <f t="shared" si="34"/>
        <v>0</v>
      </c>
    </row>
    <row r="709" spans="1:13" x14ac:dyDescent="0.25">
      <c r="A709">
        <v>700</v>
      </c>
      <c r="L709">
        <f t="shared" si="33"/>
        <v>0</v>
      </c>
      <c r="M709">
        <f t="shared" si="34"/>
        <v>0</v>
      </c>
    </row>
    <row r="710" spans="1:13" x14ac:dyDescent="0.25">
      <c r="A710">
        <v>701</v>
      </c>
      <c r="L710">
        <f t="shared" si="33"/>
        <v>0</v>
      </c>
      <c r="M710">
        <f t="shared" si="34"/>
        <v>0</v>
      </c>
    </row>
    <row r="711" spans="1:13" x14ac:dyDescent="0.25">
      <c r="A711">
        <v>702</v>
      </c>
      <c r="L711">
        <f t="shared" si="33"/>
        <v>0</v>
      </c>
      <c r="M711">
        <f t="shared" si="34"/>
        <v>0</v>
      </c>
    </row>
    <row r="712" spans="1:13" x14ac:dyDescent="0.25">
      <c r="A712">
        <v>703</v>
      </c>
      <c r="L712">
        <f t="shared" si="33"/>
        <v>0</v>
      </c>
      <c r="M712">
        <f t="shared" si="34"/>
        <v>0</v>
      </c>
    </row>
    <row r="713" spans="1:13" x14ac:dyDescent="0.25">
      <c r="A713">
        <v>704</v>
      </c>
      <c r="L713">
        <f t="shared" si="33"/>
        <v>0</v>
      </c>
      <c r="M713">
        <f t="shared" si="34"/>
        <v>0</v>
      </c>
    </row>
    <row r="714" spans="1:13" x14ac:dyDescent="0.25">
      <c r="A714">
        <v>705</v>
      </c>
      <c r="L714">
        <f t="shared" si="33"/>
        <v>0</v>
      </c>
      <c r="M714">
        <f t="shared" si="34"/>
        <v>0</v>
      </c>
    </row>
    <row r="715" spans="1:13" x14ac:dyDescent="0.25">
      <c r="A715">
        <v>706</v>
      </c>
      <c r="L715">
        <f t="shared" si="33"/>
        <v>0</v>
      </c>
      <c r="M715">
        <f t="shared" si="34"/>
        <v>0</v>
      </c>
    </row>
    <row r="716" spans="1:13" x14ac:dyDescent="0.25">
      <c r="A716">
        <v>707</v>
      </c>
      <c r="L716">
        <f t="shared" si="33"/>
        <v>0</v>
      </c>
      <c r="M716">
        <f t="shared" si="34"/>
        <v>0</v>
      </c>
    </row>
    <row r="717" spans="1:13" x14ac:dyDescent="0.25">
      <c r="A717">
        <v>708</v>
      </c>
      <c r="L717">
        <f t="shared" si="33"/>
        <v>0</v>
      </c>
      <c r="M717">
        <f t="shared" si="34"/>
        <v>0</v>
      </c>
    </row>
    <row r="718" spans="1:13" x14ac:dyDescent="0.25">
      <c r="A718">
        <v>709</v>
      </c>
      <c r="L718">
        <f t="shared" si="33"/>
        <v>0</v>
      </c>
      <c r="M718">
        <f t="shared" si="34"/>
        <v>0</v>
      </c>
    </row>
    <row r="719" spans="1:13" x14ac:dyDescent="0.25">
      <c r="A719">
        <v>710</v>
      </c>
      <c r="L719">
        <f t="shared" si="33"/>
        <v>0</v>
      </c>
      <c r="M719">
        <f t="shared" si="34"/>
        <v>0</v>
      </c>
    </row>
    <row r="720" spans="1:13" x14ac:dyDescent="0.25">
      <c r="A720">
        <v>711</v>
      </c>
      <c r="L720">
        <f t="shared" si="33"/>
        <v>0</v>
      </c>
      <c r="M720">
        <f t="shared" si="34"/>
        <v>0</v>
      </c>
    </row>
    <row r="721" spans="1:13" x14ac:dyDescent="0.25">
      <c r="A721">
        <v>712</v>
      </c>
      <c r="L721">
        <f t="shared" si="33"/>
        <v>0</v>
      </c>
      <c r="M721">
        <f t="shared" si="34"/>
        <v>0</v>
      </c>
    </row>
    <row r="722" spans="1:13" x14ac:dyDescent="0.25">
      <c r="A722">
        <v>713</v>
      </c>
      <c r="L722">
        <f t="shared" si="33"/>
        <v>0</v>
      </c>
      <c r="M722">
        <f t="shared" si="34"/>
        <v>0</v>
      </c>
    </row>
    <row r="723" spans="1:13" x14ac:dyDescent="0.25">
      <c r="A723">
        <v>714</v>
      </c>
      <c r="L723">
        <f t="shared" si="33"/>
        <v>0</v>
      </c>
      <c r="M723">
        <f t="shared" si="34"/>
        <v>0</v>
      </c>
    </row>
    <row r="724" spans="1:13" x14ac:dyDescent="0.25">
      <c r="A724">
        <v>715</v>
      </c>
      <c r="L724">
        <f t="shared" si="33"/>
        <v>0</v>
      </c>
      <c r="M724">
        <f t="shared" si="34"/>
        <v>0</v>
      </c>
    </row>
    <row r="725" spans="1:13" x14ac:dyDescent="0.25">
      <c r="A725">
        <v>716</v>
      </c>
      <c r="L725">
        <f t="shared" si="33"/>
        <v>0</v>
      </c>
      <c r="M725">
        <f t="shared" si="34"/>
        <v>0</v>
      </c>
    </row>
    <row r="726" spans="1:13" x14ac:dyDescent="0.25">
      <c r="A726">
        <v>717</v>
      </c>
      <c r="L726">
        <f t="shared" si="33"/>
        <v>0</v>
      </c>
      <c r="M726">
        <f t="shared" si="34"/>
        <v>0</v>
      </c>
    </row>
    <row r="727" spans="1:13" x14ac:dyDescent="0.25">
      <c r="A727">
        <v>718</v>
      </c>
      <c r="L727">
        <f t="shared" si="33"/>
        <v>0</v>
      </c>
      <c r="M727">
        <f t="shared" si="34"/>
        <v>0</v>
      </c>
    </row>
    <row r="728" spans="1:13" x14ac:dyDescent="0.25">
      <c r="A728">
        <v>719</v>
      </c>
      <c r="L728">
        <f t="shared" si="33"/>
        <v>0</v>
      </c>
      <c r="M728">
        <f t="shared" si="34"/>
        <v>0</v>
      </c>
    </row>
    <row r="729" spans="1:13" x14ac:dyDescent="0.25">
      <c r="A729">
        <v>720</v>
      </c>
      <c r="L729">
        <f t="shared" si="33"/>
        <v>0</v>
      </c>
      <c r="M729">
        <f t="shared" si="34"/>
        <v>0</v>
      </c>
    </row>
    <row r="730" spans="1:13" x14ac:dyDescent="0.25">
      <c r="A730">
        <v>721</v>
      </c>
      <c r="L730">
        <f t="shared" si="33"/>
        <v>0</v>
      </c>
      <c r="M730">
        <f t="shared" si="34"/>
        <v>0</v>
      </c>
    </row>
    <row r="731" spans="1:13" x14ac:dyDescent="0.25">
      <c r="A731">
        <v>722</v>
      </c>
      <c r="L731">
        <f t="shared" si="33"/>
        <v>0</v>
      </c>
      <c r="M731">
        <f t="shared" si="34"/>
        <v>0</v>
      </c>
    </row>
    <row r="732" spans="1:13" x14ac:dyDescent="0.25">
      <c r="A732">
        <v>723</v>
      </c>
      <c r="L732">
        <f t="shared" si="33"/>
        <v>0</v>
      </c>
      <c r="M732">
        <f t="shared" si="34"/>
        <v>0</v>
      </c>
    </row>
    <row r="733" spans="1:13" x14ac:dyDescent="0.25">
      <c r="A733">
        <v>724</v>
      </c>
      <c r="L733">
        <f t="shared" si="33"/>
        <v>0</v>
      </c>
      <c r="M733">
        <f t="shared" si="34"/>
        <v>0</v>
      </c>
    </row>
    <row r="734" spans="1:13" x14ac:dyDescent="0.25">
      <c r="A734">
        <v>725</v>
      </c>
      <c r="L734">
        <f t="shared" si="33"/>
        <v>0</v>
      </c>
      <c r="M734">
        <f t="shared" si="34"/>
        <v>0</v>
      </c>
    </row>
    <row r="735" spans="1:13" x14ac:dyDescent="0.25">
      <c r="A735">
        <v>726</v>
      </c>
      <c r="L735">
        <f t="shared" si="33"/>
        <v>0</v>
      </c>
      <c r="M735">
        <f t="shared" si="34"/>
        <v>0</v>
      </c>
    </row>
    <row r="736" spans="1:13" x14ac:dyDescent="0.25">
      <c r="A736">
        <v>727</v>
      </c>
      <c r="L736">
        <f t="shared" si="33"/>
        <v>0</v>
      </c>
      <c r="M736">
        <f t="shared" si="34"/>
        <v>0</v>
      </c>
    </row>
    <row r="737" spans="1:13" x14ac:dyDescent="0.25">
      <c r="A737">
        <v>728</v>
      </c>
      <c r="L737">
        <f t="shared" si="33"/>
        <v>0</v>
      </c>
      <c r="M737">
        <f t="shared" si="34"/>
        <v>0</v>
      </c>
    </row>
    <row r="738" spans="1:13" x14ac:dyDescent="0.25">
      <c r="A738">
        <v>729</v>
      </c>
      <c r="L738">
        <f t="shared" si="33"/>
        <v>0</v>
      </c>
      <c r="M738">
        <f t="shared" si="34"/>
        <v>0</v>
      </c>
    </row>
    <row r="739" spans="1:13" x14ac:dyDescent="0.25">
      <c r="A739">
        <v>730</v>
      </c>
      <c r="L739">
        <f t="shared" si="33"/>
        <v>0</v>
      </c>
      <c r="M739">
        <f t="shared" si="34"/>
        <v>0</v>
      </c>
    </row>
    <row r="740" spans="1:13" x14ac:dyDescent="0.25">
      <c r="A740">
        <v>731</v>
      </c>
      <c r="L740">
        <f t="shared" si="33"/>
        <v>0</v>
      </c>
      <c r="M740">
        <f t="shared" si="34"/>
        <v>0</v>
      </c>
    </row>
    <row r="741" spans="1:13" x14ac:dyDescent="0.25">
      <c r="A741">
        <v>732</v>
      </c>
      <c r="L741">
        <f t="shared" si="33"/>
        <v>0</v>
      </c>
      <c r="M741">
        <f t="shared" si="34"/>
        <v>0</v>
      </c>
    </row>
    <row r="742" spans="1:13" x14ac:dyDescent="0.25">
      <c r="A742">
        <v>733</v>
      </c>
      <c r="L742">
        <f t="shared" si="33"/>
        <v>0</v>
      </c>
      <c r="M742">
        <f t="shared" si="34"/>
        <v>0</v>
      </c>
    </row>
    <row r="743" spans="1:13" x14ac:dyDescent="0.25">
      <c r="A743">
        <v>734</v>
      </c>
      <c r="L743">
        <f t="shared" si="33"/>
        <v>0</v>
      </c>
      <c r="M743">
        <f t="shared" si="34"/>
        <v>0</v>
      </c>
    </row>
    <row r="744" spans="1:13" x14ac:dyDescent="0.25">
      <c r="A744">
        <v>735</v>
      </c>
      <c r="L744">
        <f t="shared" si="33"/>
        <v>0</v>
      </c>
      <c r="M744">
        <f t="shared" si="34"/>
        <v>0</v>
      </c>
    </row>
    <row r="745" spans="1:13" x14ac:dyDescent="0.25">
      <c r="A745">
        <v>736</v>
      </c>
      <c r="L745">
        <f t="shared" si="33"/>
        <v>0</v>
      </c>
      <c r="M745">
        <f t="shared" si="34"/>
        <v>0</v>
      </c>
    </row>
    <row r="746" spans="1:13" x14ac:dyDescent="0.25">
      <c r="A746">
        <v>737</v>
      </c>
      <c r="L746">
        <f t="shared" si="33"/>
        <v>0</v>
      </c>
      <c r="M746">
        <f t="shared" si="34"/>
        <v>0</v>
      </c>
    </row>
    <row r="747" spans="1:13" x14ac:dyDescent="0.25">
      <c r="A747">
        <v>738</v>
      </c>
      <c r="L747">
        <f t="shared" si="33"/>
        <v>0</v>
      </c>
      <c r="M747">
        <f t="shared" si="34"/>
        <v>0</v>
      </c>
    </row>
    <row r="748" spans="1:13" x14ac:dyDescent="0.25">
      <c r="A748">
        <v>739</v>
      </c>
      <c r="L748">
        <f t="shared" si="33"/>
        <v>0</v>
      </c>
      <c r="M748">
        <f t="shared" si="34"/>
        <v>0</v>
      </c>
    </row>
    <row r="749" spans="1:13" x14ac:dyDescent="0.25">
      <c r="A749">
        <v>740</v>
      </c>
      <c r="L749">
        <f t="shared" si="33"/>
        <v>0</v>
      </c>
      <c r="M749">
        <f t="shared" si="34"/>
        <v>0</v>
      </c>
    </row>
    <row r="750" spans="1:13" x14ac:dyDescent="0.25">
      <c r="A750">
        <v>741</v>
      </c>
      <c r="L750">
        <f t="shared" ref="L750:L813" si="35">+I750+H750</f>
        <v>0</v>
      </c>
      <c r="M750">
        <f t="shared" si="34"/>
        <v>0</v>
      </c>
    </row>
    <row r="751" spans="1:13" x14ac:dyDescent="0.25">
      <c r="A751">
        <v>742</v>
      </c>
      <c r="L751">
        <f t="shared" si="35"/>
        <v>0</v>
      </c>
      <c r="M751">
        <f t="shared" si="34"/>
        <v>0</v>
      </c>
    </row>
    <row r="752" spans="1:13" x14ac:dyDescent="0.25">
      <c r="A752">
        <v>743</v>
      </c>
      <c r="L752">
        <f t="shared" si="35"/>
        <v>0</v>
      </c>
      <c r="M752">
        <f t="shared" si="34"/>
        <v>0</v>
      </c>
    </row>
    <row r="753" spans="1:13" x14ac:dyDescent="0.25">
      <c r="A753">
        <v>744</v>
      </c>
      <c r="L753">
        <f t="shared" si="35"/>
        <v>0</v>
      </c>
      <c r="M753">
        <f t="shared" si="34"/>
        <v>0</v>
      </c>
    </row>
    <row r="754" spans="1:13" x14ac:dyDescent="0.25">
      <c r="A754">
        <v>745</v>
      </c>
      <c r="L754">
        <f t="shared" si="35"/>
        <v>0</v>
      </c>
      <c r="M754">
        <f t="shared" si="34"/>
        <v>0</v>
      </c>
    </row>
    <row r="755" spans="1:13" x14ac:dyDescent="0.25">
      <c r="A755">
        <v>746</v>
      </c>
      <c r="L755">
        <f t="shared" si="35"/>
        <v>0</v>
      </c>
      <c r="M755">
        <f t="shared" si="34"/>
        <v>0</v>
      </c>
    </row>
    <row r="756" spans="1:13" x14ac:dyDescent="0.25">
      <c r="A756">
        <v>747</v>
      </c>
      <c r="L756">
        <f t="shared" si="35"/>
        <v>0</v>
      </c>
      <c r="M756">
        <f t="shared" si="34"/>
        <v>0</v>
      </c>
    </row>
    <row r="757" spans="1:13" x14ac:dyDescent="0.25">
      <c r="A757">
        <v>748</v>
      </c>
      <c r="L757">
        <f t="shared" si="35"/>
        <v>0</v>
      </c>
      <c r="M757">
        <f t="shared" si="34"/>
        <v>0</v>
      </c>
    </row>
    <row r="758" spans="1:13" x14ac:dyDescent="0.25">
      <c r="A758">
        <v>749</v>
      </c>
      <c r="L758">
        <f t="shared" si="35"/>
        <v>0</v>
      </c>
      <c r="M758">
        <f t="shared" si="34"/>
        <v>0</v>
      </c>
    </row>
    <row r="759" spans="1:13" x14ac:dyDescent="0.25">
      <c r="A759">
        <v>750</v>
      </c>
      <c r="L759">
        <f t="shared" si="35"/>
        <v>0</v>
      </c>
      <c r="M759">
        <f t="shared" si="34"/>
        <v>0</v>
      </c>
    </row>
    <row r="760" spans="1:13" x14ac:dyDescent="0.25">
      <c r="A760">
        <v>751</v>
      </c>
      <c r="L760">
        <f t="shared" si="35"/>
        <v>0</v>
      </c>
      <c r="M760">
        <f t="shared" si="34"/>
        <v>0</v>
      </c>
    </row>
    <row r="761" spans="1:13" x14ac:dyDescent="0.25">
      <c r="A761">
        <v>752</v>
      </c>
      <c r="L761">
        <f t="shared" si="35"/>
        <v>0</v>
      </c>
      <c r="M761">
        <f t="shared" si="34"/>
        <v>0</v>
      </c>
    </row>
    <row r="762" spans="1:13" x14ac:dyDescent="0.25">
      <c r="A762">
        <v>753</v>
      </c>
      <c r="L762">
        <f t="shared" si="35"/>
        <v>0</v>
      </c>
      <c r="M762">
        <f t="shared" si="34"/>
        <v>0</v>
      </c>
    </row>
    <row r="763" spans="1:13" x14ac:dyDescent="0.25">
      <c r="A763">
        <v>754</v>
      </c>
      <c r="L763">
        <f t="shared" si="35"/>
        <v>0</v>
      </c>
      <c r="M763">
        <f t="shared" si="34"/>
        <v>0</v>
      </c>
    </row>
    <row r="764" spans="1:13" x14ac:dyDescent="0.25">
      <c r="A764">
        <v>755</v>
      </c>
      <c r="L764">
        <f t="shared" si="35"/>
        <v>0</v>
      </c>
      <c r="M764">
        <f t="shared" si="34"/>
        <v>0</v>
      </c>
    </row>
    <row r="765" spans="1:13" x14ac:dyDescent="0.25">
      <c r="A765">
        <v>756</v>
      </c>
      <c r="L765">
        <f t="shared" si="35"/>
        <v>0</v>
      </c>
      <c r="M765">
        <f t="shared" si="34"/>
        <v>0</v>
      </c>
    </row>
    <row r="766" spans="1:13" x14ac:dyDescent="0.25">
      <c r="A766">
        <v>757</v>
      </c>
      <c r="L766">
        <f t="shared" si="35"/>
        <v>0</v>
      </c>
      <c r="M766">
        <f t="shared" si="34"/>
        <v>0</v>
      </c>
    </row>
    <row r="767" spans="1:13" x14ac:dyDescent="0.25">
      <c r="A767">
        <v>758</v>
      </c>
      <c r="L767">
        <f t="shared" si="35"/>
        <v>0</v>
      </c>
      <c r="M767">
        <f t="shared" ref="M767:M830" si="36">+I767/IF(H767 = 0,1,H767)</f>
        <v>0</v>
      </c>
    </row>
    <row r="768" spans="1:13" x14ac:dyDescent="0.25">
      <c r="A768">
        <v>759</v>
      </c>
      <c r="L768">
        <f t="shared" si="35"/>
        <v>0</v>
      </c>
      <c r="M768">
        <f t="shared" si="36"/>
        <v>0</v>
      </c>
    </row>
    <row r="769" spans="1:13" x14ac:dyDescent="0.25">
      <c r="A769">
        <v>760</v>
      </c>
      <c r="L769">
        <f t="shared" si="35"/>
        <v>0</v>
      </c>
      <c r="M769">
        <f t="shared" si="36"/>
        <v>0</v>
      </c>
    </row>
    <row r="770" spans="1:13" x14ac:dyDescent="0.25">
      <c r="A770">
        <v>761</v>
      </c>
      <c r="L770">
        <f t="shared" si="35"/>
        <v>0</v>
      </c>
      <c r="M770">
        <f t="shared" si="36"/>
        <v>0</v>
      </c>
    </row>
    <row r="771" spans="1:13" x14ac:dyDescent="0.25">
      <c r="A771">
        <v>762</v>
      </c>
      <c r="L771">
        <f t="shared" si="35"/>
        <v>0</v>
      </c>
      <c r="M771">
        <f t="shared" si="36"/>
        <v>0</v>
      </c>
    </row>
    <row r="772" spans="1:13" x14ac:dyDescent="0.25">
      <c r="A772">
        <v>763</v>
      </c>
      <c r="L772">
        <f t="shared" si="35"/>
        <v>0</v>
      </c>
      <c r="M772">
        <f t="shared" si="36"/>
        <v>0</v>
      </c>
    </row>
    <row r="773" spans="1:13" x14ac:dyDescent="0.25">
      <c r="A773">
        <v>764</v>
      </c>
      <c r="L773">
        <f t="shared" si="35"/>
        <v>0</v>
      </c>
      <c r="M773">
        <f t="shared" si="36"/>
        <v>0</v>
      </c>
    </row>
    <row r="774" spans="1:13" x14ac:dyDescent="0.25">
      <c r="A774">
        <v>765</v>
      </c>
      <c r="L774">
        <f t="shared" si="35"/>
        <v>0</v>
      </c>
      <c r="M774">
        <f t="shared" si="36"/>
        <v>0</v>
      </c>
    </row>
    <row r="775" spans="1:13" x14ac:dyDescent="0.25">
      <c r="A775">
        <v>766</v>
      </c>
      <c r="L775">
        <f t="shared" si="35"/>
        <v>0</v>
      </c>
      <c r="M775">
        <f t="shared" si="36"/>
        <v>0</v>
      </c>
    </row>
    <row r="776" spans="1:13" x14ac:dyDescent="0.25">
      <c r="A776">
        <v>767</v>
      </c>
      <c r="L776">
        <f t="shared" si="35"/>
        <v>0</v>
      </c>
      <c r="M776">
        <f t="shared" si="36"/>
        <v>0</v>
      </c>
    </row>
    <row r="777" spans="1:13" x14ac:dyDescent="0.25">
      <c r="A777">
        <v>768</v>
      </c>
      <c r="L777">
        <f t="shared" si="35"/>
        <v>0</v>
      </c>
      <c r="M777">
        <f t="shared" si="36"/>
        <v>0</v>
      </c>
    </row>
    <row r="778" spans="1:13" x14ac:dyDescent="0.25">
      <c r="A778">
        <v>769</v>
      </c>
      <c r="L778">
        <f t="shared" si="35"/>
        <v>0</v>
      </c>
      <c r="M778">
        <f t="shared" si="36"/>
        <v>0</v>
      </c>
    </row>
    <row r="779" spans="1:13" x14ac:dyDescent="0.25">
      <c r="A779">
        <v>770</v>
      </c>
      <c r="L779">
        <f t="shared" si="35"/>
        <v>0</v>
      </c>
      <c r="M779">
        <f t="shared" si="36"/>
        <v>0</v>
      </c>
    </row>
    <row r="780" spans="1:13" x14ac:dyDescent="0.25">
      <c r="A780">
        <v>771</v>
      </c>
      <c r="L780">
        <f t="shared" si="35"/>
        <v>0</v>
      </c>
      <c r="M780">
        <f t="shared" si="36"/>
        <v>0</v>
      </c>
    </row>
    <row r="781" spans="1:13" x14ac:dyDescent="0.25">
      <c r="A781">
        <v>772</v>
      </c>
      <c r="L781">
        <f t="shared" si="35"/>
        <v>0</v>
      </c>
      <c r="M781">
        <f t="shared" si="36"/>
        <v>0</v>
      </c>
    </row>
    <row r="782" spans="1:13" x14ac:dyDescent="0.25">
      <c r="A782">
        <v>773</v>
      </c>
      <c r="L782">
        <f t="shared" si="35"/>
        <v>0</v>
      </c>
      <c r="M782">
        <f t="shared" si="36"/>
        <v>0</v>
      </c>
    </row>
    <row r="783" spans="1:13" x14ac:dyDescent="0.25">
      <c r="A783">
        <v>774</v>
      </c>
      <c r="L783">
        <f t="shared" si="35"/>
        <v>0</v>
      </c>
      <c r="M783">
        <f t="shared" si="36"/>
        <v>0</v>
      </c>
    </row>
    <row r="784" spans="1:13" x14ac:dyDescent="0.25">
      <c r="A784">
        <v>775</v>
      </c>
      <c r="L784">
        <f t="shared" si="35"/>
        <v>0</v>
      </c>
      <c r="M784">
        <f t="shared" si="36"/>
        <v>0</v>
      </c>
    </row>
    <row r="785" spans="1:13" x14ac:dyDescent="0.25">
      <c r="A785">
        <v>776</v>
      </c>
      <c r="L785">
        <f t="shared" si="35"/>
        <v>0</v>
      </c>
      <c r="M785">
        <f t="shared" si="36"/>
        <v>0</v>
      </c>
    </row>
    <row r="786" spans="1:13" x14ac:dyDescent="0.25">
      <c r="A786">
        <v>777</v>
      </c>
      <c r="L786">
        <f t="shared" si="35"/>
        <v>0</v>
      </c>
      <c r="M786">
        <f t="shared" si="36"/>
        <v>0</v>
      </c>
    </row>
    <row r="787" spans="1:13" x14ac:dyDescent="0.25">
      <c r="A787">
        <v>778</v>
      </c>
      <c r="L787">
        <f t="shared" si="35"/>
        <v>0</v>
      </c>
      <c r="M787">
        <f t="shared" si="36"/>
        <v>0</v>
      </c>
    </row>
    <row r="788" spans="1:13" x14ac:dyDescent="0.25">
      <c r="A788">
        <v>779</v>
      </c>
      <c r="L788">
        <f t="shared" si="35"/>
        <v>0</v>
      </c>
      <c r="M788">
        <f t="shared" si="36"/>
        <v>0</v>
      </c>
    </row>
    <row r="789" spans="1:13" x14ac:dyDescent="0.25">
      <c r="A789">
        <v>780</v>
      </c>
      <c r="L789">
        <f t="shared" si="35"/>
        <v>0</v>
      </c>
      <c r="M789">
        <f t="shared" si="36"/>
        <v>0</v>
      </c>
    </row>
    <row r="790" spans="1:13" x14ac:dyDescent="0.25">
      <c r="A790">
        <v>781</v>
      </c>
      <c r="L790">
        <f t="shared" si="35"/>
        <v>0</v>
      </c>
      <c r="M790">
        <f t="shared" si="36"/>
        <v>0</v>
      </c>
    </row>
    <row r="791" spans="1:13" x14ac:dyDescent="0.25">
      <c r="A791">
        <v>782</v>
      </c>
      <c r="L791">
        <f t="shared" si="35"/>
        <v>0</v>
      </c>
      <c r="M791">
        <f t="shared" si="36"/>
        <v>0</v>
      </c>
    </row>
    <row r="792" spans="1:13" x14ac:dyDescent="0.25">
      <c r="A792">
        <v>783</v>
      </c>
      <c r="L792">
        <f t="shared" si="35"/>
        <v>0</v>
      </c>
      <c r="M792">
        <f t="shared" si="36"/>
        <v>0</v>
      </c>
    </row>
    <row r="793" spans="1:13" x14ac:dyDescent="0.25">
      <c r="A793">
        <v>784</v>
      </c>
      <c r="L793">
        <f t="shared" si="35"/>
        <v>0</v>
      </c>
      <c r="M793">
        <f t="shared" si="36"/>
        <v>0</v>
      </c>
    </row>
    <row r="794" spans="1:13" x14ac:dyDescent="0.25">
      <c r="A794">
        <v>785</v>
      </c>
      <c r="L794">
        <f t="shared" si="35"/>
        <v>0</v>
      </c>
      <c r="M794">
        <f t="shared" si="36"/>
        <v>0</v>
      </c>
    </row>
    <row r="795" spans="1:13" x14ac:dyDescent="0.25">
      <c r="A795">
        <v>786</v>
      </c>
      <c r="L795">
        <f t="shared" si="35"/>
        <v>0</v>
      </c>
      <c r="M795">
        <f t="shared" si="36"/>
        <v>0</v>
      </c>
    </row>
    <row r="796" spans="1:13" x14ac:dyDescent="0.25">
      <c r="A796">
        <v>787</v>
      </c>
      <c r="L796">
        <f t="shared" si="35"/>
        <v>0</v>
      </c>
      <c r="M796">
        <f t="shared" si="36"/>
        <v>0</v>
      </c>
    </row>
    <row r="797" spans="1:13" x14ac:dyDescent="0.25">
      <c r="A797">
        <v>788</v>
      </c>
      <c r="L797">
        <f t="shared" si="35"/>
        <v>0</v>
      </c>
      <c r="M797">
        <f t="shared" si="36"/>
        <v>0</v>
      </c>
    </row>
    <row r="798" spans="1:13" x14ac:dyDescent="0.25">
      <c r="A798">
        <v>789</v>
      </c>
      <c r="L798">
        <f t="shared" si="35"/>
        <v>0</v>
      </c>
      <c r="M798">
        <f t="shared" si="36"/>
        <v>0</v>
      </c>
    </row>
    <row r="799" spans="1:13" x14ac:dyDescent="0.25">
      <c r="A799">
        <v>790</v>
      </c>
      <c r="L799">
        <f t="shared" si="35"/>
        <v>0</v>
      </c>
      <c r="M799">
        <f t="shared" si="36"/>
        <v>0</v>
      </c>
    </row>
    <row r="800" spans="1:13" x14ac:dyDescent="0.25">
      <c r="A800">
        <v>791</v>
      </c>
      <c r="L800">
        <f t="shared" si="35"/>
        <v>0</v>
      </c>
      <c r="M800">
        <f t="shared" si="36"/>
        <v>0</v>
      </c>
    </row>
    <row r="801" spans="1:13" x14ac:dyDescent="0.25">
      <c r="A801">
        <v>792</v>
      </c>
      <c r="L801">
        <f t="shared" si="35"/>
        <v>0</v>
      </c>
      <c r="M801">
        <f t="shared" si="36"/>
        <v>0</v>
      </c>
    </row>
    <row r="802" spans="1:13" x14ac:dyDescent="0.25">
      <c r="A802">
        <v>793</v>
      </c>
      <c r="L802">
        <f t="shared" si="35"/>
        <v>0</v>
      </c>
      <c r="M802">
        <f t="shared" si="36"/>
        <v>0</v>
      </c>
    </row>
    <row r="803" spans="1:13" x14ac:dyDescent="0.25">
      <c r="A803">
        <v>794</v>
      </c>
      <c r="L803">
        <f t="shared" si="35"/>
        <v>0</v>
      </c>
      <c r="M803">
        <f t="shared" si="36"/>
        <v>0</v>
      </c>
    </row>
    <row r="804" spans="1:13" x14ac:dyDescent="0.25">
      <c r="A804">
        <v>795</v>
      </c>
      <c r="L804">
        <f t="shared" si="35"/>
        <v>0</v>
      </c>
      <c r="M804">
        <f t="shared" si="36"/>
        <v>0</v>
      </c>
    </row>
    <row r="805" spans="1:13" x14ac:dyDescent="0.25">
      <c r="A805">
        <v>796</v>
      </c>
      <c r="L805">
        <f t="shared" si="35"/>
        <v>0</v>
      </c>
      <c r="M805">
        <f t="shared" si="36"/>
        <v>0</v>
      </c>
    </row>
    <row r="806" spans="1:13" x14ac:dyDescent="0.25">
      <c r="A806">
        <v>797</v>
      </c>
      <c r="L806">
        <f t="shared" si="35"/>
        <v>0</v>
      </c>
      <c r="M806">
        <f t="shared" si="36"/>
        <v>0</v>
      </c>
    </row>
    <row r="807" spans="1:13" x14ac:dyDescent="0.25">
      <c r="A807">
        <v>798</v>
      </c>
      <c r="L807">
        <f t="shared" si="35"/>
        <v>0</v>
      </c>
      <c r="M807">
        <f t="shared" si="36"/>
        <v>0</v>
      </c>
    </row>
    <row r="808" spans="1:13" x14ac:dyDescent="0.25">
      <c r="A808">
        <v>799</v>
      </c>
      <c r="L808">
        <f t="shared" si="35"/>
        <v>0</v>
      </c>
      <c r="M808">
        <f t="shared" si="36"/>
        <v>0</v>
      </c>
    </row>
    <row r="809" spans="1:13" x14ac:dyDescent="0.25">
      <c r="A809">
        <v>800</v>
      </c>
      <c r="L809">
        <f t="shared" si="35"/>
        <v>0</v>
      </c>
      <c r="M809">
        <f t="shared" si="36"/>
        <v>0</v>
      </c>
    </row>
    <row r="810" spans="1:13" x14ac:dyDescent="0.25">
      <c r="A810">
        <v>801</v>
      </c>
      <c r="L810">
        <f t="shared" si="35"/>
        <v>0</v>
      </c>
      <c r="M810">
        <f t="shared" si="36"/>
        <v>0</v>
      </c>
    </row>
    <row r="811" spans="1:13" x14ac:dyDescent="0.25">
      <c r="A811">
        <v>802</v>
      </c>
      <c r="L811">
        <f t="shared" si="35"/>
        <v>0</v>
      </c>
      <c r="M811">
        <f t="shared" si="36"/>
        <v>0</v>
      </c>
    </row>
    <row r="812" spans="1:13" x14ac:dyDescent="0.25">
      <c r="A812">
        <v>803</v>
      </c>
      <c r="L812">
        <f t="shared" si="35"/>
        <v>0</v>
      </c>
      <c r="M812">
        <f t="shared" si="36"/>
        <v>0</v>
      </c>
    </row>
    <row r="813" spans="1:13" x14ac:dyDescent="0.25">
      <c r="A813">
        <v>804</v>
      </c>
      <c r="L813">
        <f t="shared" si="35"/>
        <v>0</v>
      </c>
      <c r="M813">
        <f t="shared" si="36"/>
        <v>0</v>
      </c>
    </row>
    <row r="814" spans="1:13" x14ac:dyDescent="0.25">
      <c r="A814">
        <v>805</v>
      </c>
      <c r="L814">
        <f t="shared" ref="L814:L877" si="37">+I814+H814</f>
        <v>0</v>
      </c>
      <c r="M814">
        <f t="shared" si="36"/>
        <v>0</v>
      </c>
    </row>
    <row r="815" spans="1:13" x14ac:dyDescent="0.25">
      <c r="A815">
        <v>806</v>
      </c>
      <c r="L815">
        <f t="shared" si="37"/>
        <v>0</v>
      </c>
      <c r="M815">
        <f t="shared" si="36"/>
        <v>0</v>
      </c>
    </row>
    <row r="816" spans="1:13" x14ac:dyDescent="0.25">
      <c r="A816">
        <v>807</v>
      </c>
      <c r="L816">
        <f t="shared" si="37"/>
        <v>0</v>
      </c>
      <c r="M816">
        <f t="shared" si="36"/>
        <v>0</v>
      </c>
    </row>
    <row r="817" spans="1:13" x14ac:dyDescent="0.25">
      <c r="A817">
        <v>808</v>
      </c>
      <c r="L817">
        <f t="shared" si="37"/>
        <v>0</v>
      </c>
      <c r="M817">
        <f t="shared" si="36"/>
        <v>0</v>
      </c>
    </row>
    <row r="818" spans="1:13" x14ac:dyDescent="0.25">
      <c r="A818">
        <v>809</v>
      </c>
      <c r="L818">
        <f t="shared" si="37"/>
        <v>0</v>
      </c>
      <c r="M818">
        <f t="shared" si="36"/>
        <v>0</v>
      </c>
    </row>
    <row r="819" spans="1:13" x14ac:dyDescent="0.25">
      <c r="A819">
        <v>810</v>
      </c>
      <c r="L819">
        <f t="shared" si="37"/>
        <v>0</v>
      </c>
      <c r="M819">
        <f t="shared" si="36"/>
        <v>0</v>
      </c>
    </row>
    <row r="820" spans="1:13" x14ac:dyDescent="0.25">
      <c r="A820">
        <v>811</v>
      </c>
      <c r="L820">
        <f t="shared" si="37"/>
        <v>0</v>
      </c>
      <c r="M820">
        <f t="shared" si="36"/>
        <v>0</v>
      </c>
    </row>
    <row r="821" spans="1:13" x14ac:dyDescent="0.25">
      <c r="A821">
        <v>812</v>
      </c>
      <c r="L821">
        <f t="shared" si="37"/>
        <v>0</v>
      </c>
      <c r="M821">
        <f t="shared" si="36"/>
        <v>0</v>
      </c>
    </row>
    <row r="822" spans="1:13" x14ac:dyDescent="0.25">
      <c r="A822">
        <v>813</v>
      </c>
      <c r="L822">
        <f t="shared" si="37"/>
        <v>0</v>
      </c>
      <c r="M822">
        <f t="shared" si="36"/>
        <v>0</v>
      </c>
    </row>
    <row r="823" spans="1:13" x14ac:dyDescent="0.25">
      <c r="A823">
        <v>814</v>
      </c>
      <c r="L823">
        <f t="shared" si="37"/>
        <v>0</v>
      </c>
      <c r="M823">
        <f t="shared" si="36"/>
        <v>0</v>
      </c>
    </row>
    <row r="824" spans="1:13" x14ac:dyDescent="0.25">
      <c r="A824">
        <v>815</v>
      </c>
      <c r="L824">
        <f t="shared" si="37"/>
        <v>0</v>
      </c>
      <c r="M824">
        <f t="shared" si="36"/>
        <v>0</v>
      </c>
    </row>
    <row r="825" spans="1:13" x14ac:dyDescent="0.25">
      <c r="A825">
        <v>816</v>
      </c>
      <c r="L825">
        <f t="shared" si="37"/>
        <v>0</v>
      </c>
      <c r="M825">
        <f t="shared" si="36"/>
        <v>0</v>
      </c>
    </row>
    <row r="826" spans="1:13" x14ac:dyDescent="0.25">
      <c r="A826">
        <v>817</v>
      </c>
      <c r="L826">
        <f t="shared" si="37"/>
        <v>0</v>
      </c>
      <c r="M826">
        <f t="shared" si="36"/>
        <v>0</v>
      </c>
    </row>
    <row r="827" spans="1:13" x14ac:dyDescent="0.25">
      <c r="A827">
        <v>818</v>
      </c>
      <c r="L827">
        <f t="shared" si="37"/>
        <v>0</v>
      </c>
      <c r="M827">
        <f t="shared" si="36"/>
        <v>0</v>
      </c>
    </row>
    <row r="828" spans="1:13" x14ac:dyDescent="0.25">
      <c r="A828">
        <v>819</v>
      </c>
      <c r="L828">
        <f t="shared" si="37"/>
        <v>0</v>
      </c>
      <c r="M828">
        <f t="shared" si="36"/>
        <v>0</v>
      </c>
    </row>
    <row r="829" spans="1:13" x14ac:dyDescent="0.25">
      <c r="A829">
        <v>820</v>
      </c>
      <c r="L829">
        <f t="shared" si="37"/>
        <v>0</v>
      </c>
      <c r="M829">
        <f t="shared" si="36"/>
        <v>0</v>
      </c>
    </row>
    <row r="830" spans="1:13" x14ac:dyDescent="0.25">
      <c r="A830">
        <v>821</v>
      </c>
      <c r="L830">
        <f t="shared" si="37"/>
        <v>0</v>
      </c>
      <c r="M830">
        <f t="shared" si="36"/>
        <v>0</v>
      </c>
    </row>
    <row r="831" spans="1:13" x14ac:dyDescent="0.25">
      <c r="A831">
        <v>822</v>
      </c>
      <c r="L831">
        <f t="shared" si="37"/>
        <v>0</v>
      </c>
      <c r="M831">
        <f t="shared" ref="M831:M894" si="38">+I831/IF(H831 = 0,1,H831)</f>
        <v>0</v>
      </c>
    </row>
    <row r="832" spans="1:13" x14ac:dyDescent="0.25">
      <c r="A832">
        <v>823</v>
      </c>
      <c r="L832">
        <f t="shared" si="37"/>
        <v>0</v>
      </c>
      <c r="M832">
        <f t="shared" si="38"/>
        <v>0</v>
      </c>
    </row>
    <row r="833" spans="1:13" x14ac:dyDescent="0.25">
      <c r="A833">
        <v>824</v>
      </c>
      <c r="L833">
        <f t="shared" si="37"/>
        <v>0</v>
      </c>
      <c r="M833">
        <f t="shared" si="38"/>
        <v>0</v>
      </c>
    </row>
    <row r="834" spans="1:13" x14ac:dyDescent="0.25">
      <c r="A834">
        <v>825</v>
      </c>
      <c r="L834">
        <f t="shared" si="37"/>
        <v>0</v>
      </c>
      <c r="M834">
        <f t="shared" si="38"/>
        <v>0</v>
      </c>
    </row>
    <row r="835" spans="1:13" x14ac:dyDescent="0.25">
      <c r="A835">
        <v>826</v>
      </c>
      <c r="L835">
        <f t="shared" si="37"/>
        <v>0</v>
      </c>
      <c r="M835">
        <f t="shared" si="38"/>
        <v>0</v>
      </c>
    </row>
    <row r="836" spans="1:13" x14ac:dyDescent="0.25">
      <c r="A836">
        <v>827</v>
      </c>
      <c r="L836">
        <f t="shared" si="37"/>
        <v>0</v>
      </c>
      <c r="M836">
        <f t="shared" si="38"/>
        <v>0</v>
      </c>
    </row>
    <row r="837" spans="1:13" x14ac:dyDescent="0.25">
      <c r="A837">
        <v>828</v>
      </c>
      <c r="L837">
        <f t="shared" si="37"/>
        <v>0</v>
      </c>
      <c r="M837">
        <f t="shared" si="38"/>
        <v>0</v>
      </c>
    </row>
    <row r="838" spans="1:13" x14ac:dyDescent="0.25">
      <c r="A838">
        <v>829</v>
      </c>
      <c r="L838">
        <f t="shared" si="37"/>
        <v>0</v>
      </c>
      <c r="M838">
        <f t="shared" si="38"/>
        <v>0</v>
      </c>
    </row>
    <row r="839" spans="1:13" x14ac:dyDescent="0.25">
      <c r="A839">
        <v>830</v>
      </c>
      <c r="L839">
        <f t="shared" si="37"/>
        <v>0</v>
      </c>
      <c r="M839">
        <f t="shared" si="38"/>
        <v>0</v>
      </c>
    </row>
    <row r="840" spans="1:13" x14ac:dyDescent="0.25">
      <c r="A840">
        <v>831</v>
      </c>
      <c r="L840">
        <f t="shared" si="37"/>
        <v>0</v>
      </c>
      <c r="M840">
        <f t="shared" si="38"/>
        <v>0</v>
      </c>
    </row>
    <row r="841" spans="1:13" x14ac:dyDescent="0.25">
      <c r="A841">
        <v>832</v>
      </c>
      <c r="L841">
        <f t="shared" si="37"/>
        <v>0</v>
      </c>
      <c r="M841">
        <f t="shared" si="38"/>
        <v>0</v>
      </c>
    </row>
    <row r="842" spans="1:13" x14ac:dyDescent="0.25">
      <c r="A842">
        <v>833</v>
      </c>
      <c r="L842">
        <f t="shared" si="37"/>
        <v>0</v>
      </c>
      <c r="M842">
        <f t="shared" si="38"/>
        <v>0</v>
      </c>
    </row>
    <row r="843" spans="1:13" x14ac:dyDescent="0.25">
      <c r="A843">
        <v>834</v>
      </c>
      <c r="L843">
        <f t="shared" si="37"/>
        <v>0</v>
      </c>
      <c r="M843">
        <f t="shared" si="38"/>
        <v>0</v>
      </c>
    </row>
    <row r="844" spans="1:13" x14ac:dyDescent="0.25">
      <c r="A844">
        <v>835</v>
      </c>
      <c r="L844">
        <f t="shared" si="37"/>
        <v>0</v>
      </c>
      <c r="M844">
        <f t="shared" si="38"/>
        <v>0</v>
      </c>
    </row>
    <row r="845" spans="1:13" x14ac:dyDescent="0.25">
      <c r="A845">
        <v>836</v>
      </c>
      <c r="L845">
        <f t="shared" si="37"/>
        <v>0</v>
      </c>
      <c r="M845">
        <f t="shared" si="38"/>
        <v>0</v>
      </c>
    </row>
    <row r="846" spans="1:13" x14ac:dyDescent="0.25">
      <c r="A846">
        <v>837</v>
      </c>
      <c r="L846">
        <f t="shared" si="37"/>
        <v>0</v>
      </c>
      <c r="M846">
        <f t="shared" si="38"/>
        <v>0</v>
      </c>
    </row>
    <row r="847" spans="1:13" x14ac:dyDescent="0.25">
      <c r="A847">
        <v>838</v>
      </c>
      <c r="L847">
        <f t="shared" si="37"/>
        <v>0</v>
      </c>
      <c r="M847">
        <f t="shared" si="38"/>
        <v>0</v>
      </c>
    </row>
    <row r="848" spans="1:13" x14ac:dyDescent="0.25">
      <c r="A848">
        <v>839</v>
      </c>
      <c r="L848">
        <f t="shared" si="37"/>
        <v>0</v>
      </c>
      <c r="M848">
        <f t="shared" si="38"/>
        <v>0</v>
      </c>
    </row>
    <row r="849" spans="1:13" x14ac:dyDescent="0.25">
      <c r="A849">
        <v>840</v>
      </c>
      <c r="L849">
        <f t="shared" si="37"/>
        <v>0</v>
      </c>
      <c r="M849">
        <f t="shared" si="38"/>
        <v>0</v>
      </c>
    </row>
    <row r="850" spans="1:13" x14ac:dyDescent="0.25">
      <c r="A850">
        <v>841</v>
      </c>
      <c r="L850">
        <f t="shared" si="37"/>
        <v>0</v>
      </c>
      <c r="M850">
        <f t="shared" si="38"/>
        <v>0</v>
      </c>
    </row>
    <row r="851" spans="1:13" x14ac:dyDescent="0.25">
      <c r="A851">
        <v>842</v>
      </c>
      <c r="L851">
        <f t="shared" si="37"/>
        <v>0</v>
      </c>
      <c r="M851">
        <f t="shared" si="38"/>
        <v>0</v>
      </c>
    </row>
    <row r="852" spans="1:13" x14ac:dyDescent="0.25">
      <c r="A852">
        <v>843</v>
      </c>
      <c r="L852">
        <f t="shared" si="37"/>
        <v>0</v>
      </c>
      <c r="M852">
        <f t="shared" si="38"/>
        <v>0</v>
      </c>
    </row>
    <row r="853" spans="1:13" x14ac:dyDescent="0.25">
      <c r="A853">
        <v>844</v>
      </c>
      <c r="L853">
        <f t="shared" si="37"/>
        <v>0</v>
      </c>
      <c r="M853">
        <f t="shared" si="38"/>
        <v>0</v>
      </c>
    </row>
    <row r="854" spans="1:13" x14ac:dyDescent="0.25">
      <c r="A854">
        <v>845</v>
      </c>
      <c r="L854">
        <f t="shared" si="37"/>
        <v>0</v>
      </c>
      <c r="M854">
        <f t="shared" si="38"/>
        <v>0</v>
      </c>
    </row>
    <row r="855" spans="1:13" x14ac:dyDescent="0.25">
      <c r="A855">
        <v>846</v>
      </c>
      <c r="L855">
        <f t="shared" si="37"/>
        <v>0</v>
      </c>
      <c r="M855">
        <f t="shared" si="38"/>
        <v>0</v>
      </c>
    </row>
    <row r="856" spans="1:13" x14ac:dyDescent="0.25">
      <c r="A856">
        <v>847</v>
      </c>
      <c r="L856">
        <f t="shared" si="37"/>
        <v>0</v>
      </c>
      <c r="M856">
        <f t="shared" si="38"/>
        <v>0</v>
      </c>
    </row>
    <row r="857" spans="1:13" x14ac:dyDescent="0.25">
      <c r="A857">
        <v>848</v>
      </c>
      <c r="L857">
        <f t="shared" si="37"/>
        <v>0</v>
      </c>
      <c r="M857">
        <f t="shared" si="38"/>
        <v>0</v>
      </c>
    </row>
    <row r="858" spans="1:13" x14ac:dyDescent="0.25">
      <c r="A858">
        <v>849</v>
      </c>
      <c r="L858">
        <f t="shared" si="37"/>
        <v>0</v>
      </c>
      <c r="M858">
        <f t="shared" si="38"/>
        <v>0</v>
      </c>
    </row>
    <row r="859" spans="1:13" x14ac:dyDescent="0.25">
      <c r="A859">
        <v>850</v>
      </c>
      <c r="L859">
        <f t="shared" si="37"/>
        <v>0</v>
      </c>
      <c r="M859">
        <f t="shared" si="38"/>
        <v>0</v>
      </c>
    </row>
    <row r="860" spans="1:13" x14ac:dyDescent="0.25">
      <c r="A860">
        <v>851</v>
      </c>
      <c r="L860">
        <f t="shared" si="37"/>
        <v>0</v>
      </c>
      <c r="M860">
        <f t="shared" si="38"/>
        <v>0</v>
      </c>
    </row>
    <row r="861" spans="1:13" x14ac:dyDescent="0.25">
      <c r="A861">
        <v>852</v>
      </c>
      <c r="L861">
        <f t="shared" si="37"/>
        <v>0</v>
      </c>
      <c r="M861">
        <f t="shared" si="38"/>
        <v>0</v>
      </c>
    </row>
    <row r="862" spans="1:13" x14ac:dyDescent="0.25">
      <c r="A862">
        <v>853</v>
      </c>
      <c r="L862">
        <f t="shared" si="37"/>
        <v>0</v>
      </c>
      <c r="M862">
        <f t="shared" si="38"/>
        <v>0</v>
      </c>
    </row>
    <row r="863" spans="1:13" x14ac:dyDescent="0.25">
      <c r="A863">
        <v>854</v>
      </c>
      <c r="L863">
        <f t="shared" si="37"/>
        <v>0</v>
      </c>
      <c r="M863">
        <f t="shared" si="38"/>
        <v>0</v>
      </c>
    </row>
    <row r="864" spans="1:13" x14ac:dyDescent="0.25">
      <c r="A864">
        <v>855</v>
      </c>
      <c r="L864">
        <f t="shared" si="37"/>
        <v>0</v>
      </c>
      <c r="M864">
        <f t="shared" si="38"/>
        <v>0</v>
      </c>
    </row>
    <row r="865" spans="1:13" x14ac:dyDescent="0.25">
      <c r="A865">
        <v>856</v>
      </c>
      <c r="L865">
        <f t="shared" si="37"/>
        <v>0</v>
      </c>
      <c r="M865">
        <f t="shared" si="38"/>
        <v>0</v>
      </c>
    </row>
    <row r="866" spans="1:13" x14ac:dyDescent="0.25">
      <c r="A866">
        <v>857</v>
      </c>
      <c r="L866">
        <f t="shared" si="37"/>
        <v>0</v>
      </c>
      <c r="M866">
        <f t="shared" si="38"/>
        <v>0</v>
      </c>
    </row>
    <row r="867" spans="1:13" x14ac:dyDescent="0.25">
      <c r="A867">
        <v>858</v>
      </c>
      <c r="L867">
        <f t="shared" si="37"/>
        <v>0</v>
      </c>
      <c r="M867">
        <f t="shared" si="38"/>
        <v>0</v>
      </c>
    </row>
    <row r="868" spans="1:13" x14ac:dyDescent="0.25">
      <c r="A868">
        <v>859</v>
      </c>
      <c r="L868">
        <f t="shared" si="37"/>
        <v>0</v>
      </c>
      <c r="M868">
        <f t="shared" si="38"/>
        <v>0</v>
      </c>
    </row>
    <row r="869" spans="1:13" x14ac:dyDescent="0.25">
      <c r="A869">
        <v>860</v>
      </c>
      <c r="L869">
        <f t="shared" si="37"/>
        <v>0</v>
      </c>
      <c r="M869">
        <f t="shared" si="38"/>
        <v>0</v>
      </c>
    </row>
    <row r="870" spans="1:13" x14ac:dyDescent="0.25">
      <c r="A870">
        <v>861</v>
      </c>
      <c r="L870">
        <f t="shared" si="37"/>
        <v>0</v>
      </c>
      <c r="M870">
        <f t="shared" si="38"/>
        <v>0</v>
      </c>
    </row>
    <row r="871" spans="1:13" x14ac:dyDescent="0.25">
      <c r="A871">
        <v>862</v>
      </c>
      <c r="L871">
        <f t="shared" si="37"/>
        <v>0</v>
      </c>
      <c r="M871">
        <f t="shared" si="38"/>
        <v>0</v>
      </c>
    </row>
    <row r="872" spans="1:13" x14ac:dyDescent="0.25">
      <c r="A872">
        <v>863</v>
      </c>
      <c r="L872">
        <f t="shared" si="37"/>
        <v>0</v>
      </c>
      <c r="M872">
        <f t="shared" si="38"/>
        <v>0</v>
      </c>
    </row>
    <row r="873" spans="1:13" x14ac:dyDescent="0.25">
      <c r="A873">
        <v>864</v>
      </c>
      <c r="L873">
        <f t="shared" si="37"/>
        <v>0</v>
      </c>
      <c r="M873">
        <f t="shared" si="38"/>
        <v>0</v>
      </c>
    </row>
    <row r="874" spans="1:13" x14ac:dyDescent="0.25">
      <c r="A874">
        <v>865</v>
      </c>
      <c r="L874">
        <f t="shared" si="37"/>
        <v>0</v>
      </c>
      <c r="M874">
        <f t="shared" si="38"/>
        <v>0</v>
      </c>
    </row>
    <row r="875" spans="1:13" x14ac:dyDescent="0.25">
      <c r="A875">
        <v>866</v>
      </c>
      <c r="L875">
        <f t="shared" si="37"/>
        <v>0</v>
      </c>
      <c r="M875">
        <f t="shared" si="38"/>
        <v>0</v>
      </c>
    </row>
    <row r="876" spans="1:13" x14ac:dyDescent="0.25">
      <c r="A876">
        <v>867</v>
      </c>
      <c r="L876">
        <f t="shared" si="37"/>
        <v>0</v>
      </c>
      <c r="M876">
        <f t="shared" si="38"/>
        <v>0</v>
      </c>
    </row>
    <row r="877" spans="1:13" x14ac:dyDescent="0.25">
      <c r="A877">
        <v>868</v>
      </c>
      <c r="L877">
        <f t="shared" si="37"/>
        <v>0</v>
      </c>
      <c r="M877">
        <f t="shared" si="38"/>
        <v>0</v>
      </c>
    </row>
    <row r="878" spans="1:13" x14ac:dyDescent="0.25">
      <c r="A878">
        <v>869</v>
      </c>
      <c r="L878">
        <f t="shared" ref="L878:L941" si="39">+I878+H878</f>
        <v>0</v>
      </c>
      <c r="M878">
        <f t="shared" si="38"/>
        <v>0</v>
      </c>
    </row>
    <row r="879" spans="1:13" x14ac:dyDescent="0.25">
      <c r="A879">
        <v>870</v>
      </c>
      <c r="L879">
        <f t="shared" si="39"/>
        <v>0</v>
      </c>
      <c r="M879">
        <f t="shared" si="38"/>
        <v>0</v>
      </c>
    </row>
    <row r="880" spans="1:13" x14ac:dyDescent="0.25">
      <c r="A880">
        <v>871</v>
      </c>
      <c r="L880">
        <f t="shared" si="39"/>
        <v>0</v>
      </c>
      <c r="M880">
        <f t="shared" si="38"/>
        <v>0</v>
      </c>
    </row>
    <row r="881" spans="1:13" x14ac:dyDescent="0.25">
      <c r="A881">
        <v>872</v>
      </c>
      <c r="L881">
        <f t="shared" si="39"/>
        <v>0</v>
      </c>
      <c r="M881">
        <f t="shared" si="38"/>
        <v>0</v>
      </c>
    </row>
    <row r="882" spans="1:13" x14ac:dyDescent="0.25">
      <c r="A882">
        <v>873</v>
      </c>
      <c r="L882">
        <f t="shared" si="39"/>
        <v>0</v>
      </c>
      <c r="M882">
        <f t="shared" si="38"/>
        <v>0</v>
      </c>
    </row>
    <row r="883" spans="1:13" x14ac:dyDescent="0.25">
      <c r="A883">
        <v>874</v>
      </c>
      <c r="L883">
        <f t="shared" si="39"/>
        <v>0</v>
      </c>
      <c r="M883">
        <f t="shared" si="38"/>
        <v>0</v>
      </c>
    </row>
    <row r="884" spans="1:13" x14ac:dyDescent="0.25">
      <c r="A884">
        <v>875</v>
      </c>
      <c r="L884">
        <f t="shared" si="39"/>
        <v>0</v>
      </c>
      <c r="M884">
        <f t="shared" si="38"/>
        <v>0</v>
      </c>
    </row>
    <row r="885" spans="1:13" x14ac:dyDescent="0.25">
      <c r="A885">
        <v>876</v>
      </c>
      <c r="L885">
        <f t="shared" si="39"/>
        <v>0</v>
      </c>
      <c r="M885">
        <f t="shared" si="38"/>
        <v>0</v>
      </c>
    </row>
    <row r="886" spans="1:13" x14ac:dyDescent="0.25">
      <c r="A886">
        <v>877</v>
      </c>
      <c r="L886">
        <f t="shared" si="39"/>
        <v>0</v>
      </c>
      <c r="M886">
        <f t="shared" si="38"/>
        <v>0</v>
      </c>
    </row>
    <row r="887" spans="1:13" x14ac:dyDescent="0.25">
      <c r="A887">
        <v>878</v>
      </c>
      <c r="L887">
        <f t="shared" si="39"/>
        <v>0</v>
      </c>
      <c r="M887">
        <f t="shared" si="38"/>
        <v>0</v>
      </c>
    </row>
    <row r="888" spans="1:13" x14ac:dyDescent="0.25">
      <c r="A888">
        <v>879</v>
      </c>
      <c r="L888">
        <f t="shared" si="39"/>
        <v>0</v>
      </c>
      <c r="M888">
        <f t="shared" si="38"/>
        <v>0</v>
      </c>
    </row>
    <row r="889" spans="1:13" x14ac:dyDescent="0.25">
      <c r="A889">
        <v>880</v>
      </c>
      <c r="L889">
        <f t="shared" si="39"/>
        <v>0</v>
      </c>
      <c r="M889">
        <f t="shared" si="38"/>
        <v>0</v>
      </c>
    </row>
    <row r="890" spans="1:13" x14ac:dyDescent="0.25">
      <c r="A890">
        <v>881</v>
      </c>
      <c r="L890">
        <f t="shared" si="39"/>
        <v>0</v>
      </c>
      <c r="M890">
        <f t="shared" si="38"/>
        <v>0</v>
      </c>
    </row>
    <row r="891" spans="1:13" x14ac:dyDescent="0.25">
      <c r="A891">
        <v>882</v>
      </c>
      <c r="L891">
        <f t="shared" si="39"/>
        <v>0</v>
      </c>
      <c r="M891">
        <f t="shared" si="38"/>
        <v>0</v>
      </c>
    </row>
    <row r="892" spans="1:13" x14ac:dyDescent="0.25">
      <c r="A892">
        <v>883</v>
      </c>
      <c r="L892">
        <f t="shared" si="39"/>
        <v>0</v>
      </c>
      <c r="M892">
        <f t="shared" si="38"/>
        <v>0</v>
      </c>
    </row>
    <row r="893" spans="1:13" x14ac:dyDescent="0.25">
      <c r="A893">
        <v>884</v>
      </c>
      <c r="L893">
        <f t="shared" si="39"/>
        <v>0</v>
      </c>
      <c r="M893">
        <f t="shared" si="38"/>
        <v>0</v>
      </c>
    </row>
    <row r="894" spans="1:13" x14ac:dyDescent="0.25">
      <c r="A894">
        <v>885</v>
      </c>
      <c r="L894">
        <f t="shared" si="39"/>
        <v>0</v>
      </c>
      <c r="M894">
        <f t="shared" si="38"/>
        <v>0</v>
      </c>
    </row>
    <row r="895" spans="1:13" x14ac:dyDescent="0.25">
      <c r="A895">
        <v>886</v>
      </c>
      <c r="L895">
        <f t="shared" si="39"/>
        <v>0</v>
      </c>
      <c r="M895">
        <f t="shared" ref="M895:M958" si="40">+I895/IF(H895 = 0,1,H895)</f>
        <v>0</v>
      </c>
    </row>
    <row r="896" spans="1:13" x14ac:dyDescent="0.25">
      <c r="A896">
        <v>887</v>
      </c>
      <c r="L896">
        <f t="shared" si="39"/>
        <v>0</v>
      </c>
      <c r="M896">
        <f t="shared" si="40"/>
        <v>0</v>
      </c>
    </row>
    <row r="897" spans="1:13" x14ac:dyDescent="0.25">
      <c r="A897">
        <v>888</v>
      </c>
      <c r="L897">
        <f t="shared" si="39"/>
        <v>0</v>
      </c>
      <c r="M897">
        <f t="shared" si="40"/>
        <v>0</v>
      </c>
    </row>
    <row r="898" spans="1:13" x14ac:dyDescent="0.25">
      <c r="A898">
        <v>889</v>
      </c>
      <c r="L898">
        <f t="shared" si="39"/>
        <v>0</v>
      </c>
      <c r="M898">
        <f t="shared" si="40"/>
        <v>0</v>
      </c>
    </row>
    <row r="899" spans="1:13" x14ac:dyDescent="0.25">
      <c r="A899">
        <v>890</v>
      </c>
      <c r="L899">
        <f t="shared" si="39"/>
        <v>0</v>
      </c>
      <c r="M899">
        <f t="shared" si="40"/>
        <v>0</v>
      </c>
    </row>
    <row r="900" spans="1:13" x14ac:dyDescent="0.25">
      <c r="A900">
        <v>891</v>
      </c>
      <c r="L900">
        <f t="shared" si="39"/>
        <v>0</v>
      </c>
      <c r="M900">
        <f t="shared" si="40"/>
        <v>0</v>
      </c>
    </row>
    <row r="901" spans="1:13" x14ac:dyDescent="0.25">
      <c r="A901">
        <v>892</v>
      </c>
      <c r="L901">
        <f t="shared" si="39"/>
        <v>0</v>
      </c>
      <c r="M901">
        <f t="shared" si="40"/>
        <v>0</v>
      </c>
    </row>
    <row r="902" spans="1:13" x14ac:dyDescent="0.25">
      <c r="A902">
        <v>893</v>
      </c>
      <c r="L902">
        <f t="shared" si="39"/>
        <v>0</v>
      </c>
      <c r="M902">
        <f t="shared" si="40"/>
        <v>0</v>
      </c>
    </row>
    <row r="903" spans="1:13" x14ac:dyDescent="0.25">
      <c r="A903">
        <v>894</v>
      </c>
      <c r="L903">
        <f t="shared" si="39"/>
        <v>0</v>
      </c>
      <c r="M903">
        <f t="shared" si="40"/>
        <v>0</v>
      </c>
    </row>
    <row r="904" spans="1:13" x14ac:dyDescent="0.25">
      <c r="A904">
        <v>895</v>
      </c>
      <c r="L904">
        <f t="shared" si="39"/>
        <v>0</v>
      </c>
      <c r="M904">
        <f t="shared" si="40"/>
        <v>0</v>
      </c>
    </row>
    <row r="905" spans="1:13" x14ac:dyDescent="0.25">
      <c r="A905">
        <v>896</v>
      </c>
      <c r="L905">
        <f t="shared" si="39"/>
        <v>0</v>
      </c>
      <c r="M905">
        <f t="shared" si="40"/>
        <v>0</v>
      </c>
    </row>
    <row r="906" spans="1:13" x14ac:dyDescent="0.25">
      <c r="A906">
        <v>897</v>
      </c>
      <c r="L906">
        <f t="shared" si="39"/>
        <v>0</v>
      </c>
      <c r="M906">
        <f t="shared" si="40"/>
        <v>0</v>
      </c>
    </row>
    <row r="907" spans="1:13" x14ac:dyDescent="0.25">
      <c r="A907">
        <v>898</v>
      </c>
      <c r="L907">
        <f t="shared" si="39"/>
        <v>0</v>
      </c>
      <c r="M907">
        <f t="shared" si="40"/>
        <v>0</v>
      </c>
    </row>
    <row r="908" spans="1:13" x14ac:dyDescent="0.25">
      <c r="A908">
        <v>899</v>
      </c>
      <c r="L908">
        <f t="shared" si="39"/>
        <v>0</v>
      </c>
      <c r="M908">
        <f t="shared" si="40"/>
        <v>0</v>
      </c>
    </row>
    <row r="909" spans="1:13" x14ac:dyDescent="0.25">
      <c r="A909">
        <v>900</v>
      </c>
      <c r="L909">
        <f t="shared" si="39"/>
        <v>0</v>
      </c>
      <c r="M909">
        <f t="shared" si="40"/>
        <v>0</v>
      </c>
    </row>
    <row r="910" spans="1:13" x14ac:dyDescent="0.25">
      <c r="A910">
        <v>901</v>
      </c>
      <c r="L910">
        <f t="shared" si="39"/>
        <v>0</v>
      </c>
      <c r="M910">
        <f t="shared" si="40"/>
        <v>0</v>
      </c>
    </row>
    <row r="911" spans="1:13" x14ac:dyDescent="0.25">
      <c r="A911">
        <v>902</v>
      </c>
      <c r="L911">
        <f t="shared" si="39"/>
        <v>0</v>
      </c>
      <c r="M911">
        <f t="shared" si="40"/>
        <v>0</v>
      </c>
    </row>
    <row r="912" spans="1:13" x14ac:dyDescent="0.25">
      <c r="A912">
        <v>903</v>
      </c>
      <c r="L912">
        <f t="shared" si="39"/>
        <v>0</v>
      </c>
      <c r="M912">
        <f t="shared" si="40"/>
        <v>0</v>
      </c>
    </row>
    <row r="913" spans="1:13" x14ac:dyDescent="0.25">
      <c r="A913">
        <v>904</v>
      </c>
      <c r="L913">
        <f t="shared" si="39"/>
        <v>0</v>
      </c>
      <c r="M913">
        <f t="shared" si="40"/>
        <v>0</v>
      </c>
    </row>
    <row r="914" spans="1:13" x14ac:dyDescent="0.25">
      <c r="A914">
        <v>905</v>
      </c>
      <c r="L914">
        <f t="shared" si="39"/>
        <v>0</v>
      </c>
      <c r="M914">
        <f t="shared" si="40"/>
        <v>0</v>
      </c>
    </row>
    <row r="915" spans="1:13" x14ac:dyDescent="0.25">
      <c r="A915">
        <v>906</v>
      </c>
      <c r="L915">
        <f t="shared" si="39"/>
        <v>0</v>
      </c>
      <c r="M915">
        <f t="shared" si="40"/>
        <v>0</v>
      </c>
    </row>
    <row r="916" spans="1:13" x14ac:dyDescent="0.25">
      <c r="A916">
        <v>907</v>
      </c>
      <c r="L916">
        <f t="shared" si="39"/>
        <v>0</v>
      </c>
      <c r="M916">
        <f t="shared" si="40"/>
        <v>0</v>
      </c>
    </row>
    <row r="917" spans="1:13" x14ac:dyDescent="0.25">
      <c r="A917">
        <v>908</v>
      </c>
      <c r="L917">
        <f t="shared" si="39"/>
        <v>0</v>
      </c>
      <c r="M917">
        <f t="shared" si="40"/>
        <v>0</v>
      </c>
    </row>
    <row r="918" spans="1:13" x14ac:dyDescent="0.25">
      <c r="A918">
        <v>909</v>
      </c>
      <c r="L918">
        <f t="shared" si="39"/>
        <v>0</v>
      </c>
      <c r="M918">
        <f t="shared" si="40"/>
        <v>0</v>
      </c>
    </row>
    <row r="919" spans="1:13" x14ac:dyDescent="0.25">
      <c r="A919">
        <v>910</v>
      </c>
      <c r="L919">
        <f t="shared" si="39"/>
        <v>0</v>
      </c>
      <c r="M919">
        <f t="shared" si="40"/>
        <v>0</v>
      </c>
    </row>
    <row r="920" spans="1:13" x14ac:dyDescent="0.25">
      <c r="A920">
        <v>911</v>
      </c>
      <c r="L920">
        <f t="shared" si="39"/>
        <v>0</v>
      </c>
      <c r="M920">
        <f t="shared" si="40"/>
        <v>0</v>
      </c>
    </row>
    <row r="921" spans="1:13" x14ac:dyDescent="0.25">
      <c r="A921">
        <v>912</v>
      </c>
      <c r="L921">
        <f t="shared" si="39"/>
        <v>0</v>
      </c>
      <c r="M921">
        <f t="shared" si="40"/>
        <v>0</v>
      </c>
    </row>
    <row r="922" spans="1:13" x14ac:dyDescent="0.25">
      <c r="A922">
        <v>913</v>
      </c>
      <c r="L922">
        <f t="shared" si="39"/>
        <v>0</v>
      </c>
      <c r="M922">
        <f t="shared" si="40"/>
        <v>0</v>
      </c>
    </row>
    <row r="923" spans="1:13" x14ac:dyDescent="0.25">
      <c r="A923">
        <v>914</v>
      </c>
      <c r="L923">
        <f t="shared" si="39"/>
        <v>0</v>
      </c>
      <c r="M923">
        <f t="shared" si="40"/>
        <v>0</v>
      </c>
    </row>
    <row r="924" spans="1:13" x14ac:dyDescent="0.25">
      <c r="A924">
        <v>915</v>
      </c>
      <c r="L924">
        <f t="shared" si="39"/>
        <v>0</v>
      </c>
      <c r="M924">
        <f t="shared" si="40"/>
        <v>0</v>
      </c>
    </row>
    <row r="925" spans="1:13" x14ac:dyDescent="0.25">
      <c r="A925">
        <v>916</v>
      </c>
      <c r="L925">
        <f t="shared" si="39"/>
        <v>0</v>
      </c>
      <c r="M925">
        <f t="shared" si="40"/>
        <v>0</v>
      </c>
    </row>
    <row r="926" spans="1:13" x14ac:dyDescent="0.25">
      <c r="A926">
        <v>917</v>
      </c>
      <c r="L926">
        <f t="shared" si="39"/>
        <v>0</v>
      </c>
      <c r="M926">
        <f t="shared" si="40"/>
        <v>0</v>
      </c>
    </row>
    <row r="927" spans="1:13" x14ac:dyDescent="0.25">
      <c r="A927">
        <v>918</v>
      </c>
      <c r="L927">
        <f t="shared" si="39"/>
        <v>0</v>
      </c>
      <c r="M927">
        <f t="shared" si="40"/>
        <v>0</v>
      </c>
    </row>
    <row r="928" spans="1:13" x14ac:dyDescent="0.25">
      <c r="A928">
        <v>919</v>
      </c>
      <c r="L928">
        <f t="shared" si="39"/>
        <v>0</v>
      </c>
      <c r="M928">
        <f t="shared" si="40"/>
        <v>0</v>
      </c>
    </row>
    <row r="929" spans="1:13" x14ac:dyDescent="0.25">
      <c r="A929">
        <v>920</v>
      </c>
      <c r="L929">
        <f t="shared" si="39"/>
        <v>0</v>
      </c>
      <c r="M929">
        <f t="shared" si="40"/>
        <v>0</v>
      </c>
    </row>
    <row r="930" spans="1:13" x14ac:dyDescent="0.25">
      <c r="A930">
        <v>921</v>
      </c>
      <c r="L930">
        <f t="shared" si="39"/>
        <v>0</v>
      </c>
      <c r="M930">
        <f t="shared" si="40"/>
        <v>0</v>
      </c>
    </row>
    <row r="931" spans="1:13" x14ac:dyDescent="0.25">
      <c r="A931">
        <v>922</v>
      </c>
      <c r="L931">
        <f t="shared" si="39"/>
        <v>0</v>
      </c>
      <c r="M931">
        <f t="shared" si="40"/>
        <v>0</v>
      </c>
    </row>
    <row r="932" spans="1:13" x14ac:dyDescent="0.25">
      <c r="A932">
        <v>923</v>
      </c>
      <c r="L932">
        <f t="shared" si="39"/>
        <v>0</v>
      </c>
      <c r="M932">
        <f t="shared" si="40"/>
        <v>0</v>
      </c>
    </row>
    <row r="933" spans="1:13" x14ac:dyDescent="0.25">
      <c r="A933">
        <v>924</v>
      </c>
      <c r="L933">
        <f t="shared" si="39"/>
        <v>0</v>
      </c>
      <c r="M933">
        <f t="shared" si="40"/>
        <v>0</v>
      </c>
    </row>
    <row r="934" spans="1:13" x14ac:dyDescent="0.25">
      <c r="A934">
        <v>925</v>
      </c>
      <c r="L934">
        <f t="shared" si="39"/>
        <v>0</v>
      </c>
      <c r="M934">
        <f t="shared" si="40"/>
        <v>0</v>
      </c>
    </row>
    <row r="935" spans="1:13" x14ac:dyDescent="0.25">
      <c r="A935">
        <v>926</v>
      </c>
      <c r="L935">
        <f t="shared" si="39"/>
        <v>0</v>
      </c>
      <c r="M935">
        <f t="shared" si="40"/>
        <v>0</v>
      </c>
    </row>
    <row r="936" spans="1:13" x14ac:dyDescent="0.25">
      <c r="A936">
        <v>927</v>
      </c>
      <c r="L936">
        <f t="shared" si="39"/>
        <v>0</v>
      </c>
      <c r="M936">
        <f t="shared" si="40"/>
        <v>0</v>
      </c>
    </row>
    <row r="937" spans="1:13" x14ac:dyDescent="0.25">
      <c r="A937">
        <v>928</v>
      </c>
      <c r="L937">
        <f t="shared" si="39"/>
        <v>0</v>
      </c>
      <c r="M937">
        <f t="shared" si="40"/>
        <v>0</v>
      </c>
    </row>
    <row r="938" spans="1:13" x14ac:dyDescent="0.25">
      <c r="A938">
        <v>929</v>
      </c>
      <c r="L938">
        <f t="shared" si="39"/>
        <v>0</v>
      </c>
      <c r="M938">
        <f t="shared" si="40"/>
        <v>0</v>
      </c>
    </row>
    <row r="939" spans="1:13" x14ac:dyDescent="0.25">
      <c r="A939">
        <v>930</v>
      </c>
      <c r="L939">
        <f t="shared" si="39"/>
        <v>0</v>
      </c>
      <c r="M939">
        <f t="shared" si="40"/>
        <v>0</v>
      </c>
    </row>
    <row r="940" spans="1:13" x14ac:dyDescent="0.25">
      <c r="A940">
        <v>931</v>
      </c>
      <c r="L940">
        <f t="shared" si="39"/>
        <v>0</v>
      </c>
      <c r="M940">
        <f t="shared" si="40"/>
        <v>0</v>
      </c>
    </row>
    <row r="941" spans="1:13" x14ac:dyDescent="0.25">
      <c r="A941">
        <v>932</v>
      </c>
      <c r="L941">
        <f t="shared" si="39"/>
        <v>0</v>
      </c>
      <c r="M941">
        <f t="shared" si="40"/>
        <v>0</v>
      </c>
    </row>
    <row r="942" spans="1:13" x14ac:dyDescent="0.25">
      <c r="A942">
        <v>933</v>
      </c>
      <c r="L942">
        <f t="shared" ref="L942:L1005" si="41">+I942+H942</f>
        <v>0</v>
      </c>
      <c r="M942">
        <f t="shared" si="40"/>
        <v>0</v>
      </c>
    </row>
    <row r="943" spans="1:13" x14ac:dyDescent="0.25">
      <c r="A943">
        <v>934</v>
      </c>
      <c r="L943">
        <f t="shared" si="41"/>
        <v>0</v>
      </c>
      <c r="M943">
        <f t="shared" si="40"/>
        <v>0</v>
      </c>
    </row>
    <row r="944" spans="1:13" x14ac:dyDescent="0.25">
      <c r="A944">
        <v>935</v>
      </c>
      <c r="L944">
        <f t="shared" si="41"/>
        <v>0</v>
      </c>
      <c r="M944">
        <f t="shared" si="40"/>
        <v>0</v>
      </c>
    </row>
    <row r="945" spans="1:13" x14ac:dyDescent="0.25">
      <c r="A945">
        <v>936</v>
      </c>
      <c r="L945">
        <f t="shared" si="41"/>
        <v>0</v>
      </c>
      <c r="M945">
        <f t="shared" si="40"/>
        <v>0</v>
      </c>
    </row>
    <row r="946" spans="1:13" x14ac:dyDescent="0.25">
      <c r="A946">
        <v>937</v>
      </c>
      <c r="L946">
        <f t="shared" si="41"/>
        <v>0</v>
      </c>
      <c r="M946">
        <f t="shared" si="40"/>
        <v>0</v>
      </c>
    </row>
    <row r="947" spans="1:13" x14ac:dyDescent="0.25">
      <c r="A947">
        <v>938</v>
      </c>
      <c r="L947">
        <f t="shared" si="41"/>
        <v>0</v>
      </c>
      <c r="M947">
        <f t="shared" si="40"/>
        <v>0</v>
      </c>
    </row>
    <row r="948" spans="1:13" x14ac:dyDescent="0.25">
      <c r="A948">
        <v>939</v>
      </c>
      <c r="L948">
        <f t="shared" si="41"/>
        <v>0</v>
      </c>
      <c r="M948">
        <f t="shared" si="40"/>
        <v>0</v>
      </c>
    </row>
    <row r="949" spans="1:13" x14ac:dyDescent="0.25">
      <c r="A949">
        <v>940</v>
      </c>
      <c r="L949">
        <f t="shared" si="41"/>
        <v>0</v>
      </c>
      <c r="M949">
        <f t="shared" si="40"/>
        <v>0</v>
      </c>
    </row>
    <row r="950" spans="1:13" x14ac:dyDescent="0.25">
      <c r="A950">
        <v>941</v>
      </c>
      <c r="L950">
        <f t="shared" si="41"/>
        <v>0</v>
      </c>
      <c r="M950">
        <f t="shared" si="40"/>
        <v>0</v>
      </c>
    </row>
    <row r="951" spans="1:13" x14ac:dyDescent="0.25">
      <c r="A951">
        <v>942</v>
      </c>
      <c r="L951">
        <f t="shared" si="41"/>
        <v>0</v>
      </c>
      <c r="M951">
        <f t="shared" si="40"/>
        <v>0</v>
      </c>
    </row>
    <row r="952" spans="1:13" x14ac:dyDescent="0.25">
      <c r="A952">
        <v>943</v>
      </c>
      <c r="L952">
        <f t="shared" si="41"/>
        <v>0</v>
      </c>
      <c r="M952">
        <f t="shared" si="40"/>
        <v>0</v>
      </c>
    </row>
    <row r="953" spans="1:13" x14ac:dyDescent="0.25">
      <c r="A953">
        <v>944</v>
      </c>
      <c r="L953">
        <f t="shared" si="41"/>
        <v>0</v>
      </c>
      <c r="M953">
        <f t="shared" si="40"/>
        <v>0</v>
      </c>
    </row>
    <row r="954" spans="1:13" x14ac:dyDescent="0.25">
      <c r="A954">
        <v>945</v>
      </c>
      <c r="L954">
        <f t="shared" si="41"/>
        <v>0</v>
      </c>
      <c r="M954">
        <f t="shared" si="40"/>
        <v>0</v>
      </c>
    </row>
    <row r="955" spans="1:13" x14ac:dyDescent="0.25">
      <c r="A955">
        <v>946</v>
      </c>
      <c r="L955">
        <f t="shared" si="41"/>
        <v>0</v>
      </c>
      <c r="M955">
        <f t="shared" si="40"/>
        <v>0</v>
      </c>
    </row>
    <row r="956" spans="1:13" x14ac:dyDescent="0.25">
      <c r="A956">
        <v>947</v>
      </c>
      <c r="L956">
        <f t="shared" si="41"/>
        <v>0</v>
      </c>
      <c r="M956">
        <f t="shared" si="40"/>
        <v>0</v>
      </c>
    </row>
    <row r="957" spans="1:13" x14ac:dyDescent="0.25">
      <c r="A957">
        <v>948</v>
      </c>
      <c r="L957">
        <f t="shared" si="41"/>
        <v>0</v>
      </c>
      <c r="M957">
        <f t="shared" si="40"/>
        <v>0</v>
      </c>
    </row>
    <row r="958" spans="1:13" x14ac:dyDescent="0.25">
      <c r="A958">
        <v>949</v>
      </c>
      <c r="L958">
        <f t="shared" si="41"/>
        <v>0</v>
      </c>
      <c r="M958">
        <f t="shared" si="40"/>
        <v>0</v>
      </c>
    </row>
    <row r="959" spans="1:13" x14ac:dyDescent="0.25">
      <c r="A959">
        <v>950</v>
      </c>
      <c r="L959">
        <f t="shared" si="41"/>
        <v>0</v>
      </c>
      <c r="M959">
        <f t="shared" ref="M959:M1022" si="42">+I959/IF(H959 = 0,1,H959)</f>
        <v>0</v>
      </c>
    </row>
    <row r="960" spans="1:13" x14ac:dyDescent="0.25">
      <c r="A960">
        <v>951</v>
      </c>
      <c r="L960">
        <f t="shared" si="41"/>
        <v>0</v>
      </c>
      <c r="M960">
        <f t="shared" si="42"/>
        <v>0</v>
      </c>
    </row>
    <row r="961" spans="1:13" x14ac:dyDescent="0.25">
      <c r="A961">
        <v>952</v>
      </c>
      <c r="L961">
        <f t="shared" si="41"/>
        <v>0</v>
      </c>
      <c r="M961">
        <f t="shared" si="42"/>
        <v>0</v>
      </c>
    </row>
    <row r="962" spans="1:13" x14ac:dyDescent="0.25">
      <c r="A962">
        <v>953</v>
      </c>
      <c r="L962">
        <f t="shared" si="41"/>
        <v>0</v>
      </c>
      <c r="M962">
        <f t="shared" si="42"/>
        <v>0</v>
      </c>
    </row>
    <row r="963" spans="1:13" x14ac:dyDescent="0.25">
      <c r="A963">
        <v>954</v>
      </c>
      <c r="L963">
        <f t="shared" si="41"/>
        <v>0</v>
      </c>
      <c r="M963">
        <f t="shared" si="42"/>
        <v>0</v>
      </c>
    </row>
    <row r="964" spans="1:13" x14ac:dyDescent="0.25">
      <c r="A964">
        <v>955</v>
      </c>
      <c r="L964">
        <f t="shared" si="41"/>
        <v>0</v>
      </c>
      <c r="M964">
        <f t="shared" si="42"/>
        <v>0</v>
      </c>
    </row>
    <row r="965" spans="1:13" x14ac:dyDescent="0.25">
      <c r="A965">
        <v>956</v>
      </c>
      <c r="L965">
        <f t="shared" si="41"/>
        <v>0</v>
      </c>
      <c r="M965">
        <f t="shared" si="42"/>
        <v>0</v>
      </c>
    </row>
    <row r="966" spans="1:13" x14ac:dyDescent="0.25">
      <c r="A966">
        <v>957</v>
      </c>
      <c r="L966">
        <f t="shared" si="41"/>
        <v>0</v>
      </c>
      <c r="M966">
        <f t="shared" si="42"/>
        <v>0</v>
      </c>
    </row>
    <row r="967" spans="1:13" x14ac:dyDescent="0.25">
      <c r="A967">
        <v>958</v>
      </c>
      <c r="L967">
        <f t="shared" si="41"/>
        <v>0</v>
      </c>
      <c r="M967">
        <f t="shared" si="42"/>
        <v>0</v>
      </c>
    </row>
    <row r="968" spans="1:13" x14ac:dyDescent="0.25">
      <c r="A968">
        <v>959</v>
      </c>
      <c r="L968">
        <f t="shared" si="41"/>
        <v>0</v>
      </c>
      <c r="M968">
        <f t="shared" si="42"/>
        <v>0</v>
      </c>
    </row>
    <row r="969" spans="1:13" x14ac:dyDescent="0.25">
      <c r="A969">
        <v>960</v>
      </c>
      <c r="L969">
        <f t="shared" si="41"/>
        <v>0</v>
      </c>
      <c r="M969">
        <f t="shared" si="42"/>
        <v>0</v>
      </c>
    </row>
    <row r="970" spans="1:13" x14ac:dyDescent="0.25">
      <c r="A970">
        <v>961</v>
      </c>
      <c r="L970">
        <f t="shared" si="41"/>
        <v>0</v>
      </c>
      <c r="M970">
        <f t="shared" si="42"/>
        <v>0</v>
      </c>
    </row>
    <row r="971" spans="1:13" x14ac:dyDescent="0.25">
      <c r="A971">
        <v>962</v>
      </c>
      <c r="L971">
        <f t="shared" si="41"/>
        <v>0</v>
      </c>
      <c r="M971">
        <f t="shared" si="42"/>
        <v>0</v>
      </c>
    </row>
    <row r="972" spans="1:13" x14ac:dyDescent="0.25">
      <c r="A972">
        <v>963</v>
      </c>
      <c r="L972">
        <f t="shared" si="41"/>
        <v>0</v>
      </c>
      <c r="M972">
        <f t="shared" si="42"/>
        <v>0</v>
      </c>
    </row>
    <row r="973" spans="1:13" x14ac:dyDescent="0.25">
      <c r="A973">
        <v>964</v>
      </c>
      <c r="L973">
        <f t="shared" si="41"/>
        <v>0</v>
      </c>
      <c r="M973">
        <f t="shared" si="42"/>
        <v>0</v>
      </c>
    </row>
    <row r="974" spans="1:13" x14ac:dyDescent="0.25">
      <c r="A974">
        <v>965</v>
      </c>
      <c r="L974">
        <f t="shared" si="41"/>
        <v>0</v>
      </c>
      <c r="M974">
        <f t="shared" si="42"/>
        <v>0</v>
      </c>
    </row>
    <row r="975" spans="1:13" x14ac:dyDescent="0.25">
      <c r="A975">
        <v>966</v>
      </c>
      <c r="L975">
        <f t="shared" si="41"/>
        <v>0</v>
      </c>
      <c r="M975">
        <f t="shared" si="42"/>
        <v>0</v>
      </c>
    </row>
    <row r="976" spans="1:13" x14ac:dyDescent="0.25">
      <c r="A976">
        <v>967</v>
      </c>
      <c r="L976">
        <f t="shared" si="41"/>
        <v>0</v>
      </c>
      <c r="M976">
        <f t="shared" si="42"/>
        <v>0</v>
      </c>
    </row>
    <row r="977" spans="1:13" x14ac:dyDescent="0.25">
      <c r="A977">
        <v>968</v>
      </c>
      <c r="L977">
        <f t="shared" si="41"/>
        <v>0</v>
      </c>
      <c r="M977">
        <f t="shared" si="42"/>
        <v>0</v>
      </c>
    </row>
    <row r="978" spans="1:13" x14ac:dyDescent="0.25">
      <c r="A978">
        <v>969</v>
      </c>
      <c r="L978">
        <f t="shared" si="41"/>
        <v>0</v>
      </c>
      <c r="M978">
        <f t="shared" si="42"/>
        <v>0</v>
      </c>
    </row>
    <row r="979" spans="1:13" x14ac:dyDescent="0.25">
      <c r="A979">
        <v>970</v>
      </c>
      <c r="L979">
        <f t="shared" si="41"/>
        <v>0</v>
      </c>
      <c r="M979">
        <f t="shared" si="42"/>
        <v>0</v>
      </c>
    </row>
    <row r="980" spans="1:13" x14ac:dyDescent="0.25">
      <c r="A980">
        <v>971</v>
      </c>
      <c r="L980">
        <f t="shared" si="41"/>
        <v>0</v>
      </c>
      <c r="M980">
        <f t="shared" si="42"/>
        <v>0</v>
      </c>
    </row>
    <row r="981" spans="1:13" x14ac:dyDescent="0.25">
      <c r="A981">
        <v>972</v>
      </c>
      <c r="L981">
        <f t="shared" si="41"/>
        <v>0</v>
      </c>
      <c r="M981">
        <f t="shared" si="42"/>
        <v>0</v>
      </c>
    </row>
    <row r="982" spans="1:13" x14ac:dyDescent="0.25">
      <c r="A982">
        <v>973</v>
      </c>
      <c r="L982">
        <f t="shared" si="41"/>
        <v>0</v>
      </c>
      <c r="M982">
        <f t="shared" si="42"/>
        <v>0</v>
      </c>
    </row>
    <row r="983" spans="1:13" x14ac:dyDescent="0.25">
      <c r="A983">
        <v>974</v>
      </c>
      <c r="L983">
        <f t="shared" si="41"/>
        <v>0</v>
      </c>
      <c r="M983">
        <f t="shared" si="42"/>
        <v>0</v>
      </c>
    </row>
    <row r="984" spans="1:13" x14ac:dyDescent="0.25">
      <c r="A984">
        <v>975</v>
      </c>
      <c r="L984">
        <f t="shared" si="41"/>
        <v>0</v>
      </c>
      <c r="M984">
        <f t="shared" si="42"/>
        <v>0</v>
      </c>
    </row>
    <row r="985" spans="1:13" x14ac:dyDescent="0.25">
      <c r="A985">
        <v>976</v>
      </c>
      <c r="L985">
        <f t="shared" si="41"/>
        <v>0</v>
      </c>
      <c r="M985">
        <f t="shared" si="42"/>
        <v>0</v>
      </c>
    </row>
    <row r="986" spans="1:13" x14ac:dyDescent="0.25">
      <c r="A986">
        <v>977</v>
      </c>
      <c r="L986">
        <f t="shared" si="41"/>
        <v>0</v>
      </c>
      <c r="M986">
        <f t="shared" si="42"/>
        <v>0</v>
      </c>
    </row>
    <row r="987" spans="1:13" x14ac:dyDescent="0.25">
      <c r="A987">
        <v>978</v>
      </c>
      <c r="L987">
        <f t="shared" si="41"/>
        <v>0</v>
      </c>
      <c r="M987">
        <f t="shared" si="42"/>
        <v>0</v>
      </c>
    </row>
    <row r="988" spans="1:13" x14ac:dyDescent="0.25">
      <c r="A988">
        <v>979</v>
      </c>
      <c r="L988">
        <f t="shared" si="41"/>
        <v>0</v>
      </c>
      <c r="M988">
        <f t="shared" si="42"/>
        <v>0</v>
      </c>
    </row>
    <row r="989" spans="1:13" x14ac:dyDescent="0.25">
      <c r="A989">
        <v>980</v>
      </c>
      <c r="L989">
        <f t="shared" si="41"/>
        <v>0</v>
      </c>
      <c r="M989">
        <f t="shared" si="42"/>
        <v>0</v>
      </c>
    </row>
    <row r="990" spans="1:13" x14ac:dyDescent="0.25">
      <c r="A990">
        <v>981</v>
      </c>
      <c r="L990">
        <f t="shared" si="41"/>
        <v>0</v>
      </c>
      <c r="M990">
        <f t="shared" si="42"/>
        <v>0</v>
      </c>
    </row>
    <row r="991" spans="1:13" x14ac:dyDescent="0.25">
      <c r="A991">
        <v>982</v>
      </c>
      <c r="L991">
        <f t="shared" si="41"/>
        <v>0</v>
      </c>
      <c r="M991">
        <f t="shared" si="42"/>
        <v>0</v>
      </c>
    </row>
    <row r="992" spans="1:13" x14ac:dyDescent="0.25">
      <c r="A992">
        <v>983</v>
      </c>
      <c r="L992">
        <f t="shared" si="41"/>
        <v>0</v>
      </c>
      <c r="M992">
        <f t="shared" si="42"/>
        <v>0</v>
      </c>
    </row>
    <row r="993" spans="1:13" x14ac:dyDescent="0.25">
      <c r="A993">
        <v>984</v>
      </c>
      <c r="L993">
        <f t="shared" si="41"/>
        <v>0</v>
      </c>
      <c r="M993">
        <f t="shared" si="42"/>
        <v>0</v>
      </c>
    </row>
    <row r="994" spans="1:13" x14ac:dyDescent="0.25">
      <c r="A994">
        <v>985</v>
      </c>
      <c r="L994">
        <f t="shared" si="41"/>
        <v>0</v>
      </c>
      <c r="M994">
        <f t="shared" si="42"/>
        <v>0</v>
      </c>
    </row>
    <row r="995" spans="1:13" x14ac:dyDescent="0.25">
      <c r="A995">
        <v>986</v>
      </c>
      <c r="L995">
        <f t="shared" si="41"/>
        <v>0</v>
      </c>
      <c r="M995">
        <f t="shared" si="42"/>
        <v>0</v>
      </c>
    </row>
    <row r="996" spans="1:13" x14ac:dyDescent="0.25">
      <c r="A996">
        <v>987</v>
      </c>
      <c r="L996">
        <f t="shared" si="41"/>
        <v>0</v>
      </c>
      <c r="M996">
        <f t="shared" si="42"/>
        <v>0</v>
      </c>
    </row>
    <row r="997" spans="1:13" x14ac:dyDescent="0.25">
      <c r="A997">
        <v>988</v>
      </c>
      <c r="L997">
        <f t="shared" si="41"/>
        <v>0</v>
      </c>
      <c r="M997">
        <f t="shared" si="42"/>
        <v>0</v>
      </c>
    </row>
    <row r="998" spans="1:13" x14ac:dyDescent="0.25">
      <c r="A998">
        <v>989</v>
      </c>
      <c r="L998">
        <f t="shared" si="41"/>
        <v>0</v>
      </c>
      <c r="M998">
        <f t="shared" si="42"/>
        <v>0</v>
      </c>
    </row>
    <row r="999" spans="1:13" x14ac:dyDescent="0.25">
      <c r="A999">
        <v>990</v>
      </c>
      <c r="L999">
        <f t="shared" si="41"/>
        <v>0</v>
      </c>
      <c r="M999">
        <f t="shared" si="42"/>
        <v>0</v>
      </c>
    </row>
    <row r="1000" spans="1:13" x14ac:dyDescent="0.25">
      <c r="A1000">
        <v>991</v>
      </c>
      <c r="L1000">
        <f t="shared" si="41"/>
        <v>0</v>
      </c>
      <c r="M1000">
        <f t="shared" si="42"/>
        <v>0</v>
      </c>
    </row>
    <row r="1001" spans="1:13" x14ac:dyDescent="0.25">
      <c r="A1001">
        <v>992</v>
      </c>
      <c r="L1001">
        <f t="shared" si="41"/>
        <v>0</v>
      </c>
      <c r="M1001">
        <f t="shared" si="42"/>
        <v>0</v>
      </c>
    </row>
    <row r="1002" spans="1:13" x14ac:dyDescent="0.25">
      <c r="A1002">
        <v>993</v>
      </c>
      <c r="L1002">
        <f t="shared" si="41"/>
        <v>0</v>
      </c>
      <c r="M1002">
        <f t="shared" si="42"/>
        <v>0</v>
      </c>
    </row>
    <row r="1003" spans="1:13" x14ac:dyDescent="0.25">
      <c r="A1003">
        <v>994</v>
      </c>
      <c r="L1003">
        <f t="shared" si="41"/>
        <v>0</v>
      </c>
      <c r="M1003">
        <f t="shared" si="42"/>
        <v>0</v>
      </c>
    </row>
    <row r="1004" spans="1:13" x14ac:dyDescent="0.25">
      <c r="A1004">
        <v>995</v>
      </c>
      <c r="L1004">
        <f t="shared" si="41"/>
        <v>0</v>
      </c>
      <c r="M1004">
        <f t="shared" si="42"/>
        <v>0</v>
      </c>
    </row>
    <row r="1005" spans="1:13" x14ac:dyDescent="0.25">
      <c r="A1005">
        <v>996</v>
      </c>
      <c r="L1005">
        <f t="shared" si="41"/>
        <v>0</v>
      </c>
      <c r="M1005">
        <f t="shared" si="42"/>
        <v>0</v>
      </c>
    </row>
    <row r="1006" spans="1:13" x14ac:dyDescent="0.25">
      <c r="A1006">
        <v>997</v>
      </c>
      <c r="L1006">
        <f t="shared" ref="L1006:L1069" si="43">+I1006+H1006</f>
        <v>0</v>
      </c>
      <c r="M1006">
        <f t="shared" si="42"/>
        <v>0</v>
      </c>
    </row>
    <row r="1007" spans="1:13" x14ac:dyDescent="0.25">
      <c r="A1007">
        <v>998</v>
      </c>
      <c r="L1007">
        <f t="shared" si="43"/>
        <v>0</v>
      </c>
      <c r="M1007">
        <f t="shared" si="42"/>
        <v>0</v>
      </c>
    </row>
    <row r="1008" spans="1:13" x14ac:dyDescent="0.25">
      <c r="A1008">
        <v>999</v>
      </c>
      <c r="L1008">
        <f t="shared" si="43"/>
        <v>0</v>
      </c>
      <c r="M1008">
        <f t="shared" si="42"/>
        <v>0</v>
      </c>
    </row>
    <row r="1009" spans="1:13" x14ac:dyDescent="0.25">
      <c r="A1009">
        <v>1000</v>
      </c>
      <c r="L1009">
        <f t="shared" si="43"/>
        <v>0</v>
      </c>
      <c r="M1009">
        <f t="shared" si="42"/>
        <v>0</v>
      </c>
    </row>
    <row r="1010" spans="1:13" x14ac:dyDescent="0.25">
      <c r="A1010">
        <v>1001</v>
      </c>
      <c r="L1010">
        <f t="shared" si="43"/>
        <v>0</v>
      </c>
      <c r="M1010">
        <f t="shared" si="42"/>
        <v>0</v>
      </c>
    </row>
    <row r="1011" spans="1:13" x14ac:dyDescent="0.25">
      <c r="A1011">
        <v>1002</v>
      </c>
      <c r="L1011">
        <f t="shared" si="43"/>
        <v>0</v>
      </c>
      <c r="M1011">
        <f t="shared" si="42"/>
        <v>0</v>
      </c>
    </row>
    <row r="1012" spans="1:13" x14ac:dyDescent="0.25">
      <c r="A1012">
        <v>1003</v>
      </c>
      <c r="L1012">
        <f t="shared" si="43"/>
        <v>0</v>
      </c>
      <c r="M1012">
        <f t="shared" si="42"/>
        <v>0</v>
      </c>
    </row>
    <row r="1013" spans="1:13" x14ac:dyDescent="0.25">
      <c r="A1013">
        <v>1004</v>
      </c>
      <c r="L1013">
        <f t="shared" si="43"/>
        <v>0</v>
      </c>
      <c r="M1013">
        <f t="shared" si="42"/>
        <v>0</v>
      </c>
    </row>
    <row r="1014" spans="1:13" x14ac:dyDescent="0.25">
      <c r="A1014">
        <v>1005</v>
      </c>
      <c r="L1014">
        <f t="shared" si="43"/>
        <v>0</v>
      </c>
      <c r="M1014">
        <f t="shared" si="42"/>
        <v>0</v>
      </c>
    </row>
    <row r="1015" spans="1:13" x14ac:dyDescent="0.25">
      <c r="A1015">
        <v>1006</v>
      </c>
      <c r="L1015">
        <f t="shared" si="43"/>
        <v>0</v>
      </c>
      <c r="M1015">
        <f t="shared" si="42"/>
        <v>0</v>
      </c>
    </row>
    <row r="1016" spans="1:13" x14ac:dyDescent="0.25">
      <c r="A1016">
        <v>1007</v>
      </c>
      <c r="L1016">
        <f t="shared" si="43"/>
        <v>0</v>
      </c>
      <c r="M1016">
        <f t="shared" si="42"/>
        <v>0</v>
      </c>
    </row>
    <row r="1017" spans="1:13" x14ac:dyDescent="0.25">
      <c r="A1017">
        <v>1008</v>
      </c>
      <c r="L1017">
        <f t="shared" si="43"/>
        <v>0</v>
      </c>
      <c r="M1017">
        <f t="shared" si="42"/>
        <v>0</v>
      </c>
    </row>
    <row r="1018" spans="1:13" x14ac:dyDescent="0.25">
      <c r="A1018">
        <v>1009</v>
      </c>
      <c r="L1018">
        <f t="shared" si="43"/>
        <v>0</v>
      </c>
      <c r="M1018">
        <f t="shared" si="42"/>
        <v>0</v>
      </c>
    </row>
    <row r="1019" spans="1:13" x14ac:dyDescent="0.25">
      <c r="A1019">
        <v>1010</v>
      </c>
      <c r="L1019">
        <f t="shared" si="43"/>
        <v>0</v>
      </c>
      <c r="M1019">
        <f t="shared" si="42"/>
        <v>0</v>
      </c>
    </row>
    <row r="1020" spans="1:13" x14ac:dyDescent="0.25">
      <c r="A1020">
        <v>1011</v>
      </c>
      <c r="L1020">
        <f t="shared" si="43"/>
        <v>0</v>
      </c>
      <c r="M1020">
        <f t="shared" si="42"/>
        <v>0</v>
      </c>
    </row>
    <row r="1021" spans="1:13" x14ac:dyDescent="0.25">
      <c r="A1021">
        <v>1012</v>
      </c>
      <c r="L1021">
        <f t="shared" si="43"/>
        <v>0</v>
      </c>
      <c r="M1021">
        <f t="shared" si="42"/>
        <v>0</v>
      </c>
    </row>
    <row r="1022" spans="1:13" x14ac:dyDescent="0.25">
      <c r="A1022">
        <v>1013</v>
      </c>
      <c r="L1022">
        <f t="shared" si="43"/>
        <v>0</v>
      </c>
      <c r="M1022">
        <f t="shared" si="42"/>
        <v>0</v>
      </c>
    </row>
    <row r="1023" spans="1:13" x14ac:dyDescent="0.25">
      <c r="A1023">
        <v>1014</v>
      </c>
      <c r="L1023">
        <f t="shared" si="43"/>
        <v>0</v>
      </c>
      <c r="M1023">
        <f t="shared" ref="M1023:M1086" si="44">+I1023/IF(H1023 = 0,1,H1023)</f>
        <v>0</v>
      </c>
    </row>
    <row r="1024" spans="1:13" x14ac:dyDescent="0.25">
      <c r="A1024">
        <v>1015</v>
      </c>
      <c r="L1024">
        <f t="shared" si="43"/>
        <v>0</v>
      </c>
      <c r="M1024">
        <f t="shared" si="44"/>
        <v>0</v>
      </c>
    </row>
    <row r="1025" spans="1:13" x14ac:dyDescent="0.25">
      <c r="A1025">
        <v>1016</v>
      </c>
      <c r="L1025">
        <f t="shared" si="43"/>
        <v>0</v>
      </c>
      <c r="M1025">
        <f t="shared" si="44"/>
        <v>0</v>
      </c>
    </row>
    <row r="1026" spans="1:13" x14ac:dyDescent="0.25">
      <c r="A1026">
        <v>1017</v>
      </c>
      <c r="L1026">
        <f t="shared" si="43"/>
        <v>0</v>
      </c>
      <c r="M1026">
        <f t="shared" si="44"/>
        <v>0</v>
      </c>
    </row>
    <row r="1027" spans="1:13" x14ac:dyDescent="0.25">
      <c r="A1027">
        <v>1018</v>
      </c>
      <c r="L1027">
        <f t="shared" si="43"/>
        <v>0</v>
      </c>
      <c r="M1027">
        <f t="shared" si="44"/>
        <v>0</v>
      </c>
    </row>
    <row r="1028" spans="1:13" x14ac:dyDescent="0.25">
      <c r="A1028">
        <v>1019</v>
      </c>
      <c r="L1028">
        <f t="shared" si="43"/>
        <v>0</v>
      </c>
      <c r="M1028">
        <f t="shared" si="44"/>
        <v>0</v>
      </c>
    </row>
    <row r="1029" spans="1:13" x14ac:dyDescent="0.25">
      <c r="A1029">
        <v>1020</v>
      </c>
      <c r="L1029">
        <f t="shared" si="43"/>
        <v>0</v>
      </c>
      <c r="M1029">
        <f t="shared" si="44"/>
        <v>0</v>
      </c>
    </row>
    <row r="1030" spans="1:13" x14ac:dyDescent="0.25">
      <c r="A1030">
        <v>1021</v>
      </c>
      <c r="L1030">
        <f t="shared" si="43"/>
        <v>0</v>
      </c>
      <c r="M1030">
        <f t="shared" si="44"/>
        <v>0</v>
      </c>
    </row>
    <row r="1031" spans="1:13" x14ac:dyDescent="0.25">
      <c r="A1031">
        <v>1022</v>
      </c>
      <c r="L1031">
        <f t="shared" si="43"/>
        <v>0</v>
      </c>
      <c r="M1031">
        <f t="shared" si="44"/>
        <v>0</v>
      </c>
    </row>
    <row r="1032" spans="1:13" x14ac:dyDescent="0.25">
      <c r="A1032">
        <v>1023</v>
      </c>
      <c r="L1032">
        <f t="shared" si="43"/>
        <v>0</v>
      </c>
      <c r="M1032">
        <f t="shared" si="44"/>
        <v>0</v>
      </c>
    </row>
    <row r="1033" spans="1:13" x14ac:dyDescent="0.25">
      <c r="A1033">
        <v>1024</v>
      </c>
      <c r="L1033">
        <f t="shared" si="43"/>
        <v>0</v>
      </c>
      <c r="M1033">
        <f t="shared" si="44"/>
        <v>0</v>
      </c>
    </row>
    <row r="1034" spans="1:13" x14ac:dyDescent="0.25">
      <c r="A1034">
        <v>1025</v>
      </c>
      <c r="L1034">
        <f t="shared" si="43"/>
        <v>0</v>
      </c>
      <c r="M1034">
        <f t="shared" si="44"/>
        <v>0</v>
      </c>
    </row>
    <row r="1035" spans="1:13" x14ac:dyDescent="0.25">
      <c r="A1035">
        <v>1026</v>
      </c>
      <c r="L1035">
        <f t="shared" si="43"/>
        <v>0</v>
      </c>
      <c r="M1035">
        <f t="shared" si="44"/>
        <v>0</v>
      </c>
    </row>
    <row r="1036" spans="1:13" x14ac:dyDescent="0.25">
      <c r="A1036">
        <v>1027</v>
      </c>
      <c r="L1036">
        <f t="shared" si="43"/>
        <v>0</v>
      </c>
      <c r="M1036">
        <f t="shared" si="44"/>
        <v>0</v>
      </c>
    </row>
    <row r="1037" spans="1:13" x14ac:dyDescent="0.25">
      <c r="A1037">
        <v>1028</v>
      </c>
      <c r="L1037">
        <f t="shared" si="43"/>
        <v>0</v>
      </c>
      <c r="M1037">
        <f t="shared" si="44"/>
        <v>0</v>
      </c>
    </row>
    <row r="1038" spans="1:13" x14ac:dyDescent="0.25">
      <c r="A1038">
        <v>1029</v>
      </c>
      <c r="L1038">
        <f t="shared" si="43"/>
        <v>0</v>
      </c>
      <c r="M1038">
        <f t="shared" si="44"/>
        <v>0</v>
      </c>
    </row>
    <row r="1039" spans="1:13" x14ac:dyDescent="0.25">
      <c r="A1039">
        <v>1030</v>
      </c>
      <c r="L1039">
        <f t="shared" si="43"/>
        <v>0</v>
      </c>
      <c r="M1039">
        <f t="shared" si="44"/>
        <v>0</v>
      </c>
    </row>
    <row r="1040" spans="1:13" x14ac:dyDescent="0.25">
      <c r="A1040">
        <v>1031</v>
      </c>
      <c r="L1040">
        <f t="shared" si="43"/>
        <v>0</v>
      </c>
      <c r="M1040">
        <f t="shared" si="44"/>
        <v>0</v>
      </c>
    </row>
    <row r="1041" spans="1:13" x14ac:dyDescent="0.25">
      <c r="A1041">
        <v>1032</v>
      </c>
      <c r="L1041">
        <f t="shared" si="43"/>
        <v>0</v>
      </c>
      <c r="M1041">
        <f t="shared" si="44"/>
        <v>0</v>
      </c>
    </row>
    <row r="1042" spans="1:13" x14ac:dyDescent="0.25">
      <c r="A1042">
        <v>1033</v>
      </c>
      <c r="L1042">
        <f t="shared" si="43"/>
        <v>0</v>
      </c>
      <c r="M1042">
        <f t="shared" si="44"/>
        <v>0</v>
      </c>
    </row>
    <row r="1043" spans="1:13" x14ac:dyDescent="0.25">
      <c r="A1043">
        <v>1034</v>
      </c>
      <c r="L1043">
        <f t="shared" si="43"/>
        <v>0</v>
      </c>
      <c r="M1043">
        <f t="shared" si="44"/>
        <v>0</v>
      </c>
    </row>
    <row r="1044" spans="1:13" x14ac:dyDescent="0.25">
      <c r="A1044">
        <v>1035</v>
      </c>
      <c r="L1044">
        <f t="shared" si="43"/>
        <v>0</v>
      </c>
      <c r="M1044">
        <f t="shared" si="44"/>
        <v>0</v>
      </c>
    </row>
    <row r="1045" spans="1:13" x14ac:dyDescent="0.25">
      <c r="A1045">
        <v>1036</v>
      </c>
      <c r="L1045">
        <f t="shared" si="43"/>
        <v>0</v>
      </c>
      <c r="M1045">
        <f t="shared" si="44"/>
        <v>0</v>
      </c>
    </row>
    <row r="1046" spans="1:13" x14ac:dyDescent="0.25">
      <c r="A1046">
        <v>1037</v>
      </c>
      <c r="L1046">
        <f t="shared" si="43"/>
        <v>0</v>
      </c>
      <c r="M1046">
        <f t="shared" si="44"/>
        <v>0</v>
      </c>
    </row>
    <row r="1047" spans="1:13" x14ac:dyDescent="0.25">
      <c r="A1047">
        <v>1038</v>
      </c>
      <c r="L1047">
        <f t="shared" si="43"/>
        <v>0</v>
      </c>
      <c r="M1047">
        <f t="shared" si="44"/>
        <v>0</v>
      </c>
    </row>
    <row r="1048" spans="1:13" x14ac:dyDescent="0.25">
      <c r="A1048">
        <v>1039</v>
      </c>
      <c r="L1048">
        <f t="shared" si="43"/>
        <v>0</v>
      </c>
      <c r="M1048">
        <f t="shared" si="44"/>
        <v>0</v>
      </c>
    </row>
    <row r="1049" spans="1:13" x14ac:dyDescent="0.25">
      <c r="A1049">
        <v>1040</v>
      </c>
      <c r="L1049">
        <f t="shared" si="43"/>
        <v>0</v>
      </c>
      <c r="M1049">
        <f t="shared" si="44"/>
        <v>0</v>
      </c>
    </row>
    <row r="1050" spans="1:13" x14ac:dyDescent="0.25">
      <c r="A1050">
        <v>1041</v>
      </c>
      <c r="L1050">
        <f t="shared" si="43"/>
        <v>0</v>
      </c>
      <c r="M1050">
        <f t="shared" si="44"/>
        <v>0</v>
      </c>
    </row>
    <row r="1051" spans="1:13" x14ac:dyDescent="0.25">
      <c r="A1051">
        <v>1042</v>
      </c>
      <c r="L1051">
        <f t="shared" si="43"/>
        <v>0</v>
      </c>
      <c r="M1051">
        <f t="shared" si="44"/>
        <v>0</v>
      </c>
    </row>
    <row r="1052" spans="1:13" x14ac:dyDescent="0.25">
      <c r="A1052">
        <v>1043</v>
      </c>
      <c r="L1052">
        <f t="shared" si="43"/>
        <v>0</v>
      </c>
      <c r="M1052">
        <f t="shared" si="44"/>
        <v>0</v>
      </c>
    </row>
    <row r="1053" spans="1:13" x14ac:dyDescent="0.25">
      <c r="A1053">
        <v>1044</v>
      </c>
      <c r="L1053">
        <f t="shared" si="43"/>
        <v>0</v>
      </c>
      <c r="M1053">
        <f t="shared" si="44"/>
        <v>0</v>
      </c>
    </row>
    <row r="1054" spans="1:13" x14ac:dyDescent="0.25">
      <c r="A1054">
        <v>1045</v>
      </c>
      <c r="L1054">
        <f t="shared" si="43"/>
        <v>0</v>
      </c>
      <c r="M1054">
        <f t="shared" si="44"/>
        <v>0</v>
      </c>
    </row>
    <row r="1055" spans="1:13" x14ac:dyDescent="0.25">
      <c r="A1055">
        <v>1046</v>
      </c>
      <c r="L1055">
        <f t="shared" si="43"/>
        <v>0</v>
      </c>
      <c r="M1055">
        <f t="shared" si="44"/>
        <v>0</v>
      </c>
    </row>
    <row r="1056" spans="1:13" x14ac:dyDescent="0.25">
      <c r="A1056">
        <v>1047</v>
      </c>
      <c r="L1056">
        <f t="shared" si="43"/>
        <v>0</v>
      </c>
      <c r="M1056">
        <f t="shared" si="44"/>
        <v>0</v>
      </c>
    </row>
    <row r="1057" spans="1:13" x14ac:dyDescent="0.25">
      <c r="A1057">
        <v>1048</v>
      </c>
      <c r="L1057">
        <f t="shared" si="43"/>
        <v>0</v>
      </c>
      <c r="M1057">
        <f t="shared" si="44"/>
        <v>0</v>
      </c>
    </row>
    <row r="1058" spans="1:13" x14ac:dyDescent="0.25">
      <c r="A1058">
        <v>1049</v>
      </c>
      <c r="L1058">
        <f t="shared" si="43"/>
        <v>0</v>
      </c>
      <c r="M1058">
        <f t="shared" si="44"/>
        <v>0</v>
      </c>
    </row>
    <row r="1059" spans="1:13" x14ac:dyDescent="0.25">
      <c r="A1059">
        <v>1050</v>
      </c>
      <c r="L1059">
        <f t="shared" si="43"/>
        <v>0</v>
      </c>
      <c r="M1059">
        <f t="shared" si="44"/>
        <v>0</v>
      </c>
    </row>
    <row r="1060" spans="1:13" x14ac:dyDescent="0.25">
      <c r="A1060">
        <v>1051</v>
      </c>
      <c r="L1060">
        <f t="shared" si="43"/>
        <v>0</v>
      </c>
      <c r="M1060">
        <f t="shared" si="44"/>
        <v>0</v>
      </c>
    </row>
    <row r="1061" spans="1:13" x14ac:dyDescent="0.25">
      <c r="A1061">
        <v>1052</v>
      </c>
      <c r="L1061">
        <f t="shared" si="43"/>
        <v>0</v>
      </c>
      <c r="M1061">
        <f t="shared" si="44"/>
        <v>0</v>
      </c>
    </row>
    <row r="1062" spans="1:13" x14ac:dyDescent="0.25">
      <c r="A1062">
        <v>1053</v>
      </c>
      <c r="L1062">
        <f t="shared" si="43"/>
        <v>0</v>
      </c>
      <c r="M1062">
        <f t="shared" si="44"/>
        <v>0</v>
      </c>
    </row>
    <row r="1063" spans="1:13" x14ac:dyDescent="0.25">
      <c r="A1063">
        <v>1054</v>
      </c>
      <c r="L1063">
        <f t="shared" si="43"/>
        <v>0</v>
      </c>
      <c r="M1063">
        <f t="shared" si="44"/>
        <v>0</v>
      </c>
    </row>
    <row r="1064" spans="1:13" x14ac:dyDescent="0.25">
      <c r="A1064">
        <v>1055</v>
      </c>
      <c r="L1064">
        <f t="shared" si="43"/>
        <v>0</v>
      </c>
      <c r="M1064">
        <f t="shared" si="44"/>
        <v>0</v>
      </c>
    </row>
    <row r="1065" spans="1:13" x14ac:dyDescent="0.25">
      <c r="A1065">
        <v>1056</v>
      </c>
      <c r="L1065">
        <f t="shared" si="43"/>
        <v>0</v>
      </c>
      <c r="M1065">
        <f t="shared" si="44"/>
        <v>0</v>
      </c>
    </row>
    <row r="1066" spans="1:13" x14ac:dyDescent="0.25">
      <c r="A1066">
        <v>1057</v>
      </c>
      <c r="L1066">
        <f t="shared" si="43"/>
        <v>0</v>
      </c>
      <c r="M1066">
        <f t="shared" si="44"/>
        <v>0</v>
      </c>
    </row>
    <row r="1067" spans="1:13" x14ac:dyDescent="0.25">
      <c r="A1067">
        <v>1058</v>
      </c>
      <c r="L1067">
        <f t="shared" si="43"/>
        <v>0</v>
      </c>
      <c r="M1067">
        <f t="shared" si="44"/>
        <v>0</v>
      </c>
    </row>
    <row r="1068" spans="1:13" x14ac:dyDescent="0.25">
      <c r="A1068">
        <v>1059</v>
      </c>
      <c r="L1068">
        <f t="shared" si="43"/>
        <v>0</v>
      </c>
      <c r="M1068">
        <f t="shared" si="44"/>
        <v>0</v>
      </c>
    </row>
    <row r="1069" spans="1:13" x14ac:dyDescent="0.25">
      <c r="A1069">
        <v>1060</v>
      </c>
      <c r="L1069">
        <f t="shared" si="43"/>
        <v>0</v>
      </c>
      <c r="M1069">
        <f t="shared" si="44"/>
        <v>0</v>
      </c>
    </row>
    <row r="1070" spans="1:13" x14ac:dyDescent="0.25">
      <c r="A1070">
        <v>1061</v>
      </c>
      <c r="L1070">
        <f t="shared" ref="L1070:L1133" si="45">+I1070+H1070</f>
        <v>0</v>
      </c>
      <c r="M1070">
        <f t="shared" si="44"/>
        <v>0</v>
      </c>
    </row>
    <row r="1071" spans="1:13" x14ac:dyDescent="0.25">
      <c r="A1071">
        <v>1062</v>
      </c>
      <c r="L1071">
        <f t="shared" si="45"/>
        <v>0</v>
      </c>
      <c r="M1071">
        <f t="shared" si="44"/>
        <v>0</v>
      </c>
    </row>
    <row r="1072" spans="1:13" x14ac:dyDescent="0.25">
      <c r="A1072">
        <v>1063</v>
      </c>
      <c r="L1072">
        <f t="shared" si="45"/>
        <v>0</v>
      </c>
      <c r="M1072">
        <f t="shared" si="44"/>
        <v>0</v>
      </c>
    </row>
    <row r="1073" spans="1:13" x14ac:dyDescent="0.25">
      <c r="A1073">
        <v>1064</v>
      </c>
      <c r="L1073">
        <f t="shared" si="45"/>
        <v>0</v>
      </c>
      <c r="M1073">
        <f t="shared" si="44"/>
        <v>0</v>
      </c>
    </row>
    <row r="1074" spans="1:13" x14ac:dyDescent="0.25">
      <c r="A1074">
        <v>1065</v>
      </c>
      <c r="L1074">
        <f t="shared" si="45"/>
        <v>0</v>
      </c>
      <c r="M1074">
        <f t="shared" si="44"/>
        <v>0</v>
      </c>
    </row>
    <row r="1075" spans="1:13" x14ac:dyDescent="0.25">
      <c r="A1075">
        <v>1066</v>
      </c>
      <c r="L1075">
        <f t="shared" si="45"/>
        <v>0</v>
      </c>
      <c r="M1075">
        <f t="shared" si="44"/>
        <v>0</v>
      </c>
    </row>
    <row r="1076" spans="1:13" x14ac:dyDescent="0.25">
      <c r="A1076">
        <v>1067</v>
      </c>
      <c r="L1076">
        <f t="shared" si="45"/>
        <v>0</v>
      </c>
      <c r="M1076">
        <f t="shared" si="44"/>
        <v>0</v>
      </c>
    </row>
    <row r="1077" spans="1:13" x14ac:dyDescent="0.25">
      <c r="A1077">
        <v>1068</v>
      </c>
      <c r="L1077">
        <f t="shared" si="45"/>
        <v>0</v>
      </c>
      <c r="M1077">
        <f t="shared" si="44"/>
        <v>0</v>
      </c>
    </row>
    <row r="1078" spans="1:13" x14ac:dyDescent="0.25">
      <c r="A1078">
        <v>1069</v>
      </c>
      <c r="L1078">
        <f t="shared" si="45"/>
        <v>0</v>
      </c>
      <c r="M1078">
        <f t="shared" si="44"/>
        <v>0</v>
      </c>
    </row>
    <row r="1079" spans="1:13" x14ac:dyDescent="0.25">
      <c r="A1079">
        <v>1070</v>
      </c>
      <c r="L1079">
        <f t="shared" si="45"/>
        <v>0</v>
      </c>
      <c r="M1079">
        <f t="shared" si="44"/>
        <v>0</v>
      </c>
    </row>
    <row r="1080" spans="1:13" x14ac:dyDescent="0.25">
      <c r="A1080">
        <v>1071</v>
      </c>
      <c r="L1080">
        <f t="shared" si="45"/>
        <v>0</v>
      </c>
      <c r="M1080">
        <f t="shared" si="44"/>
        <v>0</v>
      </c>
    </row>
    <row r="1081" spans="1:13" x14ac:dyDescent="0.25">
      <c r="A1081">
        <v>1072</v>
      </c>
      <c r="L1081">
        <f t="shared" si="45"/>
        <v>0</v>
      </c>
      <c r="M1081">
        <f t="shared" si="44"/>
        <v>0</v>
      </c>
    </row>
    <row r="1082" spans="1:13" x14ac:dyDescent="0.25">
      <c r="A1082">
        <v>1073</v>
      </c>
      <c r="L1082">
        <f t="shared" si="45"/>
        <v>0</v>
      </c>
      <c r="M1082">
        <f t="shared" si="44"/>
        <v>0</v>
      </c>
    </row>
    <row r="1083" spans="1:13" x14ac:dyDescent="0.25">
      <c r="A1083">
        <v>1074</v>
      </c>
      <c r="L1083">
        <f t="shared" si="45"/>
        <v>0</v>
      </c>
      <c r="M1083">
        <f t="shared" si="44"/>
        <v>0</v>
      </c>
    </row>
    <row r="1084" spans="1:13" x14ac:dyDescent="0.25">
      <c r="A1084">
        <v>1075</v>
      </c>
      <c r="L1084">
        <f t="shared" si="45"/>
        <v>0</v>
      </c>
      <c r="M1084">
        <f t="shared" si="44"/>
        <v>0</v>
      </c>
    </row>
    <row r="1085" spans="1:13" x14ac:dyDescent="0.25">
      <c r="A1085">
        <v>1076</v>
      </c>
      <c r="L1085">
        <f t="shared" si="45"/>
        <v>0</v>
      </c>
      <c r="M1085">
        <f t="shared" si="44"/>
        <v>0</v>
      </c>
    </row>
    <row r="1086" spans="1:13" x14ac:dyDescent="0.25">
      <c r="A1086">
        <v>1077</v>
      </c>
      <c r="L1086">
        <f t="shared" si="45"/>
        <v>0</v>
      </c>
      <c r="M1086">
        <f t="shared" si="44"/>
        <v>0</v>
      </c>
    </row>
    <row r="1087" spans="1:13" x14ac:dyDescent="0.25">
      <c r="A1087">
        <v>1078</v>
      </c>
      <c r="L1087">
        <f t="shared" si="45"/>
        <v>0</v>
      </c>
      <c r="M1087">
        <f t="shared" ref="M1087:M1150" si="46">+I1087/IF(H1087 = 0,1,H1087)</f>
        <v>0</v>
      </c>
    </row>
    <row r="1088" spans="1:13" x14ac:dyDescent="0.25">
      <c r="A1088">
        <v>1079</v>
      </c>
      <c r="L1088">
        <f t="shared" si="45"/>
        <v>0</v>
      </c>
      <c r="M1088">
        <f t="shared" si="46"/>
        <v>0</v>
      </c>
    </row>
    <row r="1089" spans="1:13" x14ac:dyDescent="0.25">
      <c r="A1089">
        <v>1080</v>
      </c>
      <c r="L1089">
        <f t="shared" si="45"/>
        <v>0</v>
      </c>
      <c r="M1089">
        <f t="shared" si="46"/>
        <v>0</v>
      </c>
    </row>
    <row r="1090" spans="1:13" x14ac:dyDescent="0.25">
      <c r="A1090">
        <v>1081</v>
      </c>
      <c r="L1090">
        <f t="shared" si="45"/>
        <v>0</v>
      </c>
      <c r="M1090">
        <f t="shared" si="46"/>
        <v>0</v>
      </c>
    </row>
    <row r="1091" spans="1:13" x14ac:dyDescent="0.25">
      <c r="A1091">
        <v>1082</v>
      </c>
      <c r="L1091">
        <f t="shared" si="45"/>
        <v>0</v>
      </c>
      <c r="M1091">
        <f t="shared" si="46"/>
        <v>0</v>
      </c>
    </row>
    <row r="1092" spans="1:13" x14ac:dyDescent="0.25">
      <c r="A1092">
        <v>1083</v>
      </c>
      <c r="L1092">
        <f t="shared" si="45"/>
        <v>0</v>
      </c>
      <c r="M1092">
        <f t="shared" si="46"/>
        <v>0</v>
      </c>
    </row>
    <row r="1093" spans="1:13" x14ac:dyDescent="0.25">
      <c r="A1093">
        <v>1084</v>
      </c>
      <c r="L1093">
        <f t="shared" si="45"/>
        <v>0</v>
      </c>
      <c r="M1093">
        <f t="shared" si="46"/>
        <v>0</v>
      </c>
    </row>
    <row r="1094" spans="1:13" x14ac:dyDescent="0.25">
      <c r="A1094">
        <v>1085</v>
      </c>
      <c r="L1094">
        <f t="shared" si="45"/>
        <v>0</v>
      </c>
      <c r="M1094">
        <f t="shared" si="46"/>
        <v>0</v>
      </c>
    </row>
    <row r="1095" spans="1:13" x14ac:dyDescent="0.25">
      <c r="A1095">
        <v>1086</v>
      </c>
      <c r="L1095">
        <f t="shared" si="45"/>
        <v>0</v>
      </c>
      <c r="M1095">
        <f t="shared" si="46"/>
        <v>0</v>
      </c>
    </row>
    <row r="1096" spans="1:13" x14ac:dyDescent="0.25">
      <c r="A1096">
        <v>1087</v>
      </c>
      <c r="L1096">
        <f t="shared" si="45"/>
        <v>0</v>
      </c>
      <c r="M1096">
        <f t="shared" si="46"/>
        <v>0</v>
      </c>
    </row>
    <row r="1097" spans="1:13" x14ac:dyDescent="0.25">
      <c r="A1097">
        <v>1088</v>
      </c>
      <c r="L1097">
        <f t="shared" si="45"/>
        <v>0</v>
      </c>
      <c r="M1097">
        <f t="shared" si="46"/>
        <v>0</v>
      </c>
    </row>
    <row r="1098" spans="1:13" x14ac:dyDescent="0.25">
      <c r="A1098">
        <v>1089</v>
      </c>
      <c r="L1098">
        <f t="shared" si="45"/>
        <v>0</v>
      </c>
      <c r="M1098">
        <f t="shared" si="46"/>
        <v>0</v>
      </c>
    </row>
    <row r="1099" spans="1:13" x14ac:dyDescent="0.25">
      <c r="A1099">
        <v>1090</v>
      </c>
      <c r="L1099">
        <f t="shared" si="45"/>
        <v>0</v>
      </c>
      <c r="M1099">
        <f t="shared" si="46"/>
        <v>0</v>
      </c>
    </row>
    <row r="1100" spans="1:13" x14ac:dyDescent="0.25">
      <c r="A1100">
        <v>1091</v>
      </c>
      <c r="L1100">
        <f t="shared" si="45"/>
        <v>0</v>
      </c>
      <c r="M1100">
        <f t="shared" si="46"/>
        <v>0</v>
      </c>
    </row>
    <row r="1101" spans="1:13" x14ac:dyDescent="0.25">
      <c r="A1101">
        <v>1092</v>
      </c>
      <c r="L1101">
        <f t="shared" si="45"/>
        <v>0</v>
      </c>
      <c r="M1101">
        <f t="shared" si="46"/>
        <v>0</v>
      </c>
    </row>
    <row r="1102" spans="1:13" x14ac:dyDescent="0.25">
      <c r="A1102">
        <v>1093</v>
      </c>
      <c r="L1102">
        <f t="shared" si="45"/>
        <v>0</v>
      </c>
      <c r="M1102">
        <f t="shared" si="46"/>
        <v>0</v>
      </c>
    </row>
    <row r="1103" spans="1:13" x14ac:dyDescent="0.25">
      <c r="A1103">
        <v>1094</v>
      </c>
      <c r="L1103">
        <f t="shared" si="45"/>
        <v>0</v>
      </c>
      <c r="M1103">
        <f t="shared" si="46"/>
        <v>0</v>
      </c>
    </row>
    <row r="1104" spans="1:13" x14ac:dyDescent="0.25">
      <c r="A1104">
        <v>1095</v>
      </c>
      <c r="L1104">
        <f t="shared" si="45"/>
        <v>0</v>
      </c>
      <c r="M1104">
        <f t="shared" si="46"/>
        <v>0</v>
      </c>
    </row>
    <row r="1105" spans="1:13" x14ac:dyDescent="0.25">
      <c r="A1105">
        <v>1096</v>
      </c>
      <c r="L1105">
        <f t="shared" si="45"/>
        <v>0</v>
      </c>
      <c r="M1105">
        <f t="shared" si="46"/>
        <v>0</v>
      </c>
    </row>
    <row r="1106" spans="1:13" x14ac:dyDescent="0.25">
      <c r="A1106">
        <v>1097</v>
      </c>
      <c r="L1106">
        <f t="shared" si="45"/>
        <v>0</v>
      </c>
      <c r="M1106">
        <f t="shared" si="46"/>
        <v>0</v>
      </c>
    </row>
    <row r="1107" spans="1:13" x14ac:dyDescent="0.25">
      <c r="A1107">
        <v>1098</v>
      </c>
      <c r="L1107">
        <f t="shared" si="45"/>
        <v>0</v>
      </c>
      <c r="M1107">
        <f t="shared" si="46"/>
        <v>0</v>
      </c>
    </row>
    <row r="1108" spans="1:13" x14ac:dyDescent="0.25">
      <c r="A1108">
        <v>1099</v>
      </c>
      <c r="L1108">
        <f t="shared" si="45"/>
        <v>0</v>
      </c>
      <c r="M1108">
        <f t="shared" si="46"/>
        <v>0</v>
      </c>
    </row>
    <row r="1109" spans="1:13" x14ac:dyDescent="0.25">
      <c r="A1109">
        <v>1100</v>
      </c>
      <c r="L1109">
        <f t="shared" si="45"/>
        <v>0</v>
      </c>
      <c r="M1109">
        <f t="shared" si="46"/>
        <v>0</v>
      </c>
    </row>
    <row r="1110" spans="1:13" x14ac:dyDescent="0.25">
      <c r="A1110">
        <v>1101</v>
      </c>
      <c r="L1110">
        <f t="shared" si="45"/>
        <v>0</v>
      </c>
      <c r="M1110">
        <f t="shared" si="46"/>
        <v>0</v>
      </c>
    </row>
    <row r="1111" spans="1:13" x14ac:dyDescent="0.25">
      <c r="A1111">
        <v>1102</v>
      </c>
      <c r="L1111">
        <f t="shared" si="45"/>
        <v>0</v>
      </c>
      <c r="M1111">
        <f t="shared" si="46"/>
        <v>0</v>
      </c>
    </row>
    <row r="1112" spans="1:13" x14ac:dyDescent="0.25">
      <c r="A1112">
        <v>1103</v>
      </c>
      <c r="L1112">
        <f t="shared" si="45"/>
        <v>0</v>
      </c>
      <c r="M1112">
        <f t="shared" si="46"/>
        <v>0</v>
      </c>
    </row>
    <row r="1113" spans="1:13" x14ac:dyDescent="0.25">
      <c r="A1113">
        <v>1104</v>
      </c>
      <c r="L1113">
        <f t="shared" si="45"/>
        <v>0</v>
      </c>
      <c r="M1113">
        <f t="shared" si="46"/>
        <v>0</v>
      </c>
    </row>
    <row r="1114" spans="1:13" x14ac:dyDescent="0.25">
      <c r="A1114">
        <v>1105</v>
      </c>
      <c r="L1114">
        <f t="shared" si="45"/>
        <v>0</v>
      </c>
      <c r="M1114">
        <f t="shared" si="46"/>
        <v>0</v>
      </c>
    </row>
    <row r="1115" spans="1:13" x14ac:dyDescent="0.25">
      <c r="A1115">
        <v>1106</v>
      </c>
      <c r="L1115">
        <f t="shared" si="45"/>
        <v>0</v>
      </c>
      <c r="M1115">
        <f t="shared" si="46"/>
        <v>0</v>
      </c>
    </row>
    <row r="1116" spans="1:13" x14ac:dyDescent="0.25">
      <c r="A1116">
        <v>1107</v>
      </c>
      <c r="L1116">
        <f t="shared" si="45"/>
        <v>0</v>
      </c>
      <c r="M1116">
        <f t="shared" si="46"/>
        <v>0</v>
      </c>
    </row>
    <row r="1117" spans="1:13" x14ac:dyDescent="0.25">
      <c r="A1117">
        <v>1108</v>
      </c>
      <c r="L1117">
        <f t="shared" si="45"/>
        <v>0</v>
      </c>
      <c r="M1117">
        <f t="shared" si="46"/>
        <v>0</v>
      </c>
    </row>
    <row r="1118" spans="1:13" x14ac:dyDescent="0.25">
      <c r="A1118">
        <v>1109</v>
      </c>
      <c r="L1118">
        <f t="shared" si="45"/>
        <v>0</v>
      </c>
      <c r="M1118">
        <f t="shared" si="46"/>
        <v>0</v>
      </c>
    </row>
    <row r="1119" spans="1:13" x14ac:dyDescent="0.25">
      <c r="A1119">
        <v>1110</v>
      </c>
      <c r="L1119">
        <f t="shared" si="45"/>
        <v>0</v>
      </c>
      <c r="M1119">
        <f t="shared" si="46"/>
        <v>0</v>
      </c>
    </row>
    <row r="1120" spans="1:13" x14ac:dyDescent="0.25">
      <c r="A1120">
        <v>1111</v>
      </c>
      <c r="L1120">
        <f t="shared" si="45"/>
        <v>0</v>
      </c>
      <c r="M1120">
        <f t="shared" si="46"/>
        <v>0</v>
      </c>
    </row>
    <row r="1121" spans="1:13" x14ac:dyDescent="0.25">
      <c r="A1121">
        <v>1112</v>
      </c>
      <c r="L1121">
        <f t="shared" si="45"/>
        <v>0</v>
      </c>
      <c r="M1121">
        <f t="shared" si="46"/>
        <v>0</v>
      </c>
    </row>
    <row r="1122" spans="1:13" x14ac:dyDescent="0.25">
      <c r="A1122">
        <v>1113</v>
      </c>
      <c r="L1122">
        <f t="shared" si="45"/>
        <v>0</v>
      </c>
      <c r="M1122">
        <f t="shared" si="46"/>
        <v>0</v>
      </c>
    </row>
    <row r="1123" spans="1:13" x14ac:dyDescent="0.25">
      <c r="A1123">
        <v>1114</v>
      </c>
      <c r="L1123">
        <f t="shared" si="45"/>
        <v>0</v>
      </c>
      <c r="M1123">
        <f t="shared" si="46"/>
        <v>0</v>
      </c>
    </row>
    <row r="1124" spans="1:13" x14ac:dyDescent="0.25">
      <c r="A1124">
        <v>1115</v>
      </c>
      <c r="L1124">
        <f t="shared" si="45"/>
        <v>0</v>
      </c>
      <c r="M1124">
        <f t="shared" si="46"/>
        <v>0</v>
      </c>
    </row>
    <row r="1125" spans="1:13" x14ac:dyDescent="0.25">
      <c r="A1125">
        <v>1116</v>
      </c>
      <c r="L1125">
        <f t="shared" si="45"/>
        <v>0</v>
      </c>
      <c r="M1125">
        <f t="shared" si="46"/>
        <v>0</v>
      </c>
    </row>
    <row r="1126" spans="1:13" x14ac:dyDescent="0.25">
      <c r="A1126">
        <v>1117</v>
      </c>
      <c r="L1126">
        <f t="shared" si="45"/>
        <v>0</v>
      </c>
      <c r="M1126">
        <f t="shared" si="46"/>
        <v>0</v>
      </c>
    </row>
    <row r="1127" spans="1:13" x14ac:dyDescent="0.25">
      <c r="A1127">
        <v>1118</v>
      </c>
      <c r="L1127">
        <f t="shared" si="45"/>
        <v>0</v>
      </c>
      <c r="M1127">
        <f t="shared" si="46"/>
        <v>0</v>
      </c>
    </row>
    <row r="1128" spans="1:13" x14ac:dyDescent="0.25">
      <c r="A1128">
        <v>1119</v>
      </c>
      <c r="L1128">
        <f t="shared" si="45"/>
        <v>0</v>
      </c>
      <c r="M1128">
        <f t="shared" si="46"/>
        <v>0</v>
      </c>
    </row>
    <row r="1129" spans="1:13" x14ac:dyDescent="0.25">
      <c r="A1129">
        <v>1120</v>
      </c>
      <c r="L1129">
        <f t="shared" si="45"/>
        <v>0</v>
      </c>
      <c r="M1129">
        <f t="shared" si="46"/>
        <v>0</v>
      </c>
    </row>
    <row r="1130" spans="1:13" x14ac:dyDescent="0.25">
      <c r="A1130">
        <v>1121</v>
      </c>
      <c r="L1130">
        <f t="shared" si="45"/>
        <v>0</v>
      </c>
      <c r="M1130">
        <f t="shared" si="46"/>
        <v>0</v>
      </c>
    </row>
    <row r="1131" spans="1:13" x14ac:dyDescent="0.25">
      <c r="A1131">
        <v>1122</v>
      </c>
      <c r="L1131">
        <f t="shared" si="45"/>
        <v>0</v>
      </c>
      <c r="M1131">
        <f t="shared" si="46"/>
        <v>0</v>
      </c>
    </row>
    <row r="1132" spans="1:13" x14ac:dyDescent="0.25">
      <c r="A1132">
        <v>1123</v>
      </c>
      <c r="L1132">
        <f t="shared" si="45"/>
        <v>0</v>
      </c>
      <c r="M1132">
        <f t="shared" si="46"/>
        <v>0</v>
      </c>
    </row>
    <row r="1133" spans="1:13" x14ac:dyDescent="0.25">
      <c r="A1133">
        <v>1124</v>
      </c>
      <c r="L1133">
        <f t="shared" si="45"/>
        <v>0</v>
      </c>
      <c r="M1133">
        <f t="shared" si="46"/>
        <v>0</v>
      </c>
    </row>
    <row r="1134" spans="1:13" x14ac:dyDescent="0.25">
      <c r="A1134">
        <v>1125</v>
      </c>
      <c r="L1134">
        <f t="shared" ref="L1134:L1197" si="47">+I1134+H1134</f>
        <v>0</v>
      </c>
      <c r="M1134">
        <f t="shared" si="46"/>
        <v>0</v>
      </c>
    </row>
    <row r="1135" spans="1:13" x14ac:dyDescent="0.25">
      <c r="A1135">
        <v>1126</v>
      </c>
      <c r="L1135">
        <f t="shared" si="47"/>
        <v>0</v>
      </c>
      <c r="M1135">
        <f t="shared" si="46"/>
        <v>0</v>
      </c>
    </row>
    <row r="1136" spans="1:13" x14ac:dyDescent="0.25">
      <c r="A1136">
        <v>1127</v>
      </c>
      <c r="L1136">
        <f t="shared" si="47"/>
        <v>0</v>
      </c>
      <c r="M1136">
        <f t="shared" si="46"/>
        <v>0</v>
      </c>
    </row>
    <row r="1137" spans="1:13" x14ac:dyDescent="0.25">
      <c r="A1137">
        <v>1128</v>
      </c>
      <c r="L1137">
        <f t="shared" si="47"/>
        <v>0</v>
      </c>
      <c r="M1137">
        <f t="shared" si="46"/>
        <v>0</v>
      </c>
    </row>
    <row r="1138" spans="1:13" x14ac:dyDescent="0.25">
      <c r="A1138">
        <v>1129</v>
      </c>
      <c r="L1138">
        <f t="shared" si="47"/>
        <v>0</v>
      </c>
      <c r="M1138">
        <f t="shared" si="46"/>
        <v>0</v>
      </c>
    </row>
    <row r="1139" spans="1:13" x14ac:dyDescent="0.25">
      <c r="A1139">
        <v>1130</v>
      </c>
      <c r="L1139">
        <f t="shared" si="47"/>
        <v>0</v>
      </c>
      <c r="M1139">
        <f t="shared" si="46"/>
        <v>0</v>
      </c>
    </row>
    <row r="1140" spans="1:13" x14ac:dyDescent="0.25">
      <c r="A1140">
        <v>1131</v>
      </c>
      <c r="L1140">
        <f t="shared" si="47"/>
        <v>0</v>
      </c>
      <c r="M1140">
        <f t="shared" si="46"/>
        <v>0</v>
      </c>
    </row>
    <row r="1141" spans="1:13" x14ac:dyDescent="0.25">
      <c r="A1141">
        <v>1132</v>
      </c>
      <c r="L1141">
        <f t="shared" si="47"/>
        <v>0</v>
      </c>
      <c r="M1141">
        <f t="shared" si="46"/>
        <v>0</v>
      </c>
    </row>
    <row r="1142" spans="1:13" x14ac:dyDescent="0.25">
      <c r="A1142">
        <v>1133</v>
      </c>
      <c r="L1142">
        <f t="shared" si="47"/>
        <v>0</v>
      </c>
      <c r="M1142">
        <f t="shared" si="46"/>
        <v>0</v>
      </c>
    </row>
    <row r="1143" spans="1:13" x14ac:dyDescent="0.25">
      <c r="A1143">
        <v>1134</v>
      </c>
      <c r="L1143">
        <f t="shared" si="47"/>
        <v>0</v>
      </c>
      <c r="M1143">
        <f t="shared" si="46"/>
        <v>0</v>
      </c>
    </row>
    <row r="1144" spans="1:13" x14ac:dyDescent="0.25">
      <c r="A1144">
        <v>1135</v>
      </c>
      <c r="L1144">
        <f t="shared" si="47"/>
        <v>0</v>
      </c>
      <c r="M1144">
        <f t="shared" si="46"/>
        <v>0</v>
      </c>
    </row>
    <row r="1145" spans="1:13" x14ac:dyDescent="0.25">
      <c r="A1145">
        <v>1136</v>
      </c>
      <c r="L1145">
        <f t="shared" si="47"/>
        <v>0</v>
      </c>
      <c r="M1145">
        <f t="shared" si="46"/>
        <v>0</v>
      </c>
    </row>
    <row r="1146" spans="1:13" x14ac:dyDescent="0.25">
      <c r="A1146">
        <v>1137</v>
      </c>
      <c r="L1146">
        <f t="shared" si="47"/>
        <v>0</v>
      </c>
      <c r="M1146">
        <f t="shared" si="46"/>
        <v>0</v>
      </c>
    </row>
    <row r="1147" spans="1:13" x14ac:dyDescent="0.25">
      <c r="A1147">
        <v>1138</v>
      </c>
      <c r="L1147">
        <f t="shared" si="47"/>
        <v>0</v>
      </c>
      <c r="M1147">
        <f t="shared" si="46"/>
        <v>0</v>
      </c>
    </row>
    <row r="1148" spans="1:13" x14ac:dyDescent="0.25">
      <c r="A1148">
        <v>1139</v>
      </c>
      <c r="L1148">
        <f t="shared" si="47"/>
        <v>0</v>
      </c>
      <c r="M1148">
        <f t="shared" si="46"/>
        <v>0</v>
      </c>
    </row>
    <row r="1149" spans="1:13" x14ac:dyDescent="0.25">
      <c r="A1149">
        <v>1140</v>
      </c>
      <c r="L1149">
        <f t="shared" si="47"/>
        <v>0</v>
      </c>
      <c r="M1149">
        <f t="shared" si="46"/>
        <v>0</v>
      </c>
    </row>
    <row r="1150" spans="1:13" x14ac:dyDescent="0.25">
      <c r="A1150">
        <v>1141</v>
      </c>
      <c r="L1150">
        <f t="shared" si="47"/>
        <v>0</v>
      </c>
      <c r="M1150">
        <f t="shared" si="46"/>
        <v>0</v>
      </c>
    </row>
    <row r="1151" spans="1:13" x14ac:dyDescent="0.25">
      <c r="A1151">
        <v>1142</v>
      </c>
      <c r="L1151">
        <f t="shared" si="47"/>
        <v>0</v>
      </c>
      <c r="M1151">
        <f t="shared" ref="M1151:M1214" si="48">+I1151/IF(H1151 = 0,1,H1151)</f>
        <v>0</v>
      </c>
    </row>
    <row r="1152" spans="1:13" x14ac:dyDescent="0.25">
      <c r="A1152">
        <v>1143</v>
      </c>
      <c r="L1152">
        <f t="shared" si="47"/>
        <v>0</v>
      </c>
      <c r="M1152">
        <f t="shared" si="48"/>
        <v>0</v>
      </c>
    </row>
    <row r="1153" spans="1:13" x14ac:dyDescent="0.25">
      <c r="A1153">
        <v>1144</v>
      </c>
      <c r="L1153">
        <f t="shared" si="47"/>
        <v>0</v>
      </c>
      <c r="M1153">
        <f t="shared" si="48"/>
        <v>0</v>
      </c>
    </row>
    <row r="1154" spans="1:13" x14ac:dyDescent="0.25">
      <c r="A1154">
        <v>1145</v>
      </c>
      <c r="L1154">
        <f t="shared" si="47"/>
        <v>0</v>
      </c>
      <c r="M1154">
        <f t="shared" si="48"/>
        <v>0</v>
      </c>
    </row>
    <row r="1155" spans="1:13" x14ac:dyDescent="0.25">
      <c r="A1155">
        <v>1146</v>
      </c>
      <c r="L1155">
        <f t="shared" si="47"/>
        <v>0</v>
      </c>
      <c r="M1155">
        <f t="shared" si="48"/>
        <v>0</v>
      </c>
    </row>
    <row r="1156" spans="1:13" x14ac:dyDescent="0.25">
      <c r="A1156">
        <v>1147</v>
      </c>
      <c r="L1156">
        <f t="shared" si="47"/>
        <v>0</v>
      </c>
      <c r="M1156">
        <f t="shared" si="48"/>
        <v>0</v>
      </c>
    </row>
    <row r="1157" spans="1:13" x14ac:dyDescent="0.25">
      <c r="A1157">
        <v>1148</v>
      </c>
      <c r="L1157">
        <f t="shared" si="47"/>
        <v>0</v>
      </c>
      <c r="M1157">
        <f t="shared" si="48"/>
        <v>0</v>
      </c>
    </row>
    <row r="1158" spans="1:13" x14ac:dyDescent="0.25">
      <c r="A1158">
        <v>1149</v>
      </c>
      <c r="L1158">
        <f t="shared" si="47"/>
        <v>0</v>
      </c>
      <c r="M1158">
        <f t="shared" si="48"/>
        <v>0</v>
      </c>
    </row>
    <row r="1159" spans="1:13" x14ac:dyDescent="0.25">
      <c r="A1159">
        <v>1150</v>
      </c>
      <c r="L1159">
        <f t="shared" si="47"/>
        <v>0</v>
      </c>
      <c r="M1159">
        <f t="shared" si="48"/>
        <v>0</v>
      </c>
    </row>
    <row r="1160" spans="1:13" x14ac:dyDescent="0.25">
      <c r="A1160">
        <v>1151</v>
      </c>
      <c r="L1160">
        <f t="shared" si="47"/>
        <v>0</v>
      </c>
      <c r="M1160">
        <f t="shared" si="48"/>
        <v>0</v>
      </c>
    </row>
    <row r="1161" spans="1:13" x14ac:dyDescent="0.25">
      <c r="A1161">
        <v>1152</v>
      </c>
      <c r="L1161">
        <f t="shared" si="47"/>
        <v>0</v>
      </c>
      <c r="M1161">
        <f t="shared" si="48"/>
        <v>0</v>
      </c>
    </row>
    <row r="1162" spans="1:13" x14ac:dyDescent="0.25">
      <c r="A1162">
        <v>1153</v>
      </c>
      <c r="L1162">
        <f t="shared" si="47"/>
        <v>0</v>
      </c>
      <c r="M1162">
        <f t="shared" si="48"/>
        <v>0</v>
      </c>
    </row>
    <row r="1163" spans="1:13" x14ac:dyDescent="0.25">
      <c r="A1163">
        <v>1154</v>
      </c>
      <c r="L1163">
        <f t="shared" si="47"/>
        <v>0</v>
      </c>
      <c r="M1163">
        <f t="shared" si="48"/>
        <v>0</v>
      </c>
    </row>
    <row r="1164" spans="1:13" x14ac:dyDescent="0.25">
      <c r="A1164">
        <v>1155</v>
      </c>
      <c r="L1164">
        <f t="shared" si="47"/>
        <v>0</v>
      </c>
      <c r="M1164">
        <f t="shared" si="48"/>
        <v>0</v>
      </c>
    </row>
    <row r="1165" spans="1:13" x14ac:dyDescent="0.25">
      <c r="A1165">
        <v>1156</v>
      </c>
      <c r="L1165">
        <f t="shared" si="47"/>
        <v>0</v>
      </c>
      <c r="M1165">
        <f t="shared" si="48"/>
        <v>0</v>
      </c>
    </row>
    <row r="1166" spans="1:13" x14ac:dyDescent="0.25">
      <c r="A1166">
        <v>1157</v>
      </c>
      <c r="L1166">
        <f t="shared" si="47"/>
        <v>0</v>
      </c>
      <c r="M1166">
        <f t="shared" si="48"/>
        <v>0</v>
      </c>
    </row>
    <row r="1167" spans="1:13" x14ac:dyDescent="0.25">
      <c r="A1167">
        <v>1158</v>
      </c>
      <c r="L1167">
        <f t="shared" si="47"/>
        <v>0</v>
      </c>
      <c r="M1167">
        <f t="shared" si="48"/>
        <v>0</v>
      </c>
    </row>
    <row r="1168" spans="1:13" x14ac:dyDescent="0.25">
      <c r="A1168">
        <v>1159</v>
      </c>
      <c r="L1168">
        <f t="shared" si="47"/>
        <v>0</v>
      </c>
      <c r="M1168">
        <f t="shared" si="48"/>
        <v>0</v>
      </c>
    </row>
    <row r="1169" spans="1:13" x14ac:dyDescent="0.25">
      <c r="A1169">
        <v>1160</v>
      </c>
      <c r="L1169">
        <f t="shared" si="47"/>
        <v>0</v>
      </c>
      <c r="M1169">
        <f t="shared" si="48"/>
        <v>0</v>
      </c>
    </row>
    <row r="1170" spans="1:13" x14ac:dyDescent="0.25">
      <c r="A1170">
        <v>1161</v>
      </c>
      <c r="L1170">
        <f t="shared" si="47"/>
        <v>0</v>
      </c>
      <c r="M1170">
        <f t="shared" si="48"/>
        <v>0</v>
      </c>
    </row>
    <row r="1171" spans="1:13" x14ac:dyDescent="0.25">
      <c r="A1171">
        <v>1162</v>
      </c>
      <c r="L1171">
        <f t="shared" si="47"/>
        <v>0</v>
      </c>
      <c r="M1171">
        <f t="shared" si="48"/>
        <v>0</v>
      </c>
    </row>
    <row r="1172" spans="1:13" x14ac:dyDescent="0.25">
      <c r="A1172">
        <v>1163</v>
      </c>
      <c r="L1172">
        <f t="shared" si="47"/>
        <v>0</v>
      </c>
      <c r="M1172">
        <f t="shared" si="48"/>
        <v>0</v>
      </c>
    </row>
    <row r="1173" spans="1:13" x14ac:dyDescent="0.25">
      <c r="A1173">
        <v>1164</v>
      </c>
      <c r="L1173">
        <f t="shared" si="47"/>
        <v>0</v>
      </c>
      <c r="M1173">
        <f t="shared" si="48"/>
        <v>0</v>
      </c>
    </row>
    <row r="1174" spans="1:13" x14ac:dyDescent="0.25">
      <c r="A1174">
        <v>1165</v>
      </c>
      <c r="L1174">
        <f t="shared" si="47"/>
        <v>0</v>
      </c>
      <c r="M1174">
        <f t="shared" si="48"/>
        <v>0</v>
      </c>
    </row>
    <row r="1175" spans="1:13" x14ac:dyDescent="0.25">
      <c r="A1175">
        <v>1166</v>
      </c>
      <c r="L1175">
        <f t="shared" si="47"/>
        <v>0</v>
      </c>
      <c r="M1175">
        <f t="shared" si="48"/>
        <v>0</v>
      </c>
    </row>
    <row r="1176" spans="1:13" x14ac:dyDescent="0.25">
      <c r="A1176">
        <v>1167</v>
      </c>
      <c r="L1176">
        <f t="shared" si="47"/>
        <v>0</v>
      </c>
      <c r="M1176">
        <f t="shared" si="48"/>
        <v>0</v>
      </c>
    </row>
    <row r="1177" spans="1:13" x14ac:dyDescent="0.25">
      <c r="A1177">
        <v>1168</v>
      </c>
      <c r="L1177">
        <f t="shared" si="47"/>
        <v>0</v>
      </c>
      <c r="M1177">
        <f t="shared" si="48"/>
        <v>0</v>
      </c>
    </row>
    <row r="1178" spans="1:13" x14ac:dyDescent="0.25">
      <c r="A1178">
        <v>1169</v>
      </c>
      <c r="L1178">
        <f t="shared" si="47"/>
        <v>0</v>
      </c>
      <c r="M1178">
        <f t="shared" si="48"/>
        <v>0</v>
      </c>
    </row>
    <row r="1179" spans="1:13" x14ac:dyDescent="0.25">
      <c r="A1179">
        <v>1170</v>
      </c>
      <c r="L1179">
        <f t="shared" si="47"/>
        <v>0</v>
      </c>
      <c r="M1179">
        <f t="shared" si="48"/>
        <v>0</v>
      </c>
    </row>
    <row r="1180" spans="1:13" x14ac:dyDescent="0.25">
      <c r="A1180">
        <v>1171</v>
      </c>
      <c r="L1180">
        <f t="shared" si="47"/>
        <v>0</v>
      </c>
      <c r="M1180">
        <f t="shared" si="48"/>
        <v>0</v>
      </c>
    </row>
    <row r="1181" spans="1:13" x14ac:dyDescent="0.25">
      <c r="A1181">
        <v>1172</v>
      </c>
      <c r="L1181">
        <f t="shared" si="47"/>
        <v>0</v>
      </c>
      <c r="M1181">
        <f t="shared" si="48"/>
        <v>0</v>
      </c>
    </row>
    <row r="1182" spans="1:13" x14ac:dyDescent="0.25">
      <c r="A1182">
        <v>1173</v>
      </c>
      <c r="L1182">
        <f t="shared" si="47"/>
        <v>0</v>
      </c>
      <c r="M1182">
        <f t="shared" si="48"/>
        <v>0</v>
      </c>
    </row>
    <row r="1183" spans="1:13" x14ac:dyDescent="0.25">
      <c r="A1183">
        <v>1174</v>
      </c>
      <c r="L1183">
        <f t="shared" si="47"/>
        <v>0</v>
      </c>
      <c r="M1183">
        <f t="shared" si="48"/>
        <v>0</v>
      </c>
    </row>
    <row r="1184" spans="1:13" x14ac:dyDescent="0.25">
      <c r="A1184">
        <v>1175</v>
      </c>
      <c r="L1184">
        <f t="shared" si="47"/>
        <v>0</v>
      </c>
      <c r="M1184">
        <f t="shared" si="48"/>
        <v>0</v>
      </c>
    </row>
    <row r="1185" spans="1:13" x14ac:dyDescent="0.25">
      <c r="A1185">
        <v>1176</v>
      </c>
      <c r="L1185">
        <f t="shared" si="47"/>
        <v>0</v>
      </c>
      <c r="M1185">
        <f t="shared" si="48"/>
        <v>0</v>
      </c>
    </row>
    <row r="1186" spans="1:13" x14ac:dyDescent="0.25">
      <c r="A1186">
        <v>1177</v>
      </c>
      <c r="L1186">
        <f t="shared" si="47"/>
        <v>0</v>
      </c>
      <c r="M1186">
        <f t="shared" si="48"/>
        <v>0</v>
      </c>
    </row>
    <row r="1187" spans="1:13" x14ac:dyDescent="0.25">
      <c r="A1187">
        <v>1178</v>
      </c>
      <c r="L1187">
        <f t="shared" si="47"/>
        <v>0</v>
      </c>
      <c r="M1187">
        <f t="shared" si="48"/>
        <v>0</v>
      </c>
    </row>
    <row r="1188" spans="1:13" x14ac:dyDescent="0.25">
      <c r="A1188">
        <v>1179</v>
      </c>
      <c r="L1188">
        <f t="shared" si="47"/>
        <v>0</v>
      </c>
      <c r="M1188">
        <f t="shared" si="48"/>
        <v>0</v>
      </c>
    </row>
    <row r="1189" spans="1:13" x14ac:dyDescent="0.25">
      <c r="A1189">
        <v>1180</v>
      </c>
      <c r="L1189">
        <f t="shared" si="47"/>
        <v>0</v>
      </c>
      <c r="M1189">
        <f t="shared" si="48"/>
        <v>0</v>
      </c>
    </row>
    <row r="1190" spans="1:13" x14ac:dyDescent="0.25">
      <c r="A1190">
        <v>1181</v>
      </c>
      <c r="L1190">
        <f t="shared" si="47"/>
        <v>0</v>
      </c>
      <c r="M1190">
        <f t="shared" si="48"/>
        <v>0</v>
      </c>
    </row>
    <row r="1191" spans="1:13" x14ac:dyDescent="0.25">
      <c r="A1191">
        <v>1182</v>
      </c>
      <c r="L1191">
        <f t="shared" si="47"/>
        <v>0</v>
      </c>
      <c r="M1191">
        <f t="shared" si="48"/>
        <v>0</v>
      </c>
    </row>
    <row r="1192" spans="1:13" x14ac:dyDescent="0.25">
      <c r="A1192">
        <v>1183</v>
      </c>
      <c r="L1192">
        <f t="shared" si="47"/>
        <v>0</v>
      </c>
      <c r="M1192">
        <f t="shared" si="48"/>
        <v>0</v>
      </c>
    </row>
    <row r="1193" spans="1:13" x14ac:dyDescent="0.25">
      <c r="A1193">
        <v>1184</v>
      </c>
      <c r="L1193">
        <f t="shared" si="47"/>
        <v>0</v>
      </c>
      <c r="M1193">
        <f t="shared" si="48"/>
        <v>0</v>
      </c>
    </row>
    <row r="1194" spans="1:13" x14ac:dyDescent="0.25">
      <c r="A1194">
        <v>1185</v>
      </c>
      <c r="L1194">
        <f t="shared" si="47"/>
        <v>0</v>
      </c>
      <c r="M1194">
        <f t="shared" si="48"/>
        <v>0</v>
      </c>
    </row>
    <row r="1195" spans="1:13" x14ac:dyDescent="0.25">
      <c r="A1195">
        <v>1186</v>
      </c>
      <c r="L1195">
        <f t="shared" si="47"/>
        <v>0</v>
      </c>
      <c r="M1195">
        <f t="shared" si="48"/>
        <v>0</v>
      </c>
    </row>
    <row r="1196" spans="1:13" x14ac:dyDescent="0.25">
      <c r="A1196">
        <v>1187</v>
      </c>
      <c r="L1196">
        <f t="shared" si="47"/>
        <v>0</v>
      </c>
      <c r="M1196">
        <f t="shared" si="48"/>
        <v>0</v>
      </c>
    </row>
    <row r="1197" spans="1:13" x14ac:dyDescent="0.25">
      <c r="A1197">
        <v>1188</v>
      </c>
      <c r="L1197">
        <f t="shared" si="47"/>
        <v>0</v>
      </c>
      <c r="M1197">
        <f t="shared" si="48"/>
        <v>0</v>
      </c>
    </row>
    <row r="1198" spans="1:13" x14ac:dyDescent="0.25">
      <c r="A1198">
        <v>1189</v>
      </c>
      <c r="L1198">
        <f t="shared" ref="L1198:L1261" si="49">+I1198+H1198</f>
        <v>0</v>
      </c>
      <c r="M1198">
        <f t="shared" si="48"/>
        <v>0</v>
      </c>
    </row>
    <row r="1199" spans="1:13" x14ac:dyDescent="0.25">
      <c r="A1199">
        <v>1190</v>
      </c>
      <c r="L1199">
        <f t="shared" si="49"/>
        <v>0</v>
      </c>
      <c r="M1199">
        <f t="shared" si="48"/>
        <v>0</v>
      </c>
    </row>
    <row r="1200" spans="1:13" x14ac:dyDescent="0.25">
      <c r="A1200">
        <v>1191</v>
      </c>
      <c r="L1200">
        <f t="shared" si="49"/>
        <v>0</v>
      </c>
      <c r="M1200">
        <f t="shared" si="48"/>
        <v>0</v>
      </c>
    </row>
    <row r="1201" spans="1:13" x14ac:dyDescent="0.25">
      <c r="A1201">
        <v>1192</v>
      </c>
      <c r="L1201">
        <f t="shared" si="49"/>
        <v>0</v>
      </c>
      <c r="M1201">
        <f t="shared" si="48"/>
        <v>0</v>
      </c>
    </row>
    <row r="1202" spans="1:13" x14ac:dyDescent="0.25">
      <c r="A1202">
        <v>1193</v>
      </c>
      <c r="L1202">
        <f t="shared" si="49"/>
        <v>0</v>
      </c>
      <c r="M1202">
        <f t="shared" si="48"/>
        <v>0</v>
      </c>
    </row>
    <row r="1203" spans="1:13" x14ac:dyDescent="0.25">
      <c r="A1203">
        <v>1194</v>
      </c>
      <c r="L1203">
        <f t="shared" si="49"/>
        <v>0</v>
      </c>
      <c r="M1203">
        <f t="shared" si="48"/>
        <v>0</v>
      </c>
    </row>
    <row r="1204" spans="1:13" x14ac:dyDescent="0.25">
      <c r="A1204">
        <v>1195</v>
      </c>
      <c r="L1204">
        <f t="shared" si="49"/>
        <v>0</v>
      </c>
      <c r="M1204">
        <f t="shared" si="48"/>
        <v>0</v>
      </c>
    </row>
    <row r="1205" spans="1:13" x14ac:dyDescent="0.25">
      <c r="A1205">
        <v>1196</v>
      </c>
      <c r="L1205">
        <f t="shared" si="49"/>
        <v>0</v>
      </c>
      <c r="M1205">
        <f t="shared" si="48"/>
        <v>0</v>
      </c>
    </row>
    <row r="1206" spans="1:13" x14ac:dyDescent="0.25">
      <c r="A1206">
        <v>1197</v>
      </c>
      <c r="L1206">
        <f t="shared" si="49"/>
        <v>0</v>
      </c>
      <c r="M1206">
        <f t="shared" si="48"/>
        <v>0</v>
      </c>
    </row>
    <row r="1207" spans="1:13" x14ac:dyDescent="0.25">
      <c r="A1207">
        <v>1198</v>
      </c>
      <c r="L1207">
        <f t="shared" si="49"/>
        <v>0</v>
      </c>
      <c r="M1207">
        <f t="shared" si="48"/>
        <v>0</v>
      </c>
    </row>
    <row r="1208" spans="1:13" x14ac:dyDescent="0.25">
      <c r="A1208">
        <v>1199</v>
      </c>
      <c r="L1208">
        <f t="shared" si="49"/>
        <v>0</v>
      </c>
      <c r="M1208">
        <f t="shared" si="48"/>
        <v>0</v>
      </c>
    </row>
    <row r="1209" spans="1:13" x14ac:dyDescent="0.25">
      <c r="A1209">
        <v>1200</v>
      </c>
      <c r="L1209">
        <f t="shared" si="49"/>
        <v>0</v>
      </c>
      <c r="M1209">
        <f t="shared" si="48"/>
        <v>0</v>
      </c>
    </row>
    <row r="1210" spans="1:13" x14ac:dyDescent="0.25">
      <c r="A1210">
        <v>1201</v>
      </c>
      <c r="L1210">
        <f t="shared" si="49"/>
        <v>0</v>
      </c>
      <c r="M1210">
        <f t="shared" si="48"/>
        <v>0</v>
      </c>
    </row>
    <row r="1211" spans="1:13" x14ac:dyDescent="0.25">
      <c r="A1211">
        <v>1202</v>
      </c>
      <c r="L1211">
        <f t="shared" si="49"/>
        <v>0</v>
      </c>
      <c r="M1211">
        <f t="shared" si="48"/>
        <v>0</v>
      </c>
    </row>
    <row r="1212" spans="1:13" x14ac:dyDescent="0.25">
      <c r="A1212">
        <v>1203</v>
      </c>
      <c r="L1212">
        <f t="shared" si="49"/>
        <v>0</v>
      </c>
      <c r="M1212">
        <f t="shared" si="48"/>
        <v>0</v>
      </c>
    </row>
    <row r="1213" spans="1:13" x14ac:dyDescent="0.25">
      <c r="A1213">
        <v>1204</v>
      </c>
      <c r="L1213">
        <f t="shared" si="49"/>
        <v>0</v>
      </c>
      <c r="M1213">
        <f t="shared" si="48"/>
        <v>0</v>
      </c>
    </row>
    <row r="1214" spans="1:13" x14ac:dyDescent="0.25">
      <c r="A1214">
        <v>1205</v>
      </c>
      <c r="L1214">
        <f t="shared" si="49"/>
        <v>0</v>
      </c>
      <c r="M1214">
        <f t="shared" si="48"/>
        <v>0</v>
      </c>
    </row>
    <row r="1215" spans="1:13" x14ac:dyDescent="0.25">
      <c r="A1215">
        <v>1206</v>
      </c>
      <c r="L1215">
        <f t="shared" si="49"/>
        <v>0</v>
      </c>
      <c r="M1215">
        <f t="shared" ref="M1215:M1278" si="50">+I1215/IF(H1215 = 0,1,H1215)</f>
        <v>0</v>
      </c>
    </row>
    <row r="1216" spans="1:13" x14ac:dyDescent="0.25">
      <c r="A1216">
        <v>1207</v>
      </c>
      <c r="L1216">
        <f t="shared" si="49"/>
        <v>0</v>
      </c>
      <c r="M1216">
        <f t="shared" si="50"/>
        <v>0</v>
      </c>
    </row>
    <row r="1217" spans="1:13" x14ac:dyDescent="0.25">
      <c r="A1217">
        <v>1208</v>
      </c>
      <c r="L1217">
        <f t="shared" si="49"/>
        <v>0</v>
      </c>
      <c r="M1217">
        <f t="shared" si="50"/>
        <v>0</v>
      </c>
    </row>
    <row r="1218" spans="1:13" x14ac:dyDescent="0.25">
      <c r="A1218">
        <v>1209</v>
      </c>
      <c r="L1218">
        <f t="shared" si="49"/>
        <v>0</v>
      </c>
      <c r="M1218">
        <f t="shared" si="50"/>
        <v>0</v>
      </c>
    </row>
    <row r="1219" spans="1:13" x14ac:dyDescent="0.25">
      <c r="A1219">
        <v>1210</v>
      </c>
      <c r="L1219">
        <f t="shared" si="49"/>
        <v>0</v>
      </c>
      <c r="M1219">
        <f t="shared" si="50"/>
        <v>0</v>
      </c>
    </row>
    <row r="1220" spans="1:13" x14ac:dyDescent="0.25">
      <c r="A1220">
        <v>1211</v>
      </c>
      <c r="L1220">
        <f t="shared" si="49"/>
        <v>0</v>
      </c>
      <c r="M1220">
        <f t="shared" si="50"/>
        <v>0</v>
      </c>
    </row>
    <row r="1221" spans="1:13" x14ac:dyDescent="0.25">
      <c r="A1221">
        <v>1212</v>
      </c>
      <c r="L1221">
        <f t="shared" si="49"/>
        <v>0</v>
      </c>
      <c r="M1221">
        <f t="shared" si="50"/>
        <v>0</v>
      </c>
    </row>
    <row r="1222" spans="1:13" x14ac:dyDescent="0.25">
      <c r="A1222">
        <v>1213</v>
      </c>
      <c r="L1222">
        <f t="shared" si="49"/>
        <v>0</v>
      </c>
      <c r="M1222">
        <f t="shared" si="50"/>
        <v>0</v>
      </c>
    </row>
    <row r="1223" spans="1:13" x14ac:dyDescent="0.25">
      <c r="A1223">
        <v>1214</v>
      </c>
      <c r="L1223">
        <f t="shared" si="49"/>
        <v>0</v>
      </c>
      <c r="M1223">
        <f t="shared" si="50"/>
        <v>0</v>
      </c>
    </row>
    <row r="1224" spans="1:13" x14ac:dyDescent="0.25">
      <c r="A1224">
        <v>1215</v>
      </c>
      <c r="L1224">
        <f t="shared" si="49"/>
        <v>0</v>
      </c>
      <c r="M1224">
        <f t="shared" si="50"/>
        <v>0</v>
      </c>
    </row>
    <row r="1225" spans="1:13" x14ac:dyDescent="0.25">
      <c r="A1225">
        <v>1216</v>
      </c>
      <c r="L1225">
        <f t="shared" si="49"/>
        <v>0</v>
      </c>
      <c r="M1225">
        <f t="shared" si="50"/>
        <v>0</v>
      </c>
    </row>
    <row r="1226" spans="1:13" x14ac:dyDescent="0.25">
      <c r="A1226">
        <v>1217</v>
      </c>
      <c r="L1226">
        <f t="shared" si="49"/>
        <v>0</v>
      </c>
      <c r="M1226">
        <f t="shared" si="50"/>
        <v>0</v>
      </c>
    </row>
    <row r="1227" spans="1:13" x14ac:dyDescent="0.25">
      <c r="A1227">
        <v>1218</v>
      </c>
      <c r="L1227">
        <f t="shared" si="49"/>
        <v>0</v>
      </c>
      <c r="M1227">
        <f t="shared" si="50"/>
        <v>0</v>
      </c>
    </row>
    <row r="1228" spans="1:13" x14ac:dyDescent="0.25">
      <c r="A1228">
        <v>1219</v>
      </c>
      <c r="L1228">
        <f t="shared" si="49"/>
        <v>0</v>
      </c>
      <c r="M1228">
        <f t="shared" si="50"/>
        <v>0</v>
      </c>
    </row>
    <row r="1229" spans="1:13" x14ac:dyDescent="0.25">
      <c r="A1229">
        <v>1220</v>
      </c>
      <c r="L1229">
        <f t="shared" si="49"/>
        <v>0</v>
      </c>
      <c r="M1229">
        <f t="shared" si="50"/>
        <v>0</v>
      </c>
    </row>
    <row r="1230" spans="1:13" x14ac:dyDescent="0.25">
      <c r="A1230">
        <v>1221</v>
      </c>
      <c r="L1230">
        <f t="shared" si="49"/>
        <v>0</v>
      </c>
      <c r="M1230">
        <f t="shared" si="50"/>
        <v>0</v>
      </c>
    </row>
    <row r="1231" spans="1:13" x14ac:dyDescent="0.25">
      <c r="A1231">
        <v>1222</v>
      </c>
      <c r="L1231">
        <f t="shared" si="49"/>
        <v>0</v>
      </c>
      <c r="M1231">
        <f t="shared" si="50"/>
        <v>0</v>
      </c>
    </row>
    <row r="1232" spans="1:13" x14ac:dyDescent="0.25">
      <c r="A1232">
        <v>1223</v>
      </c>
      <c r="L1232">
        <f t="shared" si="49"/>
        <v>0</v>
      </c>
      <c r="M1232">
        <f t="shared" si="50"/>
        <v>0</v>
      </c>
    </row>
    <row r="1233" spans="1:13" x14ac:dyDescent="0.25">
      <c r="A1233">
        <v>1224</v>
      </c>
      <c r="L1233">
        <f t="shared" si="49"/>
        <v>0</v>
      </c>
      <c r="M1233">
        <f t="shared" si="50"/>
        <v>0</v>
      </c>
    </row>
    <row r="1234" spans="1:13" x14ac:dyDescent="0.25">
      <c r="A1234">
        <v>1225</v>
      </c>
      <c r="L1234">
        <f t="shared" si="49"/>
        <v>0</v>
      </c>
      <c r="M1234">
        <f t="shared" si="50"/>
        <v>0</v>
      </c>
    </row>
    <row r="1235" spans="1:13" x14ac:dyDescent="0.25">
      <c r="A1235">
        <v>1226</v>
      </c>
      <c r="L1235">
        <f t="shared" si="49"/>
        <v>0</v>
      </c>
      <c r="M1235">
        <f t="shared" si="50"/>
        <v>0</v>
      </c>
    </row>
    <row r="1236" spans="1:13" x14ac:dyDescent="0.25">
      <c r="A1236">
        <v>1227</v>
      </c>
      <c r="L1236">
        <f t="shared" si="49"/>
        <v>0</v>
      </c>
      <c r="M1236">
        <f t="shared" si="50"/>
        <v>0</v>
      </c>
    </row>
    <row r="1237" spans="1:13" x14ac:dyDescent="0.25">
      <c r="A1237">
        <v>1228</v>
      </c>
      <c r="L1237">
        <f t="shared" si="49"/>
        <v>0</v>
      </c>
      <c r="M1237">
        <f t="shared" si="50"/>
        <v>0</v>
      </c>
    </row>
    <row r="1238" spans="1:13" x14ac:dyDescent="0.25">
      <c r="A1238">
        <v>1229</v>
      </c>
      <c r="L1238">
        <f t="shared" si="49"/>
        <v>0</v>
      </c>
      <c r="M1238">
        <f t="shared" si="50"/>
        <v>0</v>
      </c>
    </row>
    <row r="1239" spans="1:13" x14ac:dyDescent="0.25">
      <c r="A1239">
        <v>1230</v>
      </c>
      <c r="L1239">
        <f t="shared" si="49"/>
        <v>0</v>
      </c>
      <c r="M1239">
        <f t="shared" si="50"/>
        <v>0</v>
      </c>
    </row>
    <row r="1240" spans="1:13" x14ac:dyDescent="0.25">
      <c r="A1240">
        <v>1231</v>
      </c>
      <c r="L1240">
        <f t="shared" si="49"/>
        <v>0</v>
      </c>
      <c r="M1240">
        <f t="shared" si="50"/>
        <v>0</v>
      </c>
    </row>
    <row r="1241" spans="1:13" x14ac:dyDescent="0.25">
      <c r="A1241">
        <v>1232</v>
      </c>
      <c r="L1241">
        <f t="shared" si="49"/>
        <v>0</v>
      </c>
      <c r="M1241">
        <f t="shared" si="50"/>
        <v>0</v>
      </c>
    </row>
    <row r="1242" spans="1:13" x14ac:dyDescent="0.25">
      <c r="A1242">
        <v>1233</v>
      </c>
      <c r="L1242">
        <f t="shared" si="49"/>
        <v>0</v>
      </c>
      <c r="M1242">
        <f t="shared" si="50"/>
        <v>0</v>
      </c>
    </row>
    <row r="1243" spans="1:13" x14ac:dyDescent="0.25">
      <c r="A1243">
        <v>1234</v>
      </c>
      <c r="L1243">
        <f t="shared" si="49"/>
        <v>0</v>
      </c>
      <c r="M1243">
        <f t="shared" si="50"/>
        <v>0</v>
      </c>
    </row>
    <row r="1244" spans="1:13" x14ac:dyDescent="0.25">
      <c r="A1244">
        <v>1235</v>
      </c>
      <c r="L1244">
        <f t="shared" si="49"/>
        <v>0</v>
      </c>
      <c r="M1244">
        <f t="shared" si="50"/>
        <v>0</v>
      </c>
    </row>
    <row r="1245" spans="1:13" x14ac:dyDescent="0.25">
      <c r="A1245">
        <v>1236</v>
      </c>
      <c r="L1245">
        <f t="shared" si="49"/>
        <v>0</v>
      </c>
      <c r="M1245">
        <f t="shared" si="50"/>
        <v>0</v>
      </c>
    </row>
    <row r="1246" spans="1:13" x14ac:dyDescent="0.25">
      <c r="A1246">
        <v>1237</v>
      </c>
      <c r="L1246">
        <f t="shared" si="49"/>
        <v>0</v>
      </c>
      <c r="M1246">
        <f t="shared" si="50"/>
        <v>0</v>
      </c>
    </row>
    <row r="1247" spans="1:13" x14ac:dyDescent="0.25">
      <c r="A1247">
        <v>1238</v>
      </c>
      <c r="L1247">
        <f t="shared" si="49"/>
        <v>0</v>
      </c>
      <c r="M1247">
        <f t="shared" si="50"/>
        <v>0</v>
      </c>
    </row>
    <row r="1248" spans="1:13" x14ac:dyDescent="0.25">
      <c r="A1248">
        <v>1239</v>
      </c>
      <c r="L1248">
        <f t="shared" si="49"/>
        <v>0</v>
      </c>
      <c r="M1248">
        <f t="shared" si="50"/>
        <v>0</v>
      </c>
    </row>
    <row r="1249" spans="1:13" x14ac:dyDescent="0.25">
      <c r="A1249">
        <v>1240</v>
      </c>
      <c r="L1249">
        <f t="shared" si="49"/>
        <v>0</v>
      </c>
      <c r="M1249">
        <f t="shared" si="50"/>
        <v>0</v>
      </c>
    </row>
    <row r="1250" spans="1:13" x14ac:dyDescent="0.25">
      <c r="A1250">
        <v>1241</v>
      </c>
      <c r="L1250">
        <f t="shared" si="49"/>
        <v>0</v>
      </c>
      <c r="M1250">
        <f t="shared" si="50"/>
        <v>0</v>
      </c>
    </row>
    <row r="1251" spans="1:13" x14ac:dyDescent="0.25">
      <c r="A1251">
        <v>1242</v>
      </c>
      <c r="L1251">
        <f t="shared" si="49"/>
        <v>0</v>
      </c>
      <c r="M1251">
        <f t="shared" si="50"/>
        <v>0</v>
      </c>
    </row>
    <row r="1252" spans="1:13" x14ac:dyDescent="0.25">
      <c r="A1252">
        <v>1243</v>
      </c>
      <c r="L1252">
        <f t="shared" si="49"/>
        <v>0</v>
      </c>
      <c r="M1252">
        <f t="shared" si="50"/>
        <v>0</v>
      </c>
    </row>
    <row r="1253" spans="1:13" x14ac:dyDescent="0.25">
      <c r="A1253">
        <v>1244</v>
      </c>
      <c r="L1253">
        <f t="shared" si="49"/>
        <v>0</v>
      </c>
      <c r="M1253">
        <f t="shared" si="50"/>
        <v>0</v>
      </c>
    </row>
    <row r="1254" spans="1:13" x14ac:dyDescent="0.25">
      <c r="A1254">
        <v>1245</v>
      </c>
      <c r="L1254">
        <f t="shared" si="49"/>
        <v>0</v>
      </c>
      <c r="M1254">
        <f t="shared" si="50"/>
        <v>0</v>
      </c>
    </row>
    <row r="1255" spans="1:13" x14ac:dyDescent="0.25">
      <c r="A1255">
        <v>1246</v>
      </c>
      <c r="L1255">
        <f t="shared" si="49"/>
        <v>0</v>
      </c>
      <c r="M1255">
        <f t="shared" si="50"/>
        <v>0</v>
      </c>
    </row>
    <row r="1256" spans="1:13" x14ac:dyDescent="0.25">
      <c r="A1256">
        <v>1247</v>
      </c>
      <c r="L1256">
        <f t="shared" si="49"/>
        <v>0</v>
      </c>
      <c r="M1256">
        <f t="shared" si="50"/>
        <v>0</v>
      </c>
    </row>
    <row r="1257" spans="1:13" x14ac:dyDescent="0.25">
      <c r="A1257">
        <v>1248</v>
      </c>
      <c r="L1257">
        <f t="shared" si="49"/>
        <v>0</v>
      </c>
      <c r="M1257">
        <f t="shared" si="50"/>
        <v>0</v>
      </c>
    </row>
    <row r="1258" spans="1:13" x14ac:dyDescent="0.25">
      <c r="A1258">
        <v>1249</v>
      </c>
      <c r="L1258">
        <f t="shared" si="49"/>
        <v>0</v>
      </c>
      <c r="M1258">
        <f t="shared" si="50"/>
        <v>0</v>
      </c>
    </row>
    <row r="1259" spans="1:13" x14ac:dyDescent="0.25">
      <c r="A1259">
        <v>1250</v>
      </c>
      <c r="L1259">
        <f t="shared" si="49"/>
        <v>0</v>
      </c>
      <c r="M1259">
        <f t="shared" si="50"/>
        <v>0</v>
      </c>
    </row>
    <row r="1260" spans="1:13" x14ac:dyDescent="0.25">
      <c r="A1260">
        <v>1251</v>
      </c>
      <c r="L1260">
        <f t="shared" si="49"/>
        <v>0</v>
      </c>
      <c r="M1260">
        <f t="shared" si="50"/>
        <v>0</v>
      </c>
    </row>
    <row r="1261" spans="1:13" x14ac:dyDescent="0.25">
      <c r="A1261">
        <v>1252</v>
      </c>
      <c r="L1261">
        <f t="shared" si="49"/>
        <v>0</v>
      </c>
      <c r="M1261">
        <f t="shared" si="50"/>
        <v>0</v>
      </c>
    </row>
    <row r="1262" spans="1:13" x14ac:dyDescent="0.25">
      <c r="A1262">
        <v>1253</v>
      </c>
      <c r="L1262">
        <f t="shared" ref="L1262:L1325" si="51">+I1262+H1262</f>
        <v>0</v>
      </c>
      <c r="M1262">
        <f t="shared" si="50"/>
        <v>0</v>
      </c>
    </row>
    <row r="1263" spans="1:13" x14ac:dyDescent="0.25">
      <c r="A1263">
        <v>1254</v>
      </c>
      <c r="L1263">
        <f t="shared" si="51"/>
        <v>0</v>
      </c>
      <c r="M1263">
        <f t="shared" si="50"/>
        <v>0</v>
      </c>
    </row>
    <row r="1264" spans="1:13" x14ac:dyDescent="0.25">
      <c r="A1264">
        <v>1255</v>
      </c>
      <c r="L1264">
        <f t="shared" si="51"/>
        <v>0</v>
      </c>
      <c r="M1264">
        <f t="shared" si="50"/>
        <v>0</v>
      </c>
    </row>
    <row r="1265" spans="1:13" x14ac:dyDescent="0.25">
      <c r="A1265">
        <v>1256</v>
      </c>
      <c r="L1265">
        <f t="shared" si="51"/>
        <v>0</v>
      </c>
      <c r="M1265">
        <f t="shared" si="50"/>
        <v>0</v>
      </c>
    </row>
    <row r="1266" spans="1:13" x14ac:dyDescent="0.25">
      <c r="A1266">
        <v>1257</v>
      </c>
      <c r="L1266">
        <f t="shared" si="51"/>
        <v>0</v>
      </c>
      <c r="M1266">
        <f t="shared" si="50"/>
        <v>0</v>
      </c>
    </row>
    <row r="1267" spans="1:13" x14ac:dyDescent="0.25">
      <c r="A1267">
        <v>1258</v>
      </c>
      <c r="L1267">
        <f t="shared" si="51"/>
        <v>0</v>
      </c>
      <c r="M1267">
        <f t="shared" si="50"/>
        <v>0</v>
      </c>
    </row>
    <row r="1268" spans="1:13" x14ac:dyDescent="0.25">
      <c r="A1268">
        <v>1259</v>
      </c>
      <c r="L1268">
        <f t="shared" si="51"/>
        <v>0</v>
      </c>
      <c r="M1268">
        <f t="shared" si="50"/>
        <v>0</v>
      </c>
    </row>
    <row r="1269" spans="1:13" x14ac:dyDescent="0.25">
      <c r="A1269">
        <v>1260</v>
      </c>
      <c r="L1269">
        <f t="shared" si="51"/>
        <v>0</v>
      </c>
      <c r="M1269">
        <f t="shared" si="50"/>
        <v>0</v>
      </c>
    </row>
    <row r="1270" spans="1:13" x14ac:dyDescent="0.25">
      <c r="A1270">
        <v>1261</v>
      </c>
      <c r="L1270">
        <f t="shared" si="51"/>
        <v>0</v>
      </c>
      <c r="M1270">
        <f t="shared" si="50"/>
        <v>0</v>
      </c>
    </row>
    <row r="1271" spans="1:13" x14ac:dyDescent="0.25">
      <c r="A1271">
        <v>1262</v>
      </c>
      <c r="L1271">
        <f t="shared" si="51"/>
        <v>0</v>
      </c>
      <c r="M1271">
        <f t="shared" si="50"/>
        <v>0</v>
      </c>
    </row>
    <row r="1272" spans="1:13" x14ac:dyDescent="0.25">
      <c r="A1272">
        <v>1263</v>
      </c>
      <c r="L1272">
        <f t="shared" si="51"/>
        <v>0</v>
      </c>
      <c r="M1272">
        <f t="shared" si="50"/>
        <v>0</v>
      </c>
    </row>
    <row r="1273" spans="1:13" x14ac:dyDescent="0.25">
      <c r="A1273">
        <v>1264</v>
      </c>
      <c r="L1273">
        <f t="shared" si="51"/>
        <v>0</v>
      </c>
      <c r="M1273">
        <f t="shared" si="50"/>
        <v>0</v>
      </c>
    </row>
    <row r="1274" spans="1:13" x14ac:dyDescent="0.25">
      <c r="A1274">
        <v>1265</v>
      </c>
      <c r="L1274">
        <f t="shared" si="51"/>
        <v>0</v>
      </c>
      <c r="M1274">
        <f t="shared" si="50"/>
        <v>0</v>
      </c>
    </row>
    <row r="1275" spans="1:13" x14ac:dyDescent="0.25">
      <c r="A1275">
        <v>1266</v>
      </c>
      <c r="L1275">
        <f t="shared" si="51"/>
        <v>0</v>
      </c>
      <c r="M1275">
        <f t="shared" si="50"/>
        <v>0</v>
      </c>
    </row>
    <row r="1276" spans="1:13" x14ac:dyDescent="0.25">
      <c r="A1276">
        <v>1267</v>
      </c>
      <c r="L1276">
        <f t="shared" si="51"/>
        <v>0</v>
      </c>
      <c r="M1276">
        <f t="shared" si="50"/>
        <v>0</v>
      </c>
    </row>
    <row r="1277" spans="1:13" x14ac:dyDescent="0.25">
      <c r="A1277">
        <v>1268</v>
      </c>
      <c r="L1277">
        <f t="shared" si="51"/>
        <v>0</v>
      </c>
      <c r="M1277">
        <f t="shared" si="50"/>
        <v>0</v>
      </c>
    </row>
    <row r="1278" spans="1:13" x14ac:dyDescent="0.25">
      <c r="A1278">
        <v>1269</v>
      </c>
      <c r="L1278">
        <f t="shared" si="51"/>
        <v>0</v>
      </c>
      <c r="M1278">
        <f t="shared" si="50"/>
        <v>0</v>
      </c>
    </row>
    <row r="1279" spans="1:13" x14ac:dyDescent="0.25">
      <c r="A1279">
        <v>1270</v>
      </c>
      <c r="L1279">
        <f t="shared" si="51"/>
        <v>0</v>
      </c>
      <c r="M1279">
        <f t="shared" ref="M1279:M1342" si="52">+I1279/IF(H1279 = 0,1,H1279)</f>
        <v>0</v>
      </c>
    </row>
    <row r="1280" spans="1:13" x14ac:dyDescent="0.25">
      <c r="A1280">
        <v>1271</v>
      </c>
      <c r="L1280">
        <f t="shared" si="51"/>
        <v>0</v>
      </c>
      <c r="M1280">
        <f t="shared" si="52"/>
        <v>0</v>
      </c>
    </row>
    <row r="1281" spans="1:13" x14ac:dyDescent="0.25">
      <c r="A1281">
        <v>1272</v>
      </c>
      <c r="L1281">
        <f t="shared" si="51"/>
        <v>0</v>
      </c>
      <c r="M1281">
        <f t="shared" si="52"/>
        <v>0</v>
      </c>
    </row>
    <row r="1282" spans="1:13" x14ac:dyDescent="0.25">
      <c r="A1282">
        <v>1273</v>
      </c>
      <c r="L1282">
        <f t="shared" si="51"/>
        <v>0</v>
      </c>
      <c r="M1282">
        <f t="shared" si="52"/>
        <v>0</v>
      </c>
    </row>
    <row r="1283" spans="1:13" x14ac:dyDescent="0.25">
      <c r="A1283">
        <v>1274</v>
      </c>
      <c r="L1283">
        <f t="shared" si="51"/>
        <v>0</v>
      </c>
      <c r="M1283">
        <f t="shared" si="52"/>
        <v>0</v>
      </c>
    </row>
    <row r="1284" spans="1:13" x14ac:dyDescent="0.25">
      <c r="A1284">
        <v>1275</v>
      </c>
      <c r="L1284">
        <f t="shared" si="51"/>
        <v>0</v>
      </c>
      <c r="M1284">
        <f t="shared" si="52"/>
        <v>0</v>
      </c>
    </row>
    <row r="1285" spans="1:13" x14ac:dyDescent="0.25">
      <c r="A1285">
        <v>1276</v>
      </c>
      <c r="L1285">
        <f t="shared" si="51"/>
        <v>0</v>
      </c>
      <c r="M1285">
        <f t="shared" si="52"/>
        <v>0</v>
      </c>
    </row>
    <row r="1286" spans="1:13" x14ac:dyDescent="0.25">
      <c r="A1286">
        <v>1277</v>
      </c>
      <c r="L1286">
        <f t="shared" si="51"/>
        <v>0</v>
      </c>
      <c r="M1286">
        <f t="shared" si="52"/>
        <v>0</v>
      </c>
    </row>
    <row r="1287" spans="1:13" x14ac:dyDescent="0.25">
      <c r="A1287">
        <v>1278</v>
      </c>
      <c r="L1287">
        <f t="shared" si="51"/>
        <v>0</v>
      </c>
      <c r="M1287">
        <f t="shared" si="52"/>
        <v>0</v>
      </c>
    </row>
    <row r="1288" spans="1:13" x14ac:dyDescent="0.25">
      <c r="A1288">
        <v>1279</v>
      </c>
      <c r="L1288">
        <f t="shared" si="51"/>
        <v>0</v>
      </c>
      <c r="M1288">
        <f t="shared" si="52"/>
        <v>0</v>
      </c>
    </row>
    <row r="1289" spans="1:13" x14ac:dyDescent="0.25">
      <c r="A1289">
        <v>1280</v>
      </c>
      <c r="L1289">
        <f t="shared" si="51"/>
        <v>0</v>
      </c>
      <c r="M1289">
        <f t="shared" si="52"/>
        <v>0</v>
      </c>
    </row>
    <row r="1290" spans="1:13" x14ac:dyDescent="0.25">
      <c r="A1290">
        <v>1281</v>
      </c>
      <c r="L1290">
        <f t="shared" si="51"/>
        <v>0</v>
      </c>
      <c r="M1290">
        <f t="shared" si="52"/>
        <v>0</v>
      </c>
    </row>
    <row r="1291" spans="1:13" x14ac:dyDescent="0.25">
      <c r="A1291">
        <v>1282</v>
      </c>
      <c r="L1291">
        <f t="shared" si="51"/>
        <v>0</v>
      </c>
      <c r="M1291">
        <f t="shared" si="52"/>
        <v>0</v>
      </c>
    </row>
    <row r="1292" spans="1:13" x14ac:dyDescent="0.25">
      <c r="A1292">
        <v>1283</v>
      </c>
      <c r="L1292">
        <f t="shared" si="51"/>
        <v>0</v>
      </c>
      <c r="M1292">
        <f t="shared" si="52"/>
        <v>0</v>
      </c>
    </row>
    <row r="1293" spans="1:13" x14ac:dyDescent="0.25">
      <c r="A1293">
        <v>1284</v>
      </c>
      <c r="L1293">
        <f t="shared" si="51"/>
        <v>0</v>
      </c>
      <c r="M1293">
        <f t="shared" si="52"/>
        <v>0</v>
      </c>
    </row>
    <row r="1294" spans="1:13" x14ac:dyDescent="0.25">
      <c r="A1294">
        <v>1285</v>
      </c>
      <c r="L1294">
        <f t="shared" si="51"/>
        <v>0</v>
      </c>
      <c r="M1294">
        <f t="shared" si="52"/>
        <v>0</v>
      </c>
    </row>
    <row r="1295" spans="1:13" x14ac:dyDescent="0.25">
      <c r="A1295">
        <v>1286</v>
      </c>
      <c r="L1295">
        <f t="shared" si="51"/>
        <v>0</v>
      </c>
      <c r="M1295">
        <f t="shared" si="52"/>
        <v>0</v>
      </c>
    </row>
    <row r="1296" spans="1:13" x14ac:dyDescent="0.25">
      <c r="A1296">
        <v>1287</v>
      </c>
      <c r="L1296">
        <f t="shared" si="51"/>
        <v>0</v>
      </c>
      <c r="M1296">
        <f t="shared" si="52"/>
        <v>0</v>
      </c>
    </row>
    <row r="1297" spans="1:13" x14ac:dyDescent="0.25">
      <c r="A1297">
        <v>1288</v>
      </c>
      <c r="L1297">
        <f t="shared" si="51"/>
        <v>0</v>
      </c>
      <c r="M1297">
        <f t="shared" si="52"/>
        <v>0</v>
      </c>
    </row>
    <row r="1298" spans="1:13" x14ac:dyDescent="0.25">
      <c r="A1298">
        <v>1289</v>
      </c>
      <c r="L1298">
        <f t="shared" si="51"/>
        <v>0</v>
      </c>
      <c r="M1298">
        <f t="shared" si="52"/>
        <v>0</v>
      </c>
    </row>
    <row r="1299" spans="1:13" x14ac:dyDescent="0.25">
      <c r="A1299">
        <v>1290</v>
      </c>
      <c r="L1299">
        <f t="shared" si="51"/>
        <v>0</v>
      </c>
      <c r="M1299">
        <f t="shared" si="52"/>
        <v>0</v>
      </c>
    </row>
    <row r="1300" spans="1:13" x14ac:dyDescent="0.25">
      <c r="A1300">
        <v>1291</v>
      </c>
      <c r="L1300">
        <f t="shared" si="51"/>
        <v>0</v>
      </c>
      <c r="M1300">
        <f t="shared" si="52"/>
        <v>0</v>
      </c>
    </row>
    <row r="1301" spans="1:13" x14ac:dyDescent="0.25">
      <c r="A1301">
        <v>1292</v>
      </c>
      <c r="L1301">
        <f t="shared" si="51"/>
        <v>0</v>
      </c>
      <c r="M1301">
        <f t="shared" si="52"/>
        <v>0</v>
      </c>
    </row>
    <row r="1302" spans="1:13" x14ac:dyDescent="0.25">
      <c r="A1302">
        <v>1293</v>
      </c>
      <c r="L1302">
        <f t="shared" si="51"/>
        <v>0</v>
      </c>
      <c r="M1302">
        <f t="shared" si="52"/>
        <v>0</v>
      </c>
    </row>
    <row r="1303" spans="1:13" x14ac:dyDescent="0.25">
      <c r="A1303">
        <v>1294</v>
      </c>
      <c r="L1303">
        <f t="shared" si="51"/>
        <v>0</v>
      </c>
      <c r="M1303">
        <f t="shared" si="52"/>
        <v>0</v>
      </c>
    </row>
    <row r="1304" spans="1:13" x14ac:dyDescent="0.25">
      <c r="A1304">
        <v>1295</v>
      </c>
      <c r="L1304">
        <f t="shared" si="51"/>
        <v>0</v>
      </c>
      <c r="M1304">
        <f t="shared" si="52"/>
        <v>0</v>
      </c>
    </row>
    <row r="1305" spans="1:13" x14ac:dyDescent="0.25">
      <c r="A1305">
        <v>1296</v>
      </c>
      <c r="L1305">
        <f t="shared" si="51"/>
        <v>0</v>
      </c>
      <c r="M1305">
        <f t="shared" si="52"/>
        <v>0</v>
      </c>
    </row>
    <row r="1306" spans="1:13" x14ac:dyDescent="0.25">
      <c r="A1306">
        <v>1297</v>
      </c>
      <c r="L1306">
        <f t="shared" si="51"/>
        <v>0</v>
      </c>
      <c r="M1306">
        <f t="shared" si="52"/>
        <v>0</v>
      </c>
    </row>
    <row r="1307" spans="1:13" x14ac:dyDescent="0.25">
      <c r="A1307">
        <v>1298</v>
      </c>
      <c r="L1307">
        <f t="shared" si="51"/>
        <v>0</v>
      </c>
      <c r="M1307">
        <f t="shared" si="52"/>
        <v>0</v>
      </c>
    </row>
    <row r="1308" spans="1:13" x14ac:dyDescent="0.25">
      <c r="A1308">
        <v>1299</v>
      </c>
      <c r="L1308">
        <f t="shared" si="51"/>
        <v>0</v>
      </c>
      <c r="M1308">
        <f t="shared" si="52"/>
        <v>0</v>
      </c>
    </row>
    <row r="1309" spans="1:13" x14ac:dyDescent="0.25">
      <c r="A1309">
        <v>1300</v>
      </c>
      <c r="L1309">
        <f t="shared" si="51"/>
        <v>0</v>
      </c>
      <c r="M1309">
        <f t="shared" si="52"/>
        <v>0</v>
      </c>
    </row>
    <row r="1310" spans="1:13" x14ac:dyDescent="0.25">
      <c r="A1310">
        <v>1301</v>
      </c>
      <c r="L1310">
        <f t="shared" si="51"/>
        <v>0</v>
      </c>
      <c r="M1310">
        <f t="shared" si="52"/>
        <v>0</v>
      </c>
    </row>
    <row r="1311" spans="1:13" x14ac:dyDescent="0.25">
      <c r="A1311">
        <v>1302</v>
      </c>
      <c r="L1311">
        <f t="shared" si="51"/>
        <v>0</v>
      </c>
      <c r="M1311">
        <f t="shared" si="52"/>
        <v>0</v>
      </c>
    </row>
    <row r="1312" spans="1:13" x14ac:dyDescent="0.25">
      <c r="A1312">
        <v>1303</v>
      </c>
      <c r="L1312">
        <f t="shared" si="51"/>
        <v>0</v>
      </c>
      <c r="M1312">
        <f t="shared" si="52"/>
        <v>0</v>
      </c>
    </row>
    <row r="1313" spans="1:13" x14ac:dyDescent="0.25">
      <c r="A1313">
        <v>1304</v>
      </c>
      <c r="L1313">
        <f t="shared" si="51"/>
        <v>0</v>
      </c>
      <c r="M1313">
        <f t="shared" si="52"/>
        <v>0</v>
      </c>
    </row>
    <row r="1314" spans="1:13" x14ac:dyDescent="0.25">
      <c r="A1314">
        <v>1305</v>
      </c>
      <c r="L1314">
        <f t="shared" si="51"/>
        <v>0</v>
      </c>
      <c r="M1314">
        <f t="shared" si="52"/>
        <v>0</v>
      </c>
    </row>
    <row r="1315" spans="1:13" x14ac:dyDescent="0.25">
      <c r="A1315">
        <v>1306</v>
      </c>
      <c r="L1315">
        <f t="shared" si="51"/>
        <v>0</v>
      </c>
      <c r="M1315">
        <f t="shared" si="52"/>
        <v>0</v>
      </c>
    </row>
    <row r="1316" spans="1:13" x14ac:dyDescent="0.25">
      <c r="A1316">
        <v>1307</v>
      </c>
      <c r="L1316">
        <f t="shared" si="51"/>
        <v>0</v>
      </c>
      <c r="M1316">
        <f t="shared" si="52"/>
        <v>0</v>
      </c>
    </row>
    <row r="1317" spans="1:13" x14ac:dyDescent="0.25">
      <c r="A1317">
        <v>1308</v>
      </c>
      <c r="L1317">
        <f t="shared" si="51"/>
        <v>0</v>
      </c>
      <c r="M1317">
        <f t="shared" si="52"/>
        <v>0</v>
      </c>
    </row>
    <row r="1318" spans="1:13" x14ac:dyDescent="0.25">
      <c r="A1318">
        <v>1309</v>
      </c>
      <c r="L1318">
        <f t="shared" si="51"/>
        <v>0</v>
      </c>
      <c r="M1318">
        <f t="shared" si="52"/>
        <v>0</v>
      </c>
    </row>
    <row r="1319" spans="1:13" x14ac:dyDescent="0.25">
      <c r="A1319">
        <v>1310</v>
      </c>
      <c r="L1319">
        <f t="shared" si="51"/>
        <v>0</v>
      </c>
      <c r="M1319">
        <f t="shared" si="52"/>
        <v>0</v>
      </c>
    </row>
    <row r="1320" spans="1:13" x14ac:dyDescent="0.25">
      <c r="A1320">
        <v>1311</v>
      </c>
      <c r="L1320">
        <f t="shared" si="51"/>
        <v>0</v>
      </c>
      <c r="M1320">
        <f t="shared" si="52"/>
        <v>0</v>
      </c>
    </row>
    <row r="1321" spans="1:13" x14ac:dyDescent="0.25">
      <c r="A1321">
        <v>1312</v>
      </c>
      <c r="L1321">
        <f t="shared" si="51"/>
        <v>0</v>
      </c>
      <c r="M1321">
        <f t="shared" si="52"/>
        <v>0</v>
      </c>
    </row>
    <row r="1322" spans="1:13" x14ac:dyDescent="0.25">
      <c r="A1322">
        <v>1313</v>
      </c>
      <c r="L1322">
        <f t="shared" si="51"/>
        <v>0</v>
      </c>
      <c r="M1322">
        <f t="shared" si="52"/>
        <v>0</v>
      </c>
    </row>
    <row r="1323" spans="1:13" x14ac:dyDescent="0.25">
      <c r="A1323">
        <v>1314</v>
      </c>
      <c r="L1323">
        <f t="shared" si="51"/>
        <v>0</v>
      </c>
      <c r="M1323">
        <f t="shared" si="52"/>
        <v>0</v>
      </c>
    </row>
    <row r="1324" spans="1:13" x14ac:dyDescent="0.25">
      <c r="A1324">
        <v>1315</v>
      </c>
      <c r="L1324">
        <f t="shared" si="51"/>
        <v>0</v>
      </c>
      <c r="M1324">
        <f t="shared" si="52"/>
        <v>0</v>
      </c>
    </row>
    <row r="1325" spans="1:13" x14ac:dyDescent="0.25">
      <c r="A1325">
        <v>1316</v>
      </c>
      <c r="L1325">
        <f t="shared" si="51"/>
        <v>0</v>
      </c>
      <c r="M1325">
        <f t="shared" si="52"/>
        <v>0</v>
      </c>
    </row>
    <row r="1326" spans="1:13" x14ac:dyDescent="0.25">
      <c r="A1326">
        <v>1317</v>
      </c>
      <c r="L1326">
        <f t="shared" ref="L1326:L1389" si="53">+I1326+H1326</f>
        <v>0</v>
      </c>
      <c r="M1326">
        <f t="shared" si="52"/>
        <v>0</v>
      </c>
    </row>
    <row r="1327" spans="1:13" x14ac:dyDescent="0.25">
      <c r="A1327">
        <v>1318</v>
      </c>
      <c r="L1327">
        <f t="shared" si="53"/>
        <v>0</v>
      </c>
      <c r="M1327">
        <f t="shared" si="52"/>
        <v>0</v>
      </c>
    </row>
    <row r="1328" spans="1:13" x14ac:dyDescent="0.25">
      <c r="A1328">
        <v>1319</v>
      </c>
      <c r="L1328">
        <f t="shared" si="53"/>
        <v>0</v>
      </c>
      <c r="M1328">
        <f t="shared" si="52"/>
        <v>0</v>
      </c>
    </row>
    <row r="1329" spans="1:13" x14ac:dyDescent="0.25">
      <c r="A1329">
        <v>1320</v>
      </c>
      <c r="L1329">
        <f t="shared" si="53"/>
        <v>0</v>
      </c>
      <c r="M1329">
        <f t="shared" si="52"/>
        <v>0</v>
      </c>
    </row>
    <row r="1330" spans="1:13" x14ac:dyDescent="0.25">
      <c r="A1330">
        <v>1321</v>
      </c>
      <c r="L1330">
        <f t="shared" si="53"/>
        <v>0</v>
      </c>
      <c r="M1330">
        <f t="shared" si="52"/>
        <v>0</v>
      </c>
    </row>
    <row r="1331" spans="1:13" x14ac:dyDescent="0.25">
      <c r="A1331">
        <v>1322</v>
      </c>
      <c r="L1331">
        <f t="shared" si="53"/>
        <v>0</v>
      </c>
      <c r="M1331">
        <f t="shared" si="52"/>
        <v>0</v>
      </c>
    </row>
    <row r="1332" spans="1:13" x14ac:dyDescent="0.25">
      <c r="A1332">
        <v>1323</v>
      </c>
      <c r="L1332">
        <f t="shared" si="53"/>
        <v>0</v>
      </c>
      <c r="M1332">
        <f t="shared" si="52"/>
        <v>0</v>
      </c>
    </row>
    <row r="1333" spans="1:13" x14ac:dyDescent="0.25">
      <c r="A1333">
        <v>1324</v>
      </c>
      <c r="L1333">
        <f t="shared" si="53"/>
        <v>0</v>
      </c>
      <c r="M1333">
        <f t="shared" si="52"/>
        <v>0</v>
      </c>
    </row>
    <row r="1334" spans="1:13" x14ac:dyDescent="0.25">
      <c r="A1334">
        <v>1325</v>
      </c>
      <c r="L1334">
        <f t="shared" si="53"/>
        <v>0</v>
      </c>
      <c r="M1334">
        <f t="shared" si="52"/>
        <v>0</v>
      </c>
    </row>
    <row r="1335" spans="1:13" x14ac:dyDescent="0.25">
      <c r="A1335">
        <v>1326</v>
      </c>
      <c r="L1335">
        <f t="shared" si="53"/>
        <v>0</v>
      </c>
      <c r="M1335">
        <f t="shared" si="52"/>
        <v>0</v>
      </c>
    </row>
    <row r="1336" spans="1:13" x14ac:dyDescent="0.25">
      <c r="A1336">
        <v>1327</v>
      </c>
      <c r="L1336">
        <f t="shared" si="53"/>
        <v>0</v>
      </c>
      <c r="M1336">
        <f t="shared" si="52"/>
        <v>0</v>
      </c>
    </row>
    <row r="1337" spans="1:13" x14ac:dyDescent="0.25">
      <c r="A1337">
        <v>1328</v>
      </c>
      <c r="L1337">
        <f t="shared" si="53"/>
        <v>0</v>
      </c>
      <c r="M1337">
        <f t="shared" si="52"/>
        <v>0</v>
      </c>
    </row>
    <row r="1338" spans="1:13" x14ac:dyDescent="0.25">
      <c r="A1338">
        <v>1329</v>
      </c>
      <c r="L1338">
        <f t="shared" si="53"/>
        <v>0</v>
      </c>
      <c r="M1338">
        <f t="shared" si="52"/>
        <v>0</v>
      </c>
    </row>
    <row r="1339" spans="1:13" x14ac:dyDescent="0.25">
      <c r="A1339">
        <v>1330</v>
      </c>
      <c r="L1339">
        <f t="shared" si="53"/>
        <v>0</v>
      </c>
      <c r="M1339">
        <f t="shared" si="52"/>
        <v>0</v>
      </c>
    </row>
    <row r="1340" spans="1:13" x14ac:dyDescent="0.25">
      <c r="A1340">
        <v>1331</v>
      </c>
      <c r="L1340">
        <f t="shared" si="53"/>
        <v>0</v>
      </c>
      <c r="M1340">
        <f t="shared" si="52"/>
        <v>0</v>
      </c>
    </row>
    <row r="1341" spans="1:13" x14ac:dyDescent="0.25">
      <c r="A1341">
        <v>1332</v>
      </c>
      <c r="L1341">
        <f t="shared" si="53"/>
        <v>0</v>
      </c>
      <c r="M1341">
        <f t="shared" si="52"/>
        <v>0</v>
      </c>
    </row>
    <row r="1342" spans="1:13" x14ac:dyDescent="0.25">
      <c r="A1342">
        <v>1333</v>
      </c>
      <c r="L1342">
        <f t="shared" si="53"/>
        <v>0</v>
      </c>
      <c r="M1342">
        <f t="shared" si="52"/>
        <v>0</v>
      </c>
    </row>
    <row r="1343" spans="1:13" x14ac:dyDescent="0.25">
      <c r="A1343">
        <v>1334</v>
      </c>
      <c r="L1343">
        <f t="shared" si="53"/>
        <v>0</v>
      </c>
      <c r="M1343">
        <f t="shared" ref="M1343:M1406" si="54">+I1343/IF(H1343 = 0,1,H1343)</f>
        <v>0</v>
      </c>
    </row>
    <row r="1344" spans="1:13" x14ac:dyDescent="0.25">
      <c r="A1344">
        <v>1335</v>
      </c>
      <c r="L1344">
        <f t="shared" si="53"/>
        <v>0</v>
      </c>
      <c r="M1344">
        <f t="shared" si="54"/>
        <v>0</v>
      </c>
    </row>
    <row r="1345" spans="1:13" x14ac:dyDescent="0.25">
      <c r="A1345">
        <v>1336</v>
      </c>
      <c r="L1345">
        <f t="shared" si="53"/>
        <v>0</v>
      </c>
      <c r="M1345">
        <f t="shared" si="54"/>
        <v>0</v>
      </c>
    </row>
    <row r="1346" spans="1:13" x14ac:dyDescent="0.25">
      <c r="A1346">
        <v>1337</v>
      </c>
      <c r="L1346">
        <f t="shared" si="53"/>
        <v>0</v>
      </c>
      <c r="M1346">
        <f t="shared" si="54"/>
        <v>0</v>
      </c>
    </row>
    <row r="1347" spans="1:13" x14ac:dyDescent="0.25">
      <c r="A1347">
        <v>1338</v>
      </c>
      <c r="L1347">
        <f t="shared" si="53"/>
        <v>0</v>
      </c>
      <c r="M1347">
        <f t="shared" si="54"/>
        <v>0</v>
      </c>
    </row>
    <row r="1348" spans="1:13" x14ac:dyDescent="0.25">
      <c r="A1348">
        <v>1339</v>
      </c>
      <c r="L1348">
        <f t="shared" si="53"/>
        <v>0</v>
      </c>
      <c r="M1348">
        <f t="shared" si="54"/>
        <v>0</v>
      </c>
    </row>
    <row r="1349" spans="1:13" x14ac:dyDescent="0.25">
      <c r="A1349">
        <v>1340</v>
      </c>
      <c r="L1349">
        <f t="shared" si="53"/>
        <v>0</v>
      </c>
      <c r="M1349">
        <f t="shared" si="54"/>
        <v>0</v>
      </c>
    </row>
    <row r="1350" spans="1:13" x14ac:dyDescent="0.25">
      <c r="A1350">
        <v>1341</v>
      </c>
      <c r="L1350">
        <f t="shared" si="53"/>
        <v>0</v>
      </c>
      <c r="M1350">
        <f t="shared" si="54"/>
        <v>0</v>
      </c>
    </row>
    <row r="1351" spans="1:13" x14ac:dyDescent="0.25">
      <c r="A1351">
        <v>1342</v>
      </c>
      <c r="L1351">
        <f t="shared" si="53"/>
        <v>0</v>
      </c>
      <c r="M1351">
        <f t="shared" si="54"/>
        <v>0</v>
      </c>
    </row>
    <row r="1352" spans="1:13" x14ac:dyDescent="0.25">
      <c r="A1352">
        <v>1343</v>
      </c>
      <c r="L1352">
        <f t="shared" si="53"/>
        <v>0</v>
      </c>
      <c r="M1352">
        <f t="shared" si="54"/>
        <v>0</v>
      </c>
    </row>
    <row r="1353" spans="1:13" x14ac:dyDescent="0.25">
      <c r="A1353">
        <v>1344</v>
      </c>
      <c r="L1353">
        <f t="shared" si="53"/>
        <v>0</v>
      </c>
      <c r="M1353">
        <f t="shared" si="54"/>
        <v>0</v>
      </c>
    </row>
    <row r="1354" spans="1:13" x14ac:dyDescent="0.25">
      <c r="A1354">
        <v>1345</v>
      </c>
      <c r="L1354">
        <f t="shared" si="53"/>
        <v>0</v>
      </c>
      <c r="M1354">
        <f t="shared" si="54"/>
        <v>0</v>
      </c>
    </row>
    <row r="1355" spans="1:13" x14ac:dyDescent="0.25">
      <c r="A1355">
        <v>1346</v>
      </c>
      <c r="L1355">
        <f t="shared" si="53"/>
        <v>0</v>
      </c>
      <c r="M1355">
        <f t="shared" si="54"/>
        <v>0</v>
      </c>
    </row>
    <row r="1356" spans="1:13" x14ac:dyDescent="0.25">
      <c r="A1356">
        <v>1347</v>
      </c>
      <c r="L1356">
        <f t="shared" si="53"/>
        <v>0</v>
      </c>
      <c r="M1356">
        <f t="shared" si="54"/>
        <v>0</v>
      </c>
    </row>
    <row r="1357" spans="1:13" x14ac:dyDescent="0.25">
      <c r="A1357">
        <v>1348</v>
      </c>
      <c r="L1357">
        <f t="shared" si="53"/>
        <v>0</v>
      </c>
      <c r="M1357">
        <f t="shared" si="54"/>
        <v>0</v>
      </c>
    </row>
    <row r="1358" spans="1:13" x14ac:dyDescent="0.25">
      <c r="A1358">
        <v>1349</v>
      </c>
      <c r="L1358">
        <f t="shared" si="53"/>
        <v>0</v>
      </c>
      <c r="M1358">
        <f t="shared" si="54"/>
        <v>0</v>
      </c>
    </row>
    <row r="1359" spans="1:13" x14ac:dyDescent="0.25">
      <c r="A1359">
        <v>1350</v>
      </c>
      <c r="L1359">
        <f t="shared" si="53"/>
        <v>0</v>
      </c>
      <c r="M1359">
        <f t="shared" si="54"/>
        <v>0</v>
      </c>
    </row>
    <row r="1360" spans="1:13" x14ac:dyDescent="0.25">
      <c r="A1360">
        <v>1351</v>
      </c>
      <c r="L1360">
        <f t="shared" si="53"/>
        <v>0</v>
      </c>
      <c r="M1360">
        <f t="shared" si="54"/>
        <v>0</v>
      </c>
    </row>
    <row r="1361" spans="1:13" x14ac:dyDescent="0.25">
      <c r="A1361">
        <v>1352</v>
      </c>
      <c r="L1361">
        <f t="shared" si="53"/>
        <v>0</v>
      </c>
      <c r="M1361">
        <f t="shared" si="54"/>
        <v>0</v>
      </c>
    </row>
    <row r="1362" spans="1:13" x14ac:dyDescent="0.25">
      <c r="A1362">
        <v>1353</v>
      </c>
      <c r="L1362">
        <f t="shared" si="53"/>
        <v>0</v>
      </c>
      <c r="M1362">
        <f t="shared" si="54"/>
        <v>0</v>
      </c>
    </row>
    <row r="1363" spans="1:13" x14ac:dyDescent="0.25">
      <c r="A1363">
        <v>1354</v>
      </c>
      <c r="L1363">
        <f t="shared" si="53"/>
        <v>0</v>
      </c>
      <c r="M1363">
        <f t="shared" si="54"/>
        <v>0</v>
      </c>
    </row>
    <row r="1364" spans="1:13" x14ac:dyDescent="0.25">
      <c r="A1364">
        <v>1355</v>
      </c>
      <c r="L1364">
        <f t="shared" si="53"/>
        <v>0</v>
      </c>
      <c r="M1364">
        <f t="shared" si="54"/>
        <v>0</v>
      </c>
    </row>
    <row r="1365" spans="1:13" x14ac:dyDescent="0.25">
      <c r="A1365">
        <v>1356</v>
      </c>
      <c r="L1365">
        <f t="shared" si="53"/>
        <v>0</v>
      </c>
      <c r="M1365">
        <f t="shared" si="54"/>
        <v>0</v>
      </c>
    </row>
    <row r="1366" spans="1:13" x14ac:dyDescent="0.25">
      <c r="A1366">
        <v>1357</v>
      </c>
      <c r="L1366">
        <f t="shared" si="53"/>
        <v>0</v>
      </c>
      <c r="M1366">
        <f t="shared" si="54"/>
        <v>0</v>
      </c>
    </row>
    <row r="1367" spans="1:13" x14ac:dyDescent="0.25">
      <c r="A1367">
        <v>1358</v>
      </c>
      <c r="L1367">
        <f t="shared" si="53"/>
        <v>0</v>
      </c>
      <c r="M1367">
        <f t="shared" si="54"/>
        <v>0</v>
      </c>
    </row>
    <row r="1368" spans="1:13" x14ac:dyDescent="0.25">
      <c r="A1368">
        <v>1359</v>
      </c>
      <c r="L1368">
        <f t="shared" si="53"/>
        <v>0</v>
      </c>
      <c r="M1368">
        <f t="shared" si="54"/>
        <v>0</v>
      </c>
    </row>
    <row r="1369" spans="1:13" x14ac:dyDescent="0.25">
      <c r="A1369">
        <v>1360</v>
      </c>
      <c r="L1369">
        <f t="shared" si="53"/>
        <v>0</v>
      </c>
      <c r="M1369">
        <f t="shared" si="54"/>
        <v>0</v>
      </c>
    </row>
    <row r="1370" spans="1:13" x14ac:dyDescent="0.25">
      <c r="A1370">
        <v>1361</v>
      </c>
      <c r="L1370">
        <f t="shared" si="53"/>
        <v>0</v>
      </c>
      <c r="M1370">
        <f t="shared" si="54"/>
        <v>0</v>
      </c>
    </row>
    <row r="1371" spans="1:13" x14ac:dyDescent="0.25">
      <c r="A1371">
        <v>1362</v>
      </c>
      <c r="L1371">
        <f t="shared" si="53"/>
        <v>0</v>
      </c>
      <c r="M1371">
        <f t="shared" si="54"/>
        <v>0</v>
      </c>
    </row>
    <row r="1372" spans="1:13" x14ac:dyDescent="0.25">
      <c r="A1372">
        <v>1363</v>
      </c>
      <c r="L1372">
        <f t="shared" si="53"/>
        <v>0</v>
      </c>
      <c r="M1372">
        <f t="shared" si="54"/>
        <v>0</v>
      </c>
    </row>
    <row r="1373" spans="1:13" x14ac:dyDescent="0.25">
      <c r="A1373">
        <v>1364</v>
      </c>
      <c r="L1373">
        <f t="shared" si="53"/>
        <v>0</v>
      </c>
      <c r="M1373">
        <f t="shared" si="54"/>
        <v>0</v>
      </c>
    </row>
    <row r="1374" spans="1:13" x14ac:dyDescent="0.25">
      <c r="A1374">
        <v>1365</v>
      </c>
      <c r="L1374">
        <f t="shared" si="53"/>
        <v>0</v>
      </c>
      <c r="M1374">
        <f t="shared" si="54"/>
        <v>0</v>
      </c>
    </row>
    <row r="1375" spans="1:13" x14ac:dyDescent="0.25">
      <c r="A1375">
        <v>1366</v>
      </c>
      <c r="L1375">
        <f t="shared" si="53"/>
        <v>0</v>
      </c>
      <c r="M1375">
        <f t="shared" si="54"/>
        <v>0</v>
      </c>
    </row>
    <row r="1376" spans="1:13" x14ac:dyDescent="0.25">
      <c r="A1376">
        <v>1367</v>
      </c>
      <c r="L1376">
        <f t="shared" si="53"/>
        <v>0</v>
      </c>
      <c r="M1376">
        <f t="shared" si="54"/>
        <v>0</v>
      </c>
    </row>
    <row r="1377" spans="1:13" x14ac:dyDescent="0.25">
      <c r="A1377">
        <v>1368</v>
      </c>
      <c r="L1377">
        <f t="shared" si="53"/>
        <v>0</v>
      </c>
      <c r="M1377">
        <f t="shared" si="54"/>
        <v>0</v>
      </c>
    </row>
    <row r="1378" spans="1:13" x14ac:dyDescent="0.25">
      <c r="A1378">
        <v>1369</v>
      </c>
      <c r="L1378">
        <f t="shared" si="53"/>
        <v>0</v>
      </c>
      <c r="M1378">
        <f t="shared" si="54"/>
        <v>0</v>
      </c>
    </row>
    <row r="1379" spans="1:13" x14ac:dyDescent="0.25">
      <c r="A1379">
        <v>1370</v>
      </c>
      <c r="L1379">
        <f t="shared" si="53"/>
        <v>0</v>
      </c>
      <c r="M1379">
        <f t="shared" si="54"/>
        <v>0</v>
      </c>
    </row>
    <row r="1380" spans="1:13" x14ac:dyDescent="0.25">
      <c r="A1380">
        <v>1371</v>
      </c>
      <c r="L1380">
        <f t="shared" si="53"/>
        <v>0</v>
      </c>
      <c r="M1380">
        <f t="shared" si="54"/>
        <v>0</v>
      </c>
    </row>
    <row r="1381" spans="1:13" x14ac:dyDescent="0.25">
      <c r="A1381">
        <v>1372</v>
      </c>
      <c r="L1381">
        <f t="shared" si="53"/>
        <v>0</v>
      </c>
      <c r="M1381">
        <f t="shared" si="54"/>
        <v>0</v>
      </c>
    </row>
    <row r="1382" spans="1:13" x14ac:dyDescent="0.25">
      <c r="A1382">
        <v>1373</v>
      </c>
      <c r="L1382">
        <f t="shared" si="53"/>
        <v>0</v>
      </c>
      <c r="M1382">
        <f t="shared" si="54"/>
        <v>0</v>
      </c>
    </row>
    <row r="1383" spans="1:13" x14ac:dyDescent="0.25">
      <c r="A1383">
        <v>1374</v>
      </c>
      <c r="L1383">
        <f t="shared" si="53"/>
        <v>0</v>
      </c>
      <c r="M1383">
        <f t="shared" si="54"/>
        <v>0</v>
      </c>
    </row>
    <row r="1384" spans="1:13" x14ac:dyDescent="0.25">
      <c r="A1384">
        <v>1375</v>
      </c>
      <c r="L1384">
        <f t="shared" si="53"/>
        <v>0</v>
      </c>
      <c r="M1384">
        <f t="shared" si="54"/>
        <v>0</v>
      </c>
    </row>
    <row r="1385" spans="1:13" x14ac:dyDescent="0.25">
      <c r="A1385">
        <v>1376</v>
      </c>
      <c r="L1385">
        <f t="shared" si="53"/>
        <v>0</v>
      </c>
      <c r="M1385">
        <f t="shared" si="54"/>
        <v>0</v>
      </c>
    </row>
    <row r="1386" spans="1:13" x14ac:dyDescent="0.25">
      <c r="A1386">
        <v>1377</v>
      </c>
      <c r="L1386">
        <f t="shared" si="53"/>
        <v>0</v>
      </c>
      <c r="M1386">
        <f t="shared" si="54"/>
        <v>0</v>
      </c>
    </row>
    <row r="1387" spans="1:13" x14ac:dyDescent="0.25">
      <c r="A1387">
        <v>1378</v>
      </c>
      <c r="L1387">
        <f t="shared" si="53"/>
        <v>0</v>
      </c>
      <c r="M1387">
        <f t="shared" si="54"/>
        <v>0</v>
      </c>
    </row>
    <row r="1388" spans="1:13" x14ac:dyDescent="0.25">
      <c r="A1388">
        <v>1379</v>
      </c>
      <c r="L1388">
        <f t="shared" si="53"/>
        <v>0</v>
      </c>
      <c r="M1388">
        <f t="shared" si="54"/>
        <v>0</v>
      </c>
    </row>
    <row r="1389" spans="1:13" x14ac:dyDescent="0.25">
      <c r="A1389">
        <v>1380</v>
      </c>
      <c r="L1389">
        <f t="shared" si="53"/>
        <v>0</v>
      </c>
      <c r="M1389">
        <f t="shared" si="54"/>
        <v>0</v>
      </c>
    </row>
    <row r="1390" spans="1:13" x14ac:dyDescent="0.25">
      <c r="A1390">
        <v>1381</v>
      </c>
      <c r="L1390">
        <f t="shared" ref="L1390:L1453" si="55">+I1390+H1390</f>
        <v>0</v>
      </c>
      <c r="M1390">
        <f t="shared" si="54"/>
        <v>0</v>
      </c>
    </row>
    <row r="1391" spans="1:13" x14ac:dyDescent="0.25">
      <c r="A1391">
        <v>1382</v>
      </c>
      <c r="L1391">
        <f t="shared" si="55"/>
        <v>0</v>
      </c>
      <c r="M1391">
        <f t="shared" si="54"/>
        <v>0</v>
      </c>
    </row>
    <row r="1392" spans="1:13" x14ac:dyDescent="0.25">
      <c r="A1392">
        <v>1383</v>
      </c>
      <c r="L1392">
        <f t="shared" si="55"/>
        <v>0</v>
      </c>
      <c r="M1392">
        <f t="shared" si="54"/>
        <v>0</v>
      </c>
    </row>
    <row r="1393" spans="1:13" x14ac:dyDescent="0.25">
      <c r="A1393">
        <v>1384</v>
      </c>
      <c r="L1393">
        <f t="shared" si="55"/>
        <v>0</v>
      </c>
      <c r="M1393">
        <f t="shared" si="54"/>
        <v>0</v>
      </c>
    </row>
    <row r="1394" spans="1:13" x14ac:dyDescent="0.25">
      <c r="A1394">
        <v>1385</v>
      </c>
      <c r="L1394">
        <f t="shared" si="55"/>
        <v>0</v>
      </c>
      <c r="M1394">
        <f t="shared" si="54"/>
        <v>0</v>
      </c>
    </row>
    <row r="1395" spans="1:13" x14ac:dyDescent="0.25">
      <c r="A1395">
        <v>1386</v>
      </c>
      <c r="L1395">
        <f t="shared" si="55"/>
        <v>0</v>
      </c>
      <c r="M1395">
        <f t="shared" si="54"/>
        <v>0</v>
      </c>
    </row>
    <row r="1396" spans="1:13" x14ac:dyDescent="0.25">
      <c r="A1396">
        <v>1387</v>
      </c>
      <c r="L1396">
        <f t="shared" si="55"/>
        <v>0</v>
      </c>
      <c r="M1396">
        <f t="shared" si="54"/>
        <v>0</v>
      </c>
    </row>
    <row r="1397" spans="1:13" x14ac:dyDescent="0.25">
      <c r="A1397">
        <v>1388</v>
      </c>
      <c r="L1397">
        <f t="shared" si="55"/>
        <v>0</v>
      </c>
      <c r="M1397">
        <f t="shared" si="54"/>
        <v>0</v>
      </c>
    </row>
    <row r="1398" spans="1:13" x14ac:dyDescent="0.25">
      <c r="A1398">
        <v>1389</v>
      </c>
      <c r="L1398">
        <f t="shared" si="55"/>
        <v>0</v>
      </c>
      <c r="M1398">
        <f t="shared" si="54"/>
        <v>0</v>
      </c>
    </row>
    <row r="1399" spans="1:13" x14ac:dyDescent="0.25">
      <c r="A1399">
        <v>1390</v>
      </c>
      <c r="L1399">
        <f t="shared" si="55"/>
        <v>0</v>
      </c>
      <c r="M1399">
        <f t="shared" si="54"/>
        <v>0</v>
      </c>
    </row>
    <row r="1400" spans="1:13" x14ac:dyDescent="0.25">
      <c r="A1400">
        <v>1391</v>
      </c>
      <c r="L1400">
        <f t="shared" si="55"/>
        <v>0</v>
      </c>
      <c r="M1400">
        <f t="shared" si="54"/>
        <v>0</v>
      </c>
    </row>
    <row r="1401" spans="1:13" x14ac:dyDescent="0.25">
      <c r="A1401">
        <v>1392</v>
      </c>
      <c r="L1401">
        <f t="shared" si="55"/>
        <v>0</v>
      </c>
      <c r="M1401">
        <f t="shared" si="54"/>
        <v>0</v>
      </c>
    </row>
    <row r="1402" spans="1:13" x14ac:dyDescent="0.25">
      <c r="A1402">
        <v>1393</v>
      </c>
      <c r="L1402">
        <f t="shared" si="55"/>
        <v>0</v>
      </c>
      <c r="M1402">
        <f t="shared" si="54"/>
        <v>0</v>
      </c>
    </row>
    <row r="1403" spans="1:13" x14ac:dyDescent="0.25">
      <c r="A1403">
        <v>1394</v>
      </c>
      <c r="L1403">
        <f t="shared" si="55"/>
        <v>0</v>
      </c>
      <c r="M1403">
        <f t="shared" si="54"/>
        <v>0</v>
      </c>
    </row>
    <row r="1404" spans="1:13" x14ac:dyDescent="0.25">
      <c r="A1404">
        <v>1395</v>
      </c>
      <c r="L1404">
        <f t="shared" si="55"/>
        <v>0</v>
      </c>
      <c r="M1404">
        <f t="shared" si="54"/>
        <v>0</v>
      </c>
    </row>
    <row r="1405" spans="1:13" x14ac:dyDescent="0.25">
      <c r="A1405">
        <v>1396</v>
      </c>
      <c r="L1405">
        <f t="shared" si="55"/>
        <v>0</v>
      </c>
      <c r="M1405">
        <f t="shared" si="54"/>
        <v>0</v>
      </c>
    </row>
    <row r="1406" spans="1:13" x14ac:dyDescent="0.25">
      <c r="A1406">
        <v>1397</v>
      </c>
      <c r="L1406">
        <f t="shared" si="55"/>
        <v>0</v>
      </c>
      <c r="M1406">
        <f t="shared" si="54"/>
        <v>0</v>
      </c>
    </row>
    <row r="1407" spans="1:13" x14ac:dyDescent="0.25">
      <c r="A1407">
        <v>1398</v>
      </c>
      <c r="L1407">
        <f t="shared" si="55"/>
        <v>0</v>
      </c>
      <c r="M1407">
        <f t="shared" ref="M1407:M1470" si="56">+I1407/IF(H1407 = 0,1,H1407)</f>
        <v>0</v>
      </c>
    </row>
    <row r="1408" spans="1:13" x14ac:dyDescent="0.25">
      <c r="A1408">
        <v>1399</v>
      </c>
      <c r="L1408">
        <f t="shared" si="55"/>
        <v>0</v>
      </c>
      <c r="M1408">
        <f t="shared" si="56"/>
        <v>0</v>
      </c>
    </row>
    <row r="1409" spans="1:13" x14ac:dyDescent="0.25">
      <c r="A1409">
        <v>1400</v>
      </c>
      <c r="L1409">
        <f t="shared" si="55"/>
        <v>0</v>
      </c>
      <c r="M1409">
        <f t="shared" si="56"/>
        <v>0</v>
      </c>
    </row>
    <row r="1410" spans="1:13" x14ac:dyDescent="0.25">
      <c r="A1410">
        <v>1401</v>
      </c>
      <c r="L1410">
        <f t="shared" si="55"/>
        <v>0</v>
      </c>
      <c r="M1410">
        <f t="shared" si="56"/>
        <v>0</v>
      </c>
    </row>
    <row r="1411" spans="1:13" x14ac:dyDescent="0.25">
      <c r="A1411">
        <v>1402</v>
      </c>
      <c r="L1411">
        <f t="shared" si="55"/>
        <v>0</v>
      </c>
      <c r="M1411">
        <f t="shared" si="56"/>
        <v>0</v>
      </c>
    </row>
    <row r="1412" spans="1:13" x14ac:dyDescent="0.25">
      <c r="A1412">
        <v>1403</v>
      </c>
      <c r="L1412">
        <f t="shared" si="55"/>
        <v>0</v>
      </c>
      <c r="M1412">
        <f t="shared" si="56"/>
        <v>0</v>
      </c>
    </row>
    <row r="1413" spans="1:13" x14ac:dyDescent="0.25">
      <c r="A1413">
        <v>1404</v>
      </c>
      <c r="L1413">
        <f t="shared" si="55"/>
        <v>0</v>
      </c>
      <c r="M1413">
        <f t="shared" si="56"/>
        <v>0</v>
      </c>
    </row>
    <row r="1414" spans="1:13" x14ac:dyDescent="0.25">
      <c r="A1414">
        <v>1405</v>
      </c>
      <c r="L1414">
        <f t="shared" si="55"/>
        <v>0</v>
      </c>
      <c r="M1414">
        <f t="shared" si="56"/>
        <v>0</v>
      </c>
    </row>
    <row r="1415" spans="1:13" x14ac:dyDescent="0.25">
      <c r="A1415">
        <v>1406</v>
      </c>
      <c r="L1415">
        <f t="shared" si="55"/>
        <v>0</v>
      </c>
      <c r="M1415">
        <f t="shared" si="56"/>
        <v>0</v>
      </c>
    </row>
    <row r="1416" spans="1:13" x14ac:dyDescent="0.25">
      <c r="A1416">
        <v>1407</v>
      </c>
      <c r="L1416">
        <f t="shared" si="55"/>
        <v>0</v>
      </c>
      <c r="M1416">
        <f t="shared" si="56"/>
        <v>0</v>
      </c>
    </row>
    <row r="1417" spans="1:13" x14ac:dyDescent="0.25">
      <c r="A1417">
        <v>1408</v>
      </c>
      <c r="L1417">
        <f t="shared" si="55"/>
        <v>0</v>
      </c>
      <c r="M1417">
        <f t="shared" si="56"/>
        <v>0</v>
      </c>
    </row>
    <row r="1418" spans="1:13" x14ac:dyDescent="0.25">
      <c r="A1418">
        <v>1409</v>
      </c>
      <c r="L1418">
        <f t="shared" si="55"/>
        <v>0</v>
      </c>
      <c r="M1418">
        <f t="shared" si="56"/>
        <v>0</v>
      </c>
    </row>
    <row r="1419" spans="1:13" x14ac:dyDescent="0.25">
      <c r="A1419">
        <v>1410</v>
      </c>
      <c r="L1419">
        <f t="shared" si="55"/>
        <v>0</v>
      </c>
      <c r="M1419">
        <f t="shared" si="56"/>
        <v>0</v>
      </c>
    </row>
    <row r="1420" spans="1:13" x14ac:dyDescent="0.25">
      <c r="A1420">
        <v>1411</v>
      </c>
      <c r="L1420">
        <f t="shared" si="55"/>
        <v>0</v>
      </c>
      <c r="M1420">
        <f t="shared" si="56"/>
        <v>0</v>
      </c>
    </row>
    <row r="1421" spans="1:13" x14ac:dyDescent="0.25">
      <c r="A1421">
        <v>1412</v>
      </c>
      <c r="L1421">
        <f t="shared" si="55"/>
        <v>0</v>
      </c>
      <c r="M1421">
        <f t="shared" si="56"/>
        <v>0</v>
      </c>
    </row>
    <row r="1422" spans="1:13" x14ac:dyDescent="0.25">
      <c r="A1422">
        <v>1413</v>
      </c>
      <c r="L1422">
        <f t="shared" si="55"/>
        <v>0</v>
      </c>
      <c r="M1422">
        <f t="shared" si="56"/>
        <v>0</v>
      </c>
    </row>
    <row r="1423" spans="1:13" x14ac:dyDescent="0.25">
      <c r="A1423">
        <v>1414</v>
      </c>
      <c r="L1423">
        <f t="shared" si="55"/>
        <v>0</v>
      </c>
      <c r="M1423">
        <f t="shared" si="56"/>
        <v>0</v>
      </c>
    </row>
    <row r="1424" spans="1:13" x14ac:dyDescent="0.25">
      <c r="A1424">
        <v>1415</v>
      </c>
      <c r="L1424">
        <f t="shared" si="55"/>
        <v>0</v>
      </c>
      <c r="M1424">
        <f t="shared" si="56"/>
        <v>0</v>
      </c>
    </row>
    <row r="1425" spans="1:13" x14ac:dyDescent="0.25">
      <c r="A1425">
        <v>1416</v>
      </c>
      <c r="L1425">
        <f t="shared" si="55"/>
        <v>0</v>
      </c>
      <c r="M1425">
        <f t="shared" si="56"/>
        <v>0</v>
      </c>
    </row>
    <row r="1426" spans="1:13" x14ac:dyDescent="0.25">
      <c r="A1426">
        <v>1417</v>
      </c>
      <c r="L1426">
        <f t="shared" si="55"/>
        <v>0</v>
      </c>
      <c r="M1426">
        <f t="shared" si="56"/>
        <v>0</v>
      </c>
    </row>
    <row r="1427" spans="1:13" x14ac:dyDescent="0.25">
      <c r="A1427">
        <v>1418</v>
      </c>
      <c r="L1427">
        <f t="shared" si="55"/>
        <v>0</v>
      </c>
      <c r="M1427">
        <f t="shared" si="56"/>
        <v>0</v>
      </c>
    </row>
    <row r="1428" spans="1:13" x14ac:dyDescent="0.25">
      <c r="A1428">
        <v>1419</v>
      </c>
      <c r="L1428">
        <f t="shared" si="55"/>
        <v>0</v>
      </c>
      <c r="M1428">
        <f t="shared" si="56"/>
        <v>0</v>
      </c>
    </row>
    <row r="1429" spans="1:13" x14ac:dyDescent="0.25">
      <c r="A1429">
        <v>1420</v>
      </c>
      <c r="L1429">
        <f t="shared" si="55"/>
        <v>0</v>
      </c>
      <c r="M1429">
        <f t="shared" si="56"/>
        <v>0</v>
      </c>
    </row>
    <row r="1430" spans="1:13" x14ac:dyDescent="0.25">
      <c r="A1430">
        <v>1421</v>
      </c>
      <c r="L1430">
        <f t="shared" si="55"/>
        <v>0</v>
      </c>
      <c r="M1430">
        <f t="shared" si="56"/>
        <v>0</v>
      </c>
    </row>
    <row r="1431" spans="1:13" x14ac:dyDescent="0.25">
      <c r="A1431">
        <v>1422</v>
      </c>
      <c r="L1431">
        <f t="shared" si="55"/>
        <v>0</v>
      </c>
      <c r="M1431">
        <f t="shared" si="56"/>
        <v>0</v>
      </c>
    </row>
    <row r="1432" spans="1:13" x14ac:dyDescent="0.25">
      <c r="A1432">
        <v>1423</v>
      </c>
      <c r="L1432">
        <f t="shared" si="55"/>
        <v>0</v>
      </c>
      <c r="M1432">
        <f t="shared" si="56"/>
        <v>0</v>
      </c>
    </row>
    <row r="1433" spans="1:13" x14ac:dyDescent="0.25">
      <c r="A1433">
        <v>1424</v>
      </c>
      <c r="L1433">
        <f t="shared" si="55"/>
        <v>0</v>
      </c>
      <c r="M1433">
        <f t="shared" si="56"/>
        <v>0</v>
      </c>
    </row>
    <row r="1434" spans="1:13" x14ac:dyDescent="0.25">
      <c r="A1434">
        <v>1425</v>
      </c>
      <c r="L1434">
        <f t="shared" si="55"/>
        <v>0</v>
      </c>
      <c r="M1434">
        <f t="shared" si="56"/>
        <v>0</v>
      </c>
    </row>
    <row r="1435" spans="1:13" x14ac:dyDescent="0.25">
      <c r="A1435">
        <v>1426</v>
      </c>
      <c r="L1435">
        <f t="shared" si="55"/>
        <v>0</v>
      </c>
      <c r="M1435">
        <f t="shared" si="56"/>
        <v>0</v>
      </c>
    </row>
    <row r="1436" spans="1:13" x14ac:dyDescent="0.25">
      <c r="A1436">
        <v>1427</v>
      </c>
      <c r="L1436">
        <f t="shared" si="55"/>
        <v>0</v>
      </c>
      <c r="M1436">
        <f t="shared" si="56"/>
        <v>0</v>
      </c>
    </row>
    <row r="1437" spans="1:13" x14ac:dyDescent="0.25">
      <c r="A1437">
        <v>1428</v>
      </c>
      <c r="L1437">
        <f t="shared" si="55"/>
        <v>0</v>
      </c>
      <c r="M1437">
        <f t="shared" si="56"/>
        <v>0</v>
      </c>
    </row>
    <row r="1438" spans="1:13" x14ac:dyDescent="0.25">
      <c r="A1438">
        <v>1429</v>
      </c>
      <c r="L1438">
        <f t="shared" si="55"/>
        <v>0</v>
      </c>
      <c r="M1438">
        <f t="shared" si="56"/>
        <v>0</v>
      </c>
    </row>
    <row r="1439" spans="1:13" x14ac:dyDescent="0.25">
      <c r="A1439">
        <v>1430</v>
      </c>
      <c r="L1439">
        <f t="shared" si="55"/>
        <v>0</v>
      </c>
      <c r="M1439">
        <f t="shared" si="56"/>
        <v>0</v>
      </c>
    </row>
    <row r="1440" spans="1:13" x14ac:dyDescent="0.25">
      <c r="A1440">
        <v>1431</v>
      </c>
      <c r="L1440">
        <f t="shared" si="55"/>
        <v>0</v>
      </c>
      <c r="M1440">
        <f t="shared" si="56"/>
        <v>0</v>
      </c>
    </row>
    <row r="1441" spans="1:13" x14ac:dyDescent="0.25">
      <c r="A1441">
        <v>1432</v>
      </c>
      <c r="L1441">
        <f t="shared" si="55"/>
        <v>0</v>
      </c>
      <c r="M1441">
        <f t="shared" si="56"/>
        <v>0</v>
      </c>
    </row>
    <row r="1442" spans="1:13" x14ac:dyDescent="0.25">
      <c r="A1442">
        <v>1433</v>
      </c>
      <c r="L1442">
        <f t="shared" si="55"/>
        <v>0</v>
      </c>
      <c r="M1442">
        <f t="shared" si="56"/>
        <v>0</v>
      </c>
    </row>
    <row r="1443" spans="1:13" x14ac:dyDescent="0.25">
      <c r="A1443">
        <v>1434</v>
      </c>
      <c r="L1443">
        <f t="shared" si="55"/>
        <v>0</v>
      </c>
      <c r="M1443">
        <f t="shared" si="56"/>
        <v>0</v>
      </c>
    </row>
    <row r="1444" spans="1:13" x14ac:dyDescent="0.25">
      <c r="A1444">
        <v>1435</v>
      </c>
      <c r="L1444">
        <f t="shared" si="55"/>
        <v>0</v>
      </c>
      <c r="M1444">
        <f t="shared" si="56"/>
        <v>0</v>
      </c>
    </row>
    <row r="1445" spans="1:13" x14ac:dyDescent="0.25">
      <c r="A1445">
        <v>1436</v>
      </c>
      <c r="L1445">
        <f t="shared" si="55"/>
        <v>0</v>
      </c>
      <c r="M1445">
        <f t="shared" si="56"/>
        <v>0</v>
      </c>
    </row>
    <row r="1446" spans="1:13" x14ac:dyDescent="0.25">
      <c r="A1446">
        <v>1437</v>
      </c>
      <c r="L1446">
        <f t="shared" si="55"/>
        <v>0</v>
      </c>
      <c r="M1446">
        <f t="shared" si="56"/>
        <v>0</v>
      </c>
    </row>
    <row r="1447" spans="1:13" x14ac:dyDescent="0.25">
      <c r="A1447">
        <v>1438</v>
      </c>
      <c r="L1447">
        <f t="shared" si="55"/>
        <v>0</v>
      </c>
      <c r="M1447">
        <f t="shared" si="56"/>
        <v>0</v>
      </c>
    </row>
    <row r="1448" spans="1:13" x14ac:dyDescent="0.25">
      <c r="A1448">
        <v>1439</v>
      </c>
      <c r="L1448">
        <f t="shared" si="55"/>
        <v>0</v>
      </c>
      <c r="M1448">
        <f t="shared" si="56"/>
        <v>0</v>
      </c>
    </row>
    <row r="1449" spans="1:13" x14ac:dyDescent="0.25">
      <c r="A1449">
        <v>1440</v>
      </c>
      <c r="L1449">
        <f t="shared" si="55"/>
        <v>0</v>
      </c>
      <c r="M1449">
        <f t="shared" si="56"/>
        <v>0</v>
      </c>
    </row>
    <row r="1450" spans="1:13" x14ac:dyDescent="0.25">
      <c r="A1450">
        <v>1441</v>
      </c>
      <c r="L1450">
        <f t="shared" si="55"/>
        <v>0</v>
      </c>
      <c r="M1450">
        <f t="shared" si="56"/>
        <v>0</v>
      </c>
    </row>
    <row r="1451" spans="1:13" x14ac:dyDescent="0.25">
      <c r="A1451">
        <v>1442</v>
      </c>
      <c r="L1451">
        <f t="shared" si="55"/>
        <v>0</v>
      </c>
      <c r="M1451">
        <f t="shared" si="56"/>
        <v>0</v>
      </c>
    </row>
    <row r="1452" spans="1:13" x14ac:dyDescent="0.25">
      <c r="A1452">
        <v>1443</v>
      </c>
      <c r="L1452">
        <f t="shared" si="55"/>
        <v>0</v>
      </c>
      <c r="M1452">
        <f t="shared" si="56"/>
        <v>0</v>
      </c>
    </row>
    <row r="1453" spans="1:13" x14ac:dyDescent="0.25">
      <c r="A1453">
        <v>1444</v>
      </c>
      <c r="L1453">
        <f t="shared" si="55"/>
        <v>0</v>
      </c>
      <c r="M1453">
        <f t="shared" si="56"/>
        <v>0</v>
      </c>
    </row>
    <row r="1454" spans="1:13" x14ac:dyDescent="0.25">
      <c r="A1454">
        <v>1445</v>
      </c>
      <c r="L1454">
        <f t="shared" ref="L1454:L1517" si="57">+I1454+H1454</f>
        <v>0</v>
      </c>
      <c r="M1454">
        <f t="shared" si="56"/>
        <v>0</v>
      </c>
    </row>
    <row r="1455" spans="1:13" x14ac:dyDescent="0.25">
      <c r="A1455">
        <v>1446</v>
      </c>
      <c r="L1455">
        <f t="shared" si="57"/>
        <v>0</v>
      </c>
      <c r="M1455">
        <f t="shared" si="56"/>
        <v>0</v>
      </c>
    </row>
    <row r="1456" spans="1:13" x14ac:dyDescent="0.25">
      <c r="A1456">
        <v>1447</v>
      </c>
      <c r="L1456">
        <f t="shared" si="57"/>
        <v>0</v>
      </c>
      <c r="M1456">
        <f t="shared" si="56"/>
        <v>0</v>
      </c>
    </row>
    <row r="1457" spans="1:13" x14ac:dyDescent="0.25">
      <c r="A1457">
        <v>1448</v>
      </c>
      <c r="L1457">
        <f t="shared" si="57"/>
        <v>0</v>
      </c>
      <c r="M1457">
        <f t="shared" si="56"/>
        <v>0</v>
      </c>
    </row>
    <row r="1458" spans="1:13" x14ac:dyDescent="0.25">
      <c r="A1458">
        <v>1449</v>
      </c>
      <c r="L1458">
        <f t="shared" si="57"/>
        <v>0</v>
      </c>
      <c r="M1458">
        <f t="shared" si="56"/>
        <v>0</v>
      </c>
    </row>
    <row r="1459" spans="1:13" x14ac:dyDescent="0.25">
      <c r="A1459">
        <v>1450</v>
      </c>
      <c r="L1459">
        <f t="shared" si="57"/>
        <v>0</v>
      </c>
      <c r="M1459">
        <f t="shared" si="56"/>
        <v>0</v>
      </c>
    </row>
    <row r="1460" spans="1:13" x14ac:dyDescent="0.25">
      <c r="A1460">
        <v>1451</v>
      </c>
      <c r="L1460">
        <f t="shared" si="57"/>
        <v>0</v>
      </c>
      <c r="M1460">
        <f t="shared" si="56"/>
        <v>0</v>
      </c>
    </row>
    <row r="1461" spans="1:13" x14ac:dyDescent="0.25">
      <c r="A1461">
        <v>1452</v>
      </c>
      <c r="L1461">
        <f t="shared" si="57"/>
        <v>0</v>
      </c>
      <c r="M1461">
        <f t="shared" si="56"/>
        <v>0</v>
      </c>
    </row>
    <row r="1462" spans="1:13" x14ac:dyDescent="0.25">
      <c r="A1462">
        <v>1453</v>
      </c>
      <c r="L1462">
        <f t="shared" si="57"/>
        <v>0</v>
      </c>
      <c r="M1462">
        <f t="shared" si="56"/>
        <v>0</v>
      </c>
    </row>
    <row r="1463" spans="1:13" x14ac:dyDescent="0.25">
      <c r="A1463">
        <v>1454</v>
      </c>
      <c r="L1463">
        <f t="shared" si="57"/>
        <v>0</v>
      </c>
      <c r="M1463">
        <f t="shared" si="56"/>
        <v>0</v>
      </c>
    </row>
    <row r="1464" spans="1:13" x14ac:dyDescent="0.25">
      <c r="A1464">
        <v>1455</v>
      </c>
      <c r="L1464">
        <f t="shared" si="57"/>
        <v>0</v>
      </c>
      <c r="M1464">
        <f t="shared" si="56"/>
        <v>0</v>
      </c>
    </row>
    <row r="1465" spans="1:13" x14ac:dyDescent="0.25">
      <c r="A1465">
        <v>1456</v>
      </c>
      <c r="L1465">
        <f t="shared" si="57"/>
        <v>0</v>
      </c>
      <c r="M1465">
        <f t="shared" si="56"/>
        <v>0</v>
      </c>
    </row>
    <row r="1466" spans="1:13" x14ac:dyDescent="0.25">
      <c r="A1466">
        <v>1457</v>
      </c>
      <c r="L1466">
        <f t="shared" si="57"/>
        <v>0</v>
      </c>
      <c r="M1466">
        <f t="shared" si="56"/>
        <v>0</v>
      </c>
    </row>
    <row r="1467" spans="1:13" x14ac:dyDescent="0.25">
      <c r="A1467">
        <v>1458</v>
      </c>
      <c r="L1467">
        <f t="shared" si="57"/>
        <v>0</v>
      </c>
      <c r="M1467">
        <f t="shared" si="56"/>
        <v>0</v>
      </c>
    </row>
    <row r="1468" spans="1:13" x14ac:dyDescent="0.25">
      <c r="A1468">
        <v>1459</v>
      </c>
      <c r="L1468">
        <f t="shared" si="57"/>
        <v>0</v>
      </c>
      <c r="M1468">
        <f t="shared" si="56"/>
        <v>0</v>
      </c>
    </row>
    <row r="1469" spans="1:13" x14ac:dyDescent="0.25">
      <c r="A1469">
        <v>1460</v>
      </c>
      <c r="L1469">
        <f t="shared" si="57"/>
        <v>0</v>
      </c>
      <c r="M1469">
        <f t="shared" si="56"/>
        <v>0</v>
      </c>
    </row>
    <row r="1470" spans="1:13" x14ac:dyDescent="0.25">
      <c r="A1470">
        <v>1461</v>
      </c>
      <c r="L1470">
        <f t="shared" si="57"/>
        <v>0</v>
      </c>
      <c r="M1470">
        <f t="shared" si="56"/>
        <v>0</v>
      </c>
    </row>
    <row r="1471" spans="1:13" x14ac:dyDescent="0.25">
      <c r="A1471">
        <v>1462</v>
      </c>
      <c r="L1471">
        <f t="shared" si="57"/>
        <v>0</v>
      </c>
      <c r="M1471">
        <f t="shared" ref="M1471:M1534" si="58">+I1471/IF(H1471 = 0,1,H1471)</f>
        <v>0</v>
      </c>
    </row>
    <row r="1472" spans="1:13" x14ac:dyDescent="0.25">
      <c r="A1472">
        <v>1463</v>
      </c>
      <c r="L1472">
        <f t="shared" si="57"/>
        <v>0</v>
      </c>
      <c r="M1472">
        <f t="shared" si="58"/>
        <v>0</v>
      </c>
    </row>
    <row r="1473" spans="1:13" x14ac:dyDescent="0.25">
      <c r="A1473">
        <v>1464</v>
      </c>
      <c r="L1473">
        <f t="shared" si="57"/>
        <v>0</v>
      </c>
      <c r="M1473">
        <f t="shared" si="58"/>
        <v>0</v>
      </c>
    </row>
    <row r="1474" spans="1:13" x14ac:dyDescent="0.25">
      <c r="A1474">
        <v>1465</v>
      </c>
      <c r="L1474">
        <f t="shared" si="57"/>
        <v>0</v>
      </c>
      <c r="M1474">
        <f t="shared" si="58"/>
        <v>0</v>
      </c>
    </row>
    <row r="1475" spans="1:13" x14ac:dyDescent="0.25">
      <c r="A1475">
        <v>1466</v>
      </c>
      <c r="L1475">
        <f t="shared" si="57"/>
        <v>0</v>
      </c>
      <c r="M1475">
        <f t="shared" si="58"/>
        <v>0</v>
      </c>
    </row>
    <row r="1476" spans="1:13" x14ac:dyDescent="0.25">
      <c r="A1476">
        <v>1467</v>
      </c>
      <c r="L1476">
        <f t="shared" si="57"/>
        <v>0</v>
      </c>
      <c r="M1476">
        <f t="shared" si="58"/>
        <v>0</v>
      </c>
    </row>
    <row r="1477" spans="1:13" x14ac:dyDescent="0.25">
      <c r="A1477">
        <v>1468</v>
      </c>
      <c r="L1477">
        <f t="shared" si="57"/>
        <v>0</v>
      </c>
      <c r="M1477">
        <f t="shared" si="58"/>
        <v>0</v>
      </c>
    </row>
    <row r="1478" spans="1:13" x14ac:dyDescent="0.25">
      <c r="A1478">
        <v>1469</v>
      </c>
      <c r="L1478">
        <f t="shared" si="57"/>
        <v>0</v>
      </c>
      <c r="M1478">
        <f t="shared" si="58"/>
        <v>0</v>
      </c>
    </row>
    <row r="1479" spans="1:13" x14ac:dyDescent="0.25">
      <c r="A1479">
        <v>1470</v>
      </c>
      <c r="L1479">
        <f t="shared" si="57"/>
        <v>0</v>
      </c>
      <c r="M1479">
        <f t="shared" si="58"/>
        <v>0</v>
      </c>
    </row>
    <row r="1480" spans="1:13" x14ac:dyDescent="0.25">
      <c r="A1480">
        <v>1471</v>
      </c>
      <c r="L1480">
        <f t="shared" si="57"/>
        <v>0</v>
      </c>
      <c r="M1480">
        <f t="shared" si="58"/>
        <v>0</v>
      </c>
    </row>
    <row r="1481" spans="1:13" x14ac:dyDescent="0.25">
      <c r="A1481">
        <v>1472</v>
      </c>
      <c r="L1481">
        <f t="shared" si="57"/>
        <v>0</v>
      </c>
      <c r="M1481">
        <f t="shared" si="58"/>
        <v>0</v>
      </c>
    </row>
    <row r="1482" spans="1:13" x14ac:dyDescent="0.25">
      <c r="A1482">
        <v>1473</v>
      </c>
      <c r="L1482">
        <f t="shared" si="57"/>
        <v>0</v>
      </c>
      <c r="M1482">
        <f t="shared" si="58"/>
        <v>0</v>
      </c>
    </row>
    <row r="1483" spans="1:13" x14ac:dyDescent="0.25">
      <c r="A1483">
        <v>1474</v>
      </c>
      <c r="L1483">
        <f t="shared" si="57"/>
        <v>0</v>
      </c>
      <c r="M1483">
        <f t="shared" si="58"/>
        <v>0</v>
      </c>
    </row>
    <row r="1484" spans="1:13" x14ac:dyDescent="0.25">
      <c r="A1484">
        <v>1475</v>
      </c>
      <c r="L1484">
        <f t="shared" si="57"/>
        <v>0</v>
      </c>
      <c r="M1484">
        <f t="shared" si="58"/>
        <v>0</v>
      </c>
    </row>
    <row r="1485" spans="1:13" x14ac:dyDescent="0.25">
      <c r="A1485">
        <v>1476</v>
      </c>
      <c r="L1485">
        <f t="shared" si="57"/>
        <v>0</v>
      </c>
      <c r="M1485">
        <f t="shared" si="58"/>
        <v>0</v>
      </c>
    </row>
    <row r="1486" spans="1:13" x14ac:dyDescent="0.25">
      <c r="A1486">
        <v>1477</v>
      </c>
      <c r="L1486">
        <f t="shared" si="57"/>
        <v>0</v>
      </c>
      <c r="M1486">
        <f t="shared" si="58"/>
        <v>0</v>
      </c>
    </row>
    <row r="1487" spans="1:13" x14ac:dyDescent="0.25">
      <c r="A1487">
        <v>1478</v>
      </c>
      <c r="L1487">
        <f t="shared" si="57"/>
        <v>0</v>
      </c>
      <c r="M1487">
        <f t="shared" si="58"/>
        <v>0</v>
      </c>
    </row>
    <row r="1488" spans="1:13" x14ac:dyDescent="0.25">
      <c r="A1488">
        <v>1479</v>
      </c>
      <c r="L1488">
        <f t="shared" si="57"/>
        <v>0</v>
      </c>
      <c r="M1488">
        <f t="shared" si="58"/>
        <v>0</v>
      </c>
    </row>
    <row r="1489" spans="1:13" x14ac:dyDescent="0.25">
      <c r="A1489">
        <v>1480</v>
      </c>
      <c r="L1489">
        <f t="shared" si="57"/>
        <v>0</v>
      </c>
      <c r="M1489">
        <f t="shared" si="58"/>
        <v>0</v>
      </c>
    </row>
    <row r="1490" spans="1:13" x14ac:dyDescent="0.25">
      <c r="A1490">
        <v>1481</v>
      </c>
      <c r="L1490">
        <f t="shared" si="57"/>
        <v>0</v>
      </c>
      <c r="M1490">
        <f t="shared" si="58"/>
        <v>0</v>
      </c>
    </row>
    <row r="1491" spans="1:13" x14ac:dyDescent="0.25">
      <c r="A1491">
        <v>1482</v>
      </c>
      <c r="L1491">
        <f t="shared" si="57"/>
        <v>0</v>
      </c>
      <c r="M1491">
        <f t="shared" si="58"/>
        <v>0</v>
      </c>
    </row>
    <row r="1492" spans="1:13" x14ac:dyDescent="0.25">
      <c r="A1492">
        <v>1483</v>
      </c>
      <c r="L1492">
        <f t="shared" si="57"/>
        <v>0</v>
      </c>
      <c r="M1492">
        <f t="shared" si="58"/>
        <v>0</v>
      </c>
    </row>
    <row r="1493" spans="1:13" x14ac:dyDescent="0.25">
      <c r="A1493">
        <v>1484</v>
      </c>
      <c r="L1493">
        <f t="shared" si="57"/>
        <v>0</v>
      </c>
      <c r="M1493">
        <f t="shared" si="58"/>
        <v>0</v>
      </c>
    </row>
    <row r="1494" spans="1:13" x14ac:dyDescent="0.25">
      <c r="A1494">
        <v>1485</v>
      </c>
      <c r="L1494">
        <f t="shared" si="57"/>
        <v>0</v>
      </c>
      <c r="M1494">
        <f t="shared" si="58"/>
        <v>0</v>
      </c>
    </row>
    <row r="1495" spans="1:13" x14ac:dyDescent="0.25">
      <c r="A1495">
        <v>1486</v>
      </c>
      <c r="L1495">
        <f t="shared" si="57"/>
        <v>0</v>
      </c>
      <c r="M1495">
        <f t="shared" si="58"/>
        <v>0</v>
      </c>
    </row>
    <row r="1496" spans="1:13" x14ac:dyDescent="0.25">
      <c r="A1496">
        <v>1487</v>
      </c>
      <c r="L1496">
        <f t="shared" si="57"/>
        <v>0</v>
      </c>
      <c r="M1496">
        <f t="shared" si="58"/>
        <v>0</v>
      </c>
    </row>
    <row r="1497" spans="1:13" x14ac:dyDescent="0.25">
      <c r="A1497">
        <v>1488</v>
      </c>
      <c r="L1497">
        <f t="shared" si="57"/>
        <v>0</v>
      </c>
      <c r="M1497">
        <f t="shared" si="58"/>
        <v>0</v>
      </c>
    </row>
    <row r="1498" spans="1:13" x14ac:dyDescent="0.25">
      <c r="A1498">
        <v>1489</v>
      </c>
      <c r="L1498">
        <f t="shared" si="57"/>
        <v>0</v>
      </c>
      <c r="M1498">
        <f t="shared" si="58"/>
        <v>0</v>
      </c>
    </row>
    <row r="1499" spans="1:13" x14ac:dyDescent="0.25">
      <c r="A1499">
        <v>1490</v>
      </c>
      <c r="L1499">
        <f t="shared" si="57"/>
        <v>0</v>
      </c>
      <c r="M1499">
        <f t="shared" si="58"/>
        <v>0</v>
      </c>
    </row>
    <row r="1500" spans="1:13" x14ac:dyDescent="0.25">
      <c r="A1500">
        <v>1491</v>
      </c>
      <c r="L1500">
        <f t="shared" si="57"/>
        <v>0</v>
      </c>
      <c r="M1500">
        <f t="shared" si="58"/>
        <v>0</v>
      </c>
    </row>
    <row r="1501" spans="1:13" x14ac:dyDescent="0.25">
      <c r="A1501">
        <v>1492</v>
      </c>
      <c r="L1501">
        <f t="shared" si="57"/>
        <v>0</v>
      </c>
      <c r="M1501">
        <f t="shared" si="58"/>
        <v>0</v>
      </c>
    </row>
    <row r="1502" spans="1:13" x14ac:dyDescent="0.25">
      <c r="A1502">
        <v>1493</v>
      </c>
      <c r="L1502">
        <f t="shared" si="57"/>
        <v>0</v>
      </c>
      <c r="M1502">
        <f t="shared" si="58"/>
        <v>0</v>
      </c>
    </row>
    <row r="1503" spans="1:13" x14ac:dyDescent="0.25">
      <c r="A1503">
        <v>1494</v>
      </c>
      <c r="L1503">
        <f t="shared" si="57"/>
        <v>0</v>
      </c>
      <c r="M1503">
        <f t="shared" si="58"/>
        <v>0</v>
      </c>
    </row>
    <row r="1504" spans="1:13" x14ac:dyDescent="0.25">
      <c r="A1504">
        <v>1495</v>
      </c>
      <c r="L1504">
        <f t="shared" si="57"/>
        <v>0</v>
      </c>
      <c r="M1504">
        <f t="shared" si="58"/>
        <v>0</v>
      </c>
    </row>
    <row r="1505" spans="1:13" x14ac:dyDescent="0.25">
      <c r="A1505">
        <v>1496</v>
      </c>
      <c r="L1505">
        <f t="shared" si="57"/>
        <v>0</v>
      </c>
      <c r="M1505">
        <f t="shared" si="58"/>
        <v>0</v>
      </c>
    </row>
    <row r="1506" spans="1:13" x14ac:dyDescent="0.25">
      <c r="A1506">
        <v>1497</v>
      </c>
      <c r="L1506">
        <f t="shared" si="57"/>
        <v>0</v>
      </c>
      <c r="M1506">
        <f t="shared" si="58"/>
        <v>0</v>
      </c>
    </row>
    <row r="1507" spans="1:13" x14ac:dyDescent="0.25">
      <c r="A1507">
        <v>1498</v>
      </c>
      <c r="L1507">
        <f t="shared" si="57"/>
        <v>0</v>
      </c>
      <c r="M1507">
        <f t="shared" si="58"/>
        <v>0</v>
      </c>
    </row>
    <row r="1508" spans="1:13" x14ac:dyDescent="0.25">
      <c r="A1508">
        <v>1499</v>
      </c>
      <c r="L1508">
        <f t="shared" si="57"/>
        <v>0</v>
      </c>
      <c r="M1508">
        <f t="shared" si="58"/>
        <v>0</v>
      </c>
    </row>
    <row r="1509" spans="1:13" x14ac:dyDescent="0.25">
      <c r="A1509">
        <v>1500</v>
      </c>
      <c r="L1509">
        <f t="shared" si="57"/>
        <v>0</v>
      </c>
      <c r="M1509">
        <f t="shared" si="58"/>
        <v>0</v>
      </c>
    </row>
    <row r="1510" spans="1:13" x14ac:dyDescent="0.25">
      <c r="A1510">
        <v>1501</v>
      </c>
      <c r="L1510">
        <f t="shared" si="57"/>
        <v>0</v>
      </c>
      <c r="M1510">
        <f t="shared" si="58"/>
        <v>0</v>
      </c>
    </row>
    <row r="1511" spans="1:13" x14ac:dyDescent="0.25">
      <c r="A1511">
        <v>1502</v>
      </c>
      <c r="L1511">
        <f t="shared" si="57"/>
        <v>0</v>
      </c>
      <c r="M1511">
        <f t="shared" si="58"/>
        <v>0</v>
      </c>
    </row>
    <row r="1512" spans="1:13" x14ac:dyDescent="0.25">
      <c r="A1512">
        <v>1503</v>
      </c>
      <c r="L1512">
        <f t="shared" si="57"/>
        <v>0</v>
      </c>
      <c r="M1512">
        <f t="shared" si="58"/>
        <v>0</v>
      </c>
    </row>
    <row r="1513" spans="1:13" x14ac:dyDescent="0.25">
      <c r="A1513">
        <v>1504</v>
      </c>
      <c r="L1513">
        <f t="shared" si="57"/>
        <v>0</v>
      </c>
      <c r="M1513">
        <f t="shared" si="58"/>
        <v>0</v>
      </c>
    </row>
    <row r="1514" spans="1:13" x14ac:dyDescent="0.25">
      <c r="A1514">
        <v>1505</v>
      </c>
      <c r="L1514">
        <f t="shared" si="57"/>
        <v>0</v>
      </c>
      <c r="M1514">
        <f t="shared" si="58"/>
        <v>0</v>
      </c>
    </row>
    <row r="1515" spans="1:13" x14ac:dyDescent="0.25">
      <c r="A1515">
        <v>1506</v>
      </c>
      <c r="L1515">
        <f t="shared" si="57"/>
        <v>0</v>
      </c>
      <c r="M1515">
        <f t="shared" si="58"/>
        <v>0</v>
      </c>
    </row>
    <row r="1516" spans="1:13" x14ac:dyDescent="0.25">
      <c r="A1516">
        <v>1507</v>
      </c>
      <c r="L1516">
        <f t="shared" si="57"/>
        <v>0</v>
      </c>
      <c r="M1516">
        <f t="shared" si="58"/>
        <v>0</v>
      </c>
    </row>
    <row r="1517" spans="1:13" x14ac:dyDescent="0.25">
      <c r="A1517">
        <v>1508</v>
      </c>
      <c r="L1517">
        <f t="shared" si="57"/>
        <v>0</v>
      </c>
      <c r="M1517">
        <f t="shared" si="58"/>
        <v>0</v>
      </c>
    </row>
    <row r="1518" spans="1:13" x14ac:dyDescent="0.25">
      <c r="A1518">
        <v>1509</v>
      </c>
      <c r="L1518">
        <f t="shared" ref="L1518:L1581" si="59">+I1518+H1518</f>
        <v>0</v>
      </c>
      <c r="M1518">
        <f t="shared" si="58"/>
        <v>0</v>
      </c>
    </row>
    <row r="1519" spans="1:13" x14ac:dyDescent="0.25">
      <c r="A1519">
        <v>1510</v>
      </c>
      <c r="L1519">
        <f t="shared" si="59"/>
        <v>0</v>
      </c>
      <c r="M1519">
        <f t="shared" si="58"/>
        <v>0</v>
      </c>
    </row>
    <row r="1520" spans="1:13" x14ac:dyDescent="0.25">
      <c r="A1520">
        <v>1511</v>
      </c>
      <c r="L1520">
        <f t="shared" si="59"/>
        <v>0</v>
      </c>
      <c r="M1520">
        <f t="shared" si="58"/>
        <v>0</v>
      </c>
    </row>
    <row r="1521" spans="1:13" x14ac:dyDescent="0.25">
      <c r="A1521">
        <v>1512</v>
      </c>
      <c r="L1521">
        <f t="shared" si="59"/>
        <v>0</v>
      </c>
      <c r="M1521">
        <f t="shared" si="58"/>
        <v>0</v>
      </c>
    </row>
    <row r="1522" spans="1:13" x14ac:dyDescent="0.25">
      <c r="A1522">
        <v>1513</v>
      </c>
      <c r="L1522">
        <f t="shared" si="59"/>
        <v>0</v>
      </c>
      <c r="M1522">
        <f t="shared" si="58"/>
        <v>0</v>
      </c>
    </row>
    <row r="1523" spans="1:13" x14ac:dyDescent="0.25">
      <c r="A1523">
        <v>1514</v>
      </c>
      <c r="L1523">
        <f t="shared" si="59"/>
        <v>0</v>
      </c>
      <c r="M1523">
        <f t="shared" si="58"/>
        <v>0</v>
      </c>
    </row>
    <row r="1524" spans="1:13" x14ac:dyDescent="0.25">
      <c r="A1524">
        <v>1515</v>
      </c>
      <c r="L1524">
        <f t="shared" si="59"/>
        <v>0</v>
      </c>
      <c r="M1524">
        <f t="shared" si="58"/>
        <v>0</v>
      </c>
    </row>
    <row r="1525" spans="1:13" x14ac:dyDescent="0.25">
      <c r="A1525">
        <v>1516</v>
      </c>
      <c r="L1525">
        <f t="shared" si="59"/>
        <v>0</v>
      </c>
      <c r="M1525">
        <f t="shared" si="58"/>
        <v>0</v>
      </c>
    </row>
    <row r="1526" spans="1:13" x14ac:dyDescent="0.25">
      <c r="A1526">
        <v>1517</v>
      </c>
      <c r="L1526">
        <f t="shared" si="59"/>
        <v>0</v>
      </c>
      <c r="M1526">
        <f t="shared" si="58"/>
        <v>0</v>
      </c>
    </row>
    <row r="1527" spans="1:13" x14ac:dyDescent="0.25">
      <c r="A1527">
        <v>1518</v>
      </c>
      <c r="L1527">
        <f t="shared" si="59"/>
        <v>0</v>
      </c>
      <c r="M1527">
        <f t="shared" si="58"/>
        <v>0</v>
      </c>
    </row>
    <row r="1528" spans="1:13" x14ac:dyDescent="0.25">
      <c r="A1528">
        <v>1519</v>
      </c>
      <c r="L1528">
        <f t="shared" si="59"/>
        <v>0</v>
      </c>
      <c r="M1528">
        <f t="shared" si="58"/>
        <v>0</v>
      </c>
    </row>
    <row r="1529" spans="1:13" x14ac:dyDescent="0.25">
      <c r="A1529">
        <v>1520</v>
      </c>
      <c r="L1529">
        <f t="shared" si="59"/>
        <v>0</v>
      </c>
      <c r="M1529">
        <f t="shared" si="58"/>
        <v>0</v>
      </c>
    </row>
    <row r="1530" spans="1:13" x14ac:dyDescent="0.25">
      <c r="A1530">
        <v>1521</v>
      </c>
      <c r="L1530">
        <f t="shared" si="59"/>
        <v>0</v>
      </c>
      <c r="M1530">
        <f t="shared" si="58"/>
        <v>0</v>
      </c>
    </row>
    <row r="1531" spans="1:13" x14ac:dyDescent="0.25">
      <c r="A1531">
        <v>1522</v>
      </c>
      <c r="L1531">
        <f t="shared" si="59"/>
        <v>0</v>
      </c>
      <c r="M1531">
        <f t="shared" si="58"/>
        <v>0</v>
      </c>
    </row>
    <row r="1532" spans="1:13" x14ac:dyDescent="0.25">
      <c r="A1532">
        <v>1523</v>
      </c>
      <c r="L1532">
        <f t="shared" si="59"/>
        <v>0</v>
      </c>
      <c r="M1532">
        <f t="shared" si="58"/>
        <v>0</v>
      </c>
    </row>
    <row r="1533" spans="1:13" x14ac:dyDescent="0.25">
      <c r="A1533">
        <v>1524</v>
      </c>
      <c r="L1533">
        <f t="shared" si="59"/>
        <v>0</v>
      </c>
      <c r="M1533">
        <f t="shared" si="58"/>
        <v>0</v>
      </c>
    </row>
    <row r="1534" spans="1:13" x14ac:dyDescent="0.25">
      <c r="A1534">
        <v>1525</v>
      </c>
      <c r="L1534">
        <f t="shared" si="59"/>
        <v>0</v>
      </c>
      <c r="M1534">
        <f t="shared" si="58"/>
        <v>0</v>
      </c>
    </row>
    <row r="1535" spans="1:13" x14ac:dyDescent="0.25">
      <c r="A1535">
        <v>1526</v>
      </c>
      <c r="L1535">
        <f t="shared" si="59"/>
        <v>0</v>
      </c>
      <c r="M1535">
        <f t="shared" ref="M1535:M1598" si="60">+I1535/IF(H1535 = 0,1,H1535)</f>
        <v>0</v>
      </c>
    </row>
    <row r="1536" spans="1:13" x14ac:dyDescent="0.25">
      <c r="A1536">
        <v>1527</v>
      </c>
      <c r="L1536">
        <f t="shared" si="59"/>
        <v>0</v>
      </c>
      <c r="M1536">
        <f t="shared" si="60"/>
        <v>0</v>
      </c>
    </row>
    <row r="1537" spans="1:13" x14ac:dyDescent="0.25">
      <c r="A1537">
        <v>1528</v>
      </c>
      <c r="L1537">
        <f t="shared" si="59"/>
        <v>0</v>
      </c>
      <c r="M1537">
        <f t="shared" si="60"/>
        <v>0</v>
      </c>
    </row>
    <row r="1538" spans="1:13" x14ac:dyDescent="0.25">
      <c r="A1538">
        <v>1529</v>
      </c>
      <c r="L1538">
        <f t="shared" si="59"/>
        <v>0</v>
      </c>
      <c r="M1538">
        <f t="shared" si="60"/>
        <v>0</v>
      </c>
    </row>
    <row r="1539" spans="1:13" x14ac:dyDescent="0.25">
      <c r="A1539">
        <v>1530</v>
      </c>
      <c r="L1539">
        <f t="shared" si="59"/>
        <v>0</v>
      </c>
      <c r="M1539">
        <f t="shared" si="60"/>
        <v>0</v>
      </c>
    </row>
    <row r="1540" spans="1:13" x14ac:dyDescent="0.25">
      <c r="A1540">
        <v>1531</v>
      </c>
      <c r="L1540">
        <f t="shared" si="59"/>
        <v>0</v>
      </c>
      <c r="M1540">
        <f t="shared" si="60"/>
        <v>0</v>
      </c>
    </row>
    <row r="1541" spans="1:13" x14ac:dyDescent="0.25">
      <c r="A1541">
        <v>1532</v>
      </c>
      <c r="L1541">
        <f t="shared" si="59"/>
        <v>0</v>
      </c>
      <c r="M1541">
        <f t="shared" si="60"/>
        <v>0</v>
      </c>
    </row>
    <row r="1542" spans="1:13" x14ac:dyDescent="0.25">
      <c r="A1542">
        <v>1533</v>
      </c>
      <c r="L1542">
        <f t="shared" si="59"/>
        <v>0</v>
      </c>
      <c r="M1542">
        <f t="shared" si="60"/>
        <v>0</v>
      </c>
    </row>
    <row r="1543" spans="1:13" x14ac:dyDescent="0.25">
      <c r="A1543">
        <v>1534</v>
      </c>
      <c r="L1543">
        <f t="shared" si="59"/>
        <v>0</v>
      </c>
      <c r="M1543">
        <f t="shared" si="60"/>
        <v>0</v>
      </c>
    </row>
    <row r="1544" spans="1:13" x14ac:dyDescent="0.25">
      <c r="A1544">
        <v>1535</v>
      </c>
      <c r="L1544">
        <f t="shared" si="59"/>
        <v>0</v>
      </c>
      <c r="M1544">
        <f t="shared" si="60"/>
        <v>0</v>
      </c>
    </row>
    <row r="1545" spans="1:13" x14ac:dyDescent="0.25">
      <c r="A1545">
        <v>1536</v>
      </c>
      <c r="L1545">
        <f t="shared" si="59"/>
        <v>0</v>
      </c>
      <c r="M1545">
        <f t="shared" si="60"/>
        <v>0</v>
      </c>
    </row>
    <row r="1546" spans="1:13" x14ac:dyDescent="0.25">
      <c r="A1546">
        <v>1537</v>
      </c>
      <c r="L1546">
        <f t="shared" si="59"/>
        <v>0</v>
      </c>
      <c r="M1546">
        <f t="shared" si="60"/>
        <v>0</v>
      </c>
    </row>
    <row r="1547" spans="1:13" x14ac:dyDescent="0.25">
      <c r="A1547">
        <v>1538</v>
      </c>
      <c r="L1547">
        <f t="shared" si="59"/>
        <v>0</v>
      </c>
      <c r="M1547">
        <f t="shared" si="60"/>
        <v>0</v>
      </c>
    </row>
    <row r="1548" spans="1:13" x14ac:dyDescent="0.25">
      <c r="A1548">
        <v>1539</v>
      </c>
      <c r="L1548">
        <f t="shared" si="59"/>
        <v>0</v>
      </c>
      <c r="M1548">
        <f t="shared" si="60"/>
        <v>0</v>
      </c>
    </row>
    <row r="1549" spans="1:13" x14ac:dyDescent="0.25">
      <c r="A1549">
        <v>1540</v>
      </c>
      <c r="L1549">
        <f t="shared" si="59"/>
        <v>0</v>
      </c>
      <c r="M1549">
        <f t="shared" si="60"/>
        <v>0</v>
      </c>
    </row>
    <row r="1550" spans="1:13" x14ac:dyDescent="0.25">
      <c r="A1550">
        <v>1541</v>
      </c>
      <c r="L1550">
        <f t="shared" si="59"/>
        <v>0</v>
      </c>
      <c r="M1550">
        <f t="shared" si="60"/>
        <v>0</v>
      </c>
    </row>
    <row r="1551" spans="1:13" x14ac:dyDescent="0.25">
      <c r="A1551">
        <v>1542</v>
      </c>
      <c r="L1551">
        <f t="shared" si="59"/>
        <v>0</v>
      </c>
      <c r="M1551">
        <f t="shared" si="60"/>
        <v>0</v>
      </c>
    </row>
    <row r="1552" spans="1:13" x14ac:dyDescent="0.25">
      <c r="A1552">
        <v>1543</v>
      </c>
      <c r="L1552">
        <f t="shared" si="59"/>
        <v>0</v>
      </c>
      <c r="M1552">
        <f t="shared" si="60"/>
        <v>0</v>
      </c>
    </row>
    <row r="1553" spans="1:13" x14ac:dyDescent="0.25">
      <c r="A1553">
        <v>1544</v>
      </c>
      <c r="L1553">
        <f t="shared" si="59"/>
        <v>0</v>
      </c>
      <c r="M1553">
        <f t="shared" si="60"/>
        <v>0</v>
      </c>
    </row>
    <row r="1554" spans="1:13" x14ac:dyDescent="0.25">
      <c r="A1554">
        <v>1545</v>
      </c>
      <c r="L1554">
        <f t="shared" si="59"/>
        <v>0</v>
      </c>
      <c r="M1554">
        <f t="shared" si="60"/>
        <v>0</v>
      </c>
    </row>
    <row r="1555" spans="1:13" x14ac:dyDescent="0.25">
      <c r="A1555">
        <v>1546</v>
      </c>
      <c r="L1555">
        <f t="shared" si="59"/>
        <v>0</v>
      </c>
      <c r="M1555">
        <f t="shared" si="60"/>
        <v>0</v>
      </c>
    </row>
    <row r="1556" spans="1:13" x14ac:dyDescent="0.25">
      <c r="A1556">
        <v>1547</v>
      </c>
      <c r="L1556">
        <f t="shared" si="59"/>
        <v>0</v>
      </c>
      <c r="M1556">
        <f t="shared" si="60"/>
        <v>0</v>
      </c>
    </row>
    <row r="1557" spans="1:13" x14ac:dyDescent="0.25">
      <c r="A1557">
        <v>1548</v>
      </c>
      <c r="L1557">
        <f t="shared" si="59"/>
        <v>0</v>
      </c>
      <c r="M1557">
        <f t="shared" si="60"/>
        <v>0</v>
      </c>
    </row>
    <row r="1558" spans="1:13" x14ac:dyDescent="0.25">
      <c r="A1558">
        <v>1549</v>
      </c>
      <c r="L1558">
        <f t="shared" si="59"/>
        <v>0</v>
      </c>
      <c r="M1558">
        <f t="shared" si="60"/>
        <v>0</v>
      </c>
    </row>
    <row r="1559" spans="1:13" x14ac:dyDescent="0.25">
      <c r="A1559">
        <v>1550</v>
      </c>
      <c r="L1559">
        <f t="shared" si="59"/>
        <v>0</v>
      </c>
      <c r="M1559">
        <f t="shared" si="60"/>
        <v>0</v>
      </c>
    </row>
    <row r="1560" spans="1:13" x14ac:dyDescent="0.25">
      <c r="L1560">
        <f t="shared" si="59"/>
        <v>0</v>
      </c>
      <c r="M1560">
        <f t="shared" si="60"/>
        <v>0</v>
      </c>
    </row>
    <row r="1561" spans="1:13" x14ac:dyDescent="0.25">
      <c r="L1561">
        <f t="shared" si="59"/>
        <v>0</v>
      </c>
      <c r="M1561">
        <f t="shared" si="60"/>
        <v>0</v>
      </c>
    </row>
    <row r="1562" spans="1:13" x14ac:dyDescent="0.25">
      <c r="L1562">
        <f t="shared" si="59"/>
        <v>0</v>
      </c>
      <c r="M1562">
        <f t="shared" si="60"/>
        <v>0</v>
      </c>
    </row>
    <row r="1563" spans="1:13" x14ac:dyDescent="0.25">
      <c r="L1563">
        <f t="shared" si="59"/>
        <v>0</v>
      </c>
      <c r="M1563">
        <f t="shared" si="60"/>
        <v>0</v>
      </c>
    </row>
    <row r="1564" spans="1:13" x14ac:dyDescent="0.25">
      <c r="L1564">
        <f t="shared" si="59"/>
        <v>0</v>
      </c>
      <c r="M1564">
        <f t="shared" si="60"/>
        <v>0</v>
      </c>
    </row>
    <row r="1565" spans="1:13" x14ac:dyDescent="0.25">
      <c r="L1565">
        <f t="shared" si="59"/>
        <v>0</v>
      </c>
      <c r="M1565">
        <f t="shared" si="60"/>
        <v>0</v>
      </c>
    </row>
    <row r="1566" spans="1:13" x14ac:dyDescent="0.25">
      <c r="L1566">
        <f t="shared" si="59"/>
        <v>0</v>
      </c>
      <c r="M1566">
        <f t="shared" si="60"/>
        <v>0</v>
      </c>
    </row>
    <row r="1567" spans="1:13" x14ac:dyDescent="0.25">
      <c r="L1567">
        <f t="shared" si="59"/>
        <v>0</v>
      </c>
      <c r="M1567">
        <f t="shared" si="60"/>
        <v>0</v>
      </c>
    </row>
    <row r="1568" spans="1:13" x14ac:dyDescent="0.25">
      <c r="L1568">
        <f t="shared" si="59"/>
        <v>0</v>
      </c>
      <c r="M1568">
        <f t="shared" si="60"/>
        <v>0</v>
      </c>
    </row>
    <row r="1569" spans="12:13" x14ac:dyDescent="0.25">
      <c r="L1569">
        <f t="shared" si="59"/>
        <v>0</v>
      </c>
      <c r="M1569">
        <f t="shared" si="60"/>
        <v>0</v>
      </c>
    </row>
    <row r="1570" spans="12:13" x14ac:dyDescent="0.25">
      <c r="L1570">
        <f t="shared" si="59"/>
        <v>0</v>
      </c>
      <c r="M1570">
        <f t="shared" si="60"/>
        <v>0</v>
      </c>
    </row>
    <row r="1571" spans="12:13" x14ac:dyDescent="0.25">
      <c r="L1571">
        <f t="shared" si="59"/>
        <v>0</v>
      </c>
      <c r="M1571">
        <f t="shared" si="60"/>
        <v>0</v>
      </c>
    </row>
    <row r="1572" spans="12:13" x14ac:dyDescent="0.25">
      <c r="L1572">
        <f t="shared" si="59"/>
        <v>0</v>
      </c>
      <c r="M1572">
        <f t="shared" si="60"/>
        <v>0</v>
      </c>
    </row>
    <row r="1573" spans="12:13" x14ac:dyDescent="0.25">
      <c r="L1573">
        <f t="shared" si="59"/>
        <v>0</v>
      </c>
      <c r="M1573">
        <f t="shared" si="60"/>
        <v>0</v>
      </c>
    </row>
    <row r="1574" spans="12:13" x14ac:dyDescent="0.25">
      <c r="L1574">
        <f t="shared" si="59"/>
        <v>0</v>
      </c>
      <c r="M1574">
        <f t="shared" si="60"/>
        <v>0</v>
      </c>
    </row>
    <row r="1575" spans="12:13" x14ac:dyDescent="0.25">
      <c r="L1575">
        <f t="shared" si="59"/>
        <v>0</v>
      </c>
      <c r="M1575">
        <f t="shared" si="60"/>
        <v>0</v>
      </c>
    </row>
    <row r="1576" spans="12:13" x14ac:dyDescent="0.25">
      <c r="L1576">
        <f t="shared" si="59"/>
        <v>0</v>
      </c>
      <c r="M1576">
        <f t="shared" si="60"/>
        <v>0</v>
      </c>
    </row>
    <row r="1577" spans="12:13" x14ac:dyDescent="0.25">
      <c r="L1577">
        <f t="shared" si="59"/>
        <v>0</v>
      </c>
      <c r="M1577">
        <f t="shared" si="60"/>
        <v>0</v>
      </c>
    </row>
    <row r="1578" spans="12:13" x14ac:dyDescent="0.25">
      <c r="L1578">
        <f t="shared" si="59"/>
        <v>0</v>
      </c>
      <c r="M1578">
        <f t="shared" si="60"/>
        <v>0</v>
      </c>
    </row>
    <row r="1579" spans="12:13" x14ac:dyDescent="0.25">
      <c r="L1579">
        <f t="shared" si="59"/>
        <v>0</v>
      </c>
      <c r="M1579">
        <f t="shared" si="60"/>
        <v>0</v>
      </c>
    </row>
    <row r="1580" spans="12:13" x14ac:dyDescent="0.25">
      <c r="L1580">
        <f t="shared" si="59"/>
        <v>0</v>
      </c>
      <c r="M1580">
        <f t="shared" si="60"/>
        <v>0</v>
      </c>
    </row>
    <row r="1581" spans="12:13" x14ac:dyDescent="0.25">
      <c r="L1581">
        <f t="shared" si="59"/>
        <v>0</v>
      </c>
      <c r="M1581">
        <f t="shared" si="60"/>
        <v>0</v>
      </c>
    </row>
    <row r="1582" spans="12:13" x14ac:dyDescent="0.25">
      <c r="L1582">
        <f t="shared" ref="L1582:L1645" si="61">+I1582+H1582</f>
        <v>0</v>
      </c>
      <c r="M1582">
        <f t="shared" si="60"/>
        <v>0</v>
      </c>
    </row>
    <row r="1583" spans="12:13" x14ac:dyDescent="0.25">
      <c r="L1583">
        <f t="shared" si="61"/>
        <v>0</v>
      </c>
      <c r="M1583">
        <f t="shared" si="60"/>
        <v>0</v>
      </c>
    </row>
    <row r="1584" spans="12:13" x14ac:dyDescent="0.25">
      <c r="L1584">
        <f t="shared" si="61"/>
        <v>0</v>
      </c>
      <c r="M1584">
        <f t="shared" si="60"/>
        <v>0</v>
      </c>
    </row>
    <row r="1585" spans="12:13" x14ac:dyDescent="0.25">
      <c r="L1585">
        <f t="shared" si="61"/>
        <v>0</v>
      </c>
      <c r="M1585">
        <f t="shared" si="60"/>
        <v>0</v>
      </c>
    </row>
    <row r="1586" spans="12:13" x14ac:dyDescent="0.25">
      <c r="L1586">
        <f t="shared" si="61"/>
        <v>0</v>
      </c>
      <c r="M1586">
        <f t="shared" si="60"/>
        <v>0</v>
      </c>
    </row>
    <row r="1587" spans="12:13" x14ac:dyDescent="0.25">
      <c r="L1587">
        <f t="shared" si="61"/>
        <v>0</v>
      </c>
      <c r="M1587">
        <f t="shared" si="60"/>
        <v>0</v>
      </c>
    </row>
    <row r="1588" spans="12:13" x14ac:dyDescent="0.25">
      <c r="L1588">
        <f t="shared" si="61"/>
        <v>0</v>
      </c>
      <c r="M1588">
        <f t="shared" si="60"/>
        <v>0</v>
      </c>
    </row>
    <row r="1589" spans="12:13" x14ac:dyDescent="0.25">
      <c r="L1589">
        <f t="shared" si="61"/>
        <v>0</v>
      </c>
      <c r="M1589">
        <f t="shared" si="60"/>
        <v>0</v>
      </c>
    </row>
    <row r="1590" spans="12:13" x14ac:dyDescent="0.25">
      <c r="L1590">
        <f t="shared" si="61"/>
        <v>0</v>
      </c>
      <c r="M1590">
        <f t="shared" si="60"/>
        <v>0</v>
      </c>
    </row>
    <row r="1591" spans="12:13" x14ac:dyDescent="0.25">
      <c r="L1591">
        <f t="shared" si="61"/>
        <v>0</v>
      </c>
      <c r="M1591">
        <f t="shared" si="60"/>
        <v>0</v>
      </c>
    </row>
    <row r="1592" spans="12:13" x14ac:dyDescent="0.25">
      <c r="L1592">
        <f t="shared" si="61"/>
        <v>0</v>
      </c>
      <c r="M1592">
        <f t="shared" si="60"/>
        <v>0</v>
      </c>
    </row>
    <row r="1593" spans="12:13" x14ac:dyDescent="0.25">
      <c r="L1593">
        <f t="shared" si="61"/>
        <v>0</v>
      </c>
      <c r="M1593">
        <f t="shared" si="60"/>
        <v>0</v>
      </c>
    </row>
    <row r="1594" spans="12:13" x14ac:dyDescent="0.25">
      <c r="L1594">
        <f t="shared" si="61"/>
        <v>0</v>
      </c>
      <c r="M1594">
        <f t="shared" si="60"/>
        <v>0</v>
      </c>
    </row>
    <row r="1595" spans="12:13" x14ac:dyDescent="0.25">
      <c r="L1595">
        <f t="shared" si="61"/>
        <v>0</v>
      </c>
      <c r="M1595">
        <f t="shared" si="60"/>
        <v>0</v>
      </c>
    </row>
    <row r="1596" spans="12:13" x14ac:dyDescent="0.25">
      <c r="L1596">
        <f t="shared" si="61"/>
        <v>0</v>
      </c>
      <c r="M1596">
        <f t="shared" si="60"/>
        <v>0</v>
      </c>
    </row>
    <row r="1597" spans="12:13" x14ac:dyDescent="0.25">
      <c r="L1597">
        <f t="shared" si="61"/>
        <v>0</v>
      </c>
      <c r="M1597">
        <f t="shared" si="60"/>
        <v>0</v>
      </c>
    </row>
    <row r="1598" spans="12:13" x14ac:dyDescent="0.25">
      <c r="L1598">
        <f t="shared" si="61"/>
        <v>0</v>
      </c>
      <c r="M1598">
        <f t="shared" si="60"/>
        <v>0</v>
      </c>
    </row>
    <row r="1599" spans="12:13" x14ac:dyDescent="0.25">
      <c r="L1599">
        <f t="shared" si="61"/>
        <v>0</v>
      </c>
      <c r="M1599">
        <f t="shared" ref="M1599:M1662" si="62">+I1599/IF(H1599 = 0,1,H1599)</f>
        <v>0</v>
      </c>
    </row>
    <row r="1600" spans="12:13" x14ac:dyDescent="0.25">
      <c r="L1600">
        <f t="shared" si="61"/>
        <v>0</v>
      </c>
      <c r="M1600">
        <f t="shared" si="62"/>
        <v>0</v>
      </c>
    </row>
    <row r="1601" spans="12:13" x14ac:dyDescent="0.25">
      <c r="L1601">
        <f t="shared" si="61"/>
        <v>0</v>
      </c>
      <c r="M1601">
        <f t="shared" si="62"/>
        <v>0</v>
      </c>
    </row>
    <row r="1602" spans="12:13" x14ac:dyDescent="0.25">
      <c r="L1602">
        <f t="shared" si="61"/>
        <v>0</v>
      </c>
      <c r="M1602">
        <f t="shared" si="62"/>
        <v>0</v>
      </c>
    </row>
    <row r="1603" spans="12:13" x14ac:dyDescent="0.25">
      <c r="L1603">
        <f t="shared" si="61"/>
        <v>0</v>
      </c>
      <c r="M1603">
        <f t="shared" si="62"/>
        <v>0</v>
      </c>
    </row>
    <row r="1604" spans="12:13" x14ac:dyDescent="0.25">
      <c r="L1604">
        <f t="shared" si="61"/>
        <v>0</v>
      </c>
      <c r="M1604">
        <f t="shared" si="62"/>
        <v>0</v>
      </c>
    </row>
    <row r="1605" spans="12:13" x14ac:dyDescent="0.25">
      <c r="L1605">
        <f t="shared" si="61"/>
        <v>0</v>
      </c>
      <c r="M1605">
        <f t="shared" si="62"/>
        <v>0</v>
      </c>
    </row>
    <row r="1606" spans="12:13" x14ac:dyDescent="0.25">
      <c r="L1606">
        <f t="shared" si="61"/>
        <v>0</v>
      </c>
      <c r="M1606">
        <f t="shared" si="62"/>
        <v>0</v>
      </c>
    </row>
    <row r="1607" spans="12:13" x14ac:dyDescent="0.25">
      <c r="L1607">
        <f t="shared" si="61"/>
        <v>0</v>
      </c>
      <c r="M1607">
        <f t="shared" si="62"/>
        <v>0</v>
      </c>
    </row>
    <row r="1608" spans="12:13" x14ac:dyDescent="0.25">
      <c r="L1608">
        <f t="shared" si="61"/>
        <v>0</v>
      </c>
      <c r="M1608">
        <f t="shared" si="62"/>
        <v>0</v>
      </c>
    </row>
    <row r="1609" spans="12:13" x14ac:dyDescent="0.25">
      <c r="L1609">
        <f t="shared" si="61"/>
        <v>0</v>
      </c>
      <c r="M1609">
        <f t="shared" si="62"/>
        <v>0</v>
      </c>
    </row>
    <row r="1610" spans="12:13" x14ac:dyDescent="0.25">
      <c r="L1610">
        <f t="shared" si="61"/>
        <v>0</v>
      </c>
      <c r="M1610">
        <f t="shared" si="62"/>
        <v>0</v>
      </c>
    </row>
    <row r="1611" spans="12:13" x14ac:dyDescent="0.25">
      <c r="L1611">
        <f t="shared" si="61"/>
        <v>0</v>
      </c>
      <c r="M1611">
        <f t="shared" si="62"/>
        <v>0</v>
      </c>
    </row>
    <row r="1612" spans="12:13" x14ac:dyDescent="0.25">
      <c r="L1612">
        <f t="shared" si="61"/>
        <v>0</v>
      </c>
      <c r="M1612">
        <f t="shared" si="62"/>
        <v>0</v>
      </c>
    </row>
    <row r="1613" spans="12:13" x14ac:dyDescent="0.25">
      <c r="L1613">
        <f t="shared" si="61"/>
        <v>0</v>
      </c>
      <c r="M1613">
        <f t="shared" si="62"/>
        <v>0</v>
      </c>
    </row>
    <row r="1614" spans="12:13" x14ac:dyDescent="0.25">
      <c r="L1614">
        <f t="shared" si="61"/>
        <v>0</v>
      </c>
      <c r="M1614">
        <f t="shared" si="62"/>
        <v>0</v>
      </c>
    </row>
    <row r="1615" spans="12:13" x14ac:dyDescent="0.25">
      <c r="L1615">
        <f t="shared" si="61"/>
        <v>0</v>
      </c>
      <c r="M1615">
        <f t="shared" si="62"/>
        <v>0</v>
      </c>
    </row>
    <row r="1616" spans="12:13" x14ac:dyDescent="0.25">
      <c r="L1616">
        <f t="shared" si="61"/>
        <v>0</v>
      </c>
      <c r="M1616">
        <f t="shared" si="62"/>
        <v>0</v>
      </c>
    </row>
    <row r="1617" spans="12:13" x14ac:dyDescent="0.25">
      <c r="L1617">
        <f t="shared" si="61"/>
        <v>0</v>
      </c>
      <c r="M1617">
        <f t="shared" si="62"/>
        <v>0</v>
      </c>
    </row>
    <row r="1618" spans="12:13" x14ac:dyDescent="0.25">
      <c r="L1618">
        <f t="shared" si="61"/>
        <v>0</v>
      </c>
      <c r="M1618">
        <f t="shared" si="62"/>
        <v>0</v>
      </c>
    </row>
    <row r="1619" spans="12:13" x14ac:dyDescent="0.25">
      <c r="L1619">
        <f t="shared" si="61"/>
        <v>0</v>
      </c>
      <c r="M1619">
        <f t="shared" si="62"/>
        <v>0</v>
      </c>
    </row>
    <row r="1620" spans="12:13" x14ac:dyDescent="0.25">
      <c r="L1620">
        <f t="shared" si="61"/>
        <v>0</v>
      </c>
      <c r="M1620">
        <f t="shared" si="62"/>
        <v>0</v>
      </c>
    </row>
    <row r="1621" spans="12:13" x14ac:dyDescent="0.25">
      <c r="L1621">
        <f t="shared" si="61"/>
        <v>0</v>
      </c>
      <c r="M1621">
        <f t="shared" si="62"/>
        <v>0</v>
      </c>
    </row>
    <row r="1622" spans="12:13" x14ac:dyDescent="0.25">
      <c r="L1622">
        <f t="shared" si="61"/>
        <v>0</v>
      </c>
      <c r="M1622">
        <f t="shared" si="62"/>
        <v>0</v>
      </c>
    </row>
    <row r="1623" spans="12:13" x14ac:dyDescent="0.25">
      <c r="L1623">
        <f t="shared" si="61"/>
        <v>0</v>
      </c>
      <c r="M1623">
        <f t="shared" si="62"/>
        <v>0</v>
      </c>
    </row>
    <row r="1624" spans="12:13" x14ac:dyDescent="0.25">
      <c r="L1624">
        <f t="shared" si="61"/>
        <v>0</v>
      </c>
      <c r="M1624">
        <f t="shared" si="62"/>
        <v>0</v>
      </c>
    </row>
    <row r="1625" spans="12:13" x14ac:dyDescent="0.25">
      <c r="L1625">
        <f t="shared" si="61"/>
        <v>0</v>
      </c>
      <c r="M1625">
        <f t="shared" si="62"/>
        <v>0</v>
      </c>
    </row>
    <row r="1626" spans="12:13" x14ac:dyDescent="0.25">
      <c r="L1626">
        <f t="shared" si="61"/>
        <v>0</v>
      </c>
      <c r="M1626">
        <f t="shared" si="62"/>
        <v>0</v>
      </c>
    </row>
    <row r="1627" spans="12:13" x14ac:dyDescent="0.25">
      <c r="L1627">
        <f t="shared" si="61"/>
        <v>0</v>
      </c>
      <c r="M1627">
        <f t="shared" si="62"/>
        <v>0</v>
      </c>
    </row>
    <row r="1628" spans="12:13" x14ac:dyDescent="0.25">
      <c r="L1628">
        <f t="shared" si="61"/>
        <v>0</v>
      </c>
      <c r="M1628">
        <f t="shared" si="62"/>
        <v>0</v>
      </c>
    </row>
    <row r="1629" spans="12:13" x14ac:dyDescent="0.25">
      <c r="L1629">
        <f t="shared" si="61"/>
        <v>0</v>
      </c>
      <c r="M1629">
        <f t="shared" si="62"/>
        <v>0</v>
      </c>
    </row>
    <row r="1630" spans="12:13" x14ac:dyDescent="0.25">
      <c r="L1630">
        <f t="shared" si="61"/>
        <v>0</v>
      </c>
      <c r="M1630">
        <f t="shared" si="62"/>
        <v>0</v>
      </c>
    </row>
    <row r="1631" spans="12:13" x14ac:dyDescent="0.25">
      <c r="L1631">
        <f t="shared" si="61"/>
        <v>0</v>
      </c>
      <c r="M1631">
        <f t="shared" si="62"/>
        <v>0</v>
      </c>
    </row>
    <row r="1632" spans="12:13" x14ac:dyDescent="0.25">
      <c r="L1632">
        <f t="shared" si="61"/>
        <v>0</v>
      </c>
      <c r="M1632">
        <f t="shared" si="62"/>
        <v>0</v>
      </c>
    </row>
    <row r="1633" spans="12:13" x14ac:dyDescent="0.25">
      <c r="L1633">
        <f t="shared" si="61"/>
        <v>0</v>
      </c>
      <c r="M1633">
        <f t="shared" si="62"/>
        <v>0</v>
      </c>
    </row>
    <row r="1634" spans="12:13" x14ac:dyDescent="0.25">
      <c r="L1634">
        <f t="shared" si="61"/>
        <v>0</v>
      </c>
      <c r="M1634">
        <f t="shared" si="62"/>
        <v>0</v>
      </c>
    </row>
    <row r="1635" spans="12:13" x14ac:dyDescent="0.25">
      <c r="L1635">
        <f t="shared" si="61"/>
        <v>0</v>
      </c>
      <c r="M1635">
        <f t="shared" si="62"/>
        <v>0</v>
      </c>
    </row>
    <row r="1636" spans="12:13" x14ac:dyDescent="0.25">
      <c r="L1636">
        <f t="shared" si="61"/>
        <v>0</v>
      </c>
      <c r="M1636">
        <f t="shared" si="62"/>
        <v>0</v>
      </c>
    </row>
    <row r="1637" spans="12:13" x14ac:dyDescent="0.25">
      <c r="L1637">
        <f t="shared" si="61"/>
        <v>0</v>
      </c>
      <c r="M1637">
        <f t="shared" si="62"/>
        <v>0</v>
      </c>
    </row>
    <row r="1638" spans="12:13" x14ac:dyDescent="0.25">
      <c r="L1638">
        <f t="shared" si="61"/>
        <v>0</v>
      </c>
      <c r="M1638">
        <f t="shared" si="62"/>
        <v>0</v>
      </c>
    </row>
    <row r="1639" spans="12:13" x14ac:dyDescent="0.25">
      <c r="L1639">
        <f t="shared" si="61"/>
        <v>0</v>
      </c>
      <c r="M1639">
        <f t="shared" si="62"/>
        <v>0</v>
      </c>
    </row>
    <row r="1640" spans="12:13" x14ac:dyDescent="0.25">
      <c r="L1640">
        <f t="shared" si="61"/>
        <v>0</v>
      </c>
      <c r="M1640">
        <f t="shared" si="62"/>
        <v>0</v>
      </c>
    </row>
    <row r="1641" spans="12:13" x14ac:dyDescent="0.25">
      <c r="L1641">
        <f t="shared" si="61"/>
        <v>0</v>
      </c>
      <c r="M1641">
        <f t="shared" si="62"/>
        <v>0</v>
      </c>
    </row>
    <row r="1642" spans="12:13" x14ac:dyDescent="0.25">
      <c r="L1642">
        <f t="shared" si="61"/>
        <v>0</v>
      </c>
      <c r="M1642">
        <f t="shared" si="62"/>
        <v>0</v>
      </c>
    </row>
    <row r="1643" spans="12:13" x14ac:dyDescent="0.25">
      <c r="L1643">
        <f t="shared" si="61"/>
        <v>0</v>
      </c>
      <c r="M1643">
        <f t="shared" si="62"/>
        <v>0</v>
      </c>
    </row>
    <row r="1644" spans="12:13" x14ac:dyDescent="0.25">
      <c r="L1644">
        <f t="shared" si="61"/>
        <v>0</v>
      </c>
      <c r="M1644">
        <f t="shared" si="62"/>
        <v>0</v>
      </c>
    </row>
    <row r="1645" spans="12:13" x14ac:dyDescent="0.25">
      <c r="L1645">
        <f t="shared" si="61"/>
        <v>0</v>
      </c>
      <c r="M1645">
        <f t="shared" si="62"/>
        <v>0</v>
      </c>
    </row>
    <row r="1646" spans="12:13" x14ac:dyDescent="0.25">
      <c r="L1646">
        <f t="shared" ref="L1646:L1709" si="63">+I1646+H1646</f>
        <v>0</v>
      </c>
      <c r="M1646">
        <f t="shared" si="62"/>
        <v>0</v>
      </c>
    </row>
    <row r="1647" spans="12:13" x14ac:dyDescent="0.25">
      <c r="L1647">
        <f t="shared" si="63"/>
        <v>0</v>
      </c>
      <c r="M1647">
        <f t="shared" si="62"/>
        <v>0</v>
      </c>
    </row>
    <row r="1648" spans="12:13" x14ac:dyDescent="0.25">
      <c r="L1648">
        <f t="shared" si="63"/>
        <v>0</v>
      </c>
      <c r="M1648">
        <f t="shared" si="62"/>
        <v>0</v>
      </c>
    </row>
    <row r="1649" spans="12:13" x14ac:dyDescent="0.25">
      <c r="L1649">
        <f t="shared" si="63"/>
        <v>0</v>
      </c>
      <c r="M1649">
        <f t="shared" si="62"/>
        <v>0</v>
      </c>
    </row>
    <row r="1650" spans="12:13" x14ac:dyDescent="0.25">
      <c r="L1650">
        <f t="shared" si="63"/>
        <v>0</v>
      </c>
      <c r="M1650">
        <f t="shared" si="62"/>
        <v>0</v>
      </c>
    </row>
    <row r="1651" spans="12:13" x14ac:dyDescent="0.25">
      <c r="L1651">
        <f t="shared" si="63"/>
        <v>0</v>
      </c>
      <c r="M1651">
        <f t="shared" si="62"/>
        <v>0</v>
      </c>
    </row>
    <row r="1652" spans="12:13" x14ac:dyDescent="0.25">
      <c r="L1652">
        <f t="shared" si="63"/>
        <v>0</v>
      </c>
      <c r="M1652">
        <f t="shared" si="62"/>
        <v>0</v>
      </c>
    </row>
    <row r="1653" spans="12:13" x14ac:dyDescent="0.25">
      <c r="L1653">
        <f t="shared" si="63"/>
        <v>0</v>
      </c>
      <c r="M1653">
        <f t="shared" si="62"/>
        <v>0</v>
      </c>
    </row>
    <row r="1654" spans="12:13" x14ac:dyDescent="0.25">
      <c r="L1654">
        <f t="shared" si="63"/>
        <v>0</v>
      </c>
      <c r="M1654">
        <f t="shared" si="62"/>
        <v>0</v>
      </c>
    </row>
    <row r="1655" spans="12:13" x14ac:dyDescent="0.25">
      <c r="L1655">
        <f t="shared" si="63"/>
        <v>0</v>
      </c>
      <c r="M1655">
        <f t="shared" si="62"/>
        <v>0</v>
      </c>
    </row>
    <row r="1656" spans="12:13" x14ac:dyDescent="0.25">
      <c r="L1656">
        <f t="shared" si="63"/>
        <v>0</v>
      </c>
      <c r="M1656">
        <f t="shared" si="62"/>
        <v>0</v>
      </c>
    </row>
    <row r="1657" spans="12:13" x14ac:dyDescent="0.25">
      <c r="L1657">
        <f t="shared" si="63"/>
        <v>0</v>
      </c>
      <c r="M1657">
        <f t="shared" si="62"/>
        <v>0</v>
      </c>
    </row>
    <row r="1658" spans="12:13" x14ac:dyDescent="0.25">
      <c r="L1658">
        <f t="shared" si="63"/>
        <v>0</v>
      </c>
      <c r="M1658">
        <f t="shared" si="62"/>
        <v>0</v>
      </c>
    </row>
    <row r="1659" spans="12:13" x14ac:dyDescent="0.25">
      <c r="L1659">
        <f t="shared" si="63"/>
        <v>0</v>
      </c>
      <c r="M1659">
        <f t="shared" si="62"/>
        <v>0</v>
      </c>
    </row>
    <row r="1660" spans="12:13" x14ac:dyDescent="0.25">
      <c r="L1660">
        <f t="shared" si="63"/>
        <v>0</v>
      </c>
      <c r="M1660">
        <f t="shared" si="62"/>
        <v>0</v>
      </c>
    </row>
    <row r="1661" spans="12:13" x14ac:dyDescent="0.25">
      <c r="L1661">
        <f t="shared" si="63"/>
        <v>0</v>
      </c>
      <c r="M1661">
        <f t="shared" si="62"/>
        <v>0</v>
      </c>
    </row>
    <row r="1662" spans="12:13" x14ac:dyDescent="0.25">
      <c r="L1662">
        <f t="shared" si="63"/>
        <v>0</v>
      </c>
      <c r="M1662">
        <f t="shared" si="62"/>
        <v>0</v>
      </c>
    </row>
    <row r="1663" spans="12:13" x14ac:dyDescent="0.25">
      <c r="L1663">
        <f t="shared" si="63"/>
        <v>0</v>
      </c>
      <c r="M1663">
        <f t="shared" ref="M1663:M1726" si="64">+I1663/IF(H1663 = 0,1,H1663)</f>
        <v>0</v>
      </c>
    </row>
    <row r="1664" spans="12:13" x14ac:dyDescent="0.25">
      <c r="L1664">
        <f t="shared" si="63"/>
        <v>0</v>
      </c>
      <c r="M1664">
        <f t="shared" si="64"/>
        <v>0</v>
      </c>
    </row>
    <row r="1665" spans="12:13" x14ac:dyDescent="0.25">
      <c r="L1665">
        <f t="shared" si="63"/>
        <v>0</v>
      </c>
      <c r="M1665">
        <f t="shared" si="64"/>
        <v>0</v>
      </c>
    </row>
    <row r="1666" spans="12:13" x14ac:dyDescent="0.25">
      <c r="L1666">
        <f t="shared" si="63"/>
        <v>0</v>
      </c>
      <c r="M1666">
        <f t="shared" si="64"/>
        <v>0</v>
      </c>
    </row>
    <row r="1667" spans="12:13" x14ac:dyDescent="0.25">
      <c r="L1667">
        <f t="shared" si="63"/>
        <v>0</v>
      </c>
      <c r="M1667">
        <f t="shared" si="64"/>
        <v>0</v>
      </c>
    </row>
    <row r="1668" spans="12:13" x14ac:dyDescent="0.25">
      <c r="L1668">
        <f t="shared" si="63"/>
        <v>0</v>
      </c>
      <c r="M1668">
        <f t="shared" si="64"/>
        <v>0</v>
      </c>
    </row>
    <row r="1669" spans="12:13" x14ac:dyDescent="0.25">
      <c r="L1669">
        <f t="shared" si="63"/>
        <v>0</v>
      </c>
      <c r="M1669">
        <f t="shared" si="64"/>
        <v>0</v>
      </c>
    </row>
    <row r="1670" spans="12:13" x14ac:dyDescent="0.25">
      <c r="L1670">
        <f t="shared" si="63"/>
        <v>0</v>
      </c>
      <c r="M1670">
        <f t="shared" si="64"/>
        <v>0</v>
      </c>
    </row>
    <row r="1671" spans="12:13" x14ac:dyDescent="0.25">
      <c r="L1671">
        <f t="shared" si="63"/>
        <v>0</v>
      </c>
      <c r="M1671">
        <f t="shared" si="64"/>
        <v>0</v>
      </c>
    </row>
    <row r="1672" spans="12:13" x14ac:dyDescent="0.25">
      <c r="L1672">
        <f t="shared" si="63"/>
        <v>0</v>
      </c>
      <c r="M1672">
        <f t="shared" si="64"/>
        <v>0</v>
      </c>
    </row>
    <row r="1673" spans="12:13" x14ac:dyDescent="0.25">
      <c r="L1673">
        <f t="shared" si="63"/>
        <v>0</v>
      </c>
      <c r="M1673">
        <f t="shared" si="64"/>
        <v>0</v>
      </c>
    </row>
    <row r="1674" spans="12:13" x14ac:dyDescent="0.25">
      <c r="L1674">
        <f t="shared" si="63"/>
        <v>0</v>
      </c>
      <c r="M1674">
        <f t="shared" si="64"/>
        <v>0</v>
      </c>
    </row>
    <row r="1675" spans="12:13" x14ac:dyDescent="0.25">
      <c r="L1675">
        <f t="shared" si="63"/>
        <v>0</v>
      </c>
      <c r="M1675">
        <f t="shared" si="64"/>
        <v>0</v>
      </c>
    </row>
    <row r="1676" spans="12:13" x14ac:dyDescent="0.25">
      <c r="L1676">
        <f t="shared" si="63"/>
        <v>0</v>
      </c>
      <c r="M1676">
        <f t="shared" si="64"/>
        <v>0</v>
      </c>
    </row>
    <row r="1677" spans="12:13" x14ac:dyDescent="0.25">
      <c r="L1677">
        <f t="shared" si="63"/>
        <v>0</v>
      </c>
      <c r="M1677">
        <f t="shared" si="64"/>
        <v>0</v>
      </c>
    </row>
    <row r="1678" spans="12:13" x14ac:dyDescent="0.25">
      <c r="L1678">
        <f t="shared" si="63"/>
        <v>0</v>
      </c>
      <c r="M1678">
        <f t="shared" si="64"/>
        <v>0</v>
      </c>
    </row>
    <row r="1679" spans="12:13" x14ac:dyDescent="0.25">
      <c r="L1679">
        <f t="shared" si="63"/>
        <v>0</v>
      </c>
      <c r="M1679">
        <f t="shared" si="64"/>
        <v>0</v>
      </c>
    </row>
    <row r="1680" spans="12:13" x14ac:dyDescent="0.25">
      <c r="L1680">
        <f t="shared" si="63"/>
        <v>0</v>
      </c>
      <c r="M1680">
        <f t="shared" si="64"/>
        <v>0</v>
      </c>
    </row>
    <row r="1681" spans="12:13" x14ac:dyDescent="0.25">
      <c r="L1681">
        <f t="shared" si="63"/>
        <v>0</v>
      </c>
      <c r="M1681">
        <f t="shared" si="64"/>
        <v>0</v>
      </c>
    </row>
    <row r="1682" spans="12:13" x14ac:dyDescent="0.25">
      <c r="L1682">
        <f t="shared" si="63"/>
        <v>0</v>
      </c>
      <c r="M1682">
        <f t="shared" si="64"/>
        <v>0</v>
      </c>
    </row>
    <row r="1683" spans="12:13" x14ac:dyDescent="0.25">
      <c r="L1683">
        <f t="shared" si="63"/>
        <v>0</v>
      </c>
      <c r="M1683">
        <f t="shared" si="64"/>
        <v>0</v>
      </c>
    </row>
    <row r="1684" spans="12:13" x14ac:dyDescent="0.25">
      <c r="L1684">
        <f t="shared" si="63"/>
        <v>0</v>
      </c>
      <c r="M1684">
        <f t="shared" si="64"/>
        <v>0</v>
      </c>
    </row>
    <row r="1685" spans="12:13" x14ac:dyDescent="0.25">
      <c r="L1685">
        <f t="shared" si="63"/>
        <v>0</v>
      </c>
      <c r="M1685">
        <f t="shared" si="64"/>
        <v>0</v>
      </c>
    </row>
    <row r="1686" spans="12:13" x14ac:dyDescent="0.25">
      <c r="L1686">
        <f t="shared" si="63"/>
        <v>0</v>
      </c>
      <c r="M1686">
        <f t="shared" si="64"/>
        <v>0</v>
      </c>
    </row>
    <row r="1687" spans="12:13" x14ac:dyDescent="0.25">
      <c r="L1687">
        <f t="shared" si="63"/>
        <v>0</v>
      </c>
      <c r="M1687">
        <f t="shared" si="64"/>
        <v>0</v>
      </c>
    </row>
    <row r="1688" spans="12:13" x14ac:dyDescent="0.25">
      <c r="L1688">
        <f t="shared" si="63"/>
        <v>0</v>
      </c>
      <c r="M1688">
        <f t="shared" si="64"/>
        <v>0</v>
      </c>
    </row>
    <row r="1689" spans="12:13" x14ac:dyDescent="0.25">
      <c r="L1689">
        <f t="shared" si="63"/>
        <v>0</v>
      </c>
      <c r="M1689">
        <f t="shared" si="64"/>
        <v>0</v>
      </c>
    </row>
    <row r="1690" spans="12:13" x14ac:dyDescent="0.25">
      <c r="L1690">
        <f t="shared" si="63"/>
        <v>0</v>
      </c>
      <c r="M1690">
        <f t="shared" si="64"/>
        <v>0</v>
      </c>
    </row>
    <row r="1691" spans="12:13" x14ac:dyDescent="0.25">
      <c r="L1691">
        <f t="shared" si="63"/>
        <v>0</v>
      </c>
      <c r="M1691">
        <f t="shared" si="64"/>
        <v>0</v>
      </c>
    </row>
    <row r="1692" spans="12:13" x14ac:dyDescent="0.25">
      <c r="L1692">
        <f t="shared" si="63"/>
        <v>0</v>
      </c>
      <c r="M1692">
        <f t="shared" si="64"/>
        <v>0</v>
      </c>
    </row>
    <row r="1693" spans="12:13" x14ac:dyDescent="0.25">
      <c r="L1693">
        <f t="shared" si="63"/>
        <v>0</v>
      </c>
      <c r="M1693">
        <f t="shared" si="64"/>
        <v>0</v>
      </c>
    </row>
    <row r="1694" spans="12:13" x14ac:dyDescent="0.25">
      <c r="L1694">
        <f t="shared" si="63"/>
        <v>0</v>
      </c>
      <c r="M1694">
        <f t="shared" si="64"/>
        <v>0</v>
      </c>
    </row>
    <row r="1695" spans="12:13" x14ac:dyDescent="0.25">
      <c r="L1695">
        <f t="shared" si="63"/>
        <v>0</v>
      </c>
      <c r="M1695">
        <f t="shared" si="64"/>
        <v>0</v>
      </c>
    </row>
    <row r="1696" spans="12:13" x14ac:dyDescent="0.25">
      <c r="L1696">
        <f t="shared" si="63"/>
        <v>0</v>
      </c>
      <c r="M1696">
        <f t="shared" si="64"/>
        <v>0</v>
      </c>
    </row>
    <row r="1697" spans="12:13" x14ac:dyDescent="0.25">
      <c r="L1697">
        <f t="shared" si="63"/>
        <v>0</v>
      </c>
      <c r="M1697">
        <f t="shared" si="64"/>
        <v>0</v>
      </c>
    </row>
    <row r="1698" spans="12:13" x14ac:dyDescent="0.25">
      <c r="L1698">
        <f t="shared" si="63"/>
        <v>0</v>
      </c>
      <c r="M1698">
        <f t="shared" si="64"/>
        <v>0</v>
      </c>
    </row>
    <row r="1699" spans="12:13" x14ac:dyDescent="0.25">
      <c r="L1699">
        <f t="shared" si="63"/>
        <v>0</v>
      </c>
      <c r="M1699">
        <f t="shared" si="64"/>
        <v>0</v>
      </c>
    </row>
    <row r="1700" spans="12:13" x14ac:dyDescent="0.25">
      <c r="L1700">
        <f t="shared" si="63"/>
        <v>0</v>
      </c>
      <c r="M1700">
        <f t="shared" si="64"/>
        <v>0</v>
      </c>
    </row>
    <row r="1701" spans="12:13" x14ac:dyDescent="0.25">
      <c r="L1701">
        <f t="shared" si="63"/>
        <v>0</v>
      </c>
      <c r="M1701">
        <f t="shared" si="64"/>
        <v>0</v>
      </c>
    </row>
    <row r="1702" spans="12:13" x14ac:dyDescent="0.25">
      <c r="L1702">
        <f t="shared" si="63"/>
        <v>0</v>
      </c>
      <c r="M1702">
        <f t="shared" si="64"/>
        <v>0</v>
      </c>
    </row>
    <row r="1703" spans="12:13" x14ac:dyDescent="0.25">
      <c r="L1703">
        <f t="shared" si="63"/>
        <v>0</v>
      </c>
      <c r="M1703">
        <f t="shared" si="64"/>
        <v>0</v>
      </c>
    </row>
    <row r="1704" spans="12:13" x14ac:dyDescent="0.25">
      <c r="L1704">
        <f t="shared" si="63"/>
        <v>0</v>
      </c>
      <c r="M1704">
        <f t="shared" si="64"/>
        <v>0</v>
      </c>
    </row>
    <row r="1705" spans="12:13" x14ac:dyDescent="0.25">
      <c r="L1705">
        <f t="shared" si="63"/>
        <v>0</v>
      </c>
      <c r="M1705">
        <f t="shared" si="64"/>
        <v>0</v>
      </c>
    </row>
    <row r="1706" spans="12:13" x14ac:dyDescent="0.25">
      <c r="L1706">
        <f t="shared" si="63"/>
        <v>0</v>
      </c>
      <c r="M1706">
        <f t="shared" si="64"/>
        <v>0</v>
      </c>
    </row>
    <row r="1707" spans="12:13" x14ac:dyDescent="0.25">
      <c r="L1707">
        <f t="shared" si="63"/>
        <v>0</v>
      </c>
      <c r="M1707">
        <f t="shared" si="64"/>
        <v>0</v>
      </c>
    </row>
    <row r="1708" spans="12:13" x14ac:dyDescent="0.25">
      <c r="L1708">
        <f t="shared" si="63"/>
        <v>0</v>
      </c>
      <c r="M1708">
        <f t="shared" si="64"/>
        <v>0</v>
      </c>
    </row>
    <row r="1709" spans="12:13" x14ac:dyDescent="0.25">
      <c r="L1709">
        <f t="shared" si="63"/>
        <v>0</v>
      </c>
      <c r="M1709">
        <f t="shared" si="64"/>
        <v>0</v>
      </c>
    </row>
    <row r="1710" spans="12:13" x14ac:dyDescent="0.25">
      <c r="L1710">
        <f t="shared" ref="L1710:L1773" si="65">+I1710+H1710</f>
        <v>0</v>
      </c>
      <c r="M1710">
        <f t="shared" si="64"/>
        <v>0</v>
      </c>
    </row>
    <row r="1711" spans="12:13" x14ac:dyDescent="0.25">
      <c r="L1711">
        <f t="shared" si="65"/>
        <v>0</v>
      </c>
      <c r="M1711">
        <f t="shared" si="64"/>
        <v>0</v>
      </c>
    </row>
    <row r="1712" spans="12:13" x14ac:dyDescent="0.25">
      <c r="L1712">
        <f t="shared" si="65"/>
        <v>0</v>
      </c>
      <c r="M1712">
        <f t="shared" si="64"/>
        <v>0</v>
      </c>
    </row>
    <row r="1713" spans="12:13" x14ac:dyDescent="0.25">
      <c r="L1713">
        <f t="shared" si="65"/>
        <v>0</v>
      </c>
      <c r="M1713">
        <f t="shared" si="64"/>
        <v>0</v>
      </c>
    </row>
    <row r="1714" spans="12:13" x14ac:dyDescent="0.25">
      <c r="L1714">
        <f t="shared" si="65"/>
        <v>0</v>
      </c>
      <c r="M1714">
        <f t="shared" si="64"/>
        <v>0</v>
      </c>
    </row>
    <row r="1715" spans="12:13" x14ac:dyDescent="0.25">
      <c r="L1715">
        <f t="shared" si="65"/>
        <v>0</v>
      </c>
      <c r="M1715">
        <f t="shared" si="64"/>
        <v>0</v>
      </c>
    </row>
    <row r="1716" spans="12:13" x14ac:dyDescent="0.25">
      <c r="L1716">
        <f t="shared" si="65"/>
        <v>0</v>
      </c>
      <c r="M1716">
        <f t="shared" si="64"/>
        <v>0</v>
      </c>
    </row>
    <row r="1717" spans="12:13" x14ac:dyDescent="0.25">
      <c r="L1717">
        <f t="shared" si="65"/>
        <v>0</v>
      </c>
      <c r="M1717">
        <f t="shared" si="64"/>
        <v>0</v>
      </c>
    </row>
    <row r="1718" spans="12:13" x14ac:dyDescent="0.25">
      <c r="L1718">
        <f t="shared" si="65"/>
        <v>0</v>
      </c>
      <c r="M1718">
        <f t="shared" si="64"/>
        <v>0</v>
      </c>
    </row>
    <row r="1719" spans="12:13" x14ac:dyDescent="0.25">
      <c r="L1719">
        <f t="shared" si="65"/>
        <v>0</v>
      </c>
      <c r="M1719">
        <f t="shared" si="64"/>
        <v>0</v>
      </c>
    </row>
    <row r="1720" spans="12:13" x14ac:dyDescent="0.25">
      <c r="L1720">
        <f t="shared" si="65"/>
        <v>0</v>
      </c>
      <c r="M1720">
        <f t="shared" si="64"/>
        <v>0</v>
      </c>
    </row>
    <row r="1721" spans="12:13" x14ac:dyDescent="0.25">
      <c r="L1721">
        <f t="shared" si="65"/>
        <v>0</v>
      </c>
      <c r="M1721">
        <f t="shared" si="64"/>
        <v>0</v>
      </c>
    </row>
    <row r="1722" spans="12:13" x14ac:dyDescent="0.25">
      <c r="L1722">
        <f t="shared" si="65"/>
        <v>0</v>
      </c>
      <c r="M1722">
        <f t="shared" si="64"/>
        <v>0</v>
      </c>
    </row>
    <row r="1723" spans="12:13" x14ac:dyDescent="0.25">
      <c r="L1723">
        <f t="shared" si="65"/>
        <v>0</v>
      </c>
      <c r="M1723">
        <f t="shared" si="64"/>
        <v>0</v>
      </c>
    </row>
    <row r="1724" spans="12:13" x14ac:dyDescent="0.25">
      <c r="L1724">
        <f t="shared" si="65"/>
        <v>0</v>
      </c>
      <c r="M1724">
        <f t="shared" si="64"/>
        <v>0</v>
      </c>
    </row>
    <row r="1725" spans="12:13" x14ac:dyDescent="0.25">
      <c r="L1725">
        <f t="shared" si="65"/>
        <v>0</v>
      </c>
      <c r="M1725">
        <f t="shared" si="64"/>
        <v>0</v>
      </c>
    </row>
    <row r="1726" spans="12:13" x14ac:dyDescent="0.25">
      <c r="L1726">
        <f t="shared" si="65"/>
        <v>0</v>
      </c>
      <c r="M1726">
        <f t="shared" si="64"/>
        <v>0</v>
      </c>
    </row>
    <row r="1727" spans="12:13" x14ac:dyDescent="0.25">
      <c r="L1727">
        <f t="shared" si="65"/>
        <v>0</v>
      </c>
      <c r="M1727">
        <f t="shared" ref="M1727:M1790" si="66">+I1727/IF(H1727 = 0,1,H1727)</f>
        <v>0</v>
      </c>
    </row>
    <row r="1728" spans="12:13" x14ac:dyDescent="0.25">
      <c r="L1728">
        <f t="shared" si="65"/>
        <v>0</v>
      </c>
      <c r="M1728">
        <f t="shared" si="66"/>
        <v>0</v>
      </c>
    </row>
    <row r="1729" spans="12:13" x14ac:dyDescent="0.25">
      <c r="L1729">
        <f t="shared" si="65"/>
        <v>0</v>
      </c>
      <c r="M1729">
        <f t="shared" si="66"/>
        <v>0</v>
      </c>
    </row>
    <row r="1730" spans="12:13" x14ac:dyDescent="0.25">
      <c r="L1730">
        <f t="shared" si="65"/>
        <v>0</v>
      </c>
      <c r="M1730">
        <f t="shared" si="66"/>
        <v>0</v>
      </c>
    </row>
    <row r="1731" spans="12:13" x14ac:dyDescent="0.25">
      <c r="L1731">
        <f t="shared" si="65"/>
        <v>0</v>
      </c>
      <c r="M1731">
        <f t="shared" si="66"/>
        <v>0</v>
      </c>
    </row>
    <row r="1732" spans="12:13" x14ac:dyDescent="0.25">
      <c r="L1732">
        <f t="shared" si="65"/>
        <v>0</v>
      </c>
      <c r="M1732">
        <f t="shared" si="66"/>
        <v>0</v>
      </c>
    </row>
    <row r="1733" spans="12:13" x14ac:dyDescent="0.25">
      <c r="L1733">
        <f t="shared" si="65"/>
        <v>0</v>
      </c>
      <c r="M1733">
        <f t="shared" si="66"/>
        <v>0</v>
      </c>
    </row>
    <row r="1734" spans="12:13" x14ac:dyDescent="0.25">
      <c r="L1734">
        <f t="shared" si="65"/>
        <v>0</v>
      </c>
      <c r="M1734">
        <f t="shared" si="66"/>
        <v>0</v>
      </c>
    </row>
    <row r="1735" spans="12:13" x14ac:dyDescent="0.25">
      <c r="L1735">
        <f t="shared" si="65"/>
        <v>0</v>
      </c>
      <c r="M1735">
        <f t="shared" si="66"/>
        <v>0</v>
      </c>
    </row>
    <row r="1736" spans="12:13" x14ac:dyDescent="0.25">
      <c r="L1736">
        <f t="shared" si="65"/>
        <v>0</v>
      </c>
      <c r="M1736">
        <f t="shared" si="66"/>
        <v>0</v>
      </c>
    </row>
    <row r="1737" spans="12:13" x14ac:dyDescent="0.25">
      <c r="L1737">
        <f t="shared" si="65"/>
        <v>0</v>
      </c>
      <c r="M1737">
        <f t="shared" si="66"/>
        <v>0</v>
      </c>
    </row>
    <row r="1738" spans="12:13" x14ac:dyDescent="0.25">
      <c r="L1738">
        <f t="shared" si="65"/>
        <v>0</v>
      </c>
      <c r="M1738">
        <f t="shared" si="66"/>
        <v>0</v>
      </c>
    </row>
    <row r="1739" spans="12:13" x14ac:dyDescent="0.25">
      <c r="L1739">
        <f t="shared" si="65"/>
        <v>0</v>
      </c>
      <c r="M1739">
        <f t="shared" si="66"/>
        <v>0</v>
      </c>
    </row>
    <row r="1740" spans="12:13" x14ac:dyDescent="0.25">
      <c r="L1740">
        <f t="shared" si="65"/>
        <v>0</v>
      </c>
      <c r="M1740">
        <f t="shared" si="66"/>
        <v>0</v>
      </c>
    </row>
    <row r="1741" spans="12:13" x14ac:dyDescent="0.25">
      <c r="L1741">
        <f t="shared" si="65"/>
        <v>0</v>
      </c>
      <c r="M1741">
        <f t="shared" si="66"/>
        <v>0</v>
      </c>
    </row>
    <row r="1742" spans="12:13" x14ac:dyDescent="0.25">
      <c r="L1742">
        <f t="shared" si="65"/>
        <v>0</v>
      </c>
      <c r="M1742">
        <f t="shared" si="66"/>
        <v>0</v>
      </c>
    </row>
    <row r="1743" spans="12:13" x14ac:dyDescent="0.25">
      <c r="L1743">
        <f t="shared" si="65"/>
        <v>0</v>
      </c>
      <c r="M1743">
        <f t="shared" si="66"/>
        <v>0</v>
      </c>
    </row>
    <row r="1744" spans="12:13" x14ac:dyDescent="0.25">
      <c r="L1744">
        <f t="shared" si="65"/>
        <v>0</v>
      </c>
      <c r="M1744">
        <f t="shared" si="66"/>
        <v>0</v>
      </c>
    </row>
    <row r="1745" spans="12:13" x14ac:dyDescent="0.25">
      <c r="L1745">
        <f t="shared" si="65"/>
        <v>0</v>
      </c>
      <c r="M1745">
        <f t="shared" si="66"/>
        <v>0</v>
      </c>
    </row>
    <row r="1746" spans="12:13" x14ac:dyDescent="0.25">
      <c r="L1746">
        <f t="shared" si="65"/>
        <v>0</v>
      </c>
      <c r="M1746">
        <f t="shared" si="66"/>
        <v>0</v>
      </c>
    </row>
    <row r="1747" spans="12:13" x14ac:dyDescent="0.25">
      <c r="L1747">
        <f t="shared" si="65"/>
        <v>0</v>
      </c>
      <c r="M1747">
        <f t="shared" si="66"/>
        <v>0</v>
      </c>
    </row>
    <row r="1748" spans="12:13" x14ac:dyDescent="0.25">
      <c r="L1748">
        <f t="shared" si="65"/>
        <v>0</v>
      </c>
      <c r="M1748">
        <f t="shared" si="66"/>
        <v>0</v>
      </c>
    </row>
    <row r="1749" spans="12:13" x14ac:dyDescent="0.25">
      <c r="L1749">
        <f t="shared" si="65"/>
        <v>0</v>
      </c>
      <c r="M1749">
        <f t="shared" si="66"/>
        <v>0</v>
      </c>
    </row>
    <row r="1750" spans="12:13" x14ac:dyDescent="0.25">
      <c r="L1750">
        <f t="shared" si="65"/>
        <v>0</v>
      </c>
      <c r="M1750">
        <f t="shared" si="66"/>
        <v>0</v>
      </c>
    </row>
    <row r="1751" spans="12:13" x14ac:dyDescent="0.25">
      <c r="L1751">
        <f t="shared" si="65"/>
        <v>0</v>
      </c>
      <c r="M1751">
        <f t="shared" si="66"/>
        <v>0</v>
      </c>
    </row>
    <row r="1752" spans="12:13" x14ac:dyDescent="0.25">
      <c r="L1752">
        <f t="shared" si="65"/>
        <v>0</v>
      </c>
      <c r="M1752">
        <f t="shared" si="66"/>
        <v>0</v>
      </c>
    </row>
    <row r="1753" spans="12:13" x14ac:dyDescent="0.25">
      <c r="L1753">
        <f t="shared" si="65"/>
        <v>0</v>
      </c>
      <c r="M1753">
        <f t="shared" si="66"/>
        <v>0</v>
      </c>
    </row>
    <row r="1754" spans="12:13" x14ac:dyDescent="0.25">
      <c r="L1754">
        <f t="shared" si="65"/>
        <v>0</v>
      </c>
      <c r="M1754">
        <f t="shared" si="66"/>
        <v>0</v>
      </c>
    </row>
    <row r="1755" spans="12:13" x14ac:dyDescent="0.25">
      <c r="L1755">
        <f t="shared" si="65"/>
        <v>0</v>
      </c>
      <c r="M1755">
        <f t="shared" si="66"/>
        <v>0</v>
      </c>
    </row>
    <row r="1756" spans="12:13" x14ac:dyDescent="0.25">
      <c r="L1756">
        <f t="shared" si="65"/>
        <v>0</v>
      </c>
      <c r="M1756">
        <f t="shared" si="66"/>
        <v>0</v>
      </c>
    </row>
    <row r="1757" spans="12:13" x14ac:dyDescent="0.25">
      <c r="L1757">
        <f t="shared" si="65"/>
        <v>0</v>
      </c>
      <c r="M1757">
        <f t="shared" si="66"/>
        <v>0</v>
      </c>
    </row>
    <row r="1758" spans="12:13" x14ac:dyDescent="0.25">
      <c r="L1758">
        <f t="shared" si="65"/>
        <v>0</v>
      </c>
      <c r="M1758">
        <f t="shared" si="66"/>
        <v>0</v>
      </c>
    </row>
    <row r="1759" spans="12:13" x14ac:dyDescent="0.25">
      <c r="L1759">
        <f t="shared" si="65"/>
        <v>0</v>
      </c>
      <c r="M1759">
        <f t="shared" si="66"/>
        <v>0</v>
      </c>
    </row>
    <row r="1760" spans="12:13" x14ac:dyDescent="0.25">
      <c r="L1760">
        <f t="shared" si="65"/>
        <v>0</v>
      </c>
      <c r="M1760">
        <f t="shared" si="66"/>
        <v>0</v>
      </c>
    </row>
    <row r="1761" spans="12:13" x14ac:dyDescent="0.25">
      <c r="L1761">
        <f t="shared" si="65"/>
        <v>0</v>
      </c>
      <c r="M1761">
        <f t="shared" si="66"/>
        <v>0</v>
      </c>
    </row>
    <row r="1762" spans="12:13" x14ac:dyDescent="0.25">
      <c r="L1762">
        <f t="shared" si="65"/>
        <v>0</v>
      </c>
      <c r="M1762">
        <f t="shared" si="66"/>
        <v>0</v>
      </c>
    </row>
    <row r="1763" spans="12:13" x14ac:dyDescent="0.25">
      <c r="L1763">
        <f t="shared" si="65"/>
        <v>0</v>
      </c>
      <c r="M1763">
        <f t="shared" si="66"/>
        <v>0</v>
      </c>
    </row>
    <row r="1764" spans="12:13" x14ac:dyDescent="0.25">
      <c r="L1764">
        <f t="shared" si="65"/>
        <v>0</v>
      </c>
      <c r="M1764">
        <f t="shared" si="66"/>
        <v>0</v>
      </c>
    </row>
    <row r="1765" spans="12:13" x14ac:dyDescent="0.25">
      <c r="L1765">
        <f t="shared" si="65"/>
        <v>0</v>
      </c>
      <c r="M1765">
        <f t="shared" si="66"/>
        <v>0</v>
      </c>
    </row>
    <row r="1766" spans="12:13" x14ac:dyDescent="0.25">
      <c r="L1766">
        <f t="shared" si="65"/>
        <v>0</v>
      </c>
      <c r="M1766">
        <f t="shared" si="66"/>
        <v>0</v>
      </c>
    </row>
    <row r="1767" spans="12:13" x14ac:dyDescent="0.25">
      <c r="L1767">
        <f t="shared" si="65"/>
        <v>0</v>
      </c>
      <c r="M1767">
        <f t="shared" si="66"/>
        <v>0</v>
      </c>
    </row>
    <row r="1768" spans="12:13" x14ac:dyDescent="0.25">
      <c r="L1768">
        <f t="shared" si="65"/>
        <v>0</v>
      </c>
      <c r="M1768">
        <f t="shared" si="66"/>
        <v>0</v>
      </c>
    </row>
    <row r="1769" spans="12:13" x14ac:dyDescent="0.25">
      <c r="L1769">
        <f t="shared" si="65"/>
        <v>0</v>
      </c>
      <c r="M1769">
        <f t="shared" si="66"/>
        <v>0</v>
      </c>
    </row>
    <row r="1770" spans="12:13" x14ac:dyDescent="0.25">
      <c r="L1770">
        <f t="shared" si="65"/>
        <v>0</v>
      </c>
      <c r="M1770">
        <f t="shared" si="66"/>
        <v>0</v>
      </c>
    </row>
    <row r="1771" spans="12:13" x14ac:dyDescent="0.25">
      <c r="L1771">
        <f t="shared" si="65"/>
        <v>0</v>
      </c>
      <c r="M1771">
        <f t="shared" si="66"/>
        <v>0</v>
      </c>
    </row>
    <row r="1772" spans="12:13" x14ac:dyDescent="0.25">
      <c r="L1772">
        <f t="shared" si="65"/>
        <v>0</v>
      </c>
      <c r="M1772">
        <f t="shared" si="66"/>
        <v>0</v>
      </c>
    </row>
    <row r="1773" spans="12:13" x14ac:dyDescent="0.25">
      <c r="L1773">
        <f t="shared" si="65"/>
        <v>0</v>
      </c>
      <c r="M1773">
        <f t="shared" si="66"/>
        <v>0</v>
      </c>
    </row>
    <row r="1774" spans="12:13" x14ac:dyDescent="0.25">
      <c r="L1774">
        <f t="shared" ref="L1774:L1837" si="67">+I1774+H1774</f>
        <v>0</v>
      </c>
      <c r="M1774">
        <f t="shared" si="66"/>
        <v>0</v>
      </c>
    </row>
    <row r="1775" spans="12:13" x14ac:dyDescent="0.25">
      <c r="L1775">
        <f t="shared" si="67"/>
        <v>0</v>
      </c>
      <c r="M1775">
        <f t="shared" si="66"/>
        <v>0</v>
      </c>
    </row>
    <row r="1776" spans="12:13" x14ac:dyDescent="0.25">
      <c r="L1776">
        <f t="shared" si="67"/>
        <v>0</v>
      </c>
      <c r="M1776">
        <f t="shared" si="66"/>
        <v>0</v>
      </c>
    </row>
    <row r="1777" spans="12:13" x14ac:dyDescent="0.25">
      <c r="L1777">
        <f t="shared" si="67"/>
        <v>0</v>
      </c>
      <c r="M1777">
        <f t="shared" si="66"/>
        <v>0</v>
      </c>
    </row>
    <row r="1778" spans="12:13" x14ac:dyDescent="0.25">
      <c r="L1778">
        <f t="shared" si="67"/>
        <v>0</v>
      </c>
      <c r="M1778">
        <f t="shared" si="66"/>
        <v>0</v>
      </c>
    </row>
    <row r="1779" spans="12:13" x14ac:dyDescent="0.25">
      <c r="L1779">
        <f t="shared" si="67"/>
        <v>0</v>
      </c>
      <c r="M1779">
        <f t="shared" si="66"/>
        <v>0</v>
      </c>
    </row>
    <row r="1780" spans="12:13" x14ac:dyDescent="0.25">
      <c r="L1780">
        <f t="shared" si="67"/>
        <v>0</v>
      </c>
      <c r="M1780">
        <f t="shared" si="66"/>
        <v>0</v>
      </c>
    </row>
    <row r="1781" spans="12:13" x14ac:dyDescent="0.25">
      <c r="L1781">
        <f t="shared" si="67"/>
        <v>0</v>
      </c>
      <c r="M1781">
        <f t="shared" si="66"/>
        <v>0</v>
      </c>
    </row>
    <row r="1782" spans="12:13" x14ac:dyDescent="0.25">
      <c r="L1782">
        <f t="shared" si="67"/>
        <v>0</v>
      </c>
      <c r="M1782">
        <f t="shared" si="66"/>
        <v>0</v>
      </c>
    </row>
    <row r="1783" spans="12:13" x14ac:dyDescent="0.25">
      <c r="L1783">
        <f t="shared" si="67"/>
        <v>0</v>
      </c>
      <c r="M1783">
        <f t="shared" si="66"/>
        <v>0</v>
      </c>
    </row>
    <row r="1784" spans="12:13" x14ac:dyDescent="0.25">
      <c r="L1784">
        <f t="shared" si="67"/>
        <v>0</v>
      </c>
      <c r="M1784">
        <f t="shared" si="66"/>
        <v>0</v>
      </c>
    </row>
    <row r="1785" spans="12:13" x14ac:dyDescent="0.25">
      <c r="L1785">
        <f t="shared" si="67"/>
        <v>0</v>
      </c>
      <c r="M1785">
        <f t="shared" si="66"/>
        <v>0</v>
      </c>
    </row>
    <row r="1786" spans="12:13" x14ac:dyDescent="0.25">
      <c r="L1786">
        <f t="shared" si="67"/>
        <v>0</v>
      </c>
      <c r="M1786">
        <f t="shared" si="66"/>
        <v>0</v>
      </c>
    </row>
    <row r="1787" spans="12:13" x14ac:dyDescent="0.25">
      <c r="L1787">
        <f t="shared" si="67"/>
        <v>0</v>
      </c>
      <c r="M1787">
        <f t="shared" si="66"/>
        <v>0</v>
      </c>
    </row>
    <row r="1788" spans="12:13" x14ac:dyDescent="0.25">
      <c r="L1788">
        <f t="shared" si="67"/>
        <v>0</v>
      </c>
      <c r="M1788">
        <f t="shared" si="66"/>
        <v>0</v>
      </c>
    </row>
    <row r="1789" spans="12:13" x14ac:dyDescent="0.25">
      <c r="L1789">
        <f t="shared" si="67"/>
        <v>0</v>
      </c>
      <c r="M1789">
        <f t="shared" si="66"/>
        <v>0</v>
      </c>
    </row>
    <row r="1790" spans="12:13" x14ac:dyDescent="0.25">
      <c r="L1790">
        <f t="shared" si="67"/>
        <v>0</v>
      </c>
      <c r="M1790">
        <f t="shared" si="66"/>
        <v>0</v>
      </c>
    </row>
    <row r="1791" spans="12:13" x14ac:dyDescent="0.25">
      <c r="L1791">
        <f t="shared" si="67"/>
        <v>0</v>
      </c>
      <c r="M1791">
        <f t="shared" ref="M1791:M1854" si="68">+I1791/IF(H1791 = 0,1,H1791)</f>
        <v>0</v>
      </c>
    </row>
    <row r="1792" spans="12:13" x14ac:dyDescent="0.25">
      <c r="L1792">
        <f t="shared" si="67"/>
        <v>0</v>
      </c>
      <c r="M1792">
        <f t="shared" si="68"/>
        <v>0</v>
      </c>
    </row>
    <row r="1793" spans="12:13" x14ac:dyDescent="0.25">
      <c r="L1793">
        <f t="shared" si="67"/>
        <v>0</v>
      </c>
      <c r="M1793">
        <f t="shared" si="68"/>
        <v>0</v>
      </c>
    </row>
    <row r="1794" spans="12:13" x14ac:dyDescent="0.25">
      <c r="L1794">
        <f t="shared" si="67"/>
        <v>0</v>
      </c>
      <c r="M1794">
        <f t="shared" si="68"/>
        <v>0</v>
      </c>
    </row>
    <row r="1795" spans="12:13" x14ac:dyDescent="0.25">
      <c r="L1795">
        <f t="shared" si="67"/>
        <v>0</v>
      </c>
      <c r="M1795">
        <f t="shared" si="68"/>
        <v>0</v>
      </c>
    </row>
    <row r="1796" spans="12:13" x14ac:dyDescent="0.25">
      <c r="L1796">
        <f t="shared" si="67"/>
        <v>0</v>
      </c>
      <c r="M1796">
        <f t="shared" si="68"/>
        <v>0</v>
      </c>
    </row>
    <row r="1797" spans="12:13" x14ac:dyDescent="0.25">
      <c r="L1797">
        <f t="shared" si="67"/>
        <v>0</v>
      </c>
      <c r="M1797">
        <f t="shared" si="68"/>
        <v>0</v>
      </c>
    </row>
    <row r="1798" spans="12:13" x14ac:dyDescent="0.25">
      <c r="L1798">
        <f t="shared" si="67"/>
        <v>0</v>
      </c>
      <c r="M1798">
        <f t="shared" si="68"/>
        <v>0</v>
      </c>
    </row>
    <row r="1799" spans="12:13" x14ac:dyDescent="0.25">
      <c r="L1799">
        <f t="shared" si="67"/>
        <v>0</v>
      </c>
      <c r="M1799">
        <f t="shared" si="68"/>
        <v>0</v>
      </c>
    </row>
    <row r="1800" spans="12:13" x14ac:dyDescent="0.25">
      <c r="L1800">
        <f t="shared" si="67"/>
        <v>0</v>
      </c>
      <c r="M1800">
        <f t="shared" si="68"/>
        <v>0</v>
      </c>
    </row>
    <row r="1801" spans="12:13" x14ac:dyDescent="0.25">
      <c r="L1801">
        <f t="shared" si="67"/>
        <v>0</v>
      </c>
      <c r="M1801">
        <f t="shared" si="68"/>
        <v>0</v>
      </c>
    </row>
    <row r="1802" spans="12:13" x14ac:dyDescent="0.25">
      <c r="L1802">
        <f t="shared" si="67"/>
        <v>0</v>
      </c>
      <c r="M1802">
        <f t="shared" si="68"/>
        <v>0</v>
      </c>
    </row>
    <row r="1803" spans="12:13" x14ac:dyDescent="0.25">
      <c r="L1803">
        <f t="shared" si="67"/>
        <v>0</v>
      </c>
      <c r="M1803">
        <f t="shared" si="68"/>
        <v>0</v>
      </c>
    </row>
    <row r="1804" spans="12:13" x14ac:dyDescent="0.25">
      <c r="L1804">
        <f t="shared" si="67"/>
        <v>0</v>
      </c>
      <c r="M1804">
        <f t="shared" si="68"/>
        <v>0</v>
      </c>
    </row>
    <row r="1805" spans="12:13" x14ac:dyDescent="0.25">
      <c r="L1805">
        <f t="shared" si="67"/>
        <v>0</v>
      </c>
      <c r="M1805">
        <f t="shared" si="68"/>
        <v>0</v>
      </c>
    </row>
    <row r="1806" spans="12:13" x14ac:dyDescent="0.25">
      <c r="L1806">
        <f t="shared" si="67"/>
        <v>0</v>
      </c>
      <c r="M1806">
        <f t="shared" si="68"/>
        <v>0</v>
      </c>
    </row>
    <row r="1807" spans="12:13" x14ac:dyDescent="0.25">
      <c r="L1807">
        <f t="shared" si="67"/>
        <v>0</v>
      </c>
      <c r="M1807">
        <f t="shared" si="68"/>
        <v>0</v>
      </c>
    </row>
    <row r="1808" spans="12:13" x14ac:dyDescent="0.25">
      <c r="L1808">
        <f t="shared" si="67"/>
        <v>0</v>
      </c>
      <c r="M1808">
        <f t="shared" si="68"/>
        <v>0</v>
      </c>
    </row>
    <row r="1809" spans="12:13" x14ac:dyDescent="0.25">
      <c r="L1809">
        <f t="shared" si="67"/>
        <v>0</v>
      </c>
      <c r="M1809">
        <f t="shared" si="68"/>
        <v>0</v>
      </c>
    </row>
    <row r="1810" spans="12:13" x14ac:dyDescent="0.25">
      <c r="L1810">
        <f t="shared" si="67"/>
        <v>0</v>
      </c>
      <c r="M1810">
        <f t="shared" si="68"/>
        <v>0</v>
      </c>
    </row>
    <row r="1811" spans="12:13" x14ac:dyDescent="0.25">
      <c r="L1811">
        <f t="shared" si="67"/>
        <v>0</v>
      </c>
      <c r="M1811">
        <f t="shared" si="68"/>
        <v>0</v>
      </c>
    </row>
    <row r="1812" spans="12:13" x14ac:dyDescent="0.25">
      <c r="L1812">
        <f t="shared" si="67"/>
        <v>0</v>
      </c>
      <c r="M1812">
        <f t="shared" si="68"/>
        <v>0</v>
      </c>
    </row>
    <row r="1813" spans="12:13" x14ac:dyDescent="0.25">
      <c r="L1813">
        <f t="shared" si="67"/>
        <v>0</v>
      </c>
      <c r="M1813">
        <f t="shared" si="68"/>
        <v>0</v>
      </c>
    </row>
    <row r="1814" spans="12:13" x14ac:dyDescent="0.25">
      <c r="L1814">
        <f t="shared" si="67"/>
        <v>0</v>
      </c>
      <c r="M1814">
        <f t="shared" si="68"/>
        <v>0</v>
      </c>
    </row>
    <row r="1815" spans="12:13" x14ac:dyDescent="0.25">
      <c r="L1815">
        <f t="shared" si="67"/>
        <v>0</v>
      </c>
      <c r="M1815">
        <f t="shared" si="68"/>
        <v>0</v>
      </c>
    </row>
    <row r="1816" spans="12:13" x14ac:dyDescent="0.25">
      <c r="L1816">
        <f t="shared" si="67"/>
        <v>0</v>
      </c>
      <c r="M1816">
        <f t="shared" si="68"/>
        <v>0</v>
      </c>
    </row>
    <row r="1817" spans="12:13" x14ac:dyDescent="0.25">
      <c r="L1817">
        <f t="shared" si="67"/>
        <v>0</v>
      </c>
      <c r="M1817">
        <f t="shared" si="68"/>
        <v>0</v>
      </c>
    </row>
    <row r="1818" spans="12:13" x14ac:dyDescent="0.25">
      <c r="L1818">
        <f t="shared" si="67"/>
        <v>0</v>
      </c>
      <c r="M1818">
        <f t="shared" si="68"/>
        <v>0</v>
      </c>
    </row>
    <row r="1819" spans="12:13" x14ac:dyDescent="0.25">
      <c r="L1819">
        <f t="shared" si="67"/>
        <v>0</v>
      </c>
      <c r="M1819">
        <f t="shared" si="68"/>
        <v>0</v>
      </c>
    </row>
    <row r="1820" spans="12:13" x14ac:dyDescent="0.25">
      <c r="L1820">
        <f t="shared" si="67"/>
        <v>0</v>
      </c>
      <c r="M1820">
        <f t="shared" si="68"/>
        <v>0</v>
      </c>
    </row>
    <row r="1821" spans="12:13" x14ac:dyDescent="0.25">
      <c r="L1821">
        <f t="shared" si="67"/>
        <v>0</v>
      </c>
      <c r="M1821">
        <f t="shared" si="68"/>
        <v>0</v>
      </c>
    </row>
    <row r="1822" spans="12:13" x14ac:dyDescent="0.25">
      <c r="L1822">
        <f t="shared" si="67"/>
        <v>0</v>
      </c>
      <c r="M1822">
        <f t="shared" si="68"/>
        <v>0</v>
      </c>
    </row>
    <row r="1823" spans="12:13" x14ac:dyDescent="0.25">
      <c r="L1823">
        <f t="shared" si="67"/>
        <v>0</v>
      </c>
      <c r="M1823">
        <f t="shared" si="68"/>
        <v>0</v>
      </c>
    </row>
    <row r="1824" spans="12:13" x14ac:dyDescent="0.25">
      <c r="L1824">
        <f t="shared" si="67"/>
        <v>0</v>
      </c>
      <c r="M1824">
        <f t="shared" si="68"/>
        <v>0</v>
      </c>
    </row>
    <row r="1825" spans="12:13" x14ac:dyDescent="0.25">
      <c r="L1825">
        <f t="shared" si="67"/>
        <v>0</v>
      </c>
      <c r="M1825">
        <f t="shared" si="68"/>
        <v>0</v>
      </c>
    </row>
    <row r="1826" spans="12:13" x14ac:dyDescent="0.25">
      <c r="L1826">
        <f t="shared" si="67"/>
        <v>0</v>
      </c>
      <c r="M1826">
        <f t="shared" si="68"/>
        <v>0</v>
      </c>
    </row>
    <row r="1827" spans="12:13" x14ac:dyDescent="0.25">
      <c r="L1827">
        <f t="shared" si="67"/>
        <v>0</v>
      </c>
      <c r="M1827">
        <f t="shared" si="68"/>
        <v>0</v>
      </c>
    </row>
    <row r="1828" spans="12:13" x14ac:dyDescent="0.25">
      <c r="L1828">
        <f t="shared" si="67"/>
        <v>0</v>
      </c>
      <c r="M1828">
        <f t="shared" si="68"/>
        <v>0</v>
      </c>
    </row>
    <row r="1829" spans="12:13" x14ac:dyDescent="0.25">
      <c r="L1829">
        <f t="shared" si="67"/>
        <v>0</v>
      </c>
      <c r="M1829">
        <f t="shared" si="68"/>
        <v>0</v>
      </c>
    </row>
    <row r="1830" spans="12:13" x14ac:dyDescent="0.25">
      <c r="L1830">
        <f t="shared" si="67"/>
        <v>0</v>
      </c>
      <c r="M1830">
        <f t="shared" si="68"/>
        <v>0</v>
      </c>
    </row>
    <row r="1831" spans="12:13" x14ac:dyDescent="0.25">
      <c r="L1831">
        <f t="shared" si="67"/>
        <v>0</v>
      </c>
      <c r="M1831">
        <f t="shared" si="68"/>
        <v>0</v>
      </c>
    </row>
    <row r="1832" spans="12:13" x14ac:dyDescent="0.25">
      <c r="L1832">
        <f t="shared" si="67"/>
        <v>0</v>
      </c>
      <c r="M1832">
        <f t="shared" si="68"/>
        <v>0</v>
      </c>
    </row>
    <row r="1833" spans="12:13" x14ac:dyDescent="0.25">
      <c r="L1833">
        <f t="shared" si="67"/>
        <v>0</v>
      </c>
      <c r="M1833">
        <f t="shared" si="68"/>
        <v>0</v>
      </c>
    </row>
    <row r="1834" spans="12:13" x14ac:dyDescent="0.25">
      <c r="L1834">
        <f t="shared" si="67"/>
        <v>0</v>
      </c>
      <c r="M1834">
        <f t="shared" si="68"/>
        <v>0</v>
      </c>
    </row>
    <row r="1835" spans="12:13" x14ac:dyDescent="0.25">
      <c r="L1835">
        <f t="shared" si="67"/>
        <v>0</v>
      </c>
      <c r="M1835">
        <f t="shared" si="68"/>
        <v>0</v>
      </c>
    </row>
    <row r="1836" spans="12:13" x14ac:dyDescent="0.25">
      <c r="L1836">
        <f t="shared" si="67"/>
        <v>0</v>
      </c>
      <c r="M1836">
        <f t="shared" si="68"/>
        <v>0</v>
      </c>
    </row>
    <row r="1837" spans="12:13" x14ac:dyDescent="0.25">
      <c r="L1837">
        <f t="shared" si="67"/>
        <v>0</v>
      </c>
      <c r="M1837">
        <f t="shared" si="68"/>
        <v>0</v>
      </c>
    </row>
    <row r="1838" spans="12:13" x14ac:dyDescent="0.25">
      <c r="L1838">
        <f t="shared" ref="L1838:L1901" si="69">+I1838+H1838</f>
        <v>0</v>
      </c>
      <c r="M1838">
        <f t="shared" si="68"/>
        <v>0</v>
      </c>
    </row>
    <row r="1839" spans="12:13" x14ac:dyDescent="0.25">
      <c r="L1839">
        <f t="shared" si="69"/>
        <v>0</v>
      </c>
      <c r="M1839">
        <f t="shared" si="68"/>
        <v>0</v>
      </c>
    </row>
    <row r="1840" spans="12:13" x14ac:dyDescent="0.25">
      <c r="L1840">
        <f t="shared" si="69"/>
        <v>0</v>
      </c>
      <c r="M1840">
        <f t="shared" si="68"/>
        <v>0</v>
      </c>
    </row>
    <row r="1841" spans="12:13" x14ac:dyDescent="0.25">
      <c r="L1841">
        <f t="shared" si="69"/>
        <v>0</v>
      </c>
      <c r="M1841">
        <f t="shared" si="68"/>
        <v>0</v>
      </c>
    </row>
    <row r="1842" spans="12:13" x14ac:dyDescent="0.25">
      <c r="L1842">
        <f t="shared" si="69"/>
        <v>0</v>
      </c>
      <c r="M1842">
        <f t="shared" si="68"/>
        <v>0</v>
      </c>
    </row>
    <row r="1843" spans="12:13" x14ac:dyDescent="0.25">
      <c r="L1843">
        <f t="shared" si="69"/>
        <v>0</v>
      </c>
      <c r="M1843">
        <f t="shared" si="68"/>
        <v>0</v>
      </c>
    </row>
    <row r="1844" spans="12:13" x14ac:dyDescent="0.25">
      <c r="L1844">
        <f t="shared" si="69"/>
        <v>0</v>
      </c>
      <c r="M1844">
        <f t="shared" si="68"/>
        <v>0</v>
      </c>
    </row>
    <row r="1845" spans="12:13" x14ac:dyDescent="0.25">
      <c r="L1845">
        <f t="shared" si="69"/>
        <v>0</v>
      </c>
      <c r="M1845">
        <f t="shared" si="68"/>
        <v>0</v>
      </c>
    </row>
    <row r="1846" spans="12:13" x14ac:dyDescent="0.25">
      <c r="L1846">
        <f t="shared" si="69"/>
        <v>0</v>
      </c>
      <c r="M1846">
        <f t="shared" si="68"/>
        <v>0</v>
      </c>
    </row>
    <row r="1847" spans="12:13" x14ac:dyDescent="0.25">
      <c r="L1847">
        <f t="shared" si="69"/>
        <v>0</v>
      </c>
      <c r="M1847">
        <f t="shared" si="68"/>
        <v>0</v>
      </c>
    </row>
    <row r="1848" spans="12:13" x14ac:dyDescent="0.25">
      <c r="L1848">
        <f t="shared" si="69"/>
        <v>0</v>
      </c>
      <c r="M1848">
        <f t="shared" si="68"/>
        <v>0</v>
      </c>
    </row>
    <row r="1849" spans="12:13" x14ac:dyDescent="0.25">
      <c r="L1849">
        <f t="shared" si="69"/>
        <v>0</v>
      </c>
      <c r="M1849">
        <f t="shared" si="68"/>
        <v>0</v>
      </c>
    </row>
    <row r="1850" spans="12:13" x14ac:dyDescent="0.25">
      <c r="L1850">
        <f t="shared" si="69"/>
        <v>0</v>
      </c>
      <c r="M1850">
        <f t="shared" si="68"/>
        <v>0</v>
      </c>
    </row>
    <row r="1851" spans="12:13" x14ac:dyDescent="0.25">
      <c r="L1851">
        <f t="shared" si="69"/>
        <v>0</v>
      </c>
      <c r="M1851">
        <f t="shared" si="68"/>
        <v>0</v>
      </c>
    </row>
    <row r="1852" spans="12:13" x14ac:dyDescent="0.25">
      <c r="L1852">
        <f t="shared" si="69"/>
        <v>0</v>
      </c>
      <c r="M1852">
        <f t="shared" si="68"/>
        <v>0</v>
      </c>
    </row>
    <row r="1853" spans="12:13" x14ac:dyDescent="0.25">
      <c r="L1853">
        <f t="shared" si="69"/>
        <v>0</v>
      </c>
      <c r="M1853">
        <f t="shared" si="68"/>
        <v>0</v>
      </c>
    </row>
    <row r="1854" spans="12:13" x14ac:dyDescent="0.25">
      <c r="L1854">
        <f t="shared" si="69"/>
        <v>0</v>
      </c>
      <c r="M1854">
        <f t="shared" si="68"/>
        <v>0</v>
      </c>
    </row>
    <row r="1855" spans="12:13" x14ac:dyDescent="0.25">
      <c r="L1855">
        <f t="shared" si="69"/>
        <v>0</v>
      </c>
      <c r="M1855">
        <f t="shared" ref="M1855:M1918" si="70">+I1855/IF(H1855 = 0,1,H1855)</f>
        <v>0</v>
      </c>
    </row>
    <row r="1856" spans="12:13" x14ac:dyDescent="0.25">
      <c r="L1856">
        <f t="shared" si="69"/>
        <v>0</v>
      </c>
      <c r="M1856">
        <f t="shared" si="70"/>
        <v>0</v>
      </c>
    </row>
    <row r="1857" spans="12:13" x14ac:dyDescent="0.25">
      <c r="L1857">
        <f t="shared" si="69"/>
        <v>0</v>
      </c>
      <c r="M1857">
        <f t="shared" si="70"/>
        <v>0</v>
      </c>
    </row>
    <row r="1858" spans="12:13" x14ac:dyDescent="0.25">
      <c r="L1858">
        <f t="shared" si="69"/>
        <v>0</v>
      </c>
      <c r="M1858">
        <f t="shared" si="70"/>
        <v>0</v>
      </c>
    </row>
    <row r="1859" spans="12:13" x14ac:dyDescent="0.25">
      <c r="L1859">
        <f t="shared" si="69"/>
        <v>0</v>
      </c>
      <c r="M1859">
        <f t="shared" si="70"/>
        <v>0</v>
      </c>
    </row>
    <row r="1860" spans="12:13" x14ac:dyDescent="0.25">
      <c r="L1860">
        <f t="shared" si="69"/>
        <v>0</v>
      </c>
      <c r="M1860">
        <f t="shared" si="70"/>
        <v>0</v>
      </c>
    </row>
    <row r="1861" spans="12:13" x14ac:dyDescent="0.25">
      <c r="L1861">
        <f t="shared" si="69"/>
        <v>0</v>
      </c>
      <c r="M1861">
        <f t="shared" si="70"/>
        <v>0</v>
      </c>
    </row>
    <row r="1862" spans="12:13" x14ac:dyDescent="0.25">
      <c r="L1862">
        <f t="shared" si="69"/>
        <v>0</v>
      </c>
      <c r="M1862">
        <f t="shared" si="70"/>
        <v>0</v>
      </c>
    </row>
    <row r="1863" spans="12:13" x14ac:dyDescent="0.25">
      <c r="L1863">
        <f t="shared" si="69"/>
        <v>0</v>
      </c>
      <c r="M1863">
        <f t="shared" si="70"/>
        <v>0</v>
      </c>
    </row>
    <row r="1864" spans="12:13" x14ac:dyDescent="0.25">
      <c r="L1864">
        <f t="shared" si="69"/>
        <v>0</v>
      </c>
      <c r="M1864">
        <f t="shared" si="70"/>
        <v>0</v>
      </c>
    </row>
    <row r="1865" spans="12:13" x14ac:dyDescent="0.25">
      <c r="L1865">
        <f t="shared" si="69"/>
        <v>0</v>
      </c>
      <c r="M1865">
        <f t="shared" si="70"/>
        <v>0</v>
      </c>
    </row>
    <row r="1866" spans="12:13" x14ac:dyDescent="0.25">
      <c r="L1866">
        <f t="shared" si="69"/>
        <v>0</v>
      </c>
      <c r="M1866">
        <f t="shared" si="70"/>
        <v>0</v>
      </c>
    </row>
    <row r="1867" spans="12:13" x14ac:dyDescent="0.25">
      <c r="L1867">
        <f t="shared" si="69"/>
        <v>0</v>
      </c>
      <c r="M1867">
        <f t="shared" si="70"/>
        <v>0</v>
      </c>
    </row>
    <row r="1868" spans="12:13" x14ac:dyDescent="0.25">
      <c r="L1868">
        <f t="shared" si="69"/>
        <v>0</v>
      </c>
      <c r="M1868">
        <f t="shared" si="70"/>
        <v>0</v>
      </c>
    </row>
    <row r="1869" spans="12:13" x14ac:dyDescent="0.25">
      <c r="L1869">
        <f t="shared" si="69"/>
        <v>0</v>
      </c>
      <c r="M1869">
        <f t="shared" si="70"/>
        <v>0</v>
      </c>
    </row>
    <row r="1870" spans="12:13" x14ac:dyDescent="0.25">
      <c r="L1870">
        <f t="shared" si="69"/>
        <v>0</v>
      </c>
      <c r="M1870">
        <f t="shared" si="70"/>
        <v>0</v>
      </c>
    </row>
    <row r="1871" spans="12:13" x14ac:dyDescent="0.25">
      <c r="L1871">
        <f t="shared" si="69"/>
        <v>0</v>
      </c>
      <c r="M1871">
        <f t="shared" si="70"/>
        <v>0</v>
      </c>
    </row>
    <row r="1872" spans="12:13" x14ac:dyDescent="0.25">
      <c r="L1872">
        <f t="shared" si="69"/>
        <v>0</v>
      </c>
      <c r="M1872">
        <f t="shared" si="70"/>
        <v>0</v>
      </c>
    </row>
    <row r="1873" spans="12:13" x14ac:dyDescent="0.25">
      <c r="L1873">
        <f t="shared" si="69"/>
        <v>0</v>
      </c>
      <c r="M1873">
        <f t="shared" si="70"/>
        <v>0</v>
      </c>
    </row>
    <row r="1874" spans="12:13" x14ac:dyDescent="0.25">
      <c r="L1874">
        <f t="shared" si="69"/>
        <v>0</v>
      </c>
      <c r="M1874">
        <f t="shared" si="70"/>
        <v>0</v>
      </c>
    </row>
    <row r="1875" spans="12:13" x14ac:dyDescent="0.25">
      <c r="L1875">
        <f t="shared" si="69"/>
        <v>0</v>
      </c>
      <c r="M1875">
        <f t="shared" si="70"/>
        <v>0</v>
      </c>
    </row>
    <row r="1876" spans="12:13" x14ac:dyDescent="0.25">
      <c r="L1876">
        <f t="shared" si="69"/>
        <v>0</v>
      </c>
      <c r="M1876">
        <f t="shared" si="70"/>
        <v>0</v>
      </c>
    </row>
    <row r="1877" spans="12:13" x14ac:dyDescent="0.25">
      <c r="L1877">
        <f t="shared" si="69"/>
        <v>0</v>
      </c>
      <c r="M1877">
        <f t="shared" si="70"/>
        <v>0</v>
      </c>
    </row>
    <row r="1878" spans="12:13" x14ac:dyDescent="0.25">
      <c r="L1878">
        <f t="shared" si="69"/>
        <v>0</v>
      </c>
      <c r="M1878">
        <f t="shared" si="70"/>
        <v>0</v>
      </c>
    </row>
    <row r="1879" spans="12:13" x14ac:dyDescent="0.25">
      <c r="L1879">
        <f t="shared" si="69"/>
        <v>0</v>
      </c>
      <c r="M1879">
        <f t="shared" si="70"/>
        <v>0</v>
      </c>
    </row>
    <row r="1880" spans="12:13" x14ac:dyDescent="0.25">
      <c r="L1880">
        <f t="shared" si="69"/>
        <v>0</v>
      </c>
      <c r="M1880">
        <f t="shared" si="70"/>
        <v>0</v>
      </c>
    </row>
    <row r="1881" spans="12:13" x14ac:dyDescent="0.25">
      <c r="L1881">
        <f t="shared" si="69"/>
        <v>0</v>
      </c>
      <c r="M1881">
        <f t="shared" si="70"/>
        <v>0</v>
      </c>
    </row>
    <row r="1882" spans="12:13" x14ac:dyDescent="0.25">
      <c r="L1882">
        <f t="shared" si="69"/>
        <v>0</v>
      </c>
      <c r="M1882">
        <f t="shared" si="70"/>
        <v>0</v>
      </c>
    </row>
    <row r="1883" spans="12:13" x14ac:dyDescent="0.25">
      <c r="L1883">
        <f t="shared" si="69"/>
        <v>0</v>
      </c>
      <c r="M1883">
        <f t="shared" si="70"/>
        <v>0</v>
      </c>
    </row>
    <row r="1884" spans="12:13" x14ac:dyDescent="0.25">
      <c r="L1884">
        <f t="shared" si="69"/>
        <v>0</v>
      </c>
      <c r="M1884">
        <f t="shared" si="70"/>
        <v>0</v>
      </c>
    </row>
    <row r="1885" spans="12:13" x14ac:dyDescent="0.25">
      <c r="L1885">
        <f t="shared" si="69"/>
        <v>0</v>
      </c>
      <c r="M1885">
        <f t="shared" si="70"/>
        <v>0</v>
      </c>
    </row>
    <row r="1886" spans="12:13" x14ac:dyDescent="0.25">
      <c r="L1886">
        <f t="shared" si="69"/>
        <v>0</v>
      </c>
      <c r="M1886">
        <f t="shared" si="70"/>
        <v>0</v>
      </c>
    </row>
    <row r="1887" spans="12:13" x14ac:dyDescent="0.25">
      <c r="L1887">
        <f t="shared" si="69"/>
        <v>0</v>
      </c>
      <c r="M1887">
        <f t="shared" si="70"/>
        <v>0</v>
      </c>
    </row>
    <row r="1888" spans="12:13" x14ac:dyDescent="0.25">
      <c r="L1888">
        <f t="shared" si="69"/>
        <v>0</v>
      </c>
      <c r="M1888">
        <f t="shared" si="70"/>
        <v>0</v>
      </c>
    </row>
    <row r="1889" spans="12:13" x14ac:dyDescent="0.25">
      <c r="L1889">
        <f t="shared" si="69"/>
        <v>0</v>
      </c>
      <c r="M1889">
        <f t="shared" si="70"/>
        <v>0</v>
      </c>
    </row>
    <row r="1890" spans="12:13" x14ac:dyDescent="0.25">
      <c r="L1890">
        <f t="shared" si="69"/>
        <v>0</v>
      </c>
      <c r="M1890">
        <f t="shared" si="70"/>
        <v>0</v>
      </c>
    </row>
    <row r="1891" spans="12:13" x14ac:dyDescent="0.25">
      <c r="L1891">
        <f t="shared" si="69"/>
        <v>0</v>
      </c>
      <c r="M1891">
        <f t="shared" si="70"/>
        <v>0</v>
      </c>
    </row>
    <row r="1892" spans="12:13" x14ac:dyDescent="0.25">
      <c r="L1892">
        <f t="shared" si="69"/>
        <v>0</v>
      </c>
      <c r="M1892">
        <f t="shared" si="70"/>
        <v>0</v>
      </c>
    </row>
    <row r="1893" spans="12:13" x14ac:dyDescent="0.25">
      <c r="L1893">
        <f t="shared" si="69"/>
        <v>0</v>
      </c>
      <c r="M1893">
        <f t="shared" si="70"/>
        <v>0</v>
      </c>
    </row>
    <row r="1894" spans="12:13" x14ac:dyDescent="0.25">
      <c r="L1894">
        <f t="shared" si="69"/>
        <v>0</v>
      </c>
      <c r="M1894">
        <f t="shared" si="70"/>
        <v>0</v>
      </c>
    </row>
    <row r="1895" spans="12:13" x14ac:dyDescent="0.25">
      <c r="L1895">
        <f t="shared" si="69"/>
        <v>0</v>
      </c>
      <c r="M1895">
        <f t="shared" si="70"/>
        <v>0</v>
      </c>
    </row>
    <row r="1896" spans="12:13" x14ac:dyDescent="0.25">
      <c r="L1896">
        <f t="shared" si="69"/>
        <v>0</v>
      </c>
      <c r="M1896">
        <f t="shared" si="70"/>
        <v>0</v>
      </c>
    </row>
    <row r="1897" spans="12:13" x14ac:dyDescent="0.25">
      <c r="L1897">
        <f t="shared" si="69"/>
        <v>0</v>
      </c>
      <c r="M1897">
        <f t="shared" si="70"/>
        <v>0</v>
      </c>
    </row>
    <row r="1898" spans="12:13" x14ac:dyDescent="0.25">
      <c r="L1898">
        <f t="shared" si="69"/>
        <v>0</v>
      </c>
      <c r="M1898">
        <f t="shared" si="70"/>
        <v>0</v>
      </c>
    </row>
    <row r="1899" spans="12:13" x14ac:dyDescent="0.25">
      <c r="L1899">
        <f t="shared" si="69"/>
        <v>0</v>
      </c>
      <c r="M1899">
        <f t="shared" si="70"/>
        <v>0</v>
      </c>
    </row>
    <row r="1900" spans="12:13" x14ac:dyDescent="0.25">
      <c r="L1900">
        <f t="shared" si="69"/>
        <v>0</v>
      </c>
      <c r="M1900">
        <f t="shared" si="70"/>
        <v>0</v>
      </c>
    </row>
    <row r="1901" spans="12:13" x14ac:dyDescent="0.25">
      <c r="L1901">
        <f t="shared" si="69"/>
        <v>0</v>
      </c>
      <c r="M1901">
        <f t="shared" si="70"/>
        <v>0</v>
      </c>
    </row>
    <row r="1902" spans="12:13" x14ac:dyDescent="0.25">
      <c r="L1902">
        <f t="shared" ref="L1902:L1965" si="71">+I1902+H1902</f>
        <v>0</v>
      </c>
      <c r="M1902">
        <f t="shared" si="70"/>
        <v>0</v>
      </c>
    </row>
    <row r="1903" spans="12:13" x14ac:dyDescent="0.25">
      <c r="L1903">
        <f t="shared" si="71"/>
        <v>0</v>
      </c>
      <c r="M1903">
        <f t="shared" si="70"/>
        <v>0</v>
      </c>
    </row>
    <row r="1904" spans="12:13" x14ac:dyDescent="0.25">
      <c r="L1904">
        <f t="shared" si="71"/>
        <v>0</v>
      </c>
      <c r="M1904">
        <f t="shared" si="70"/>
        <v>0</v>
      </c>
    </row>
    <row r="1905" spans="12:13" x14ac:dyDescent="0.25">
      <c r="L1905">
        <f t="shared" si="71"/>
        <v>0</v>
      </c>
      <c r="M1905">
        <f t="shared" si="70"/>
        <v>0</v>
      </c>
    </row>
    <row r="1906" spans="12:13" x14ac:dyDescent="0.25">
      <c r="L1906">
        <f t="shared" si="71"/>
        <v>0</v>
      </c>
      <c r="M1906">
        <f t="shared" si="70"/>
        <v>0</v>
      </c>
    </row>
    <row r="1907" spans="12:13" x14ac:dyDescent="0.25">
      <c r="L1907">
        <f t="shared" si="71"/>
        <v>0</v>
      </c>
      <c r="M1907">
        <f t="shared" si="70"/>
        <v>0</v>
      </c>
    </row>
    <row r="1908" spans="12:13" x14ac:dyDescent="0.25">
      <c r="L1908">
        <f t="shared" si="71"/>
        <v>0</v>
      </c>
      <c r="M1908">
        <f t="shared" si="70"/>
        <v>0</v>
      </c>
    </row>
    <row r="1909" spans="12:13" x14ac:dyDescent="0.25">
      <c r="L1909">
        <f t="shared" si="71"/>
        <v>0</v>
      </c>
      <c r="M1909">
        <f t="shared" si="70"/>
        <v>0</v>
      </c>
    </row>
    <row r="1910" spans="12:13" x14ac:dyDescent="0.25">
      <c r="L1910">
        <f t="shared" si="71"/>
        <v>0</v>
      </c>
      <c r="M1910">
        <f t="shared" si="70"/>
        <v>0</v>
      </c>
    </row>
    <row r="1911" spans="12:13" x14ac:dyDescent="0.25">
      <c r="L1911">
        <f t="shared" si="71"/>
        <v>0</v>
      </c>
      <c r="M1911">
        <f t="shared" si="70"/>
        <v>0</v>
      </c>
    </row>
    <row r="1912" spans="12:13" x14ac:dyDescent="0.25">
      <c r="L1912">
        <f t="shared" si="71"/>
        <v>0</v>
      </c>
      <c r="M1912">
        <f t="shared" si="70"/>
        <v>0</v>
      </c>
    </row>
    <row r="1913" spans="12:13" x14ac:dyDescent="0.25">
      <c r="L1913">
        <f t="shared" si="71"/>
        <v>0</v>
      </c>
      <c r="M1913">
        <f t="shared" si="70"/>
        <v>0</v>
      </c>
    </row>
    <row r="1914" spans="12:13" x14ac:dyDescent="0.25">
      <c r="L1914">
        <f t="shared" si="71"/>
        <v>0</v>
      </c>
      <c r="M1914">
        <f t="shared" si="70"/>
        <v>0</v>
      </c>
    </row>
    <row r="1915" spans="12:13" x14ac:dyDescent="0.25">
      <c r="L1915">
        <f t="shared" si="71"/>
        <v>0</v>
      </c>
      <c r="M1915">
        <f t="shared" si="70"/>
        <v>0</v>
      </c>
    </row>
    <row r="1916" spans="12:13" x14ac:dyDescent="0.25">
      <c r="L1916">
        <f t="shared" si="71"/>
        <v>0</v>
      </c>
      <c r="M1916">
        <f t="shared" si="70"/>
        <v>0</v>
      </c>
    </row>
    <row r="1917" spans="12:13" x14ac:dyDescent="0.25">
      <c r="L1917">
        <f t="shared" si="71"/>
        <v>0</v>
      </c>
      <c r="M1917">
        <f t="shared" si="70"/>
        <v>0</v>
      </c>
    </row>
    <row r="1918" spans="12:13" x14ac:dyDescent="0.25">
      <c r="L1918">
        <f t="shared" si="71"/>
        <v>0</v>
      </c>
      <c r="M1918">
        <f t="shared" si="70"/>
        <v>0</v>
      </c>
    </row>
    <row r="1919" spans="12:13" x14ac:dyDescent="0.25">
      <c r="L1919">
        <f t="shared" si="71"/>
        <v>0</v>
      </c>
      <c r="M1919">
        <f t="shared" ref="M1919:M1982" si="72">+I1919/IF(H1919 = 0,1,H1919)</f>
        <v>0</v>
      </c>
    </row>
    <row r="1920" spans="12:13" x14ac:dyDescent="0.25">
      <c r="L1920">
        <f t="shared" si="71"/>
        <v>0</v>
      </c>
      <c r="M1920">
        <f t="shared" si="72"/>
        <v>0</v>
      </c>
    </row>
    <row r="1921" spans="12:13" x14ac:dyDescent="0.25">
      <c r="L1921">
        <f t="shared" si="71"/>
        <v>0</v>
      </c>
      <c r="M1921">
        <f t="shared" si="72"/>
        <v>0</v>
      </c>
    </row>
    <row r="1922" spans="12:13" x14ac:dyDescent="0.25">
      <c r="L1922">
        <f t="shared" si="71"/>
        <v>0</v>
      </c>
      <c r="M1922">
        <f t="shared" si="72"/>
        <v>0</v>
      </c>
    </row>
    <row r="1923" spans="12:13" x14ac:dyDescent="0.25">
      <c r="L1923">
        <f t="shared" si="71"/>
        <v>0</v>
      </c>
      <c r="M1923">
        <f t="shared" si="72"/>
        <v>0</v>
      </c>
    </row>
    <row r="1924" spans="12:13" x14ac:dyDescent="0.25">
      <c r="L1924">
        <f t="shared" si="71"/>
        <v>0</v>
      </c>
      <c r="M1924">
        <f t="shared" si="72"/>
        <v>0</v>
      </c>
    </row>
    <row r="1925" spans="12:13" x14ac:dyDescent="0.25">
      <c r="L1925">
        <f t="shared" si="71"/>
        <v>0</v>
      </c>
      <c r="M1925">
        <f t="shared" si="72"/>
        <v>0</v>
      </c>
    </row>
    <row r="1926" spans="12:13" x14ac:dyDescent="0.25">
      <c r="L1926">
        <f t="shared" si="71"/>
        <v>0</v>
      </c>
      <c r="M1926">
        <f t="shared" si="72"/>
        <v>0</v>
      </c>
    </row>
    <row r="1927" spans="12:13" x14ac:dyDescent="0.25">
      <c r="L1927">
        <f t="shared" si="71"/>
        <v>0</v>
      </c>
      <c r="M1927">
        <f t="shared" si="72"/>
        <v>0</v>
      </c>
    </row>
    <row r="1928" spans="12:13" x14ac:dyDescent="0.25">
      <c r="L1928">
        <f t="shared" si="71"/>
        <v>0</v>
      </c>
      <c r="M1928">
        <f t="shared" si="72"/>
        <v>0</v>
      </c>
    </row>
    <row r="1929" spans="12:13" x14ac:dyDescent="0.25">
      <c r="L1929">
        <f t="shared" si="71"/>
        <v>0</v>
      </c>
      <c r="M1929">
        <f t="shared" si="72"/>
        <v>0</v>
      </c>
    </row>
    <row r="1930" spans="12:13" x14ac:dyDescent="0.25">
      <c r="L1930">
        <f t="shared" si="71"/>
        <v>0</v>
      </c>
      <c r="M1930">
        <f t="shared" si="72"/>
        <v>0</v>
      </c>
    </row>
    <row r="1931" spans="12:13" x14ac:dyDescent="0.25">
      <c r="L1931">
        <f t="shared" si="71"/>
        <v>0</v>
      </c>
      <c r="M1931">
        <f t="shared" si="72"/>
        <v>0</v>
      </c>
    </row>
    <row r="1932" spans="12:13" x14ac:dyDescent="0.25">
      <c r="L1932">
        <f t="shared" si="71"/>
        <v>0</v>
      </c>
      <c r="M1932">
        <f t="shared" si="72"/>
        <v>0</v>
      </c>
    </row>
    <row r="1933" spans="12:13" x14ac:dyDescent="0.25">
      <c r="L1933">
        <f t="shared" si="71"/>
        <v>0</v>
      </c>
      <c r="M1933">
        <f t="shared" si="72"/>
        <v>0</v>
      </c>
    </row>
    <row r="1934" spans="12:13" x14ac:dyDescent="0.25">
      <c r="L1934">
        <f t="shared" si="71"/>
        <v>0</v>
      </c>
      <c r="M1934">
        <f t="shared" si="72"/>
        <v>0</v>
      </c>
    </row>
    <row r="1935" spans="12:13" x14ac:dyDescent="0.25">
      <c r="L1935">
        <f t="shared" si="71"/>
        <v>0</v>
      </c>
      <c r="M1935">
        <f t="shared" si="72"/>
        <v>0</v>
      </c>
    </row>
    <row r="1936" spans="12:13" x14ac:dyDescent="0.25">
      <c r="L1936">
        <f t="shared" si="71"/>
        <v>0</v>
      </c>
      <c r="M1936">
        <f t="shared" si="72"/>
        <v>0</v>
      </c>
    </row>
    <row r="1937" spans="12:13" x14ac:dyDescent="0.25">
      <c r="L1937">
        <f t="shared" si="71"/>
        <v>0</v>
      </c>
      <c r="M1937">
        <f t="shared" si="72"/>
        <v>0</v>
      </c>
    </row>
    <row r="1938" spans="12:13" x14ac:dyDescent="0.25">
      <c r="L1938">
        <f t="shared" si="71"/>
        <v>0</v>
      </c>
      <c r="M1938">
        <f t="shared" si="72"/>
        <v>0</v>
      </c>
    </row>
    <row r="1939" spans="12:13" x14ac:dyDescent="0.25">
      <c r="L1939">
        <f t="shared" si="71"/>
        <v>0</v>
      </c>
      <c r="M1939">
        <f t="shared" si="72"/>
        <v>0</v>
      </c>
    </row>
    <row r="1940" spans="12:13" x14ac:dyDescent="0.25">
      <c r="L1940">
        <f t="shared" si="71"/>
        <v>0</v>
      </c>
      <c r="M1940">
        <f t="shared" si="72"/>
        <v>0</v>
      </c>
    </row>
    <row r="1941" spans="12:13" x14ac:dyDescent="0.25">
      <c r="L1941">
        <f t="shared" si="71"/>
        <v>0</v>
      </c>
      <c r="M1941">
        <f t="shared" si="72"/>
        <v>0</v>
      </c>
    </row>
    <row r="1942" spans="12:13" x14ac:dyDescent="0.25">
      <c r="L1942">
        <f t="shared" si="71"/>
        <v>0</v>
      </c>
      <c r="M1942">
        <f t="shared" si="72"/>
        <v>0</v>
      </c>
    </row>
    <row r="1943" spans="12:13" x14ac:dyDescent="0.25">
      <c r="L1943">
        <f t="shared" si="71"/>
        <v>0</v>
      </c>
      <c r="M1943">
        <f t="shared" si="72"/>
        <v>0</v>
      </c>
    </row>
    <row r="1944" spans="12:13" x14ac:dyDescent="0.25">
      <c r="L1944">
        <f t="shared" si="71"/>
        <v>0</v>
      </c>
      <c r="M1944">
        <f t="shared" si="72"/>
        <v>0</v>
      </c>
    </row>
    <row r="1945" spans="12:13" x14ac:dyDescent="0.25">
      <c r="L1945">
        <f t="shared" si="71"/>
        <v>0</v>
      </c>
      <c r="M1945">
        <f t="shared" si="72"/>
        <v>0</v>
      </c>
    </row>
    <row r="1946" spans="12:13" x14ac:dyDescent="0.25">
      <c r="L1946">
        <f t="shared" si="71"/>
        <v>0</v>
      </c>
      <c r="M1946">
        <f t="shared" si="72"/>
        <v>0</v>
      </c>
    </row>
    <row r="1947" spans="12:13" x14ac:dyDescent="0.25">
      <c r="L1947">
        <f t="shared" si="71"/>
        <v>0</v>
      </c>
      <c r="M1947">
        <f t="shared" si="72"/>
        <v>0</v>
      </c>
    </row>
    <row r="1948" spans="12:13" x14ac:dyDescent="0.25">
      <c r="L1948">
        <f t="shared" si="71"/>
        <v>0</v>
      </c>
      <c r="M1948">
        <f t="shared" si="72"/>
        <v>0</v>
      </c>
    </row>
    <row r="1949" spans="12:13" x14ac:dyDescent="0.25">
      <c r="L1949">
        <f t="shared" si="71"/>
        <v>0</v>
      </c>
      <c r="M1949">
        <f t="shared" si="72"/>
        <v>0</v>
      </c>
    </row>
    <row r="1950" spans="12:13" x14ac:dyDescent="0.25">
      <c r="L1950">
        <f t="shared" si="71"/>
        <v>0</v>
      </c>
      <c r="M1950">
        <f t="shared" si="72"/>
        <v>0</v>
      </c>
    </row>
    <row r="1951" spans="12:13" x14ac:dyDescent="0.25">
      <c r="L1951">
        <f t="shared" si="71"/>
        <v>0</v>
      </c>
      <c r="M1951">
        <f t="shared" si="72"/>
        <v>0</v>
      </c>
    </row>
    <row r="1952" spans="12:13" x14ac:dyDescent="0.25">
      <c r="L1952">
        <f t="shared" si="71"/>
        <v>0</v>
      </c>
      <c r="M1952">
        <f t="shared" si="72"/>
        <v>0</v>
      </c>
    </row>
    <row r="1953" spans="12:13" x14ac:dyDescent="0.25">
      <c r="L1953">
        <f t="shared" si="71"/>
        <v>0</v>
      </c>
      <c r="M1953">
        <f t="shared" si="72"/>
        <v>0</v>
      </c>
    </row>
    <row r="1954" spans="12:13" x14ac:dyDescent="0.25">
      <c r="L1954">
        <f t="shared" si="71"/>
        <v>0</v>
      </c>
      <c r="M1954">
        <f t="shared" si="72"/>
        <v>0</v>
      </c>
    </row>
    <row r="1955" spans="12:13" x14ac:dyDescent="0.25">
      <c r="L1955">
        <f t="shared" si="71"/>
        <v>0</v>
      </c>
      <c r="M1955">
        <f t="shared" si="72"/>
        <v>0</v>
      </c>
    </row>
    <row r="1956" spans="12:13" x14ac:dyDescent="0.25">
      <c r="L1956">
        <f t="shared" si="71"/>
        <v>0</v>
      </c>
      <c r="M1956">
        <f t="shared" si="72"/>
        <v>0</v>
      </c>
    </row>
    <row r="1957" spans="12:13" x14ac:dyDescent="0.25">
      <c r="L1957">
        <f t="shared" si="71"/>
        <v>0</v>
      </c>
      <c r="M1957">
        <f t="shared" si="72"/>
        <v>0</v>
      </c>
    </row>
    <row r="1958" spans="12:13" x14ac:dyDescent="0.25">
      <c r="L1958">
        <f t="shared" si="71"/>
        <v>0</v>
      </c>
      <c r="M1958">
        <f t="shared" si="72"/>
        <v>0</v>
      </c>
    </row>
    <row r="1959" spans="12:13" x14ac:dyDescent="0.25">
      <c r="L1959">
        <f t="shared" si="71"/>
        <v>0</v>
      </c>
      <c r="M1959">
        <f t="shared" si="72"/>
        <v>0</v>
      </c>
    </row>
    <row r="1960" spans="12:13" x14ac:dyDescent="0.25">
      <c r="L1960">
        <f t="shared" si="71"/>
        <v>0</v>
      </c>
      <c r="M1960">
        <f t="shared" si="72"/>
        <v>0</v>
      </c>
    </row>
    <row r="1961" spans="12:13" x14ac:dyDescent="0.25">
      <c r="L1961">
        <f t="shared" si="71"/>
        <v>0</v>
      </c>
      <c r="M1961">
        <f t="shared" si="72"/>
        <v>0</v>
      </c>
    </row>
    <row r="1962" spans="12:13" x14ac:dyDescent="0.25">
      <c r="L1962">
        <f t="shared" si="71"/>
        <v>0</v>
      </c>
      <c r="M1962">
        <f t="shared" si="72"/>
        <v>0</v>
      </c>
    </row>
    <row r="1963" spans="12:13" x14ac:dyDescent="0.25">
      <c r="L1963">
        <f t="shared" si="71"/>
        <v>0</v>
      </c>
      <c r="M1963">
        <f t="shared" si="72"/>
        <v>0</v>
      </c>
    </row>
    <row r="1964" spans="12:13" x14ac:dyDescent="0.25">
      <c r="L1964">
        <f t="shared" si="71"/>
        <v>0</v>
      </c>
      <c r="M1964">
        <f t="shared" si="72"/>
        <v>0</v>
      </c>
    </row>
    <row r="1965" spans="12:13" x14ac:dyDescent="0.25">
      <c r="L1965">
        <f t="shared" si="71"/>
        <v>0</v>
      </c>
      <c r="M1965">
        <f t="shared" si="72"/>
        <v>0</v>
      </c>
    </row>
    <row r="1966" spans="12:13" x14ac:dyDescent="0.25">
      <c r="L1966">
        <f t="shared" ref="L1966:L2029" si="73">+I1966+H1966</f>
        <v>0</v>
      </c>
      <c r="M1966">
        <f t="shared" si="72"/>
        <v>0</v>
      </c>
    </row>
    <row r="1967" spans="12:13" x14ac:dyDescent="0.25">
      <c r="L1967">
        <f t="shared" si="73"/>
        <v>0</v>
      </c>
      <c r="M1967">
        <f t="shared" si="72"/>
        <v>0</v>
      </c>
    </row>
    <row r="1968" spans="12:13" x14ac:dyDescent="0.25">
      <c r="L1968">
        <f t="shared" si="73"/>
        <v>0</v>
      </c>
      <c r="M1968">
        <f t="shared" si="72"/>
        <v>0</v>
      </c>
    </row>
    <row r="1969" spans="12:13" x14ac:dyDescent="0.25">
      <c r="L1969">
        <f t="shared" si="73"/>
        <v>0</v>
      </c>
      <c r="M1969">
        <f t="shared" si="72"/>
        <v>0</v>
      </c>
    </row>
    <row r="1970" spans="12:13" x14ac:dyDescent="0.25">
      <c r="L1970">
        <f t="shared" si="73"/>
        <v>0</v>
      </c>
      <c r="M1970">
        <f t="shared" si="72"/>
        <v>0</v>
      </c>
    </row>
    <row r="1971" spans="12:13" x14ac:dyDescent="0.25">
      <c r="L1971">
        <f t="shared" si="73"/>
        <v>0</v>
      </c>
      <c r="M1971">
        <f t="shared" si="72"/>
        <v>0</v>
      </c>
    </row>
    <row r="1972" spans="12:13" x14ac:dyDescent="0.25">
      <c r="L1972">
        <f t="shared" si="73"/>
        <v>0</v>
      </c>
      <c r="M1972">
        <f t="shared" si="72"/>
        <v>0</v>
      </c>
    </row>
    <row r="1973" spans="12:13" x14ac:dyDescent="0.25">
      <c r="L1973">
        <f t="shared" si="73"/>
        <v>0</v>
      </c>
      <c r="M1973">
        <f t="shared" si="72"/>
        <v>0</v>
      </c>
    </row>
    <row r="1974" spans="12:13" x14ac:dyDescent="0.25">
      <c r="L1974">
        <f t="shared" si="73"/>
        <v>0</v>
      </c>
      <c r="M1974">
        <f t="shared" si="72"/>
        <v>0</v>
      </c>
    </row>
    <row r="1975" spans="12:13" x14ac:dyDescent="0.25">
      <c r="L1975">
        <f t="shared" si="73"/>
        <v>0</v>
      </c>
      <c r="M1975">
        <f t="shared" si="72"/>
        <v>0</v>
      </c>
    </row>
    <row r="1976" spans="12:13" x14ac:dyDescent="0.25">
      <c r="L1976">
        <f t="shared" si="73"/>
        <v>0</v>
      </c>
      <c r="M1976">
        <f t="shared" si="72"/>
        <v>0</v>
      </c>
    </row>
    <row r="1977" spans="12:13" x14ac:dyDescent="0.25">
      <c r="L1977">
        <f t="shared" si="73"/>
        <v>0</v>
      </c>
      <c r="M1977">
        <f t="shared" si="72"/>
        <v>0</v>
      </c>
    </row>
    <row r="1978" spans="12:13" x14ac:dyDescent="0.25">
      <c r="L1978">
        <f t="shared" si="73"/>
        <v>0</v>
      </c>
      <c r="M1978">
        <f t="shared" si="72"/>
        <v>0</v>
      </c>
    </row>
    <row r="1979" spans="12:13" x14ac:dyDescent="0.25">
      <c r="L1979">
        <f t="shared" si="73"/>
        <v>0</v>
      </c>
      <c r="M1979">
        <f t="shared" si="72"/>
        <v>0</v>
      </c>
    </row>
    <row r="1980" spans="12:13" x14ac:dyDescent="0.25">
      <c r="L1980">
        <f t="shared" si="73"/>
        <v>0</v>
      </c>
      <c r="M1980">
        <f t="shared" si="72"/>
        <v>0</v>
      </c>
    </row>
    <row r="1981" spans="12:13" x14ac:dyDescent="0.25">
      <c r="L1981">
        <f t="shared" si="73"/>
        <v>0</v>
      </c>
      <c r="M1981">
        <f t="shared" si="72"/>
        <v>0</v>
      </c>
    </row>
    <row r="1982" spans="12:13" x14ac:dyDescent="0.25">
      <c r="L1982">
        <f t="shared" si="73"/>
        <v>0</v>
      </c>
      <c r="M1982">
        <f t="shared" si="72"/>
        <v>0</v>
      </c>
    </row>
    <row r="1983" spans="12:13" x14ac:dyDescent="0.25">
      <c r="L1983">
        <f t="shared" si="73"/>
        <v>0</v>
      </c>
      <c r="M1983">
        <f t="shared" ref="M1983:M2046" si="74">+I1983/IF(H1983 = 0,1,H1983)</f>
        <v>0</v>
      </c>
    </row>
    <row r="1984" spans="12:13" x14ac:dyDescent="0.25">
      <c r="L1984">
        <f t="shared" si="73"/>
        <v>0</v>
      </c>
      <c r="M1984">
        <f t="shared" si="74"/>
        <v>0</v>
      </c>
    </row>
    <row r="1985" spans="12:13" x14ac:dyDescent="0.25">
      <c r="L1985">
        <f t="shared" si="73"/>
        <v>0</v>
      </c>
      <c r="M1985">
        <f t="shared" si="74"/>
        <v>0</v>
      </c>
    </row>
    <row r="1986" spans="12:13" x14ac:dyDescent="0.25">
      <c r="L1986">
        <f t="shared" si="73"/>
        <v>0</v>
      </c>
      <c r="M1986">
        <f t="shared" si="74"/>
        <v>0</v>
      </c>
    </row>
    <row r="1987" spans="12:13" x14ac:dyDescent="0.25">
      <c r="L1987">
        <f t="shared" si="73"/>
        <v>0</v>
      </c>
      <c r="M1987">
        <f t="shared" si="74"/>
        <v>0</v>
      </c>
    </row>
    <row r="1988" spans="12:13" x14ac:dyDescent="0.25">
      <c r="L1988">
        <f t="shared" si="73"/>
        <v>0</v>
      </c>
      <c r="M1988">
        <f t="shared" si="74"/>
        <v>0</v>
      </c>
    </row>
    <row r="1989" spans="12:13" x14ac:dyDescent="0.25">
      <c r="L1989">
        <f t="shared" si="73"/>
        <v>0</v>
      </c>
      <c r="M1989">
        <f t="shared" si="74"/>
        <v>0</v>
      </c>
    </row>
    <row r="1990" spans="12:13" x14ac:dyDescent="0.25">
      <c r="L1990">
        <f t="shared" si="73"/>
        <v>0</v>
      </c>
      <c r="M1990">
        <f t="shared" si="74"/>
        <v>0</v>
      </c>
    </row>
    <row r="1991" spans="12:13" x14ac:dyDescent="0.25">
      <c r="L1991">
        <f t="shared" si="73"/>
        <v>0</v>
      </c>
      <c r="M1991">
        <f t="shared" si="74"/>
        <v>0</v>
      </c>
    </row>
    <row r="1992" spans="12:13" x14ac:dyDescent="0.25">
      <c r="L1992">
        <f t="shared" si="73"/>
        <v>0</v>
      </c>
      <c r="M1992">
        <f t="shared" si="74"/>
        <v>0</v>
      </c>
    </row>
    <row r="1993" spans="12:13" x14ac:dyDescent="0.25">
      <c r="L1993">
        <f t="shared" si="73"/>
        <v>0</v>
      </c>
      <c r="M1993">
        <f t="shared" si="74"/>
        <v>0</v>
      </c>
    </row>
    <row r="1994" spans="12:13" x14ac:dyDescent="0.25">
      <c r="L1994">
        <f t="shared" si="73"/>
        <v>0</v>
      </c>
      <c r="M1994">
        <f t="shared" si="74"/>
        <v>0</v>
      </c>
    </row>
    <row r="1995" spans="12:13" x14ac:dyDescent="0.25">
      <c r="L1995">
        <f t="shared" si="73"/>
        <v>0</v>
      </c>
      <c r="M1995">
        <f t="shared" si="74"/>
        <v>0</v>
      </c>
    </row>
    <row r="1996" spans="12:13" x14ac:dyDescent="0.25">
      <c r="L1996">
        <f t="shared" si="73"/>
        <v>0</v>
      </c>
      <c r="M1996">
        <f t="shared" si="74"/>
        <v>0</v>
      </c>
    </row>
    <row r="1997" spans="12:13" x14ac:dyDescent="0.25">
      <c r="L1997">
        <f t="shared" si="73"/>
        <v>0</v>
      </c>
      <c r="M1997">
        <f t="shared" si="74"/>
        <v>0</v>
      </c>
    </row>
    <row r="1998" spans="12:13" x14ac:dyDescent="0.25">
      <c r="L1998">
        <f t="shared" si="73"/>
        <v>0</v>
      </c>
      <c r="M1998">
        <f t="shared" si="74"/>
        <v>0</v>
      </c>
    </row>
    <row r="1999" spans="12:13" x14ac:dyDescent="0.25">
      <c r="L1999">
        <f t="shared" si="73"/>
        <v>0</v>
      </c>
      <c r="M1999">
        <f t="shared" si="74"/>
        <v>0</v>
      </c>
    </row>
    <row r="2000" spans="12:13" x14ac:dyDescent="0.25">
      <c r="L2000">
        <f t="shared" si="73"/>
        <v>0</v>
      </c>
      <c r="M2000">
        <f t="shared" si="74"/>
        <v>0</v>
      </c>
    </row>
    <row r="2001" spans="12:13" x14ac:dyDescent="0.25">
      <c r="L2001">
        <f t="shared" si="73"/>
        <v>0</v>
      </c>
      <c r="M2001">
        <f t="shared" si="74"/>
        <v>0</v>
      </c>
    </row>
    <row r="2002" spans="12:13" x14ac:dyDescent="0.25">
      <c r="L2002">
        <f t="shared" si="73"/>
        <v>0</v>
      </c>
      <c r="M2002">
        <f t="shared" si="74"/>
        <v>0</v>
      </c>
    </row>
    <row r="2003" spans="12:13" x14ac:dyDescent="0.25">
      <c r="L2003">
        <f t="shared" si="73"/>
        <v>0</v>
      </c>
      <c r="M2003">
        <f t="shared" si="74"/>
        <v>0</v>
      </c>
    </row>
    <row r="2004" spans="12:13" x14ac:dyDescent="0.25">
      <c r="L2004">
        <f t="shared" si="73"/>
        <v>0</v>
      </c>
      <c r="M2004">
        <f t="shared" si="74"/>
        <v>0</v>
      </c>
    </row>
    <row r="2005" spans="12:13" x14ac:dyDescent="0.25">
      <c r="L2005">
        <f t="shared" si="73"/>
        <v>0</v>
      </c>
      <c r="M2005">
        <f t="shared" si="74"/>
        <v>0</v>
      </c>
    </row>
    <row r="2006" spans="12:13" x14ac:dyDescent="0.25">
      <c r="L2006">
        <f t="shared" si="73"/>
        <v>0</v>
      </c>
      <c r="M2006">
        <f t="shared" si="74"/>
        <v>0</v>
      </c>
    </row>
    <row r="2007" spans="12:13" x14ac:dyDescent="0.25">
      <c r="L2007">
        <f t="shared" si="73"/>
        <v>0</v>
      </c>
      <c r="M2007">
        <f t="shared" si="74"/>
        <v>0</v>
      </c>
    </row>
    <row r="2008" spans="12:13" x14ac:dyDescent="0.25">
      <c r="L2008">
        <f t="shared" si="73"/>
        <v>0</v>
      </c>
      <c r="M2008">
        <f t="shared" si="74"/>
        <v>0</v>
      </c>
    </row>
    <row r="2009" spans="12:13" x14ac:dyDescent="0.25">
      <c r="L2009">
        <f t="shared" si="73"/>
        <v>0</v>
      </c>
      <c r="M2009">
        <f t="shared" si="74"/>
        <v>0</v>
      </c>
    </row>
    <row r="2010" spans="12:13" x14ac:dyDescent="0.25">
      <c r="L2010">
        <f t="shared" si="73"/>
        <v>0</v>
      </c>
      <c r="M2010">
        <f t="shared" si="74"/>
        <v>0</v>
      </c>
    </row>
    <row r="2011" spans="12:13" x14ac:dyDescent="0.25">
      <c r="L2011">
        <f t="shared" si="73"/>
        <v>0</v>
      </c>
      <c r="M2011">
        <f t="shared" si="74"/>
        <v>0</v>
      </c>
    </row>
    <row r="2012" spans="12:13" x14ac:dyDescent="0.25">
      <c r="L2012">
        <f t="shared" si="73"/>
        <v>0</v>
      </c>
      <c r="M2012">
        <f t="shared" si="74"/>
        <v>0</v>
      </c>
    </row>
    <row r="2013" spans="12:13" x14ac:dyDescent="0.25">
      <c r="L2013">
        <f t="shared" si="73"/>
        <v>0</v>
      </c>
      <c r="M2013">
        <f t="shared" si="74"/>
        <v>0</v>
      </c>
    </row>
    <row r="2014" spans="12:13" x14ac:dyDescent="0.25">
      <c r="L2014">
        <f t="shared" si="73"/>
        <v>0</v>
      </c>
      <c r="M2014">
        <f t="shared" si="74"/>
        <v>0</v>
      </c>
    </row>
    <row r="2015" spans="12:13" x14ac:dyDescent="0.25">
      <c r="L2015">
        <f t="shared" si="73"/>
        <v>0</v>
      </c>
      <c r="M2015">
        <f t="shared" si="74"/>
        <v>0</v>
      </c>
    </row>
    <row r="2016" spans="12:13" x14ac:dyDescent="0.25">
      <c r="L2016">
        <f t="shared" si="73"/>
        <v>0</v>
      </c>
      <c r="M2016">
        <f t="shared" si="74"/>
        <v>0</v>
      </c>
    </row>
    <row r="2017" spans="12:13" x14ac:dyDescent="0.25">
      <c r="L2017">
        <f t="shared" si="73"/>
        <v>0</v>
      </c>
      <c r="M2017">
        <f t="shared" si="74"/>
        <v>0</v>
      </c>
    </row>
    <row r="2018" spans="12:13" x14ac:dyDescent="0.25">
      <c r="L2018">
        <f t="shared" si="73"/>
        <v>0</v>
      </c>
      <c r="M2018">
        <f t="shared" si="74"/>
        <v>0</v>
      </c>
    </row>
    <row r="2019" spans="12:13" x14ac:dyDescent="0.25">
      <c r="L2019">
        <f t="shared" si="73"/>
        <v>0</v>
      </c>
      <c r="M2019">
        <f t="shared" si="74"/>
        <v>0</v>
      </c>
    </row>
    <row r="2020" spans="12:13" x14ac:dyDescent="0.25">
      <c r="L2020">
        <f t="shared" si="73"/>
        <v>0</v>
      </c>
      <c r="M2020">
        <f t="shared" si="74"/>
        <v>0</v>
      </c>
    </row>
    <row r="2021" spans="12:13" x14ac:dyDescent="0.25">
      <c r="L2021">
        <f t="shared" si="73"/>
        <v>0</v>
      </c>
      <c r="M2021">
        <f t="shared" si="74"/>
        <v>0</v>
      </c>
    </row>
    <row r="2022" spans="12:13" x14ac:dyDescent="0.25">
      <c r="L2022">
        <f t="shared" si="73"/>
        <v>0</v>
      </c>
      <c r="M2022">
        <f t="shared" si="74"/>
        <v>0</v>
      </c>
    </row>
    <row r="2023" spans="12:13" x14ac:dyDescent="0.25">
      <c r="L2023">
        <f t="shared" si="73"/>
        <v>0</v>
      </c>
      <c r="M2023">
        <f t="shared" si="74"/>
        <v>0</v>
      </c>
    </row>
    <row r="2024" spans="12:13" x14ac:dyDescent="0.25">
      <c r="L2024">
        <f t="shared" si="73"/>
        <v>0</v>
      </c>
      <c r="M2024">
        <f t="shared" si="74"/>
        <v>0</v>
      </c>
    </row>
    <row r="2025" spans="12:13" x14ac:dyDescent="0.25">
      <c r="L2025">
        <f t="shared" si="73"/>
        <v>0</v>
      </c>
      <c r="M2025">
        <f t="shared" si="74"/>
        <v>0</v>
      </c>
    </row>
    <row r="2026" spans="12:13" x14ac:dyDescent="0.25">
      <c r="L2026">
        <f t="shared" si="73"/>
        <v>0</v>
      </c>
      <c r="M2026">
        <f t="shared" si="74"/>
        <v>0</v>
      </c>
    </row>
    <row r="2027" spans="12:13" x14ac:dyDescent="0.25">
      <c r="L2027">
        <f t="shared" si="73"/>
        <v>0</v>
      </c>
      <c r="M2027">
        <f t="shared" si="74"/>
        <v>0</v>
      </c>
    </row>
    <row r="2028" spans="12:13" x14ac:dyDescent="0.25">
      <c r="L2028">
        <f t="shared" si="73"/>
        <v>0</v>
      </c>
      <c r="M2028">
        <f t="shared" si="74"/>
        <v>0</v>
      </c>
    </row>
    <row r="2029" spans="12:13" x14ac:dyDescent="0.25">
      <c r="L2029">
        <f t="shared" si="73"/>
        <v>0</v>
      </c>
      <c r="M2029">
        <f t="shared" si="74"/>
        <v>0</v>
      </c>
    </row>
    <row r="2030" spans="12:13" x14ac:dyDescent="0.25">
      <c r="L2030">
        <f t="shared" ref="L2030:L2093" si="75">+I2030+H2030</f>
        <v>0</v>
      </c>
      <c r="M2030">
        <f t="shared" si="74"/>
        <v>0</v>
      </c>
    </row>
    <row r="2031" spans="12:13" x14ac:dyDescent="0.25">
      <c r="L2031">
        <f t="shared" si="75"/>
        <v>0</v>
      </c>
      <c r="M2031">
        <f t="shared" si="74"/>
        <v>0</v>
      </c>
    </row>
    <row r="2032" spans="12:13" x14ac:dyDescent="0.25">
      <c r="L2032">
        <f t="shared" si="75"/>
        <v>0</v>
      </c>
      <c r="M2032">
        <f t="shared" si="74"/>
        <v>0</v>
      </c>
    </row>
    <row r="2033" spans="12:13" x14ac:dyDescent="0.25">
      <c r="L2033">
        <f t="shared" si="75"/>
        <v>0</v>
      </c>
      <c r="M2033">
        <f t="shared" si="74"/>
        <v>0</v>
      </c>
    </row>
    <row r="2034" spans="12:13" x14ac:dyDescent="0.25">
      <c r="L2034">
        <f t="shared" si="75"/>
        <v>0</v>
      </c>
      <c r="M2034">
        <f t="shared" si="74"/>
        <v>0</v>
      </c>
    </row>
    <row r="2035" spans="12:13" x14ac:dyDescent="0.25">
      <c r="L2035">
        <f t="shared" si="75"/>
        <v>0</v>
      </c>
      <c r="M2035">
        <f t="shared" si="74"/>
        <v>0</v>
      </c>
    </row>
    <row r="2036" spans="12:13" x14ac:dyDescent="0.25">
      <c r="L2036">
        <f t="shared" si="75"/>
        <v>0</v>
      </c>
      <c r="M2036">
        <f t="shared" si="74"/>
        <v>0</v>
      </c>
    </row>
    <row r="2037" spans="12:13" x14ac:dyDescent="0.25">
      <c r="L2037">
        <f t="shared" si="75"/>
        <v>0</v>
      </c>
      <c r="M2037">
        <f t="shared" si="74"/>
        <v>0</v>
      </c>
    </row>
    <row r="2038" spans="12:13" x14ac:dyDescent="0.25">
      <c r="L2038">
        <f t="shared" si="75"/>
        <v>0</v>
      </c>
      <c r="M2038">
        <f t="shared" si="74"/>
        <v>0</v>
      </c>
    </row>
    <row r="2039" spans="12:13" x14ac:dyDescent="0.25">
      <c r="L2039">
        <f t="shared" si="75"/>
        <v>0</v>
      </c>
      <c r="M2039">
        <f t="shared" si="74"/>
        <v>0</v>
      </c>
    </row>
    <row r="2040" spans="12:13" x14ac:dyDescent="0.25">
      <c r="L2040">
        <f t="shared" si="75"/>
        <v>0</v>
      </c>
      <c r="M2040">
        <f t="shared" si="74"/>
        <v>0</v>
      </c>
    </row>
    <row r="2041" spans="12:13" x14ac:dyDescent="0.25">
      <c r="L2041">
        <f t="shared" si="75"/>
        <v>0</v>
      </c>
      <c r="M2041">
        <f t="shared" si="74"/>
        <v>0</v>
      </c>
    </row>
    <row r="2042" spans="12:13" x14ac:dyDescent="0.25">
      <c r="L2042">
        <f t="shared" si="75"/>
        <v>0</v>
      </c>
      <c r="M2042">
        <f t="shared" si="74"/>
        <v>0</v>
      </c>
    </row>
    <row r="2043" spans="12:13" x14ac:dyDescent="0.25">
      <c r="L2043">
        <f t="shared" si="75"/>
        <v>0</v>
      </c>
      <c r="M2043">
        <f t="shared" si="74"/>
        <v>0</v>
      </c>
    </row>
    <row r="2044" spans="12:13" x14ac:dyDescent="0.25">
      <c r="L2044">
        <f t="shared" si="75"/>
        <v>0</v>
      </c>
      <c r="M2044">
        <f t="shared" si="74"/>
        <v>0</v>
      </c>
    </row>
    <row r="2045" spans="12:13" x14ac:dyDescent="0.25">
      <c r="L2045">
        <f t="shared" si="75"/>
        <v>0</v>
      </c>
      <c r="M2045">
        <f t="shared" si="74"/>
        <v>0</v>
      </c>
    </row>
    <row r="2046" spans="12:13" x14ac:dyDescent="0.25">
      <c r="L2046">
        <f t="shared" si="75"/>
        <v>0</v>
      </c>
      <c r="M2046">
        <f t="shared" si="74"/>
        <v>0</v>
      </c>
    </row>
    <row r="2047" spans="12:13" x14ac:dyDescent="0.25">
      <c r="L2047">
        <f t="shared" si="75"/>
        <v>0</v>
      </c>
      <c r="M2047">
        <f t="shared" ref="M2047:M2110" si="76">+I2047/IF(H2047 = 0,1,H2047)</f>
        <v>0</v>
      </c>
    </row>
    <row r="2048" spans="12:13" x14ac:dyDescent="0.25">
      <c r="L2048">
        <f t="shared" si="75"/>
        <v>0</v>
      </c>
      <c r="M2048">
        <f t="shared" si="76"/>
        <v>0</v>
      </c>
    </row>
    <row r="2049" spans="12:13" x14ac:dyDescent="0.25">
      <c r="L2049">
        <f t="shared" si="75"/>
        <v>0</v>
      </c>
      <c r="M2049">
        <f t="shared" si="76"/>
        <v>0</v>
      </c>
    </row>
    <row r="2050" spans="12:13" x14ac:dyDescent="0.25">
      <c r="L2050">
        <f t="shared" si="75"/>
        <v>0</v>
      </c>
      <c r="M2050">
        <f t="shared" si="76"/>
        <v>0</v>
      </c>
    </row>
    <row r="2051" spans="12:13" x14ac:dyDescent="0.25">
      <c r="L2051">
        <f t="shared" si="75"/>
        <v>0</v>
      </c>
      <c r="M2051">
        <f t="shared" si="76"/>
        <v>0</v>
      </c>
    </row>
    <row r="2052" spans="12:13" x14ac:dyDescent="0.25">
      <c r="L2052">
        <f t="shared" si="75"/>
        <v>0</v>
      </c>
      <c r="M2052">
        <f t="shared" si="76"/>
        <v>0</v>
      </c>
    </row>
    <row r="2053" spans="12:13" x14ac:dyDescent="0.25">
      <c r="L2053">
        <f t="shared" si="75"/>
        <v>0</v>
      </c>
      <c r="M2053">
        <f t="shared" si="76"/>
        <v>0</v>
      </c>
    </row>
    <row r="2054" spans="12:13" x14ac:dyDescent="0.25">
      <c r="L2054">
        <f t="shared" si="75"/>
        <v>0</v>
      </c>
      <c r="M2054">
        <f t="shared" si="76"/>
        <v>0</v>
      </c>
    </row>
    <row r="2055" spans="12:13" x14ac:dyDescent="0.25">
      <c r="L2055">
        <f t="shared" si="75"/>
        <v>0</v>
      </c>
      <c r="M2055">
        <f t="shared" si="76"/>
        <v>0</v>
      </c>
    </row>
    <row r="2056" spans="12:13" x14ac:dyDescent="0.25">
      <c r="L2056">
        <f t="shared" si="75"/>
        <v>0</v>
      </c>
      <c r="M2056">
        <f t="shared" si="76"/>
        <v>0</v>
      </c>
    </row>
    <row r="2057" spans="12:13" x14ac:dyDescent="0.25">
      <c r="L2057">
        <f t="shared" si="75"/>
        <v>0</v>
      </c>
      <c r="M2057">
        <f t="shared" si="76"/>
        <v>0</v>
      </c>
    </row>
    <row r="2058" spans="12:13" x14ac:dyDescent="0.25">
      <c r="L2058">
        <f t="shared" si="75"/>
        <v>0</v>
      </c>
      <c r="M2058">
        <f t="shared" si="76"/>
        <v>0</v>
      </c>
    </row>
    <row r="2059" spans="12:13" x14ac:dyDescent="0.25">
      <c r="L2059">
        <f t="shared" si="75"/>
        <v>0</v>
      </c>
      <c r="M2059">
        <f t="shared" si="76"/>
        <v>0</v>
      </c>
    </row>
    <row r="2060" spans="12:13" x14ac:dyDescent="0.25">
      <c r="L2060">
        <f t="shared" si="75"/>
        <v>0</v>
      </c>
      <c r="M2060">
        <f t="shared" si="76"/>
        <v>0</v>
      </c>
    </row>
    <row r="2061" spans="12:13" x14ac:dyDescent="0.25">
      <c r="L2061">
        <f t="shared" si="75"/>
        <v>0</v>
      </c>
      <c r="M2061">
        <f t="shared" si="76"/>
        <v>0</v>
      </c>
    </row>
    <row r="2062" spans="12:13" x14ac:dyDescent="0.25">
      <c r="L2062">
        <f t="shared" si="75"/>
        <v>0</v>
      </c>
      <c r="M2062">
        <f t="shared" si="76"/>
        <v>0</v>
      </c>
    </row>
    <row r="2063" spans="12:13" x14ac:dyDescent="0.25">
      <c r="L2063">
        <f t="shared" si="75"/>
        <v>0</v>
      </c>
      <c r="M2063">
        <f t="shared" si="76"/>
        <v>0</v>
      </c>
    </row>
    <row r="2064" spans="12:13" x14ac:dyDescent="0.25">
      <c r="L2064">
        <f t="shared" si="75"/>
        <v>0</v>
      </c>
      <c r="M2064">
        <f t="shared" si="76"/>
        <v>0</v>
      </c>
    </row>
    <row r="2065" spans="12:13" x14ac:dyDescent="0.25">
      <c r="L2065">
        <f t="shared" si="75"/>
        <v>0</v>
      </c>
      <c r="M2065">
        <f t="shared" si="76"/>
        <v>0</v>
      </c>
    </row>
    <row r="2066" spans="12:13" x14ac:dyDescent="0.25">
      <c r="L2066">
        <f t="shared" si="75"/>
        <v>0</v>
      </c>
      <c r="M2066">
        <f t="shared" si="76"/>
        <v>0</v>
      </c>
    </row>
    <row r="2067" spans="12:13" x14ac:dyDescent="0.25">
      <c r="L2067">
        <f t="shared" si="75"/>
        <v>0</v>
      </c>
      <c r="M2067">
        <f t="shared" si="76"/>
        <v>0</v>
      </c>
    </row>
    <row r="2068" spans="12:13" x14ac:dyDescent="0.25">
      <c r="L2068">
        <f t="shared" si="75"/>
        <v>0</v>
      </c>
      <c r="M2068">
        <f t="shared" si="76"/>
        <v>0</v>
      </c>
    </row>
    <row r="2069" spans="12:13" x14ac:dyDescent="0.25">
      <c r="L2069">
        <f t="shared" si="75"/>
        <v>0</v>
      </c>
      <c r="M2069">
        <f t="shared" si="76"/>
        <v>0</v>
      </c>
    </row>
    <row r="2070" spans="12:13" x14ac:dyDescent="0.25">
      <c r="L2070">
        <f t="shared" si="75"/>
        <v>0</v>
      </c>
      <c r="M2070">
        <f t="shared" si="76"/>
        <v>0</v>
      </c>
    </row>
    <row r="2071" spans="12:13" x14ac:dyDescent="0.25">
      <c r="L2071">
        <f t="shared" si="75"/>
        <v>0</v>
      </c>
      <c r="M2071">
        <f t="shared" si="76"/>
        <v>0</v>
      </c>
    </row>
    <row r="2072" spans="12:13" x14ac:dyDescent="0.25">
      <c r="L2072">
        <f t="shared" si="75"/>
        <v>0</v>
      </c>
      <c r="M2072">
        <f t="shared" si="76"/>
        <v>0</v>
      </c>
    </row>
    <row r="2073" spans="12:13" x14ac:dyDescent="0.25">
      <c r="L2073">
        <f t="shared" si="75"/>
        <v>0</v>
      </c>
      <c r="M2073">
        <f t="shared" si="76"/>
        <v>0</v>
      </c>
    </row>
    <row r="2074" spans="12:13" x14ac:dyDescent="0.25">
      <c r="L2074">
        <f t="shared" si="75"/>
        <v>0</v>
      </c>
      <c r="M2074">
        <f t="shared" si="76"/>
        <v>0</v>
      </c>
    </row>
    <row r="2075" spans="12:13" x14ac:dyDescent="0.25">
      <c r="L2075">
        <f t="shared" si="75"/>
        <v>0</v>
      </c>
      <c r="M2075">
        <f t="shared" si="76"/>
        <v>0</v>
      </c>
    </row>
    <row r="2076" spans="12:13" x14ac:dyDescent="0.25">
      <c r="L2076">
        <f t="shared" si="75"/>
        <v>0</v>
      </c>
      <c r="M2076">
        <f t="shared" si="76"/>
        <v>0</v>
      </c>
    </row>
    <row r="2077" spans="12:13" x14ac:dyDescent="0.25">
      <c r="L2077">
        <f t="shared" si="75"/>
        <v>0</v>
      </c>
      <c r="M2077">
        <f t="shared" si="76"/>
        <v>0</v>
      </c>
    </row>
    <row r="2078" spans="12:13" x14ac:dyDescent="0.25">
      <c r="L2078">
        <f t="shared" si="75"/>
        <v>0</v>
      </c>
      <c r="M2078">
        <f t="shared" si="76"/>
        <v>0</v>
      </c>
    </row>
    <row r="2079" spans="12:13" x14ac:dyDescent="0.25">
      <c r="L2079">
        <f t="shared" si="75"/>
        <v>0</v>
      </c>
      <c r="M2079">
        <f t="shared" si="76"/>
        <v>0</v>
      </c>
    </row>
    <row r="2080" spans="12:13" x14ac:dyDescent="0.25">
      <c r="L2080">
        <f t="shared" si="75"/>
        <v>0</v>
      </c>
      <c r="M2080">
        <f t="shared" si="76"/>
        <v>0</v>
      </c>
    </row>
    <row r="2081" spans="12:13" x14ac:dyDescent="0.25">
      <c r="L2081">
        <f t="shared" si="75"/>
        <v>0</v>
      </c>
      <c r="M2081">
        <f t="shared" si="76"/>
        <v>0</v>
      </c>
    </row>
    <row r="2082" spans="12:13" x14ac:dyDescent="0.25">
      <c r="L2082">
        <f t="shared" si="75"/>
        <v>0</v>
      </c>
      <c r="M2082">
        <f t="shared" si="76"/>
        <v>0</v>
      </c>
    </row>
    <row r="2083" spans="12:13" x14ac:dyDescent="0.25">
      <c r="L2083">
        <f t="shared" si="75"/>
        <v>0</v>
      </c>
      <c r="M2083">
        <f t="shared" si="76"/>
        <v>0</v>
      </c>
    </row>
    <row r="2084" spans="12:13" x14ac:dyDescent="0.25">
      <c r="L2084">
        <f t="shared" si="75"/>
        <v>0</v>
      </c>
      <c r="M2084">
        <f t="shared" si="76"/>
        <v>0</v>
      </c>
    </row>
    <row r="2085" spans="12:13" x14ac:dyDescent="0.25">
      <c r="L2085">
        <f t="shared" si="75"/>
        <v>0</v>
      </c>
      <c r="M2085">
        <f t="shared" si="76"/>
        <v>0</v>
      </c>
    </row>
    <row r="2086" spans="12:13" x14ac:dyDescent="0.25">
      <c r="L2086">
        <f t="shared" si="75"/>
        <v>0</v>
      </c>
      <c r="M2086">
        <f t="shared" si="76"/>
        <v>0</v>
      </c>
    </row>
    <row r="2087" spans="12:13" x14ac:dyDescent="0.25">
      <c r="L2087">
        <f t="shared" si="75"/>
        <v>0</v>
      </c>
      <c r="M2087">
        <f t="shared" si="76"/>
        <v>0</v>
      </c>
    </row>
    <row r="2088" spans="12:13" x14ac:dyDescent="0.25">
      <c r="L2088">
        <f t="shared" si="75"/>
        <v>0</v>
      </c>
      <c r="M2088">
        <f t="shared" si="76"/>
        <v>0</v>
      </c>
    </row>
    <row r="2089" spans="12:13" x14ac:dyDescent="0.25">
      <c r="L2089">
        <f t="shared" si="75"/>
        <v>0</v>
      </c>
      <c r="M2089">
        <f t="shared" si="76"/>
        <v>0</v>
      </c>
    </row>
    <row r="2090" spans="12:13" x14ac:dyDescent="0.25">
      <c r="L2090">
        <f t="shared" si="75"/>
        <v>0</v>
      </c>
      <c r="M2090">
        <f t="shared" si="76"/>
        <v>0</v>
      </c>
    </row>
    <row r="2091" spans="12:13" x14ac:dyDescent="0.25">
      <c r="L2091">
        <f t="shared" si="75"/>
        <v>0</v>
      </c>
      <c r="M2091">
        <f t="shared" si="76"/>
        <v>0</v>
      </c>
    </row>
    <row r="2092" spans="12:13" x14ac:dyDescent="0.25">
      <c r="L2092">
        <f t="shared" si="75"/>
        <v>0</v>
      </c>
      <c r="M2092">
        <f t="shared" si="76"/>
        <v>0</v>
      </c>
    </row>
    <row r="2093" spans="12:13" x14ac:dyDescent="0.25">
      <c r="L2093">
        <f t="shared" si="75"/>
        <v>0</v>
      </c>
      <c r="M2093">
        <f t="shared" si="76"/>
        <v>0</v>
      </c>
    </row>
    <row r="2094" spans="12:13" x14ac:dyDescent="0.25">
      <c r="L2094">
        <f t="shared" ref="L2094:L2157" si="77">+I2094+H2094</f>
        <v>0</v>
      </c>
      <c r="M2094">
        <f t="shared" si="76"/>
        <v>0</v>
      </c>
    </row>
    <row r="2095" spans="12:13" x14ac:dyDescent="0.25">
      <c r="L2095">
        <f t="shared" si="77"/>
        <v>0</v>
      </c>
      <c r="M2095">
        <f t="shared" si="76"/>
        <v>0</v>
      </c>
    </row>
    <row r="2096" spans="12:13" x14ac:dyDescent="0.25">
      <c r="L2096">
        <f t="shared" si="77"/>
        <v>0</v>
      </c>
      <c r="M2096">
        <f t="shared" si="76"/>
        <v>0</v>
      </c>
    </row>
    <row r="2097" spans="12:13" x14ac:dyDescent="0.25">
      <c r="L2097">
        <f t="shared" si="77"/>
        <v>0</v>
      </c>
      <c r="M2097">
        <f t="shared" si="76"/>
        <v>0</v>
      </c>
    </row>
    <row r="2098" spans="12:13" x14ac:dyDescent="0.25">
      <c r="L2098">
        <f t="shared" si="77"/>
        <v>0</v>
      </c>
      <c r="M2098">
        <f t="shared" si="76"/>
        <v>0</v>
      </c>
    </row>
    <row r="2099" spans="12:13" x14ac:dyDescent="0.25">
      <c r="L2099">
        <f t="shared" si="77"/>
        <v>0</v>
      </c>
      <c r="M2099">
        <f t="shared" si="76"/>
        <v>0</v>
      </c>
    </row>
    <row r="2100" spans="12:13" x14ac:dyDescent="0.25">
      <c r="L2100">
        <f t="shared" si="77"/>
        <v>0</v>
      </c>
      <c r="M2100">
        <f t="shared" si="76"/>
        <v>0</v>
      </c>
    </row>
    <row r="2101" spans="12:13" x14ac:dyDescent="0.25">
      <c r="L2101">
        <f t="shared" si="77"/>
        <v>0</v>
      </c>
      <c r="M2101">
        <f t="shared" si="76"/>
        <v>0</v>
      </c>
    </row>
    <row r="2102" spans="12:13" x14ac:dyDescent="0.25">
      <c r="L2102">
        <f t="shared" si="77"/>
        <v>0</v>
      </c>
      <c r="M2102">
        <f t="shared" si="76"/>
        <v>0</v>
      </c>
    </row>
    <row r="2103" spans="12:13" x14ac:dyDescent="0.25">
      <c r="L2103">
        <f t="shared" si="77"/>
        <v>0</v>
      </c>
      <c r="M2103">
        <f t="shared" si="76"/>
        <v>0</v>
      </c>
    </row>
    <row r="2104" spans="12:13" x14ac:dyDescent="0.25">
      <c r="L2104">
        <f t="shared" si="77"/>
        <v>0</v>
      </c>
      <c r="M2104">
        <f t="shared" si="76"/>
        <v>0</v>
      </c>
    </row>
    <row r="2105" spans="12:13" x14ac:dyDescent="0.25">
      <c r="L2105">
        <f t="shared" si="77"/>
        <v>0</v>
      </c>
      <c r="M2105">
        <f t="shared" si="76"/>
        <v>0</v>
      </c>
    </row>
    <row r="2106" spans="12:13" x14ac:dyDescent="0.25">
      <c r="L2106">
        <f t="shared" si="77"/>
        <v>0</v>
      </c>
      <c r="M2106">
        <f t="shared" si="76"/>
        <v>0</v>
      </c>
    </row>
    <row r="2107" spans="12:13" x14ac:dyDescent="0.25">
      <c r="L2107">
        <f t="shared" si="77"/>
        <v>0</v>
      </c>
      <c r="M2107">
        <f t="shared" si="76"/>
        <v>0</v>
      </c>
    </row>
    <row r="2108" spans="12:13" x14ac:dyDescent="0.25">
      <c r="L2108">
        <f t="shared" si="77"/>
        <v>0</v>
      </c>
      <c r="M2108">
        <f t="shared" si="76"/>
        <v>0</v>
      </c>
    </row>
    <row r="2109" spans="12:13" x14ac:dyDescent="0.25">
      <c r="L2109">
        <f t="shared" si="77"/>
        <v>0</v>
      </c>
      <c r="M2109">
        <f t="shared" si="76"/>
        <v>0</v>
      </c>
    </row>
    <row r="2110" spans="12:13" x14ac:dyDescent="0.25">
      <c r="L2110">
        <f t="shared" si="77"/>
        <v>0</v>
      </c>
      <c r="M2110">
        <f t="shared" si="76"/>
        <v>0</v>
      </c>
    </row>
    <row r="2111" spans="12:13" x14ac:dyDescent="0.25">
      <c r="L2111">
        <f t="shared" si="77"/>
        <v>0</v>
      </c>
      <c r="M2111">
        <f t="shared" ref="M2111:M2174" si="78">+I2111/IF(H2111 = 0,1,H2111)</f>
        <v>0</v>
      </c>
    </row>
    <row r="2112" spans="12:13" x14ac:dyDescent="0.25">
      <c r="L2112">
        <f t="shared" si="77"/>
        <v>0</v>
      </c>
      <c r="M2112">
        <f t="shared" si="78"/>
        <v>0</v>
      </c>
    </row>
    <row r="2113" spans="12:13" x14ac:dyDescent="0.25">
      <c r="L2113">
        <f t="shared" si="77"/>
        <v>0</v>
      </c>
      <c r="M2113">
        <f t="shared" si="78"/>
        <v>0</v>
      </c>
    </row>
    <row r="2114" spans="12:13" x14ac:dyDescent="0.25">
      <c r="L2114">
        <f t="shared" si="77"/>
        <v>0</v>
      </c>
      <c r="M2114">
        <f t="shared" si="78"/>
        <v>0</v>
      </c>
    </row>
    <row r="2115" spans="12:13" x14ac:dyDescent="0.25">
      <c r="L2115">
        <f t="shared" si="77"/>
        <v>0</v>
      </c>
      <c r="M2115">
        <f t="shared" si="78"/>
        <v>0</v>
      </c>
    </row>
    <row r="2116" spans="12:13" x14ac:dyDescent="0.25">
      <c r="L2116">
        <f t="shared" si="77"/>
        <v>0</v>
      </c>
      <c r="M2116">
        <f t="shared" si="78"/>
        <v>0</v>
      </c>
    </row>
    <row r="2117" spans="12:13" x14ac:dyDescent="0.25">
      <c r="L2117">
        <f t="shared" si="77"/>
        <v>0</v>
      </c>
      <c r="M2117">
        <f t="shared" si="78"/>
        <v>0</v>
      </c>
    </row>
    <row r="2118" spans="12:13" x14ac:dyDescent="0.25">
      <c r="L2118">
        <f t="shared" si="77"/>
        <v>0</v>
      </c>
      <c r="M2118">
        <f t="shared" si="78"/>
        <v>0</v>
      </c>
    </row>
    <row r="2119" spans="12:13" x14ac:dyDescent="0.25">
      <c r="L2119">
        <f t="shared" si="77"/>
        <v>0</v>
      </c>
      <c r="M2119">
        <f t="shared" si="78"/>
        <v>0</v>
      </c>
    </row>
    <row r="2120" spans="12:13" x14ac:dyDescent="0.25">
      <c r="L2120">
        <f t="shared" si="77"/>
        <v>0</v>
      </c>
      <c r="M2120">
        <f t="shared" si="78"/>
        <v>0</v>
      </c>
    </row>
    <row r="2121" spans="12:13" x14ac:dyDescent="0.25">
      <c r="L2121">
        <f t="shared" si="77"/>
        <v>0</v>
      </c>
      <c r="M2121">
        <f t="shared" si="78"/>
        <v>0</v>
      </c>
    </row>
    <row r="2122" spans="12:13" x14ac:dyDescent="0.25">
      <c r="L2122">
        <f t="shared" si="77"/>
        <v>0</v>
      </c>
      <c r="M2122">
        <f t="shared" si="78"/>
        <v>0</v>
      </c>
    </row>
    <row r="2123" spans="12:13" x14ac:dyDescent="0.25">
      <c r="L2123">
        <f t="shared" si="77"/>
        <v>0</v>
      </c>
      <c r="M2123">
        <f t="shared" si="78"/>
        <v>0</v>
      </c>
    </row>
    <row r="2124" spans="12:13" x14ac:dyDescent="0.25">
      <c r="L2124">
        <f t="shared" si="77"/>
        <v>0</v>
      </c>
      <c r="M2124">
        <f t="shared" si="78"/>
        <v>0</v>
      </c>
    </row>
    <row r="2125" spans="12:13" x14ac:dyDescent="0.25">
      <c r="L2125">
        <f t="shared" si="77"/>
        <v>0</v>
      </c>
      <c r="M2125">
        <f t="shared" si="78"/>
        <v>0</v>
      </c>
    </row>
    <row r="2126" spans="12:13" x14ac:dyDescent="0.25">
      <c r="L2126">
        <f t="shared" si="77"/>
        <v>0</v>
      </c>
      <c r="M2126">
        <f t="shared" si="78"/>
        <v>0</v>
      </c>
    </row>
    <row r="2127" spans="12:13" x14ac:dyDescent="0.25">
      <c r="L2127">
        <f t="shared" si="77"/>
        <v>0</v>
      </c>
      <c r="M2127">
        <f t="shared" si="78"/>
        <v>0</v>
      </c>
    </row>
    <row r="2128" spans="12:13" x14ac:dyDescent="0.25">
      <c r="L2128">
        <f t="shared" si="77"/>
        <v>0</v>
      </c>
      <c r="M2128">
        <f t="shared" si="78"/>
        <v>0</v>
      </c>
    </row>
    <row r="2129" spans="12:13" x14ac:dyDescent="0.25">
      <c r="L2129">
        <f t="shared" si="77"/>
        <v>0</v>
      </c>
      <c r="M2129">
        <f t="shared" si="78"/>
        <v>0</v>
      </c>
    </row>
    <row r="2130" spans="12:13" x14ac:dyDescent="0.25">
      <c r="L2130">
        <f t="shared" si="77"/>
        <v>0</v>
      </c>
      <c r="M2130">
        <f t="shared" si="78"/>
        <v>0</v>
      </c>
    </row>
    <row r="2131" spans="12:13" x14ac:dyDescent="0.25">
      <c r="L2131">
        <f t="shared" si="77"/>
        <v>0</v>
      </c>
      <c r="M2131">
        <f t="shared" si="78"/>
        <v>0</v>
      </c>
    </row>
    <row r="2132" spans="12:13" x14ac:dyDescent="0.25">
      <c r="L2132">
        <f t="shared" si="77"/>
        <v>0</v>
      </c>
      <c r="M2132">
        <f t="shared" si="78"/>
        <v>0</v>
      </c>
    </row>
    <row r="2133" spans="12:13" x14ac:dyDescent="0.25">
      <c r="L2133">
        <f t="shared" si="77"/>
        <v>0</v>
      </c>
      <c r="M2133">
        <f t="shared" si="78"/>
        <v>0</v>
      </c>
    </row>
    <row r="2134" spans="12:13" x14ac:dyDescent="0.25">
      <c r="L2134">
        <f t="shared" si="77"/>
        <v>0</v>
      </c>
      <c r="M2134">
        <f t="shared" si="78"/>
        <v>0</v>
      </c>
    </row>
    <row r="2135" spans="12:13" x14ac:dyDescent="0.25">
      <c r="L2135">
        <f t="shared" si="77"/>
        <v>0</v>
      </c>
      <c r="M2135">
        <f t="shared" si="78"/>
        <v>0</v>
      </c>
    </row>
    <row r="2136" spans="12:13" x14ac:dyDescent="0.25">
      <c r="L2136">
        <f t="shared" si="77"/>
        <v>0</v>
      </c>
      <c r="M2136">
        <f t="shared" si="78"/>
        <v>0</v>
      </c>
    </row>
    <row r="2137" spans="12:13" x14ac:dyDescent="0.25">
      <c r="L2137">
        <f t="shared" si="77"/>
        <v>0</v>
      </c>
      <c r="M2137">
        <f t="shared" si="78"/>
        <v>0</v>
      </c>
    </row>
    <row r="2138" spans="12:13" x14ac:dyDescent="0.25">
      <c r="L2138">
        <f t="shared" si="77"/>
        <v>0</v>
      </c>
      <c r="M2138">
        <f t="shared" si="78"/>
        <v>0</v>
      </c>
    </row>
    <row r="2139" spans="12:13" x14ac:dyDescent="0.25">
      <c r="L2139">
        <f t="shared" si="77"/>
        <v>0</v>
      </c>
      <c r="M2139">
        <f t="shared" si="78"/>
        <v>0</v>
      </c>
    </row>
    <row r="2140" spans="12:13" x14ac:dyDescent="0.25">
      <c r="L2140">
        <f t="shared" si="77"/>
        <v>0</v>
      </c>
      <c r="M2140">
        <f t="shared" si="78"/>
        <v>0</v>
      </c>
    </row>
    <row r="2141" spans="12:13" x14ac:dyDescent="0.25">
      <c r="L2141">
        <f t="shared" si="77"/>
        <v>0</v>
      </c>
      <c r="M2141">
        <f t="shared" si="78"/>
        <v>0</v>
      </c>
    </row>
    <row r="2142" spans="12:13" x14ac:dyDescent="0.25">
      <c r="L2142">
        <f t="shared" si="77"/>
        <v>0</v>
      </c>
      <c r="M2142">
        <f t="shared" si="78"/>
        <v>0</v>
      </c>
    </row>
    <row r="2143" spans="12:13" x14ac:dyDescent="0.25">
      <c r="L2143">
        <f t="shared" si="77"/>
        <v>0</v>
      </c>
      <c r="M2143">
        <f t="shared" si="78"/>
        <v>0</v>
      </c>
    </row>
    <row r="2144" spans="12:13" x14ac:dyDescent="0.25">
      <c r="L2144">
        <f t="shared" si="77"/>
        <v>0</v>
      </c>
      <c r="M2144">
        <f t="shared" si="78"/>
        <v>0</v>
      </c>
    </row>
    <row r="2145" spans="12:13" x14ac:dyDescent="0.25">
      <c r="L2145">
        <f t="shared" si="77"/>
        <v>0</v>
      </c>
      <c r="M2145">
        <f t="shared" si="78"/>
        <v>0</v>
      </c>
    </row>
    <row r="2146" spans="12:13" x14ac:dyDescent="0.25">
      <c r="L2146">
        <f t="shared" si="77"/>
        <v>0</v>
      </c>
      <c r="M2146">
        <f t="shared" si="78"/>
        <v>0</v>
      </c>
    </row>
    <row r="2147" spans="12:13" x14ac:dyDescent="0.25">
      <c r="L2147">
        <f t="shared" si="77"/>
        <v>0</v>
      </c>
      <c r="M2147">
        <f t="shared" si="78"/>
        <v>0</v>
      </c>
    </row>
    <row r="2148" spans="12:13" x14ac:dyDescent="0.25">
      <c r="L2148">
        <f t="shared" si="77"/>
        <v>0</v>
      </c>
      <c r="M2148">
        <f t="shared" si="78"/>
        <v>0</v>
      </c>
    </row>
    <row r="2149" spans="12:13" x14ac:dyDescent="0.25">
      <c r="L2149">
        <f t="shared" si="77"/>
        <v>0</v>
      </c>
      <c r="M2149">
        <f t="shared" si="78"/>
        <v>0</v>
      </c>
    </row>
    <row r="2150" spans="12:13" x14ac:dyDescent="0.25">
      <c r="L2150">
        <f t="shared" si="77"/>
        <v>0</v>
      </c>
      <c r="M2150">
        <f t="shared" si="78"/>
        <v>0</v>
      </c>
    </row>
    <row r="2151" spans="12:13" x14ac:dyDescent="0.25">
      <c r="L2151">
        <f t="shared" si="77"/>
        <v>0</v>
      </c>
      <c r="M2151">
        <f t="shared" si="78"/>
        <v>0</v>
      </c>
    </row>
    <row r="2152" spans="12:13" x14ac:dyDescent="0.25">
      <c r="L2152">
        <f t="shared" si="77"/>
        <v>0</v>
      </c>
      <c r="M2152">
        <f t="shared" si="78"/>
        <v>0</v>
      </c>
    </row>
    <row r="2153" spans="12:13" x14ac:dyDescent="0.25">
      <c r="L2153">
        <f t="shared" si="77"/>
        <v>0</v>
      </c>
      <c r="M2153">
        <f t="shared" si="78"/>
        <v>0</v>
      </c>
    </row>
    <row r="2154" spans="12:13" x14ac:dyDescent="0.25">
      <c r="L2154">
        <f t="shared" si="77"/>
        <v>0</v>
      </c>
      <c r="M2154">
        <f t="shared" si="78"/>
        <v>0</v>
      </c>
    </row>
    <row r="2155" spans="12:13" x14ac:dyDescent="0.25">
      <c r="L2155">
        <f t="shared" si="77"/>
        <v>0</v>
      </c>
      <c r="M2155">
        <f t="shared" si="78"/>
        <v>0</v>
      </c>
    </row>
    <row r="2156" spans="12:13" x14ac:dyDescent="0.25">
      <c r="L2156">
        <f t="shared" si="77"/>
        <v>0</v>
      </c>
      <c r="M2156">
        <f t="shared" si="78"/>
        <v>0</v>
      </c>
    </row>
    <row r="2157" spans="12:13" x14ac:dyDescent="0.25">
      <c r="L2157">
        <f t="shared" si="77"/>
        <v>0</v>
      </c>
      <c r="M2157">
        <f t="shared" si="78"/>
        <v>0</v>
      </c>
    </row>
    <row r="2158" spans="12:13" x14ac:dyDescent="0.25">
      <c r="L2158">
        <f t="shared" ref="L2158:L2221" si="79">+I2158+H2158</f>
        <v>0</v>
      </c>
      <c r="M2158">
        <f t="shared" si="78"/>
        <v>0</v>
      </c>
    </row>
    <row r="2159" spans="12:13" x14ac:dyDescent="0.25">
      <c r="L2159">
        <f t="shared" si="79"/>
        <v>0</v>
      </c>
      <c r="M2159">
        <f t="shared" si="78"/>
        <v>0</v>
      </c>
    </row>
    <row r="2160" spans="12:13" x14ac:dyDescent="0.25">
      <c r="L2160">
        <f t="shared" si="79"/>
        <v>0</v>
      </c>
      <c r="M2160">
        <f t="shared" si="78"/>
        <v>0</v>
      </c>
    </row>
    <row r="2161" spans="12:13" x14ac:dyDescent="0.25">
      <c r="L2161">
        <f t="shared" si="79"/>
        <v>0</v>
      </c>
      <c r="M2161">
        <f t="shared" si="78"/>
        <v>0</v>
      </c>
    </row>
    <row r="2162" spans="12:13" x14ac:dyDescent="0.25">
      <c r="L2162">
        <f t="shared" si="79"/>
        <v>0</v>
      </c>
      <c r="M2162">
        <f t="shared" si="78"/>
        <v>0</v>
      </c>
    </row>
    <row r="2163" spans="12:13" x14ac:dyDescent="0.25">
      <c r="L2163">
        <f t="shared" si="79"/>
        <v>0</v>
      </c>
      <c r="M2163">
        <f t="shared" si="78"/>
        <v>0</v>
      </c>
    </row>
    <row r="2164" spans="12:13" x14ac:dyDescent="0.25">
      <c r="L2164">
        <f t="shared" si="79"/>
        <v>0</v>
      </c>
      <c r="M2164">
        <f t="shared" si="78"/>
        <v>0</v>
      </c>
    </row>
    <row r="2165" spans="12:13" x14ac:dyDescent="0.25">
      <c r="L2165">
        <f t="shared" si="79"/>
        <v>0</v>
      </c>
      <c r="M2165">
        <f t="shared" si="78"/>
        <v>0</v>
      </c>
    </row>
    <row r="2166" spans="12:13" x14ac:dyDescent="0.25">
      <c r="L2166">
        <f t="shared" si="79"/>
        <v>0</v>
      </c>
      <c r="M2166">
        <f t="shared" si="78"/>
        <v>0</v>
      </c>
    </row>
    <row r="2167" spans="12:13" x14ac:dyDescent="0.25">
      <c r="L2167">
        <f t="shared" si="79"/>
        <v>0</v>
      </c>
      <c r="M2167">
        <f t="shared" si="78"/>
        <v>0</v>
      </c>
    </row>
    <row r="2168" spans="12:13" x14ac:dyDescent="0.25">
      <c r="L2168">
        <f t="shared" si="79"/>
        <v>0</v>
      </c>
      <c r="M2168">
        <f t="shared" si="78"/>
        <v>0</v>
      </c>
    </row>
    <row r="2169" spans="12:13" x14ac:dyDescent="0.25">
      <c r="L2169">
        <f t="shared" si="79"/>
        <v>0</v>
      </c>
      <c r="M2169">
        <f t="shared" si="78"/>
        <v>0</v>
      </c>
    </row>
    <row r="2170" spans="12:13" x14ac:dyDescent="0.25">
      <c r="L2170">
        <f t="shared" si="79"/>
        <v>0</v>
      </c>
      <c r="M2170">
        <f t="shared" si="78"/>
        <v>0</v>
      </c>
    </row>
    <row r="2171" spans="12:13" x14ac:dyDescent="0.25">
      <c r="L2171">
        <f t="shared" si="79"/>
        <v>0</v>
      </c>
      <c r="M2171">
        <f t="shared" si="78"/>
        <v>0</v>
      </c>
    </row>
    <row r="2172" spans="12:13" x14ac:dyDescent="0.25">
      <c r="L2172">
        <f t="shared" si="79"/>
        <v>0</v>
      </c>
      <c r="M2172">
        <f t="shared" si="78"/>
        <v>0</v>
      </c>
    </row>
    <row r="2173" spans="12:13" x14ac:dyDescent="0.25">
      <c r="L2173">
        <f t="shared" si="79"/>
        <v>0</v>
      </c>
      <c r="M2173">
        <f t="shared" si="78"/>
        <v>0</v>
      </c>
    </row>
    <row r="2174" spans="12:13" x14ac:dyDescent="0.25">
      <c r="L2174">
        <f t="shared" si="79"/>
        <v>0</v>
      </c>
      <c r="M2174">
        <f t="shared" si="78"/>
        <v>0</v>
      </c>
    </row>
    <row r="2175" spans="12:13" x14ac:dyDescent="0.25">
      <c r="L2175">
        <f t="shared" si="79"/>
        <v>0</v>
      </c>
      <c r="M2175">
        <f t="shared" ref="M2175:M2238" si="80">+I2175/IF(H2175 = 0,1,H2175)</f>
        <v>0</v>
      </c>
    </row>
    <row r="2176" spans="12:13" x14ac:dyDescent="0.25">
      <c r="L2176">
        <f t="shared" si="79"/>
        <v>0</v>
      </c>
      <c r="M2176">
        <f t="shared" si="80"/>
        <v>0</v>
      </c>
    </row>
    <row r="2177" spans="12:13" x14ac:dyDescent="0.25">
      <c r="L2177">
        <f t="shared" si="79"/>
        <v>0</v>
      </c>
      <c r="M2177">
        <f t="shared" si="80"/>
        <v>0</v>
      </c>
    </row>
    <row r="2178" spans="12:13" x14ac:dyDescent="0.25">
      <c r="L2178">
        <f t="shared" si="79"/>
        <v>0</v>
      </c>
      <c r="M2178">
        <f t="shared" si="80"/>
        <v>0</v>
      </c>
    </row>
    <row r="2179" spans="12:13" x14ac:dyDescent="0.25">
      <c r="L2179">
        <f t="shared" si="79"/>
        <v>0</v>
      </c>
      <c r="M2179">
        <f t="shared" si="80"/>
        <v>0</v>
      </c>
    </row>
    <row r="2180" spans="12:13" x14ac:dyDescent="0.25">
      <c r="L2180">
        <f t="shared" si="79"/>
        <v>0</v>
      </c>
      <c r="M2180">
        <f t="shared" si="80"/>
        <v>0</v>
      </c>
    </row>
    <row r="2181" spans="12:13" x14ac:dyDescent="0.25">
      <c r="L2181">
        <f t="shared" si="79"/>
        <v>0</v>
      </c>
      <c r="M2181">
        <f t="shared" si="80"/>
        <v>0</v>
      </c>
    </row>
    <row r="2182" spans="12:13" x14ac:dyDescent="0.25">
      <c r="L2182">
        <f t="shared" si="79"/>
        <v>0</v>
      </c>
      <c r="M2182">
        <f t="shared" si="80"/>
        <v>0</v>
      </c>
    </row>
    <row r="2183" spans="12:13" x14ac:dyDescent="0.25">
      <c r="L2183">
        <f t="shared" si="79"/>
        <v>0</v>
      </c>
      <c r="M2183">
        <f t="shared" si="80"/>
        <v>0</v>
      </c>
    </row>
    <row r="2184" spans="12:13" x14ac:dyDescent="0.25">
      <c r="L2184">
        <f t="shared" si="79"/>
        <v>0</v>
      </c>
      <c r="M2184">
        <f t="shared" si="80"/>
        <v>0</v>
      </c>
    </row>
    <row r="2185" spans="12:13" x14ac:dyDescent="0.25">
      <c r="L2185">
        <f t="shared" si="79"/>
        <v>0</v>
      </c>
      <c r="M2185">
        <f t="shared" si="80"/>
        <v>0</v>
      </c>
    </row>
    <row r="2186" spans="12:13" x14ac:dyDescent="0.25">
      <c r="L2186">
        <f t="shared" si="79"/>
        <v>0</v>
      </c>
      <c r="M2186">
        <f t="shared" si="80"/>
        <v>0</v>
      </c>
    </row>
    <row r="2187" spans="12:13" x14ac:dyDescent="0.25">
      <c r="L2187">
        <f t="shared" si="79"/>
        <v>0</v>
      </c>
      <c r="M2187">
        <f t="shared" si="80"/>
        <v>0</v>
      </c>
    </row>
    <row r="2188" spans="12:13" x14ac:dyDescent="0.25">
      <c r="L2188">
        <f t="shared" si="79"/>
        <v>0</v>
      </c>
      <c r="M2188">
        <f t="shared" si="80"/>
        <v>0</v>
      </c>
    </row>
    <row r="2189" spans="12:13" x14ac:dyDescent="0.25">
      <c r="L2189">
        <f t="shared" si="79"/>
        <v>0</v>
      </c>
      <c r="M2189">
        <f t="shared" si="80"/>
        <v>0</v>
      </c>
    </row>
    <row r="2190" spans="12:13" x14ac:dyDescent="0.25">
      <c r="L2190">
        <f t="shared" si="79"/>
        <v>0</v>
      </c>
      <c r="M2190">
        <f t="shared" si="80"/>
        <v>0</v>
      </c>
    </row>
    <row r="2191" spans="12:13" x14ac:dyDescent="0.25">
      <c r="L2191">
        <f t="shared" si="79"/>
        <v>0</v>
      </c>
      <c r="M2191">
        <f t="shared" si="80"/>
        <v>0</v>
      </c>
    </row>
    <row r="2192" spans="12:13" x14ac:dyDescent="0.25">
      <c r="L2192">
        <f t="shared" si="79"/>
        <v>0</v>
      </c>
      <c r="M2192">
        <f t="shared" si="80"/>
        <v>0</v>
      </c>
    </row>
    <row r="2193" spans="12:13" x14ac:dyDescent="0.25">
      <c r="L2193">
        <f t="shared" si="79"/>
        <v>0</v>
      </c>
      <c r="M2193">
        <f t="shared" si="80"/>
        <v>0</v>
      </c>
    </row>
    <row r="2194" spans="12:13" x14ac:dyDescent="0.25">
      <c r="L2194">
        <f t="shared" si="79"/>
        <v>0</v>
      </c>
      <c r="M2194">
        <f t="shared" si="80"/>
        <v>0</v>
      </c>
    </row>
    <row r="2195" spans="12:13" x14ac:dyDescent="0.25">
      <c r="L2195">
        <f t="shared" si="79"/>
        <v>0</v>
      </c>
      <c r="M2195">
        <f t="shared" si="80"/>
        <v>0</v>
      </c>
    </row>
    <row r="2196" spans="12:13" x14ac:dyDescent="0.25">
      <c r="L2196">
        <f t="shared" si="79"/>
        <v>0</v>
      </c>
      <c r="M2196">
        <f t="shared" si="80"/>
        <v>0</v>
      </c>
    </row>
    <row r="2197" spans="12:13" x14ac:dyDescent="0.25">
      <c r="L2197">
        <f t="shared" si="79"/>
        <v>0</v>
      </c>
      <c r="M2197">
        <f t="shared" si="80"/>
        <v>0</v>
      </c>
    </row>
    <row r="2198" spans="12:13" x14ac:dyDescent="0.25">
      <c r="L2198">
        <f t="shared" si="79"/>
        <v>0</v>
      </c>
      <c r="M2198">
        <f t="shared" si="80"/>
        <v>0</v>
      </c>
    </row>
    <row r="2199" spans="12:13" x14ac:dyDescent="0.25">
      <c r="L2199">
        <f t="shared" si="79"/>
        <v>0</v>
      </c>
      <c r="M2199">
        <f t="shared" si="80"/>
        <v>0</v>
      </c>
    </row>
    <row r="2200" spans="12:13" x14ac:dyDescent="0.25">
      <c r="L2200">
        <f t="shared" si="79"/>
        <v>0</v>
      </c>
      <c r="M2200">
        <f t="shared" si="80"/>
        <v>0</v>
      </c>
    </row>
    <row r="2201" spans="12:13" x14ac:dyDescent="0.25">
      <c r="L2201">
        <f t="shared" si="79"/>
        <v>0</v>
      </c>
      <c r="M2201">
        <f t="shared" si="80"/>
        <v>0</v>
      </c>
    </row>
    <row r="2202" spans="12:13" x14ac:dyDescent="0.25">
      <c r="L2202">
        <f t="shared" si="79"/>
        <v>0</v>
      </c>
      <c r="M2202">
        <f t="shared" si="80"/>
        <v>0</v>
      </c>
    </row>
    <row r="2203" spans="12:13" x14ac:dyDescent="0.25">
      <c r="L2203">
        <f t="shared" si="79"/>
        <v>0</v>
      </c>
      <c r="M2203">
        <f t="shared" si="80"/>
        <v>0</v>
      </c>
    </row>
    <row r="2204" spans="12:13" x14ac:dyDescent="0.25">
      <c r="L2204">
        <f t="shared" si="79"/>
        <v>0</v>
      </c>
      <c r="M2204">
        <f t="shared" si="80"/>
        <v>0</v>
      </c>
    </row>
    <row r="2205" spans="12:13" x14ac:dyDescent="0.25">
      <c r="L2205">
        <f t="shared" si="79"/>
        <v>0</v>
      </c>
      <c r="M2205">
        <f t="shared" si="80"/>
        <v>0</v>
      </c>
    </row>
    <row r="2206" spans="12:13" x14ac:dyDescent="0.25">
      <c r="L2206">
        <f t="shared" si="79"/>
        <v>0</v>
      </c>
      <c r="M2206">
        <f t="shared" si="80"/>
        <v>0</v>
      </c>
    </row>
    <row r="2207" spans="12:13" x14ac:dyDescent="0.25">
      <c r="L2207">
        <f t="shared" si="79"/>
        <v>0</v>
      </c>
      <c r="M2207">
        <f t="shared" si="80"/>
        <v>0</v>
      </c>
    </row>
    <row r="2208" spans="12:13" x14ac:dyDescent="0.25">
      <c r="L2208">
        <f t="shared" si="79"/>
        <v>0</v>
      </c>
      <c r="M2208">
        <f t="shared" si="80"/>
        <v>0</v>
      </c>
    </row>
    <row r="2209" spans="12:13" x14ac:dyDescent="0.25">
      <c r="L2209">
        <f t="shared" si="79"/>
        <v>0</v>
      </c>
      <c r="M2209">
        <f t="shared" si="80"/>
        <v>0</v>
      </c>
    </row>
    <row r="2210" spans="12:13" x14ac:dyDescent="0.25">
      <c r="L2210">
        <f t="shared" si="79"/>
        <v>0</v>
      </c>
      <c r="M2210">
        <f t="shared" si="80"/>
        <v>0</v>
      </c>
    </row>
    <row r="2211" spans="12:13" x14ac:dyDescent="0.25">
      <c r="L2211">
        <f t="shared" si="79"/>
        <v>0</v>
      </c>
      <c r="M2211">
        <f t="shared" si="80"/>
        <v>0</v>
      </c>
    </row>
    <row r="2212" spans="12:13" x14ac:dyDescent="0.25">
      <c r="L2212">
        <f t="shared" si="79"/>
        <v>0</v>
      </c>
      <c r="M2212">
        <f t="shared" si="80"/>
        <v>0</v>
      </c>
    </row>
    <row r="2213" spans="12:13" x14ac:dyDescent="0.25">
      <c r="L2213">
        <f t="shared" si="79"/>
        <v>0</v>
      </c>
      <c r="M2213">
        <f t="shared" si="80"/>
        <v>0</v>
      </c>
    </row>
    <row r="2214" spans="12:13" x14ac:dyDescent="0.25">
      <c r="L2214">
        <f t="shared" si="79"/>
        <v>0</v>
      </c>
      <c r="M2214">
        <f t="shared" si="80"/>
        <v>0</v>
      </c>
    </row>
    <row r="2215" spans="12:13" x14ac:dyDescent="0.25">
      <c r="L2215">
        <f t="shared" si="79"/>
        <v>0</v>
      </c>
      <c r="M2215">
        <f t="shared" si="80"/>
        <v>0</v>
      </c>
    </row>
    <row r="2216" spans="12:13" x14ac:dyDescent="0.25">
      <c r="L2216">
        <f t="shared" si="79"/>
        <v>0</v>
      </c>
      <c r="M2216">
        <f t="shared" si="80"/>
        <v>0</v>
      </c>
    </row>
    <row r="2217" spans="12:13" x14ac:dyDescent="0.25">
      <c r="L2217">
        <f t="shared" si="79"/>
        <v>0</v>
      </c>
      <c r="M2217">
        <f t="shared" si="80"/>
        <v>0</v>
      </c>
    </row>
    <row r="2218" spans="12:13" x14ac:dyDescent="0.25">
      <c r="L2218">
        <f t="shared" si="79"/>
        <v>0</v>
      </c>
      <c r="M2218">
        <f t="shared" si="80"/>
        <v>0</v>
      </c>
    </row>
    <row r="2219" spans="12:13" x14ac:dyDescent="0.25">
      <c r="L2219">
        <f t="shared" si="79"/>
        <v>0</v>
      </c>
      <c r="M2219">
        <f t="shared" si="80"/>
        <v>0</v>
      </c>
    </row>
    <row r="2220" spans="12:13" x14ac:dyDescent="0.25">
      <c r="L2220">
        <f t="shared" si="79"/>
        <v>0</v>
      </c>
      <c r="M2220">
        <f t="shared" si="80"/>
        <v>0</v>
      </c>
    </row>
    <row r="2221" spans="12:13" x14ac:dyDescent="0.25">
      <c r="L2221">
        <f t="shared" si="79"/>
        <v>0</v>
      </c>
      <c r="M2221">
        <f t="shared" si="80"/>
        <v>0</v>
      </c>
    </row>
    <row r="2222" spans="12:13" x14ac:dyDescent="0.25">
      <c r="L2222">
        <f t="shared" ref="L2222:L2285" si="81">+I2222+H2222</f>
        <v>0</v>
      </c>
      <c r="M2222">
        <f t="shared" si="80"/>
        <v>0</v>
      </c>
    </row>
    <row r="2223" spans="12:13" x14ac:dyDescent="0.25">
      <c r="L2223">
        <f t="shared" si="81"/>
        <v>0</v>
      </c>
      <c r="M2223">
        <f t="shared" si="80"/>
        <v>0</v>
      </c>
    </row>
    <row r="2224" spans="12:13" x14ac:dyDescent="0.25">
      <c r="L2224">
        <f t="shared" si="81"/>
        <v>0</v>
      </c>
      <c r="M2224">
        <f t="shared" si="80"/>
        <v>0</v>
      </c>
    </row>
    <row r="2225" spans="12:13" x14ac:dyDescent="0.25">
      <c r="L2225">
        <f t="shared" si="81"/>
        <v>0</v>
      </c>
      <c r="M2225">
        <f t="shared" si="80"/>
        <v>0</v>
      </c>
    </row>
    <row r="2226" spans="12:13" x14ac:dyDescent="0.25">
      <c r="L2226">
        <f t="shared" si="81"/>
        <v>0</v>
      </c>
      <c r="M2226">
        <f t="shared" si="80"/>
        <v>0</v>
      </c>
    </row>
    <row r="2227" spans="12:13" x14ac:dyDescent="0.25">
      <c r="L2227">
        <f t="shared" si="81"/>
        <v>0</v>
      </c>
      <c r="M2227">
        <f t="shared" si="80"/>
        <v>0</v>
      </c>
    </row>
    <row r="2228" spans="12:13" x14ac:dyDescent="0.25">
      <c r="L2228">
        <f t="shared" si="81"/>
        <v>0</v>
      </c>
      <c r="M2228">
        <f t="shared" si="80"/>
        <v>0</v>
      </c>
    </row>
    <row r="2229" spans="12:13" x14ac:dyDescent="0.25">
      <c r="L2229">
        <f t="shared" si="81"/>
        <v>0</v>
      </c>
      <c r="M2229">
        <f t="shared" si="80"/>
        <v>0</v>
      </c>
    </row>
    <row r="2230" spans="12:13" x14ac:dyDescent="0.25">
      <c r="L2230">
        <f t="shared" si="81"/>
        <v>0</v>
      </c>
      <c r="M2230">
        <f t="shared" si="80"/>
        <v>0</v>
      </c>
    </row>
    <row r="2231" spans="12:13" x14ac:dyDescent="0.25">
      <c r="L2231">
        <f t="shared" si="81"/>
        <v>0</v>
      </c>
      <c r="M2231">
        <f t="shared" si="80"/>
        <v>0</v>
      </c>
    </row>
    <row r="2232" spans="12:13" x14ac:dyDescent="0.25">
      <c r="L2232">
        <f t="shared" si="81"/>
        <v>0</v>
      </c>
      <c r="M2232">
        <f t="shared" si="80"/>
        <v>0</v>
      </c>
    </row>
    <row r="2233" spans="12:13" x14ac:dyDescent="0.25">
      <c r="L2233">
        <f t="shared" si="81"/>
        <v>0</v>
      </c>
      <c r="M2233">
        <f t="shared" si="80"/>
        <v>0</v>
      </c>
    </row>
    <row r="2234" spans="12:13" x14ac:dyDescent="0.25">
      <c r="L2234">
        <f t="shared" si="81"/>
        <v>0</v>
      </c>
      <c r="M2234">
        <f t="shared" si="80"/>
        <v>0</v>
      </c>
    </row>
    <row r="2235" spans="12:13" x14ac:dyDescent="0.25">
      <c r="L2235">
        <f t="shared" si="81"/>
        <v>0</v>
      </c>
      <c r="M2235">
        <f t="shared" si="80"/>
        <v>0</v>
      </c>
    </row>
    <row r="2236" spans="12:13" x14ac:dyDescent="0.25">
      <c r="L2236">
        <f t="shared" si="81"/>
        <v>0</v>
      </c>
      <c r="M2236">
        <f t="shared" si="80"/>
        <v>0</v>
      </c>
    </row>
    <row r="2237" spans="12:13" x14ac:dyDescent="0.25">
      <c r="L2237">
        <f t="shared" si="81"/>
        <v>0</v>
      </c>
      <c r="M2237">
        <f t="shared" si="80"/>
        <v>0</v>
      </c>
    </row>
    <row r="2238" spans="12:13" x14ac:dyDescent="0.25">
      <c r="L2238">
        <f t="shared" si="81"/>
        <v>0</v>
      </c>
      <c r="M2238">
        <f t="shared" si="80"/>
        <v>0</v>
      </c>
    </row>
    <row r="2239" spans="12:13" x14ac:dyDescent="0.25">
      <c r="L2239">
        <f t="shared" si="81"/>
        <v>0</v>
      </c>
      <c r="M2239">
        <f t="shared" ref="M2239:M2302" si="82">+I2239/IF(H2239 = 0,1,H2239)</f>
        <v>0</v>
      </c>
    </row>
    <row r="2240" spans="12:13" x14ac:dyDescent="0.25">
      <c r="L2240">
        <f t="shared" si="81"/>
        <v>0</v>
      </c>
      <c r="M2240">
        <f t="shared" si="82"/>
        <v>0</v>
      </c>
    </row>
    <row r="2241" spans="12:13" x14ac:dyDescent="0.25">
      <c r="L2241">
        <f t="shared" si="81"/>
        <v>0</v>
      </c>
      <c r="M2241">
        <f t="shared" si="82"/>
        <v>0</v>
      </c>
    </row>
    <row r="2242" spans="12:13" x14ac:dyDescent="0.25">
      <c r="L2242">
        <f t="shared" si="81"/>
        <v>0</v>
      </c>
      <c r="M2242">
        <f t="shared" si="82"/>
        <v>0</v>
      </c>
    </row>
    <row r="2243" spans="12:13" x14ac:dyDescent="0.25">
      <c r="L2243">
        <f t="shared" si="81"/>
        <v>0</v>
      </c>
      <c r="M2243">
        <f t="shared" si="82"/>
        <v>0</v>
      </c>
    </row>
    <row r="2244" spans="12:13" x14ac:dyDescent="0.25">
      <c r="L2244">
        <f t="shared" si="81"/>
        <v>0</v>
      </c>
      <c r="M2244">
        <f t="shared" si="82"/>
        <v>0</v>
      </c>
    </row>
    <row r="2245" spans="12:13" x14ac:dyDescent="0.25">
      <c r="L2245">
        <f t="shared" si="81"/>
        <v>0</v>
      </c>
      <c r="M2245">
        <f t="shared" si="82"/>
        <v>0</v>
      </c>
    </row>
    <row r="2246" spans="12:13" x14ac:dyDescent="0.25">
      <c r="L2246">
        <f t="shared" si="81"/>
        <v>0</v>
      </c>
      <c r="M2246">
        <f t="shared" si="82"/>
        <v>0</v>
      </c>
    </row>
    <row r="2247" spans="12:13" x14ac:dyDescent="0.25">
      <c r="L2247">
        <f t="shared" si="81"/>
        <v>0</v>
      </c>
      <c r="M2247">
        <f t="shared" si="82"/>
        <v>0</v>
      </c>
    </row>
    <row r="2248" spans="12:13" x14ac:dyDescent="0.25">
      <c r="L2248">
        <f t="shared" si="81"/>
        <v>0</v>
      </c>
      <c r="M2248">
        <f t="shared" si="82"/>
        <v>0</v>
      </c>
    </row>
    <row r="2249" spans="12:13" x14ac:dyDescent="0.25">
      <c r="L2249">
        <f t="shared" si="81"/>
        <v>0</v>
      </c>
      <c r="M2249">
        <f t="shared" si="82"/>
        <v>0</v>
      </c>
    </row>
    <row r="2250" spans="12:13" x14ac:dyDescent="0.25">
      <c r="L2250">
        <f t="shared" si="81"/>
        <v>0</v>
      </c>
      <c r="M2250">
        <f t="shared" si="82"/>
        <v>0</v>
      </c>
    </row>
    <row r="2251" spans="12:13" x14ac:dyDescent="0.25">
      <c r="L2251">
        <f t="shared" si="81"/>
        <v>0</v>
      </c>
      <c r="M2251">
        <f t="shared" si="82"/>
        <v>0</v>
      </c>
    </row>
    <row r="2252" spans="12:13" x14ac:dyDescent="0.25">
      <c r="L2252">
        <f t="shared" si="81"/>
        <v>0</v>
      </c>
      <c r="M2252">
        <f t="shared" si="82"/>
        <v>0</v>
      </c>
    </row>
    <row r="2253" spans="12:13" x14ac:dyDescent="0.25">
      <c r="L2253">
        <f t="shared" si="81"/>
        <v>0</v>
      </c>
      <c r="M2253">
        <f t="shared" si="82"/>
        <v>0</v>
      </c>
    </row>
    <row r="2254" spans="12:13" x14ac:dyDescent="0.25">
      <c r="L2254">
        <f t="shared" si="81"/>
        <v>0</v>
      </c>
      <c r="M2254">
        <f t="shared" si="82"/>
        <v>0</v>
      </c>
    </row>
    <row r="2255" spans="12:13" x14ac:dyDescent="0.25">
      <c r="L2255">
        <f t="shared" si="81"/>
        <v>0</v>
      </c>
      <c r="M2255">
        <f t="shared" si="82"/>
        <v>0</v>
      </c>
    </row>
    <row r="2256" spans="12:13" x14ac:dyDescent="0.25">
      <c r="L2256">
        <f t="shared" si="81"/>
        <v>0</v>
      </c>
      <c r="M2256">
        <f t="shared" si="82"/>
        <v>0</v>
      </c>
    </row>
    <row r="2257" spans="12:13" x14ac:dyDescent="0.25">
      <c r="L2257">
        <f t="shared" si="81"/>
        <v>0</v>
      </c>
      <c r="M2257">
        <f t="shared" si="82"/>
        <v>0</v>
      </c>
    </row>
    <row r="2258" spans="12:13" x14ac:dyDescent="0.25">
      <c r="L2258">
        <f t="shared" si="81"/>
        <v>0</v>
      </c>
      <c r="M2258">
        <f t="shared" si="82"/>
        <v>0</v>
      </c>
    </row>
    <row r="2259" spans="12:13" x14ac:dyDescent="0.25">
      <c r="L2259">
        <f t="shared" si="81"/>
        <v>0</v>
      </c>
      <c r="M2259">
        <f t="shared" si="82"/>
        <v>0</v>
      </c>
    </row>
    <row r="2260" spans="12:13" x14ac:dyDescent="0.25">
      <c r="L2260">
        <f t="shared" si="81"/>
        <v>0</v>
      </c>
      <c r="M2260">
        <f t="shared" si="82"/>
        <v>0</v>
      </c>
    </row>
    <row r="2261" spans="12:13" x14ac:dyDescent="0.25">
      <c r="L2261">
        <f t="shared" si="81"/>
        <v>0</v>
      </c>
      <c r="M2261">
        <f t="shared" si="82"/>
        <v>0</v>
      </c>
    </row>
    <row r="2262" spans="12:13" x14ac:dyDescent="0.25">
      <c r="L2262">
        <f t="shared" si="81"/>
        <v>0</v>
      </c>
      <c r="M2262">
        <f t="shared" si="82"/>
        <v>0</v>
      </c>
    </row>
    <row r="2263" spans="12:13" x14ac:dyDescent="0.25">
      <c r="L2263">
        <f t="shared" si="81"/>
        <v>0</v>
      </c>
      <c r="M2263">
        <f t="shared" si="82"/>
        <v>0</v>
      </c>
    </row>
    <row r="2264" spans="12:13" x14ac:dyDescent="0.25">
      <c r="L2264">
        <f t="shared" si="81"/>
        <v>0</v>
      </c>
      <c r="M2264">
        <f t="shared" si="82"/>
        <v>0</v>
      </c>
    </row>
    <row r="2265" spans="12:13" x14ac:dyDescent="0.25">
      <c r="L2265">
        <f t="shared" si="81"/>
        <v>0</v>
      </c>
      <c r="M2265">
        <f t="shared" si="82"/>
        <v>0</v>
      </c>
    </row>
    <row r="2266" spans="12:13" x14ac:dyDescent="0.25">
      <c r="L2266">
        <f t="shared" si="81"/>
        <v>0</v>
      </c>
      <c r="M2266">
        <f t="shared" si="82"/>
        <v>0</v>
      </c>
    </row>
    <row r="2267" spans="12:13" x14ac:dyDescent="0.25">
      <c r="L2267">
        <f t="shared" si="81"/>
        <v>0</v>
      </c>
      <c r="M2267">
        <f t="shared" si="82"/>
        <v>0</v>
      </c>
    </row>
    <row r="2268" spans="12:13" x14ac:dyDescent="0.25">
      <c r="L2268">
        <f t="shared" si="81"/>
        <v>0</v>
      </c>
      <c r="M2268">
        <f t="shared" si="82"/>
        <v>0</v>
      </c>
    </row>
    <row r="2269" spans="12:13" x14ac:dyDescent="0.25">
      <c r="L2269">
        <f t="shared" si="81"/>
        <v>0</v>
      </c>
      <c r="M2269">
        <f t="shared" si="82"/>
        <v>0</v>
      </c>
    </row>
    <row r="2270" spans="12:13" x14ac:dyDescent="0.25">
      <c r="L2270">
        <f t="shared" si="81"/>
        <v>0</v>
      </c>
      <c r="M2270">
        <f t="shared" si="82"/>
        <v>0</v>
      </c>
    </row>
    <row r="2271" spans="12:13" x14ac:dyDescent="0.25">
      <c r="L2271">
        <f t="shared" si="81"/>
        <v>0</v>
      </c>
      <c r="M2271">
        <f t="shared" si="82"/>
        <v>0</v>
      </c>
    </row>
    <row r="2272" spans="12:13" x14ac:dyDescent="0.25">
      <c r="L2272">
        <f t="shared" si="81"/>
        <v>0</v>
      </c>
      <c r="M2272">
        <f t="shared" si="82"/>
        <v>0</v>
      </c>
    </row>
    <row r="2273" spans="12:13" x14ac:dyDescent="0.25">
      <c r="L2273">
        <f t="shared" si="81"/>
        <v>0</v>
      </c>
      <c r="M2273">
        <f t="shared" si="82"/>
        <v>0</v>
      </c>
    </row>
    <row r="2274" spans="12:13" x14ac:dyDescent="0.25">
      <c r="L2274">
        <f t="shared" si="81"/>
        <v>0</v>
      </c>
      <c r="M2274">
        <f t="shared" si="82"/>
        <v>0</v>
      </c>
    </row>
    <row r="2275" spans="12:13" x14ac:dyDescent="0.25">
      <c r="L2275">
        <f t="shared" si="81"/>
        <v>0</v>
      </c>
      <c r="M2275">
        <f t="shared" si="82"/>
        <v>0</v>
      </c>
    </row>
    <row r="2276" spans="12:13" x14ac:dyDescent="0.25">
      <c r="L2276">
        <f t="shared" si="81"/>
        <v>0</v>
      </c>
      <c r="M2276">
        <f t="shared" si="82"/>
        <v>0</v>
      </c>
    </row>
    <row r="2277" spans="12:13" x14ac:dyDescent="0.25">
      <c r="L2277">
        <f t="shared" si="81"/>
        <v>0</v>
      </c>
      <c r="M2277">
        <f t="shared" si="82"/>
        <v>0</v>
      </c>
    </row>
    <row r="2278" spans="12:13" x14ac:dyDescent="0.25">
      <c r="L2278">
        <f t="shared" si="81"/>
        <v>0</v>
      </c>
      <c r="M2278">
        <f t="shared" si="82"/>
        <v>0</v>
      </c>
    </row>
    <row r="2279" spans="12:13" x14ac:dyDescent="0.25">
      <c r="L2279">
        <f t="shared" si="81"/>
        <v>0</v>
      </c>
      <c r="M2279">
        <f t="shared" si="82"/>
        <v>0</v>
      </c>
    </row>
    <row r="2280" spans="12:13" x14ac:dyDescent="0.25">
      <c r="L2280">
        <f t="shared" si="81"/>
        <v>0</v>
      </c>
      <c r="M2280">
        <f t="shared" si="82"/>
        <v>0</v>
      </c>
    </row>
    <row r="2281" spans="12:13" x14ac:dyDescent="0.25">
      <c r="L2281">
        <f t="shared" si="81"/>
        <v>0</v>
      </c>
      <c r="M2281">
        <f t="shared" si="82"/>
        <v>0</v>
      </c>
    </row>
    <row r="2282" spans="12:13" x14ac:dyDescent="0.25">
      <c r="L2282">
        <f t="shared" si="81"/>
        <v>0</v>
      </c>
      <c r="M2282">
        <f t="shared" si="82"/>
        <v>0</v>
      </c>
    </row>
    <row r="2283" spans="12:13" x14ac:dyDescent="0.25">
      <c r="L2283">
        <f t="shared" si="81"/>
        <v>0</v>
      </c>
      <c r="M2283">
        <f t="shared" si="82"/>
        <v>0</v>
      </c>
    </row>
    <row r="2284" spans="12:13" x14ac:dyDescent="0.25">
      <c r="L2284">
        <f t="shared" si="81"/>
        <v>0</v>
      </c>
      <c r="M2284">
        <f t="shared" si="82"/>
        <v>0</v>
      </c>
    </row>
    <row r="2285" spans="12:13" x14ac:dyDescent="0.25">
      <c r="L2285">
        <f t="shared" si="81"/>
        <v>0</v>
      </c>
      <c r="M2285">
        <f t="shared" si="82"/>
        <v>0</v>
      </c>
    </row>
    <row r="2286" spans="12:13" x14ac:dyDescent="0.25">
      <c r="L2286">
        <f t="shared" ref="L2286:L2349" si="83">+I2286+H2286</f>
        <v>0</v>
      </c>
      <c r="M2286">
        <f t="shared" si="82"/>
        <v>0</v>
      </c>
    </row>
    <row r="2287" spans="12:13" x14ac:dyDescent="0.25">
      <c r="L2287">
        <f t="shared" si="83"/>
        <v>0</v>
      </c>
      <c r="M2287">
        <f t="shared" si="82"/>
        <v>0</v>
      </c>
    </row>
    <row r="2288" spans="12:13" x14ac:dyDescent="0.25">
      <c r="L2288">
        <f t="shared" si="83"/>
        <v>0</v>
      </c>
      <c r="M2288">
        <f t="shared" si="82"/>
        <v>0</v>
      </c>
    </row>
    <row r="2289" spans="12:13" x14ac:dyDescent="0.25">
      <c r="L2289">
        <f t="shared" si="83"/>
        <v>0</v>
      </c>
      <c r="M2289">
        <f t="shared" si="82"/>
        <v>0</v>
      </c>
    </row>
    <row r="2290" spans="12:13" x14ac:dyDescent="0.25">
      <c r="L2290">
        <f t="shared" si="83"/>
        <v>0</v>
      </c>
      <c r="M2290">
        <f t="shared" si="82"/>
        <v>0</v>
      </c>
    </row>
    <row r="2291" spans="12:13" x14ac:dyDescent="0.25">
      <c r="L2291">
        <f t="shared" si="83"/>
        <v>0</v>
      </c>
      <c r="M2291">
        <f t="shared" si="82"/>
        <v>0</v>
      </c>
    </row>
    <row r="2292" spans="12:13" x14ac:dyDescent="0.25">
      <c r="L2292">
        <f t="shared" si="83"/>
        <v>0</v>
      </c>
      <c r="M2292">
        <f t="shared" si="82"/>
        <v>0</v>
      </c>
    </row>
    <row r="2293" spans="12:13" x14ac:dyDescent="0.25">
      <c r="L2293">
        <f t="shared" si="83"/>
        <v>0</v>
      </c>
      <c r="M2293">
        <f t="shared" si="82"/>
        <v>0</v>
      </c>
    </row>
    <row r="2294" spans="12:13" x14ac:dyDescent="0.25">
      <c r="L2294">
        <f t="shared" si="83"/>
        <v>0</v>
      </c>
      <c r="M2294">
        <f t="shared" si="82"/>
        <v>0</v>
      </c>
    </row>
    <row r="2295" spans="12:13" x14ac:dyDescent="0.25">
      <c r="L2295">
        <f t="shared" si="83"/>
        <v>0</v>
      </c>
      <c r="M2295">
        <f t="shared" si="82"/>
        <v>0</v>
      </c>
    </row>
    <row r="2296" spans="12:13" x14ac:dyDescent="0.25">
      <c r="L2296">
        <f t="shared" si="83"/>
        <v>0</v>
      </c>
      <c r="M2296">
        <f t="shared" si="82"/>
        <v>0</v>
      </c>
    </row>
    <row r="2297" spans="12:13" x14ac:dyDescent="0.25">
      <c r="L2297">
        <f t="shared" si="83"/>
        <v>0</v>
      </c>
      <c r="M2297">
        <f t="shared" si="82"/>
        <v>0</v>
      </c>
    </row>
    <row r="2298" spans="12:13" x14ac:dyDescent="0.25">
      <c r="L2298">
        <f t="shared" si="83"/>
        <v>0</v>
      </c>
      <c r="M2298">
        <f t="shared" si="82"/>
        <v>0</v>
      </c>
    </row>
    <row r="2299" spans="12:13" x14ac:dyDescent="0.25">
      <c r="L2299">
        <f t="shared" si="83"/>
        <v>0</v>
      </c>
      <c r="M2299">
        <f t="shared" si="82"/>
        <v>0</v>
      </c>
    </row>
    <row r="2300" spans="12:13" x14ac:dyDescent="0.25">
      <c r="L2300">
        <f t="shared" si="83"/>
        <v>0</v>
      </c>
      <c r="M2300">
        <f t="shared" si="82"/>
        <v>0</v>
      </c>
    </row>
    <row r="2301" spans="12:13" x14ac:dyDescent="0.25">
      <c r="L2301">
        <f t="shared" si="83"/>
        <v>0</v>
      </c>
      <c r="M2301">
        <f t="shared" si="82"/>
        <v>0</v>
      </c>
    </row>
    <row r="2302" spans="12:13" x14ac:dyDescent="0.25">
      <c r="L2302">
        <f t="shared" si="83"/>
        <v>0</v>
      </c>
      <c r="M2302">
        <f t="shared" si="82"/>
        <v>0</v>
      </c>
    </row>
    <row r="2303" spans="12:13" x14ac:dyDescent="0.25">
      <c r="L2303">
        <f t="shared" si="83"/>
        <v>0</v>
      </c>
      <c r="M2303">
        <f t="shared" ref="M2303:M2366" si="84">+I2303/IF(H2303 = 0,1,H2303)</f>
        <v>0</v>
      </c>
    </row>
    <row r="2304" spans="12:13" x14ac:dyDescent="0.25">
      <c r="L2304">
        <f t="shared" si="83"/>
        <v>0</v>
      </c>
      <c r="M2304">
        <f t="shared" si="84"/>
        <v>0</v>
      </c>
    </row>
    <row r="2305" spans="12:13" x14ac:dyDescent="0.25">
      <c r="L2305">
        <f t="shared" si="83"/>
        <v>0</v>
      </c>
      <c r="M2305">
        <f t="shared" si="84"/>
        <v>0</v>
      </c>
    </row>
    <row r="2306" spans="12:13" x14ac:dyDescent="0.25">
      <c r="L2306">
        <f t="shared" si="83"/>
        <v>0</v>
      </c>
      <c r="M2306">
        <f t="shared" si="84"/>
        <v>0</v>
      </c>
    </row>
    <row r="2307" spans="12:13" x14ac:dyDescent="0.25">
      <c r="L2307">
        <f t="shared" si="83"/>
        <v>0</v>
      </c>
      <c r="M2307">
        <f t="shared" si="84"/>
        <v>0</v>
      </c>
    </row>
    <row r="2308" spans="12:13" x14ac:dyDescent="0.25">
      <c r="L2308">
        <f t="shared" si="83"/>
        <v>0</v>
      </c>
      <c r="M2308">
        <f t="shared" si="84"/>
        <v>0</v>
      </c>
    </row>
    <row r="2309" spans="12:13" x14ac:dyDescent="0.25">
      <c r="L2309">
        <f t="shared" si="83"/>
        <v>0</v>
      </c>
      <c r="M2309">
        <f t="shared" si="84"/>
        <v>0</v>
      </c>
    </row>
    <row r="2310" spans="12:13" x14ac:dyDescent="0.25">
      <c r="L2310">
        <f t="shared" si="83"/>
        <v>0</v>
      </c>
      <c r="M2310">
        <f t="shared" si="84"/>
        <v>0</v>
      </c>
    </row>
    <row r="2311" spans="12:13" x14ac:dyDescent="0.25">
      <c r="L2311">
        <f t="shared" si="83"/>
        <v>0</v>
      </c>
      <c r="M2311">
        <f t="shared" si="84"/>
        <v>0</v>
      </c>
    </row>
    <row r="2312" spans="12:13" x14ac:dyDescent="0.25">
      <c r="L2312">
        <f t="shared" si="83"/>
        <v>0</v>
      </c>
      <c r="M2312">
        <f t="shared" si="84"/>
        <v>0</v>
      </c>
    </row>
    <row r="2313" spans="12:13" x14ac:dyDescent="0.25">
      <c r="L2313">
        <f t="shared" si="83"/>
        <v>0</v>
      </c>
      <c r="M2313">
        <f t="shared" si="84"/>
        <v>0</v>
      </c>
    </row>
    <row r="2314" spans="12:13" x14ac:dyDescent="0.25">
      <c r="L2314">
        <f t="shared" si="83"/>
        <v>0</v>
      </c>
      <c r="M2314">
        <f t="shared" si="84"/>
        <v>0</v>
      </c>
    </row>
    <row r="2315" spans="12:13" x14ac:dyDescent="0.25">
      <c r="L2315">
        <f t="shared" si="83"/>
        <v>0</v>
      </c>
      <c r="M2315">
        <f t="shared" si="84"/>
        <v>0</v>
      </c>
    </row>
    <row r="2316" spans="12:13" x14ac:dyDescent="0.25">
      <c r="L2316">
        <f t="shared" si="83"/>
        <v>0</v>
      </c>
      <c r="M2316">
        <f t="shared" si="84"/>
        <v>0</v>
      </c>
    </row>
    <row r="2317" spans="12:13" x14ac:dyDescent="0.25">
      <c r="L2317">
        <f t="shared" si="83"/>
        <v>0</v>
      </c>
      <c r="M2317">
        <f t="shared" si="84"/>
        <v>0</v>
      </c>
    </row>
    <row r="2318" spans="12:13" x14ac:dyDescent="0.25">
      <c r="L2318">
        <f t="shared" si="83"/>
        <v>0</v>
      </c>
      <c r="M2318">
        <f t="shared" si="84"/>
        <v>0</v>
      </c>
    </row>
    <row r="2319" spans="12:13" x14ac:dyDescent="0.25">
      <c r="L2319">
        <f t="shared" si="83"/>
        <v>0</v>
      </c>
      <c r="M2319">
        <f t="shared" si="84"/>
        <v>0</v>
      </c>
    </row>
    <row r="2320" spans="12:13" x14ac:dyDescent="0.25">
      <c r="L2320">
        <f t="shared" si="83"/>
        <v>0</v>
      </c>
      <c r="M2320">
        <f t="shared" si="84"/>
        <v>0</v>
      </c>
    </row>
    <row r="2321" spans="12:13" x14ac:dyDescent="0.25">
      <c r="L2321">
        <f t="shared" si="83"/>
        <v>0</v>
      </c>
      <c r="M2321">
        <f t="shared" si="84"/>
        <v>0</v>
      </c>
    </row>
    <row r="2322" spans="12:13" x14ac:dyDescent="0.25">
      <c r="L2322">
        <f t="shared" si="83"/>
        <v>0</v>
      </c>
      <c r="M2322">
        <f t="shared" si="84"/>
        <v>0</v>
      </c>
    </row>
    <row r="2323" spans="12:13" x14ac:dyDescent="0.25">
      <c r="L2323">
        <f t="shared" si="83"/>
        <v>0</v>
      </c>
      <c r="M2323">
        <f t="shared" si="84"/>
        <v>0</v>
      </c>
    </row>
    <row r="2324" spans="12:13" x14ac:dyDescent="0.25">
      <c r="L2324">
        <f t="shared" si="83"/>
        <v>0</v>
      </c>
      <c r="M2324">
        <f t="shared" si="84"/>
        <v>0</v>
      </c>
    </row>
    <row r="2325" spans="12:13" x14ac:dyDescent="0.25">
      <c r="L2325">
        <f t="shared" si="83"/>
        <v>0</v>
      </c>
      <c r="M2325">
        <f t="shared" si="84"/>
        <v>0</v>
      </c>
    </row>
    <row r="2326" spans="12:13" x14ac:dyDescent="0.25">
      <c r="L2326">
        <f t="shared" si="83"/>
        <v>0</v>
      </c>
      <c r="M2326">
        <f t="shared" si="84"/>
        <v>0</v>
      </c>
    </row>
    <row r="2327" spans="12:13" x14ac:dyDescent="0.25">
      <c r="L2327">
        <f t="shared" si="83"/>
        <v>0</v>
      </c>
      <c r="M2327">
        <f t="shared" si="84"/>
        <v>0</v>
      </c>
    </row>
    <row r="2328" spans="12:13" x14ac:dyDescent="0.25">
      <c r="L2328">
        <f t="shared" si="83"/>
        <v>0</v>
      </c>
      <c r="M2328">
        <f t="shared" si="84"/>
        <v>0</v>
      </c>
    </row>
    <row r="2329" spans="12:13" x14ac:dyDescent="0.25">
      <c r="L2329">
        <f t="shared" si="83"/>
        <v>0</v>
      </c>
      <c r="M2329">
        <f t="shared" si="84"/>
        <v>0</v>
      </c>
    </row>
    <row r="2330" spans="12:13" x14ac:dyDescent="0.25">
      <c r="L2330">
        <f t="shared" si="83"/>
        <v>0</v>
      </c>
      <c r="M2330">
        <f t="shared" si="84"/>
        <v>0</v>
      </c>
    </row>
    <row r="2331" spans="12:13" x14ac:dyDescent="0.25">
      <c r="L2331">
        <f t="shared" si="83"/>
        <v>0</v>
      </c>
      <c r="M2331">
        <f t="shared" si="84"/>
        <v>0</v>
      </c>
    </row>
    <row r="2332" spans="12:13" x14ac:dyDescent="0.25">
      <c r="L2332">
        <f t="shared" si="83"/>
        <v>0</v>
      </c>
      <c r="M2332">
        <f t="shared" si="84"/>
        <v>0</v>
      </c>
    </row>
    <row r="2333" spans="12:13" x14ac:dyDescent="0.25">
      <c r="L2333">
        <f t="shared" si="83"/>
        <v>0</v>
      </c>
      <c r="M2333">
        <f t="shared" si="84"/>
        <v>0</v>
      </c>
    </row>
    <row r="2334" spans="12:13" x14ac:dyDescent="0.25">
      <c r="L2334">
        <f t="shared" si="83"/>
        <v>0</v>
      </c>
      <c r="M2334">
        <f t="shared" si="84"/>
        <v>0</v>
      </c>
    </row>
    <row r="2335" spans="12:13" x14ac:dyDescent="0.25">
      <c r="L2335">
        <f t="shared" si="83"/>
        <v>0</v>
      </c>
      <c r="M2335">
        <f t="shared" si="84"/>
        <v>0</v>
      </c>
    </row>
    <row r="2336" spans="12:13" x14ac:dyDescent="0.25">
      <c r="L2336">
        <f t="shared" si="83"/>
        <v>0</v>
      </c>
      <c r="M2336">
        <f t="shared" si="84"/>
        <v>0</v>
      </c>
    </row>
    <row r="2337" spans="12:13" x14ac:dyDescent="0.25">
      <c r="L2337">
        <f t="shared" si="83"/>
        <v>0</v>
      </c>
      <c r="M2337">
        <f t="shared" si="84"/>
        <v>0</v>
      </c>
    </row>
    <row r="2338" spans="12:13" x14ac:dyDescent="0.25">
      <c r="L2338">
        <f t="shared" si="83"/>
        <v>0</v>
      </c>
      <c r="M2338">
        <f t="shared" si="84"/>
        <v>0</v>
      </c>
    </row>
    <row r="2339" spans="12:13" x14ac:dyDescent="0.25">
      <c r="L2339">
        <f t="shared" si="83"/>
        <v>0</v>
      </c>
      <c r="M2339">
        <f t="shared" si="84"/>
        <v>0</v>
      </c>
    </row>
    <row r="2340" spans="12:13" x14ac:dyDescent="0.25">
      <c r="L2340">
        <f t="shared" si="83"/>
        <v>0</v>
      </c>
      <c r="M2340">
        <f t="shared" si="84"/>
        <v>0</v>
      </c>
    </row>
    <row r="2341" spans="12:13" x14ac:dyDescent="0.25">
      <c r="L2341">
        <f t="shared" si="83"/>
        <v>0</v>
      </c>
      <c r="M2341">
        <f t="shared" si="84"/>
        <v>0</v>
      </c>
    </row>
    <row r="2342" spans="12:13" x14ac:dyDescent="0.25">
      <c r="L2342">
        <f t="shared" si="83"/>
        <v>0</v>
      </c>
      <c r="M2342">
        <f t="shared" si="84"/>
        <v>0</v>
      </c>
    </row>
    <row r="2343" spans="12:13" x14ac:dyDescent="0.25">
      <c r="L2343">
        <f t="shared" si="83"/>
        <v>0</v>
      </c>
      <c r="M2343">
        <f t="shared" si="84"/>
        <v>0</v>
      </c>
    </row>
    <row r="2344" spans="12:13" x14ac:dyDescent="0.25">
      <c r="L2344">
        <f t="shared" si="83"/>
        <v>0</v>
      </c>
      <c r="M2344">
        <f t="shared" si="84"/>
        <v>0</v>
      </c>
    </row>
    <row r="2345" spans="12:13" x14ac:dyDescent="0.25">
      <c r="L2345">
        <f t="shared" si="83"/>
        <v>0</v>
      </c>
      <c r="M2345">
        <f t="shared" si="84"/>
        <v>0</v>
      </c>
    </row>
    <row r="2346" spans="12:13" x14ac:dyDescent="0.25">
      <c r="L2346">
        <f t="shared" si="83"/>
        <v>0</v>
      </c>
      <c r="M2346">
        <f t="shared" si="84"/>
        <v>0</v>
      </c>
    </row>
    <row r="2347" spans="12:13" x14ac:dyDescent="0.25">
      <c r="L2347">
        <f t="shared" si="83"/>
        <v>0</v>
      </c>
      <c r="M2347">
        <f t="shared" si="84"/>
        <v>0</v>
      </c>
    </row>
    <row r="2348" spans="12:13" x14ac:dyDescent="0.25">
      <c r="L2348">
        <f t="shared" si="83"/>
        <v>0</v>
      </c>
      <c r="M2348">
        <f t="shared" si="84"/>
        <v>0</v>
      </c>
    </row>
    <row r="2349" spans="12:13" x14ac:dyDescent="0.25">
      <c r="L2349">
        <f t="shared" si="83"/>
        <v>0</v>
      </c>
      <c r="M2349">
        <f t="shared" si="84"/>
        <v>0</v>
      </c>
    </row>
    <row r="2350" spans="12:13" x14ac:dyDescent="0.25">
      <c r="L2350">
        <f t="shared" ref="L2350:L2413" si="85">+I2350+H2350</f>
        <v>0</v>
      </c>
      <c r="M2350">
        <f t="shared" si="84"/>
        <v>0</v>
      </c>
    </row>
    <row r="2351" spans="12:13" x14ac:dyDescent="0.25">
      <c r="L2351">
        <f t="shared" si="85"/>
        <v>0</v>
      </c>
      <c r="M2351">
        <f t="shared" si="84"/>
        <v>0</v>
      </c>
    </row>
    <row r="2352" spans="12:13" x14ac:dyDescent="0.25">
      <c r="L2352">
        <f t="shared" si="85"/>
        <v>0</v>
      </c>
      <c r="M2352">
        <f t="shared" si="84"/>
        <v>0</v>
      </c>
    </row>
    <row r="2353" spans="12:13" x14ac:dyDescent="0.25">
      <c r="L2353">
        <f t="shared" si="85"/>
        <v>0</v>
      </c>
      <c r="M2353">
        <f t="shared" si="84"/>
        <v>0</v>
      </c>
    </row>
    <row r="2354" spans="12:13" x14ac:dyDescent="0.25">
      <c r="L2354">
        <f t="shared" si="85"/>
        <v>0</v>
      </c>
      <c r="M2354">
        <f t="shared" si="84"/>
        <v>0</v>
      </c>
    </row>
    <row r="2355" spans="12:13" x14ac:dyDescent="0.25">
      <c r="L2355">
        <f t="shared" si="85"/>
        <v>0</v>
      </c>
      <c r="M2355">
        <f t="shared" si="84"/>
        <v>0</v>
      </c>
    </row>
    <row r="2356" spans="12:13" x14ac:dyDescent="0.25">
      <c r="L2356">
        <f t="shared" si="85"/>
        <v>0</v>
      </c>
      <c r="M2356">
        <f t="shared" si="84"/>
        <v>0</v>
      </c>
    </row>
    <row r="2357" spans="12:13" x14ac:dyDescent="0.25">
      <c r="L2357">
        <f t="shared" si="85"/>
        <v>0</v>
      </c>
      <c r="M2357">
        <f t="shared" si="84"/>
        <v>0</v>
      </c>
    </row>
    <row r="2358" spans="12:13" x14ac:dyDescent="0.25">
      <c r="L2358">
        <f t="shared" si="85"/>
        <v>0</v>
      </c>
      <c r="M2358">
        <f t="shared" si="84"/>
        <v>0</v>
      </c>
    </row>
    <row r="2359" spans="12:13" x14ac:dyDescent="0.25">
      <c r="L2359">
        <f t="shared" si="85"/>
        <v>0</v>
      </c>
      <c r="M2359">
        <f t="shared" si="84"/>
        <v>0</v>
      </c>
    </row>
    <row r="2360" spans="12:13" x14ac:dyDescent="0.25">
      <c r="L2360">
        <f t="shared" si="85"/>
        <v>0</v>
      </c>
      <c r="M2360">
        <f t="shared" si="84"/>
        <v>0</v>
      </c>
    </row>
    <row r="2361" spans="12:13" x14ac:dyDescent="0.25">
      <c r="L2361">
        <f t="shared" si="85"/>
        <v>0</v>
      </c>
      <c r="M2361">
        <f t="shared" si="84"/>
        <v>0</v>
      </c>
    </row>
    <row r="2362" spans="12:13" x14ac:dyDescent="0.25">
      <c r="L2362">
        <f t="shared" si="85"/>
        <v>0</v>
      </c>
      <c r="M2362">
        <f t="shared" si="84"/>
        <v>0</v>
      </c>
    </row>
    <row r="2363" spans="12:13" x14ac:dyDescent="0.25">
      <c r="L2363">
        <f t="shared" si="85"/>
        <v>0</v>
      </c>
      <c r="M2363">
        <f t="shared" si="84"/>
        <v>0</v>
      </c>
    </row>
    <row r="2364" spans="12:13" x14ac:dyDescent="0.25">
      <c r="L2364">
        <f t="shared" si="85"/>
        <v>0</v>
      </c>
      <c r="M2364">
        <f t="shared" si="84"/>
        <v>0</v>
      </c>
    </row>
    <row r="2365" spans="12:13" x14ac:dyDescent="0.25">
      <c r="L2365">
        <f t="shared" si="85"/>
        <v>0</v>
      </c>
      <c r="M2365">
        <f t="shared" si="84"/>
        <v>0</v>
      </c>
    </row>
    <row r="2366" spans="12:13" x14ac:dyDescent="0.25">
      <c r="L2366">
        <f t="shared" si="85"/>
        <v>0</v>
      </c>
      <c r="M2366">
        <f t="shared" si="84"/>
        <v>0</v>
      </c>
    </row>
    <row r="2367" spans="12:13" x14ac:dyDescent="0.25">
      <c r="L2367">
        <f t="shared" si="85"/>
        <v>0</v>
      </c>
      <c r="M2367">
        <f t="shared" ref="M2367:M2430" si="86">+I2367/IF(H2367 = 0,1,H2367)</f>
        <v>0</v>
      </c>
    </row>
    <row r="2368" spans="12:13" x14ac:dyDescent="0.25">
      <c r="L2368">
        <f t="shared" si="85"/>
        <v>0</v>
      </c>
      <c r="M2368">
        <f t="shared" si="86"/>
        <v>0</v>
      </c>
    </row>
    <row r="2369" spans="12:13" x14ac:dyDescent="0.25">
      <c r="L2369">
        <f t="shared" si="85"/>
        <v>0</v>
      </c>
      <c r="M2369">
        <f t="shared" si="86"/>
        <v>0</v>
      </c>
    </row>
    <row r="2370" spans="12:13" x14ac:dyDescent="0.25">
      <c r="L2370">
        <f t="shared" si="85"/>
        <v>0</v>
      </c>
      <c r="M2370">
        <f t="shared" si="86"/>
        <v>0</v>
      </c>
    </row>
    <row r="2371" spans="12:13" x14ac:dyDescent="0.25">
      <c r="L2371">
        <f t="shared" si="85"/>
        <v>0</v>
      </c>
      <c r="M2371">
        <f t="shared" si="86"/>
        <v>0</v>
      </c>
    </row>
    <row r="2372" spans="12:13" x14ac:dyDescent="0.25">
      <c r="L2372">
        <f t="shared" si="85"/>
        <v>0</v>
      </c>
      <c r="M2372">
        <f t="shared" si="86"/>
        <v>0</v>
      </c>
    </row>
    <row r="2373" spans="12:13" x14ac:dyDescent="0.25">
      <c r="L2373">
        <f t="shared" si="85"/>
        <v>0</v>
      </c>
      <c r="M2373">
        <f t="shared" si="86"/>
        <v>0</v>
      </c>
    </row>
    <row r="2374" spans="12:13" x14ac:dyDescent="0.25">
      <c r="L2374">
        <f t="shared" si="85"/>
        <v>0</v>
      </c>
      <c r="M2374">
        <f t="shared" si="86"/>
        <v>0</v>
      </c>
    </row>
    <row r="2375" spans="12:13" x14ac:dyDescent="0.25">
      <c r="L2375">
        <f t="shared" si="85"/>
        <v>0</v>
      </c>
      <c r="M2375">
        <f t="shared" si="86"/>
        <v>0</v>
      </c>
    </row>
    <row r="2376" spans="12:13" x14ac:dyDescent="0.25">
      <c r="L2376">
        <f t="shared" si="85"/>
        <v>0</v>
      </c>
      <c r="M2376">
        <f t="shared" si="86"/>
        <v>0</v>
      </c>
    </row>
    <row r="2377" spans="12:13" x14ac:dyDescent="0.25">
      <c r="L2377">
        <f t="shared" si="85"/>
        <v>0</v>
      </c>
      <c r="M2377">
        <f t="shared" si="86"/>
        <v>0</v>
      </c>
    </row>
    <row r="2378" spans="12:13" x14ac:dyDescent="0.25">
      <c r="L2378">
        <f t="shared" si="85"/>
        <v>0</v>
      </c>
      <c r="M2378">
        <f t="shared" si="86"/>
        <v>0</v>
      </c>
    </row>
    <row r="2379" spans="12:13" x14ac:dyDescent="0.25">
      <c r="L2379">
        <f t="shared" si="85"/>
        <v>0</v>
      </c>
      <c r="M2379">
        <f t="shared" si="86"/>
        <v>0</v>
      </c>
    </row>
    <row r="2380" spans="12:13" x14ac:dyDescent="0.25">
      <c r="L2380">
        <f t="shared" si="85"/>
        <v>0</v>
      </c>
      <c r="M2380">
        <f t="shared" si="86"/>
        <v>0</v>
      </c>
    </row>
    <row r="2381" spans="12:13" x14ac:dyDescent="0.25">
      <c r="L2381">
        <f t="shared" si="85"/>
        <v>0</v>
      </c>
      <c r="M2381">
        <f t="shared" si="86"/>
        <v>0</v>
      </c>
    </row>
    <row r="2382" spans="12:13" x14ac:dyDescent="0.25">
      <c r="L2382">
        <f t="shared" si="85"/>
        <v>0</v>
      </c>
      <c r="M2382">
        <f t="shared" si="86"/>
        <v>0</v>
      </c>
    </row>
    <row r="2383" spans="12:13" x14ac:dyDescent="0.25">
      <c r="L2383">
        <f t="shared" si="85"/>
        <v>0</v>
      </c>
      <c r="M2383">
        <f t="shared" si="86"/>
        <v>0</v>
      </c>
    </row>
    <row r="2384" spans="12:13" x14ac:dyDescent="0.25">
      <c r="L2384">
        <f t="shared" si="85"/>
        <v>0</v>
      </c>
      <c r="M2384">
        <f t="shared" si="86"/>
        <v>0</v>
      </c>
    </row>
    <row r="2385" spans="12:13" x14ac:dyDescent="0.25">
      <c r="L2385">
        <f t="shared" si="85"/>
        <v>0</v>
      </c>
      <c r="M2385">
        <f t="shared" si="86"/>
        <v>0</v>
      </c>
    </row>
    <row r="2386" spans="12:13" x14ac:dyDescent="0.25">
      <c r="L2386">
        <f t="shared" si="85"/>
        <v>0</v>
      </c>
      <c r="M2386">
        <f t="shared" si="86"/>
        <v>0</v>
      </c>
    </row>
    <row r="2387" spans="12:13" x14ac:dyDescent="0.25">
      <c r="L2387">
        <f t="shared" si="85"/>
        <v>0</v>
      </c>
      <c r="M2387">
        <f t="shared" si="86"/>
        <v>0</v>
      </c>
    </row>
    <row r="2388" spans="12:13" x14ac:dyDescent="0.25">
      <c r="L2388">
        <f t="shared" si="85"/>
        <v>0</v>
      </c>
      <c r="M2388">
        <f t="shared" si="86"/>
        <v>0</v>
      </c>
    </row>
    <row r="2389" spans="12:13" x14ac:dyDescent="0.25">
      <c r="L2389">
        <f t="shared" si="85"/>
        <v>0</v>
      </c>
      <c r="M2389">
        <f t="shared" si="86"/>
        <v>0</v>
      </c>
    </row>
    <row r="2390" spans="12:13" x14ac:dyDescent="0.25">
      <c r="L2390">
        <f t="shared" si="85"/>
        <v>0</v>
      </c>
      <c r="M2390">
        <f t="shared" si="86"/>
        <v>0</v>
      </c>
    </row>
    <row r="2391" spans="12:13" x14ac:dyDescent="0.25">
      <c r="L2391">
        <f t="shared" si="85"/>
        <v>0</v>
      </c>
      <c r="M2391">
        <f t="shared" si="86"/>
        <v>0</v>
      </c>
    </row>
    <row r="2392" spans="12:13" x14ac:dyDescent="0.25">
      <c r="L2392">
        <f t="shared" si="85"/>
        <v>0</v>
      </c>
      <c r="M2392">
        <f t="shared" si="86"/>
        <v>0</v>
      </c>
    </row>
    <row r="2393" spans="12:13" x14ac:dyDescent="0.25">
      <c r="L2393">
        <f t="shared" si="85"/>
        <v>0</v>
      </c>
      <c r="M2393">
        <f t="shared" si="86"/>
        <v>0</v>
      </c>
    </row>
    <row r="2394" spans="12:13" x14ac:dyDescent="0.25">
      <c r="L2394">
        <f t="shared" si="85"/>
        <v>0</v>
      </c>
      <c r="M2394">
        <f t="shared" si="86"/>
        <v>0</v>
      </c>
    </row>
    <row r="2395" spans="12:13" x14ac:dyDescent="0.25">
      <c r="L2395">
        <f t="shared" si="85"/>
        <v>0</v>
      </c>
      <c r="M2395">
        <f t="shared" si="86"/>
        <v>0</v>
      </c>
    </row>
    <row r="2396" spans="12:13" x14ac:dyDescent="0.25">
      <c r="L2396">
        <f t="shared" si="85"/>
        <v>0</v>
      </c>
      <c r="M2396">
        <f t="shared" si="86"/>
        <v>0</v>
      </c>
    </row>
    <row r="2397" spans="12:13" x14ac:dyDescent="0.25">
      <c r="L2397">
        <f t="shared" si="85"/>
        <v>0</v>
      </c>
      <c r="M2397">
        <f t="shared" si="86"/>
        <v>0</v>
      </c>
    </row>
    <row r="2398" spans="12:13" x14ac:dyDescent="0.25">
      <c r="L2398">
        <f t="shared" si="85"/>
        <v>0</v>
      </c>
      <c r="M2398">
        <f t="shared" si="86"/>
        <v>0</v>
      </c>
    </row>
    <row r="2399" spans="12:13" x14ac:dyDescent="0.25">
      <c r="L2399">
        <f t="shared" si="85"/>
        <v>0</v>
      </c>
      <c r="M2399">
        <f t="shared" si="86"/>
        <v>0</v>
      </c>
    </row>
    <row r="2400" spans="12:13" x14ac:dyDescent="0.25">
      <c r="L2400">
        <f t="shared" si="85"/>
        <v>0</v>
      </c>
      <c r="M2400">
        <f t="shared" si="86"/>
        <v>0</v>
      </c>
    </row>
    <row r="2401" spans="12:13" x14ac:dyDescent="0.25">
      <c r="L2401">
        <f t="shared" si="85"/>
        <v>0</v>
      </c>
      <c r="M2401">
        <f t="shared" si="86"/>
        <v>0</v>
      </c>
    </row>
    <row r="2402" spans="12:13" x14ac:dyDescent="0.25">
      <c r="L2402">
        <f t="shared" si="85"/>
        <v>0</v>
      </c>
      <c r="M2402">
        <f t="shared" si="86"/>
        <v>0</v>
      </c>
    </row>
    <row r="2403" spans="12:13" x14ac:dyDescent="0.25">
      <c r="L2403">
        <f t="shared" si="85"/>
        <v>0</v>
      </c>
      <c r="M2403">
        <f t="shared" si="86"/>
        <v>0</v>
      </c>
    </row>
    <row r="2404" spans="12:13" x14ac:dyDescent="0.25">
      <c r="L2404">
        <f t="shared" si="85"/>
        <v>0</v>
      </c>
      <c r="M2404">
        <f t="shared" si="86"/>
        <v>0</v>
      </c>
    </row>
    <row r="2405" spans="12:13" x14ac:dyDescent="0.25">
      <c r="L2405">
        <f t="shared" si="85"/>
        <v>0</v>
      </c>
      <c r="M2405">
        <f t="shared" si="86"/>
        <v>0</v>
      </c>
    </row>
    <row r="2406" spans="12:13" x14ac:dyDescent="0.25">
      <c r="L2406">
        <f t="shared" si="85"/>
        <v>0</v>
      </c>
      <c r="M2406">
        <f t="shared" si="86"/>
        <v>0</v>
      </c>
    </row>
    <row r="2407" spans="12:13" x14ac:dyDescent="0.25">
      <c r="L2407">
        <f t="shared" si="85"/>
        <v>0</v>
      </c>
      <c r="M2407">
        <f t="shared" si="86"/>
        <v>0</v>
      </c>
    </row>
    <row r="2408" spans="12:13" x14ac:dyDescent="0.25">
      <c r="L2408">
        <f t="shared" si="85"/>
        <v>0</v>
      </c>
      <c r="M2408">
        <f t="shared" si="86"/>
        <v>0</v>
      </c>
    </row>
    <row r="2409" spans="12:13" x14ac:dyDescent="0.25">
      <c r="L2409">
        <f t="shared" si="85"/>
        <v>0</v>
      </c>
      <c r="M2409">
        <f t="shared" si="86"/>
        <v>0</v>
      </c>
    </row>
    <row r="2410" spans="12:13" x14ac:dyDescent="0.25">
      <c r="L2410">
        <f t="shared" si="85"/>
        <v>0</v>
      </c>
      <c r="M2410">
        <f t="shared" si="86"/>
        <v>0</v>
      </c>
    </row>
    <row r="2411" spans="12:13" x14ac:dyDescent="0.25">
      <c r="L2411">
        <f t="shared" si="85"/>
        <v>0</v>
      </c>
      <c r="M2411">
        <f t="shared" si="86"/>
        <v>0</v>
      </c>
    </row>
    <row r="2412" spans="12:13" x14ac:dyDescent="0.25">
      <c r="L2412">
        <f t="shared" si="85"/>
        <v>0</v>
      </c>
      <c r="M2412">
        <f t="shared" si="86"/>
        <v>0</v>
      </c>
    </row>
    <row r="2413" spans="12:13" x14ac:dyDescent="0.25">
      <c r="L2413">
        <f t="shared" si="85"/>
        <v>0</v>
      </c>
      <c r="M2413">
        <f t="shared" si="86"/>
        <v>0</v>
      </c>
    </row>
    <row r="2414" spans="12:13" x14ac:dyDescent="0.25">
      <c r="L2414">
        <f t="shared" ref="L2414:L2477" si="87">+I2414+H2414</f>
        <v>0</v>
      </c>
      <c r="M2414">
        <f t="shared" si="86"/>
        <v>0</v>
      </c>
    </row>
    <row r="2415" spans="12:13" x14ac:dyDescent="0.25">
      <c r="L2415">
        <f t="shared" si="87"/>
        <v>0</v>
      </c>
      <c r="M2415">
        <f t="shared" si="86"/>
        <v>0</v>
      </c>
    </row>
    <row r="2416" spans="12:13" x14ac:dyDescent="0.25">
      <c r="L2416">
        <f t="shared" si="87"/>
        <v>0</v>
      </c>
      <c r="M2416">
        <f t="shared" si="86"/>
        <v>0</v>
      </c>
    </row>
    <row r="2417" spans="12:13" x14ac:dyDescent="0.25">
      <c r="L2417">
        <f t="shared" si="87"/>
        <v>0</v>
      </c>
      <c r="M2417">
        <f t="shared" si="86"/>
        <v>0</v>
      </c>
    </row>
    <row r="2418" spans="12:13" x14ac:dyDescent="0.25">
      <c r="L2418">
        <f t="shared" si="87"/>
        <v>0</v>
      </c>
      <c r="M2418">
        <f t="shared" si="86"/>
        <v>0</v>
      </c>
    </row>
    <row r="2419" spans="12:13" x14ac:dyDescent="0.25">
      <c r="L2419">
        <f t="shared" si="87"/>
        <v>0</v>
      </c>
      <c r="M2419">
        <f t="shared" si="86"/>
        <v>0</v>
      </c>
    </row>
    <row r="2420" spans="12:13" x14ac:dyDescent="0.25">
      <c r="L2420">
        <f t="shared" si="87"/>
        <v>0</v>
      </c>
      <c r="M2420">
        <f t="shared" si="86"/>
        <v>0</v>
      </c>
    </row>
    <row r="2421" spans="12:13" x14ac:dyDescent="0.25">
      <c r="L2421">
        <f t="shared" si="87"/>
        <v>0</v>
      </c>
      <c r="M2421">
        <f t="shared" si="86"/>
        <v>0</v>
      </c>
    </row>
    <row r="2422" spans="12:13" x14ac:dyDescent="0.25">
      <c r="L2422">
        <f t="shared" si="87"/>
        <v>0</v>
      </c>
      <c r="M2422">
        <f t="shared" si="86"/>
        <v>0</v>
      </c>
    </row>
    <row r="2423" spans="12:13" x14ac:dyDescent="0.25">
      <c r="L2423">
        <f t="shared" si="87"/>
        <v>0</v>
      </c>
      <c r="M2423">
        <f t="shared" si="86"/>
        <v>0</v>
      </c>
    </row>
    <row r="2424" spans="12:13" x14ac:dyDescent="0.25">
      <c r="L2424">
        <f t="shared" si="87"/>
        <v>0</v>
      </c>
      <c r="M2424">
        <f t="shared" si="86"/>
        <v>0</v>
      </c>
    </row>
    <row r="2425" spans="12:13" x14ac:dyDescent="0.25">
      <c r="L2425">
        <f t="shared" si="87"/>
        <v>0</v>
      </c>
      <c r="M2425">
        <f t="shared" si="86"/>
        <v>0</v>
      </c>
    </row>
    <row r="2426" spans="12:13" x14ac:dyDescent="0.25">
      <c r="L2426">
        <f t="shared" si="87"/>
        <v>0</v>
      </c>
      <c r="M2426">
        <f t="shared" si="86"/>
        <v>0</v>
      </c>
    </row>
    <row r="2427" spans="12:13" x14ac:dyDescent="0.25">
      <c r="L2427">
        <f t="shared" si="87"/>
        <v>0</v>
      </c>
      <c r="M2427">
        <f t="shared" si="86"/>
        <v>0</v>
      </c>
    </row>
    <row r="2428" spans="12:13" x14ac:dyDescent="0.25">
      <c r="L2428">
        <f t="shared" si="87"/>
        <v>0</v>
      </c>
      <c r="M2428">
        <f t="shared" si="86"/>
        <v>0</v>
      </c>
    </row>
    <row r="2429" spans="12:13" x14ac:dyDescent="0.25">
      <c r="L2429">
        <f t="shared" si="87"/>
        <v>0</v>
      </c>
      <c r="M2429">
        <f t="shared" si="86"/>
        <v>0</v>
      </c>
    </row>
    <row r="2430" spans="12:13" x14ac:dyDescent="0.25">
      <c r="L2430">
        <f t="shared" si="87"/>
        <v>0</v>
      </c>
      <c r="M2430">
        <f t="shared" si="86"/>
        <v>0</v>
      </c>
    </row>
    <row r="2431" spans="12:13" x14ac:dyDescent="0.25">
      <c r="L2431">
        <f t="shared" si="87"/>
        <v>0</v>
      </c>
      <c r="M2431">
        <f t="shared" ref="M2431:M2494" si="88">+I2431/IF(H2431 = 0,1,H2431)</f>
        <v>0</v>
      </c>
    </row>
    <row r="2432" spans="12:13" x14ac:dyDescent="0.25">
      <c r="L2432">
        <f t="shared" si="87"/>
        <v>0</v>
      </c>
      <c r="M2432">
        <f t="shared" si="88"/>
        <v>0</v>
      </c>
    </row>
    <row r="2433" spans="12:13" x14ac:dyDescent="0.25">
      <c r="L2433">
        <f t="shared" si="87"/>
        <v>0</v>
      </c>
      <c r="M2433">
        <f t="shared" si="88"/>
        <v>0</v>
      </c>
    </row>
    <row r="2434" spans="12:13" x14ac:dyDescent="0.25">
      <c r="L2434">
        <f t="shared" si="87"/>
        <v>0</v>
      </c>
      <c r="M2434">
        <f t="shared" si="88"/>
        <v>0</v>
      </c>
    </row>
    <row r="2435" spans="12:13" x14ac:dyDescent="0.25">
      <c r="L2435">
        <f t="shared" si="87"/>
        <v>0</v>
      </c>
      <c r="M2435">
        <f t="shared" si="88"/>
        <v>0</v>
      </c>
    </row>
    <row r="2436" spans="12:13" x14ac:dyDescent="0.25">
      <c r="L2436">
        <f t="shared" si="87"/>
        <v>0</v>
      </c>
      <c r="M2436">
        <f t="shared" si="88"/>
        <v>0</v>
      </c>
    </row>
    <row r="2437" spans="12:13" x14ac:dyDescent="0.25">
      <c r="L2437">
        <f t="shared" si="87"/>
        <v>0</v>
      </c>
      <c r="M2437">
        <f t="shared" si="88"/>
        <v>0</v>
      </c>
    </row>
    <row r="2438" spans="12:13" x14ac:dyDescent="0.25">
      <c r="L2438">
        <f t="shared" si="87"/>
        <v>0</v>
      </c>
      <c r="M2438">
        <f t="shared" si="88"/>
        <v>0</v>
      </c>
    </row>
    <row r="2439" spans="12:13" x14ac:dyDescent="0.25">
      <c r="L2439">
        <f t="shared" si="87"/>
        <v>0</v>
      </c>
      <c r="M2439">
        <f t="shared" si="88"/>
        <v>0</v>
      </c>
    </row>
    <row r="2440" spans="12:13" x14ac:dyDescent="0.25">
      <c r="L2440">
        <f t="shared" si="87"/>
        <v>0</v>
      </c>
      <c r="M2440">
        <f t="shared" si="88"/>
        <v>0</v>
      </c>
    </row>
    <row r="2441" spans="12:13" x14ac:dyDescent="0.25">
      <c r="L2441">
        <f t="shared" si="87"/>
        <v>0</v>
      </c>
      <c r="M2441">
        <f t="shared" si="88"/>
        <v>0</v>
      </c>
    </row>
    <row r="2442" spans="12:13" x14ac:dyDescent="0.25">
      <c r="L2442">
        <f t="shared" si="87"/>
        <v>0</v>
      </c>
      <c r="M2442">
        <f t="shared" si="88"/>
        <v>0</v>
      </c>
    </row>
    <row r="2443" spans="12:13" x14ac:dyDescent="0.25">
      <c r="L2443">
        <f t="shared" si="87"/>
        <v>0</v>
      </c>
      <c r="M2443">
        <f t="shared" si="88"/>
        <v>0</v>
      </c>
    </row>
    <row r="2444" spans="12:13" x14ac:dyDescent="0.25">
      <c r="L2444">
        <f t="shared" si="87"/>
        <v>0</v>
      </c>
      <c r="M2444">
        <f t="shared" si="88"/>
        <v>0</v>
      </c>
    </row>
    <row r="2445" spans="12:13" x14ac:dyDescent="0.25">
      <c r="L2445">
        <f t="shared" si="87"/>
        <v>0</v>
      </c>
      <c r="M2445">
        <f t="shared" si="88"/>
        <v>0</v>
      </c>
    </row>
    <row r="2446" spans="12:13" x14ac:dyDescent="0.25">
      <c r="L2446">
        <f t="shared" si="87"/>
        <v>0</v>
      </c>
      <c r="M2446">
        <f t="shared" si="88"/>
        <v>0</v>
      </c>
    </row>
    <row r="2447" spans="12:13" x14ac:dyDescent="0.25">
      <c r="L2447">
        <f t="shared" si="87"/>
        <v>0</v>
      </c>
      <c r="M2447">
        <f t="shared" si="88"/>
        <v>0</v>
      </c>
    </row>
    <row r="2448" spans="12:13" x14ac:dyDescent="0.25">
      <c r="L2448">
        <f t="shared" si="87"/>
        <v>0</v>
      </c>
      <c r="M2448">
        <f t="shared" si="88"/>
        <v>0</v>
      </c>
    </row>
    <row r="2449" spans="12:13" x14ac:dyDescent="0.25">
      <c r="L2449">
        <f t="shared" si="87"/>
        <v>0</v>
      </c>
      <c r="M2449">
        <f t="shared" si="88"/>
        <v>0</v>
      </c>
    </row>
    <row r="2450" spans="12:13" x14ac:dyDescent="0.25">
      <c r="L2450">
        <f t="shared" si="87"/>
        <v>0</v>
      </c>
      <c r="M2450">
        <f t="shared" si="88"/>
        <v>0</v>
      </c>
    </row>
    <row r="2451" spans="12:13" x14ac:dyDescent="0.25">
      <c r="L2451">
        <f t="shared" si="87"/>
        <v>0</v>
      </c>
      <c r="M2451">
        <f t="shared" si="88"/>
        <v>0</v>
      </c>
    </row>
    <row r="2452" spans="12:13" x14ac:dyDescent="0.25">
      <c r="L2452">
        <f t="shared" si="87"/>
        <v>0</v>
      </c>
      <c r="M2452">
        <f t="shared" si="88"/>
        <v>0</v>
      </c>
    </row>
    <row r="2453" spans="12:13" x14ac:dyDescent="0.25">
      <c r="L2453">
        <f t="shared" si="87"/>
        <v>0</v>
      </c>
      <c r="M2453">
        <f t="shared" si="88"/>
        <v>0</v>
      </c>
    </row>
    <row r="2454" spans="12:13" x14ac:dyDescent="0.25">
      <c r="L2454">
        <f t="shared" si="87"/>
        <v>0</v>
      </c>
      <c r="M2454">
        <f t="shared" si="88"/>
        <v>0</v>
      </c>
    </row>
    <row r="2455" spans="12:13" x14ac:dyDescent="0.25">
      <c r="L2455">
        <f t="shared" si="87"/>
        <v>0</v>
      </c>
      <c r="M2455">
        <f t="shared" si="88"/>
        <v>0</v>
      </c>
    </row>
    <row r="2456" spans="12:13" x14ac:dyDescent="0.25">
      <c r="L2456">
        <f t="shared" si="87"/>
        <v>0</v>
      </c>
      <c r="M2456">
        <f t="shared" si="88"/>
        <v>0</v>
      </c>
    </row>
    <row r="2457" spans="12:13" x14ac:dyDescent="0.25">
      <c r="L2457">
        <f t="shared" si="87"/>
        <v>0</v>
      </c>
      <c r="M2457">
        <f t="shared" si="88"/>
        <v>0</v>
      </c>
    </row>
    <row r="2458" spans="12:13" x14ac:dyDescent="0.25">
      <c r="L2458">
        <f t="shared" si="87"/>
        <v>0</v>
      </c>
      <c r="M2458">
        <f t="shared" si="88"/>
        <v>0</v>
      </c>
    </row>
    <row r="2459" spans="12:13" x14ac:dyDescent="0.25">
      <c r="L2459">
        <f t="shared" si="87"/>
        <v>0</v>
      </c>
      <c r="M2459">
        <f t="shared" si="88"/>
        <v>0</v>
      </c>
    </row>
    <row r="2460" spans="12:13" x14ac:dyDescent="0.25">
      <c r="L2460">
        <f t="shared" si="87"/>
        <v>0</v>
      </c>
      <c r="M2460">
        <f t="shared" si="88"/>
        <v>0</v>
      </c>
    </row>
    <row r="2461" spans="12:13" x14ac:dyDescent="0.25">
      <c r="L2461">
        <f t="shared" si="87"/>
        <v>0</v>
      </c>
      <c r="M2461">
        <f t="shared" si="88"/>
        <v>0</v>
      </c>
    </row>
    <row r="2462" spans="12:13" x14ac:dyDescent="0.25">
      <c r="L2462">
        <f t="shared" si="87"/>
        <v>0</v>
      </c>
      <c r="M2462">
        <f t="shared" si="88"/>
        <v>0</v>
      </c>
    </row>
    <row r="2463" spans="12:13" x14ac:dyDescent="0.25">
      <c r="L2463">
        <f t="shared" si="87"/>
        <v>0</v>
      </c>
      <c r="M2463">
        <f t="shared" si="88"/>
        <v>0</v>
      </c>
    </row>
    <row r="2464" spans="12:13" x14ac:dyDescent="0.25">
      <c r="L2464">
        <f t="shared" si="87"/>
        <v>0</v>
      </c>
      <c r="M2464">
        <f t="shared" si="88"/>
        <v>0</v>
      </c>
    </row>
    <row r="2465" spans="12:13" x14ac:dyDescent="0.25">
      <c r="L2465">
        <f t="shared" si="87"/>
        <v>0</v>
      </c>
      <c r="M2465">
        <f t="shared" si="88"/>
        <v>0</v>
      </c>
    </row>
    <row r="2466" spans="12:13" x14ac:dyDescent="0.25">
      <c r="L2466">
        <f t="shared" si="87"/>
        <v>0</v>
      </c>
      <c r="M2466">
        <f t="shared" si="88"/>
        <v>0</v>
      </c>
    </row>
    <row r="2467" spans="12:13" x14ac:dyDescent="0.25">
      <c r="L2467">
        <f t="shared" si="87"/>
        <v>0</v>
      </c>
      <c r="M2467">
        <f t="shared" si="88"/>
        <v>0</v>
      </c>
    </row>
    <row r="2468" spans="12:13" x14ac:dyDescent="0.25">
      <c r="L2468">
        <f t="shared" si="87"/>
        <v>0</v>
      </c>
      <c r="M2468">
        <f t="shared" si="88"/>
        <v>0</v>
      </c>
    </row>
    <row r="2469" spans="12:13" x14ac:dyDescent="0.25">
      <c r="L2469">
        <f t="shared" si="87"/>
        <v>0</v>
      </c>
      <c r="M2469">
        <f t="shared" si="88"/>
        <v>0</v>
      </c>
    </row>
    <row r="2470" spans="12:13" x14ac:dyDescent="0.25">
      <c r="L2470">
        <f t="shared" si="87"/>
        <v>0</v>
      </c>
      <c r="M2470">
        <f t="shared" si="88"/>
        <v>0</v>
      </c>
    </row>
    <row r="2471" spans="12:13" x14ac:dyDescent="0.25">
      <c r="L2471">
        <f t="shared" si="87"/>
        <v>0</v>
      </c>
      <c r="M2471">
        <f t="shared" si="88"/>
        <v>0</v>
      </c>
    </row>
    <row r="2472" spans="12:13" x14ac:dyDescent="0.25">
      <c r="L2472">
        <f t="shared" si="87"/>
        <v>0</v>
      </c>
      <c r="M2472">
        <f t="shared" si="88"/>
        <v>0</v>
      </c>
    </row>
    <row r="2473" spans="12:13" x14ac:dyDescent="0.25">
      <c r="L2473">
        <f t="shared" si="87"/>
        <v>0</v>
      </c>
      <c r="M2473">
        <f t="shared" si="88"/>
        <v>0</v>
      </c>
    </row>
    <row r="2474" spans="12:13" x14ac:dyDescent="0.25">
      <c r="L2474">
        <f t="shared" si="87"/>
        <v>0</v>
      </c>
      <c r="M2474">
        <f t="shared" si="88"/>
        <v>0</v>
      </c>
    </row>
    <row r="2475" spans="12:13" x14ac:dyDescent="0.25">
      <c r="L2475">
        <f t="shared" si="87"/>
        <v>0</v>
      </c>
      <c r="M2475">
        <f t="shared" si="88"/>
        <v>0</v>
      </c>
    </row>
    <row r="2476" spans="12:13" x14ac:dyDescent="0.25">
      <c r="L2476">
        <f t="shared" si="87"/>
        <v>0</v>
      </c>
      <c r="M2476">
        <f t="shared" si="88"/>
        <v>0</v>
      </c>
    </row>
    <row r="2477" spans="12:13" x14ac:dyDescent="0.25">
      <c r="L2477">
        <f t="shared" si="87"/>
        <v>0</v>
      </c>
      <c r="M2477">
        <f t="shared" si="88"/>
        <v>0</v>
      </c>
    </row>
    <row r="2478" spans="12:13" x14ac:dyDescent="0.25">
      <c r="L2478">
        <f t="shared" ref="L2478:L2541" si="89">+I2478+H2478</f>
        <v>0</v>
      </c>
      <c r="M2478">
        <f t="shared" si="88"/>
        <v>0</v>
      </c>
    </row>
    <row r="2479" spans="12:13" x14ac:dyDescent="0.25">
      <c r="L2479">
        <f t="shared" si="89"/>
        <v>0</v>
      </c>
      <c r="M2479">
        <f t="shared" si="88"/>
        <v>0</v>
      </c>
    </row>
    <row r="2480" spans="12:13" x14ac:dyDescent="0.25">
      <c r="L2480">
        <f t="shared" si="89"/>
        <v>0</v>
      </c>
      <c r="M2480">
        <f t="shared" si="88"/>
        <v>0</v>
      </c>
    </row>
    <row r="2481" spans="12:13" x14ac:dyDescent="0.25">
      <c r="L2481">
        <f t="shared" si="89"/>
        <v>0</v>
      </c>
      <c r="M2481">
        <f t="shared" si="88"/>
        <v>0</v>
      </c>
    </row>
    <row r="2482" spans="12:13" x14ac:dyDescent="0.25">
      <c r="L2482">
        <f t="shared" si="89"/>
        <v>0</v>
      </c>
      <c r="M2482">
        <f t="shared" si="88"/>
        <v>0</v>
      </c>
    </row>
    <row r="2483" spans="12:13" x14ac:dyDescent="0.25">
      <c r="L2483">
        <f t="shared" si="89"/>
        <v>0</v>
      </c>
      <c r="M2483">
        <f t="shared" si="88"/>
        <v>0</v>
      </c>
    </row>
    <row r="2484" spans="12:13" x14ac:dyDescent="0.25">
      <c r="L2484">
        <f t="shared" si="89"/>
        <v>0</v>
      </c>
      <c r="M2484">
        <f t="shared" si="88"/>
        <v>0</v>
      </c>
    </row>
    <row r="2485" spans="12:13" x14ac:dyDescent="0.25">
      <c r="L2485">
        <f t="shared" si="89"/>
        <v>0</v>
      </c>
      <c r="M2485">
        <f t="shared" si="88"/>
        <v>0</v>
      </c>
    </row>
    <row r="2486" spans="12:13" x14ac:dyDescent="0.25">
      <c r="L2486">
        <f t="shared" si="89"/>
        <v>0</v>
      </c>
      <c r="M2486">
        <f t="shared" si="88"/>
        <v>0</v>
      </c>
    </row>
    <row r="2487" spans="12:13" x14ac:dyDescent="0.25">
      <c r="L2487">
        <f t="shared" si="89"/>
        <v>0</v>
      </c>
      <c r="M2487">
        <f t="shared" si="88"/>
        <v>0</v>
      </c>
    </row>
    <row r="2488" spans="12:13" x14ac:dyDescent="0.25">
      <c r="L2488">
        <f t="shared" si="89"/>
        <v>0</v>
      </c>
      <c r="M2488">
        <f t="shared" si="88"/>
        <v>0</v>
      </c>
    </row>
    <row r="2489" spans="12:13" x14ac:dyDescent="0.25">
      <c r="L2489">
        <f t="shared" si="89"/>
        <v>0</v>
      </c>
      <c r="M2489">
        <f t="shared" si="88"/>
        <v>0</v>
      </c>
    </row>
    <row r="2490" spans="12:13" x14ac:dyDescent="0.25">
      <c r="L2490">
        <f t="shared" si="89"/>
        <v>0</v>
      </c>
      <c r="M2490">
        <f t="shared" si="88"/>
        <v>0</v>
      </c>
    </row>
    <row r="2491" spans="12:13" x14ac:dyDescent="0.25">
      <c r="L2491">
        <f t="shared" si="89"/>
        <v>0</v>
      </c>
      <c r="M2491">
        <f t="shared" si="88"/>
        <v>0</v>
      </c>
    </row>
    <row r="2492" spans="12:13" x14ac:dyDescent="0.25">
      <c r="L2492">
        <f t="shared" si="89"/>
        <v>0</v>
      </c>
      <c r="M2492">
        <f t="shared" si="88"/>
        <v>0</v>
      </c>
    </row>
    <row r="2493" spans="12:13" x14ac:dyDescent="0.25">
      <c r="L2493">
        <f t="shared" si="89"/>
        <v>0</v>
      </c>
      <c r="M2493">
        <f t="shared" si="88"/>
        <v>0</v>
      </c>
    </row>
    <row r="2494" spans="12:13" x14ac:dyDescent="0.25">
      <c r="L2494">
        <f t="shared" si="89"/>
        <v>0</v>
      </c>
      <c r="M2494">
        <f t="shared" si="88"/>
        <v>0</v>
      </c>
    </row>
    <row r="2495" spans="12:13" x14ac:dyDescent="0.25">
      <c r="L2495">
        <f t="shared" si="89"/>
        <v>0</v>
      </c>
      <c r="M2495">
        <f t="shared" ref="M2495:M2558" si="90">+I2495/IF(H2495 = 0,1,H2495)</f>
        <v>0</v>
      </c>
    </row>
    <row r="2496" spans="12:13" x14ac:dyDescent="0.25">
      <c r="L2496">
        <f t="shared" si="89"/>
        <v>0</v>
      </c>
      <c r="M2496">
        <f t="shared" si="90"/>
        <v>0</v>
      </c>
    </row>
    <row r="2497" spans="12:13" x14ac:dyDescent="0.25">
      <c r="L2497">
        <f t="shared" si="89"/>
        <v>0</v>
      </c>
      <c r="M2497">
        <f t="shared" si="90"/>
        <v>0</v>
      </c>
    </row>
    <row r="2498" spans="12:13" x14ac:dyDescent="0.25">
      <c r="L2498">
        <f t="shared" si="89"/>
        <v>0</v>
      </c>
      <c r="M2498">
        <f t="shared" si="90"/>
        <v>0</v>
      </c>
    </row>
    <row r="2499" spans="12:13" x14ac:dyDescent="0.25">
      <c r="L2499">
        <f t="shared" si="89"/>
        <v>0</v>
      </c>
      <c r="M2499">
        <f t="shared" si="90"/>
        <v>0</v>
      </c>
    </row>
    <row r="2500" spans="12:13" x14ac:dyDescent="0.25">
      <c r="L2500">
        <f t="shared" si="89"/>
        <v>0</v>
      </c>
      <c r="M2500">
        <f t="shared" si="90"/>
        <v>0</v>
      </c>
    </row>
    <row r="2501" spans="12:13" x14ac:dyDescent="0.25">
      <c r="L2501">
        <f t="shared" si="89"/>
        <v>0</v>
      </c>
      <c r="M2501">
        <f t="shared" si="90"/>
        <v>0</v>
      </c>
    </row>
    <row r="2502" spans="12:13" x14ac:dyDescent="0.25">
      <c r="L2502">
        <f t="shared" si="89"/>
        <v>0</v>
      </c>
      <c r="M2502">
        <f t="shared" si="90"/>
        <v>0</v>
      </c>
    </row>
    <row r="2503" spans="12:13" x14ac:dyDescent="0.25">
      <c r="L2503">
        <f t="shared" si="89"/>
        <v>0</v>
      </c>
      <c r="M2503">
        <f t="shared" si="90"/>
        <v>0</v>
      </c>
    </row>
    <row r="2504" spans="12:13" x14ac:dyDescent="0.25">
      <c r="L2504">
        <f t="shared" si="89"/>
        <v>0</v>
      </c>
      <c r="M2504">
        <f t="shared" si="90"/>
        <v>0</v>
      </c>
    </row>
    <row r="2505" spans="12:13" x14ac:dyDescent="0.25">
      <c r="L2505">
        <f t="shared" si="89"/>
        <v>0</v>
      </c>
      <c r="M2505">
        <f t="shared" si="90"/>
        <v>0</v>
      </c>
    </row>
    <row r="2506" spans="12:13" x14ac:dyDescent="0.25">
      <c r="L2506">
        <f t="shared" si="89"/>
        <v>0</v>
      </c>
      <c r="M2506">
        <f t="shared" si="90"/>
        <v>0</v>
      </c>
    </row>
    <row r="2507" spans="12:13" x14ac:dyDescent="0.25">
      <c r="L2507">
        <f t="shared" si="89"/>
        <v>0</v>
      </c>
      <c r="M2507">
        <f t="shared" si="90"/>
        <v>0</v>
      </c>
    </row>
    <row r="2508" spans="12:13" x14ac:dyDescent="0.25">
      <c r="L2508">
        <f t="shared" si="89"/>
        <v>0</v>
      </c>
      <c r="M2508">
        <f t="shared" si="90"/>
        <v>0</v>
      </c>
    </row>
    <row r="2509" spans="12:13" x14ac:dyDescent="0.25">
      <c r="L2509">
        <f t="shared" si="89"/>
        <v>0</v>
      </c>
      <c r="M2509">
        <f t="shared" si="90"/>
        <v>0</v>
      </c>
    </row>
    <row r="2510" spans="12:13" x14ac:dyDescent="0.25">
      <c r="L2510">
        <f t="shared" si="89"/>
        <v>0</v>
      </c>
      <c r="M2510">
        <f t="shared" si="90"/>
        <v>0</v>
      </c>
    </row>
    <row r="2511" spans="12:13" x14ac:dyDescent="0.25">
      <c r="L2511">
        <f t="shared" si="89"/>
        <v>0</v>
      </c>
      <c r="M2511">
        <f t="shared" si="90"/>
        <v>0</v>
      </c>
    </row>
    <row r="2512" spans="12:13" x14ac:dyDescent="0.25">
      <c r="L2512">
        <f t="shared" si="89"/>
        <v>0</v>
      </c>
      <c r="M2512">
        <f t="shared" si="90"/>
        <v>0</v>
      </c>
    </row>
    <row r="2513" spans="12:13" x14ac:dyDescent="0.25">
      <c r="L2513">
        <f t="shared" si="89"/>
        <v>0</v>
      </c>
      <c r="M2513">
        <f t="shared" si="90"/>
        <v>0</v>
      </c>
    </row>
    <row r="2514" spans="12:13" x14ac:dyDescent="0.25">
      <c r="L2514">
        <f t="shared" si="89"/>
        <v>0</v>
      </c>
      <c r="M2514">
        <f t="shared" si="90"/>
        <v>0</v>
      </c>
    </row>
    <row r="2515" spans="12:13" x14ac:dyDescent="0.25">
      <c r="L2515">
        <f t="shared" si="89"/>
        <v>0</v>
      </c>
      <c r="M2515">
        <f t="shared" si="90"/>
        <v>0</v>
      </c>
    </row>
    <row r="2516" spans="12:13" x14ac:dyDescent="0.25">
      <c r="L2516">
        <f t="shared" si="89"/>
        <v>0</v>
      </c>
      <c r="M2516">
        <f t="shared" si="90"/>
        <v>0</v>
      </c>
    </row>
    <row r="2517" spans="12:13" x14ac:dyDescent="0.25">
      <c r="L2517">
        <f t="shared" si="89"/>
        <v>0</v>
      </c>
      <c r="M2517">
        <f t="shared" si="90"/>
        <v>0</v>
      </c>
    </row>
    <row r="2518" spans="12:13" x14ac:dyDescent="0.25">
      <c r="L2518">
        <f t="shared" si="89"/>
        <v>0</v>
      </c>
      <c r="M2518">
        <f t="shared" si="90"/>
        <v>0</v>
      </c>
    </row>
    <row r="2519" spans="12:13" x14ac:dyDescent="0.25">
      <c r="L2519">
        <f t="shared" si="89"/>
        <v>0</v>
      </c>
      <c r="M2519">
        <f t="shared" si="90"/>
        <v>0</v>
      </c>
    </row>
    <row r="2520" spans="12:13" x14ac:dyDescent="0.25">
      <c r="L2520">
        <f t="shared" si="89"/>
        <v>0</v>
      </c>
      <c r="M2520">
        <f t="shared" si="90"/>
        <v>0</v>
      </c>
    </row>
    <row r="2521" spans="12:13" x14ac:dyDescent="0.25">
      <c r="L2521">
        <f t="shared" si="89"/>
        <v>0</v>
      </c>
      <c r="M2521">
        <f t="shared" si="90"/>
        <v>0</v>
      </c>
    </row>
    <row r="2522" spans="12:13" x14ac:dyDescent="0.25">
      <c r="L2522">
        <f t="shared" si="89"/>
        <v>0</v>
      </c>
      <c r="M2522">
        <f t="shared" si="90"/>
        <v>0</v>
      </c>
    </row>
    <row r="2523" spans="12:13" x14ac:dyDescent="0.25">
      <c r="L2523">
        <f t="shared" si="89"/>
        <v>0</v>
      </c>
      <c r="M2523">
        <f t="shared" si="90"/>
        <v>0</v>
      </c>
    </row>
    <row r="2524" spans="12:13" x14ac:dyDescent="0.25">
      <c r="L2524">
        <f t="shared" si="89"/>
        <v>0</v>
      </c>
      <c r="M2524">
        <f t="shared" si="90"/>
        <v>0</v>
      </c>
    </row>
    <row r="2525" spans="12:13" x14ac:dyDescent="0.25">
      <c r="L2525">
        <f t="shared" si="89"/>
        <v>0</v>
      </c>
      <c r="M2525">
        <f t="shared" si="90"/>
        <v>0</v>
      </c>
    </row>
    <row r="2526" spans="12:13" x14ac:dyDescent="0.25">
      <c r="L2526">
        <f t="shared" si="89"/>
        <v>0</v>
      </c>
      <c r="M2526">
        <f t="shared" si="90"/>
        <v>0</v>
      </c>
    </row>
    <row r="2527" spans="12:13" x14ac:dyDescent="0.25">
      <c r="L2527">
        <f t="shared" si="89"/>
        <v>0</v>
      </c>
      <c r="M2527">
        <f t="shared" si="90"/>
        <v>0</v>
      </c>
    </row>
    <row r="2528" spans="12:13" x14ac:dyDescent="0.25">
      <c r="L2528">
        <f t="shared" si="89"/>
        <v>0</v>
      </c>
      <c r="M2528">
        <f t="shared" si="90"/>
        <v>0</v>
      </c>
    </row>
    <row r="2529" spans="12:13" x14ac:dyDescent="0.25">
      <c r="L2529">
        <f t="shared" si="89"/>
        <v>0</v>
      </c>
      <c r="M2529">
        <f t="shared" si="90"/>
        <v>0</v>
      </c>
    </row>
    <row r="2530" spans="12:13" x14ac:dyDescent="0.25">
      <c r="L2530">
        <f t="shared" si="89"/>
        <v>0</v>
      </c>
      <c r="M2530">
        <f t="shared" si="90"/>
        <v>0</v>
      </c>
    </row>
    <row r="2531" spans="12:13" x14ac:dyDescent="0.25">
      <c r="L2531">
        <f t="shared" si="89"/>
        <v>0</v>
      </c>
      <c r="M2531">
        <f t="shared" si="90"/>
        <v>0</v>
      </c>
    </row>
    <row r="2532" spans="12:13" x14ac:dyDescent="0.25">
      <c r="L2532">
        <f t="shared" si="89"/>
        <v>0</v>
      </c>
      <c r="M2532">
        <f t="shared" si="90"/>
        <v>0</v>
      </c>
    </row>
    <row r="2533" spans="12:13" x14ac:dyDescent="0.25">
      <c r="L2533">
        <f t="shared" si="89"/>
        <v>0</v>
      </c>
      <c r="M2533">
        <f t="shared" si="90"/>
        <v>0</v>
      </c>
    </row>
    <row r="2534" spans="12:13" x14ac:dyDescent="0.25">
      <c r="L2534">
        <f t="shared" si="89"/>
        <v>0</v>
      </c>
      <c r="M2534">
        <f t="shared" si="90"/>
        <v>0</v>
      </c>
    </row>
    <row r="2535" spans="12:13" x14ac:dyDescent="0.25">
      <c r="L2535">
        <f t="shared" si="89"/>
        <v>0</v>
      </c>
      <c r="M2535">
        <f t="shared" si="90"/>
        <v>0</v>
      </c>
    </row>
    <row r="2536" spans="12:13" x14ac:dyDescent="0.25">
      <c r="L2536">
        <f t="shared" si="89"/>
        <v>0</v>
      </c>
      <c r="M2536">
        <f t="shared" si="90"/>
        <v>0</v>
      </c>
    </row>
    <row r="2537" spans="12:13" x14ac:dyDescent="0.25">
      <c r="L2537">
        <f t="shared" si="89"/>
        <v>0</v>
      </c>
      <c r="M2537">
        <f t="shared" si="90"/>
        <v>0</v>
      </c>
    </row>
    <row r="2538" spans="12:13" x14ac:dyDescent="0.25">
      <c r="L2538">
        <f t="shared" si="89"/>
        <v>0</v>
      </c>
      <c r="M2538">
        <f t="shared" si="90"/>
        <v>0</v>
      </c>
    </row>
    <row r="2539" spans="12:13" x14ac:dyDescent="0.25">
      <c r="L2539">
        <f t="shared" si="89"/>
        <v>0</v>
      </c>
      <c r="M2539">
        <f t="shared" si="90"/>
        <v>0</v>
      </c>
    </row>
    <row r="2540" spans="12:13" x14ac:dyDescent="0.25">
      <c r="L2540">
        <f t="shared" si="89"/>
        <v>0</v>
      </c>
      <c r="M2540">
        <f t="shared" si="90"/>
        <v>0</v>
      </c>
    </row>
    <row r="2541" spans="12:13" x14ac:dyDescent="0.25">
      <c r="L2541">
        <f t="shared" si="89"/>
        <v>0</v>
      </c>
      <c r="M2541">
        <f t="shared" si="90"/>
        <v>0</v>
      </c>
    </row>
    <row r="2542" spans="12:13" x14ac:dyDescent="0.25">
      <c r="L2542">
        <f t="shared" ref="L2542:L2605" si="91">+I2542+H2542</f>
        <v>0</v>
      </c>
      <c r="M2542">
        <f t="shared" si="90"/>
        <v>0</v>
      </c>
    </row>
    <row r="2543" spans="12:13" x14ac:dyDescent="0.25">
      <c r="L2543">
        <f t="shared" si="91"/>
        <v>0</v>
      </c>
      <c r="M2543">
        <f t="shared" si="90"/>
        <v>0</v>
      </c>
    </row>
    <row r="2544" spans="12:13" x14ac:dyDescent="0.25">
      <c r="L2544">
        <f t="shared" si="91"/>
        <v>0</v>
      </c>
      <c r="M2544">
        <f t="shared" si="90"/>
        <v>0</v>
      </c>
    </row>
    <row r="2545" spans="12:13" x14ac:dyDescent="0.25">
      <c r="L2545">
        <f t="shared" si="91"/>
        <v>0</v>
      </c>
      <c r="M2545">
        <f t="shared" si="90"/>
        <v>0</v>
      </c>
    </row>
    <row r="2546" spans="12:13" x14ac:dyDescent="0.25">
      <c r="L2546">
        <f t="shared" si="91"/>
        <v>0</v>
      </c>
      <c r="M2546">
        <f t="shared" si="90"/>
        <v>0</v>
      </c>
    </row>
    <row r="2547" spans="12:13" x14ac:dyDescent="0.25">
      <c r="L2547">
        <f t="shared" si="91"/>
        <v>0</v>
      </c>
      <c r="M2547">
        <f t="shared" si="90"/>
        <v>0</v>
      </c>
    </row>
    <row r="2548" spans="12:13" x14ac:dyDescent="0.25">
      <c r="L2548">
        <f t="shared" si="91"/>
        <v>0</v>
      </c>
      <c r="M2548">
        <f t="shared" si="90"/>
        <v>0</v>
      </c>
    </row>
    <row r="2549" spans="12:13" x14ac:dyDescent="0.25">
      <c r="L2549">
        <f t="shared" si="91"/>
        <v>0</v>
      </c>
      <c r="M2549">
        <f t="shared" si="90"/>
        <v>0</v>
      </c>
    </row>
    <row r="2550" spans="12:13" x14ac:dyDescent="0.25">
      <c r="L2550">
        <f t="shared" si="91"/>
        <v>0</v>
      </c>
      <c r="M2550">
        <f t="shared" si="90"/>
        <v>0</v>
      </c>
    </row>
    <row r="2551" spans="12:13" x14ac:dyDescent="0.25">
      <c r="L2551">
        <f t="shared" si="91"/>
        <v>0</v>
      </c>
      <c r="M2551">
        <f t="shared" si="90"/>
        <v>0</v>
      </c>
    </row>
    <row r="2552" spans="12:13" x14ac:dyDescent="0.25">
      <c r="L2552">
        <f t="shared" si="91"/>
        <v>0</v>
      </c>
      <c r="M2552">
        <f t="shared" si="90"/>
        <v>0</v>
      </c>
    </row>
    <row r="2553" spans="12:13" x14ac:dyDescent="0.25">
      <c r="L2553">
        <f t="shared" si="91"/>
        <v>0</v>
      </c>
      <c r="M2553">
        <f t="shared" si="90"/>
        <v>0</v>
      </c>
    </row>
    <row r="2554" spans="12:13" x14ac:dyDescent="0.25">
      <c r="L2554">
        <f t="shared" si="91"/>
        <v>0</v>
      </c>
      <c r="M2554">
        <f t="shared" si="90"/>
        <v>0</v>
      </c>
    </row>
    <row r="2555" spans="12:13" x14ac:dyDescent="0.25">
      <c r="L2555">
        <f t="shared" si="91"/>
        <v>0</v>
      </c>
      <c r="M2555">
        <f t="shared" si="90"/>
        <v>0</v>
      </c>
    </row>
    <row r="2556" spans="12:13" x14ac:dyDescent="0.25">
      <c r="L2556">
        <f t="shared" si="91"/>
        <v>0</v>
      </c>
      <c r="M2556">
        <f t="shared" si="90"/>
        <v>0</v>
      </c>
    </row>
    <row r="2557" spans="12:13" x14ac:dyDescent="0.25">
      <c r="L2557">
        <f t="shared" si="91"/>
        <v>0</v>
      </c>
      <c r="M2557">
        <f t="shared" si="90"/>
        <v>0</v>
      </c>
    </row>
    <row r="2558" spans="12:13" x14ac:dyDescent="0.25">
      <c r="L2558">
        <f t="shared" si="91"/>
        <v>0</v>
      </c>
      <c r="M2558">
        <f t="shared" si="90"/>
        <v>0</v>
      </c>
    </row>
    <row r="2559" spans="12:13" x14ac:dyDescent="0.25">
      <c r="L2559">
        <f t="shared" si="91"/>
        <v>0</v>
      </c>
      <c r="M2559">
        <f t="shared" ref="M2559:M2622" si="92">+I2559/IF(H2559 = 0,1,H2559)</f>
        <v>0</v>
      </c>
    </row>
    <row r="2560" spans="12:13" x14ac:dyDescent="0.25">
      <c r="L2560">
        <f t="shared" si="91"/>
        <v>0</v>
      </c>
      <c r="M2560">
        <f t="shared" si="92"/>
        <v>0</v>
      </c>
    </row>
    <row r="2561" spans="12:13" x14ac:dyDescent="0.25">
      <c r="L2561">
        <f t="shared" si="91"/>
        <v>0</v>
      </c>
      <c r="M2561">
        <f t="shared" si="92"/>
        <v>0</v>
      </c>
    </row>
    <row r="2562" spans="12:13" x14ac:dyDescent="0.25">
      <c r="L2562">
        <f t="shared" si="91"/>
        <v>0</v>
      </c>
      <c r="M2562">
        <f t="shared" si="92"/>
        <v>0</v>
      </c>
    </row>
    <row r="2563" spans="12:13" x14ac:dyDescent="0.25">
      <c r="L2563">
        <f t="shared" si="91"/>
        <v>0</v>
      </c>
      <c r="M2563">
        <f t="shared" si="92"/>
        <v>0</v>
      </c>
    </row>
    <row r="2564" spans="12:13" x14ac:dyDescent="0.25">
      <c r="L2564">
        <f t="shared" si="91"/>
        <v>0</v>
      </c>
      <c r="M2564">
        <f t="shared" si="92"/>
        <v>0</v>
      </c>
    </row>
    <row r="2565" spans="12:13" x14ac:dyDescent="0.25">
      <c r="L2565">
        <f t="shared" si="91"/>
        <v>0</v>
      </c>
      <c r="M2565">
        <f t="shared" si="92"/>
        <v>0</v>
      </c>
    </row>
    <row r="2566" spans="12:13" x14ac:dyDescent="0.25">
      <c r="L2566">
        <f t="shared" si="91"/>
        <v>0</v>
      </c>
      <c r="M2566">
        <f t="shared" si="92"/>
        <v>0</v>
      </c>
    </row>
    <row r="2567" spans="12:13" x14ac:dyDescent="0.25">
      <c r="L2567">
        <f t="shared" si="91"/>
        <v>0</v>
      </c>
      <c r="M2567">
        <f t="shared" si="92"/>
        <v>0</v>
      </c>
    </row>
    <row r="2568" spans="12:13" x14ac:dyDescent="0.25">
      <c r="L2568">
        <f t="shared" si="91"/>
        <v>0</v>
      </c>
      <c r="M2568">
        <f t="shared" si="92"/>
        <v>0</v>
      </c>
    </row>
    <row r="2569" spans="12:13" x14ac:dyDescent="0.25">
      <c r="L2569">
        <f t="shared" si="91"/>
        <v>0</v>
      </c>
      <c r="M2569">
        <f t="shared" si="92"/>
        <v>0</v>
      </c>
    </row>
    <row r="2570" spans="12:13" x14ac:dyDescent="0.25">
      <c r="L2570">
        <f t="shared" si="91"/>
        <v>0</v>
      </c>
      <c r="M2570">
        <f t="shared" si="92"/>
        <v>0</v>
      </c>
    </row>
    <row r="2571" spans="12:13" x14ac:dyDescent="0.25">
      <c r="L2571">
        <f t="shared" si="91"/>
        <v>0</v>
      </c>
      <c r="M2571">
        <f t="shared" si="92"/>
        <v>0</v>
      </c>
    </row>
    <row r="2572" spans="12:13" x14ac:dyDescent="0.25">
      <c r="L2572">
        <f t="shared" si="91"/>
        <v>0</v>
      </c>
      <c r="M2572">
        <f t="shared" si="92"/>
        <v>0</v>
      </c>
    </row>
    <row r="2573" spans="12:13" x14ac:dyDescent="0.25">
      <c r="L2573">
        <f t="shared" si="91"/>
        <v>0</v>
      </c>
      <c r="M2573">
        <f t="shared" si="92"/>
        <v>0</v>
      </c>
    </row>
    <row r="2574" spans="12:13" x14ac:dyDescent="0.25">
      <c r="L2574">
        <f t="shared" si="91"/>
        <v>0</v>
      </c>
      <c r="M2574">
        <f t="shared" si="92"/>
        <v>0</v>
      </c>
    </row>
    <row r="2575" spans="12:13" x14ac:dyDescent="0.25">
      <c r="L2575">
        <f t="shared" si="91"/>
        <v>0</v>
      </c>
      <c r="M2575">
        <f t="shared" si="92"/>
        <v>0</v>
      </c>
    </row>
    <row r="2576" spans="12:13" x14ac:dyDescent="0.25">
      <c r="L2576">
        <f t="shared" si="91"/>
        <v>0</v>
      </c>
      <c r="M2576">
        <f t="shared" si="92"/>
        <v>0</v>
      </c>
    </row>
    <row r="2577" spans="12:13" x14ac:dyDescent="0.25">
      <c r="L2577">
        <f t="shared" si="91"/>
        <v>0</v>
      </c>
      <c r="M2577">
        <f t="shared" si="92"/>
        <v>0</v>
      </c>
    </row>
    <row r="2578" spans="12:13" x14ac:dyDescent="0.25">
      <c r="L2578">
        <f t="shared" si="91"/>
        <v>0</v>
      </c>
      <c r="M2578">
        <f t="shared" si="92"/>
        <v>0</v>
      </c>
    </row>
    <row r="2579" spans="12:13" x14ac:dyDescent="0.25">
      <c r="L2579">
        <f t="shared" si="91"/>
        <v>0</v>
      </c>
      <c r="M2579">
        <f t="shared" si="92"/>
        <v>0</v>
      </c>
    </row>
    <row r="2580" spans="12:13" x14ac:dyDescent="0.25">
      <c r="L2580">
        <f t="shared" si="91"/>
        <v>0</v>
      </c>
      <c r="M2580">
        <f t="shared" si="92"/>
        <v>0</v>
      </c>
    </row>
    <row r="2581" spans="12:13" x14ac:dyDescent="0.25">
      <c r="L2581">
        <f t="shared" si="91"/>
        <v>0</v>
      </c>
      <c r="M2581">
        <f t="shared" si="92"/>
        <v>0</v>
      </c>
    </row>
    <row r="2582" spans="12:13" x14ac:dyDescent="0.25">
      <c r="L2582">
        <f t="shared" si="91"/>
        <v>0</v>
      </c>
      <c r="M2582">
        <f t="shared" si="92"/>
        <v>0</v>
      </c>
    </row>
    <row r="2583" spans="12:13" x14ac:dyDescent="0.25">
      <c r="L2583">
        <f t="shared" si="91"/>
        <v>0</v>
      </c>
      <c r="M2583">
        <f t="shared" si="92"/>
        <v>0</v>
      </c>
    </row>
    <row r="2584" spans="12:13" x14ac:dyDescent="0.25">
      <c r="L2584">
        <f t="shared" si="91"/>
        <v>0</v>
      </c>
      <c r="M2584">
        <f t="shared" si="92"/>
        <v>0</v>
      </c>
    </row>
    <row r="2585" spans="12:13" x14ac:dyDescent="0.25">
      <c r="L2585">
        <f t="shared" si="91"/>
        <v>0</v>
      </c>
      <c r="M2585">
        <f t="shared" si="92"/>
        <v>0</v>
      </c>
    </row>
    <row r="2586" spans="12:13" x14ac:dyDescent="0.25">
      <c r="L2586">
        <f t="shared" si="91"/>
        <v>0</v>
      </c>
      <c r="M2586">
        <f t="shared" si="92"/>
        <v>0</v>
      </c>
    </row>
    <row r="2587" spans="12:13" x14ac:dyDescent="0.25">
      <c r="L2587">
        <f t="shared" si="91"/>
        <v>0</v>
      </c>
      <c r="M2587">
        <f t="shared" si="92"/>
        <v>0</v>
      </c>
    </row>
    <row r="2588" spans="12:13" x14ac:dyDescent="0.25">
      <c r="L2588">
        <f t="shared" si="91"/>
        <v>0</v>
      </c>
      <c r="M2588">
        <f t="shared" si="92"/>
        <v>0</v>
      </c>
    </row>
    <row r="2589" spans="12:13" x14ac:dyDescent="0.25">
      <c r="L2589">
        <f t="shared" si="91"/>
        <v>0</v>
      </c>
      <c r="M2589">
        <f t="shared" si="92"/>
        <v>0</v>
      </c>
    </row>
    <row r="2590" spans="12:13" x14ac:dyDescent="0.25">
      <c r="L2590">
        <f t="shared" si="91"/>
        <v>0</v>
      </c>
      <c r="M2590">
        <f t="shared" si="92"/>
        <v>0</v>
      </c>
    </row>
    <row r="2591" spans="12:13" x14ac:dyDescent="0.25">
      <c r="L2591">
        <f t="shared" si="91"/>
        <v>0</v>
      </c>
      <c r="M2591">
        <f t="shared" si="92"/>
        <v>0</v>
      </c>
    </row>
    <row r="2592" spans="12:13" x14ac:dyDescent="0.25">
      <c r="L2592">
        <f t="shared" si="91"/>
        <v>0</v>
      </c>
      <c r="M2592">
        <f t="shared" si="92"/>
        <v>0</v>
      </c>
    </row>
    <row r="2593" spans="12:13" x14ac:dyDescent="0.25">
      <c r="L2593">
        <f t="shared" si="91"/>
        <v>0</v>
      </c>
      <c r="M2593">
        <f t="shared" si="92"/>
        <v>0</v>
      </c>
    </row>
    <row r="2594" spans="12:13" x14ac:dyDescent="0.25">
      <c r="L2594">
        <f t="shared" si="91"/>
        <v>0</v>
      </c>
      <c r="M2594">
        <f t="shared" si="92"/>
        <v>0</v>
      </c>
    </row>
    <row r="2595" spans="12:13" x14ac:dyDescent="0.25">
      <c r="L2595">
        <f t="shared" si="91"/>
        <v>0</v>
      </c>
      <c r="M2595">
        <f t="shared" si="92"/>
        <v>0</v>
      </c>
    </row>
    <row r="2596" spans="12:13" x14ac:dyDescent="0.25">
      <c r="L2596">
        <f t="shared" si="91"/>
        <v>0</v>
      </c>
      <c r="M2596">
        <f t="shared" si="92"/>
        <v>0</v>
      </c>
    </row>
    <row r="2597" spans="12:13" x14ac:dyDescent="0.25">
      <c r="L2597">
        <f t="shared" si="91"/>
        <v>0</v>
      </c>
      <c r="M2597">
        <f t="shared" si="92"/>
        <v>0</v>
      </c>
    </row>
    <row r="2598" spans="12:13" x14ac:dyDescent="0.25">
      <c r="L2598">
        <f t="shared" si="91"/>
        <v>0</v>
      </c>
      <c r="M2598">
        <f t="shared" si="92"/>
        <v>0</v>
      </c>
    </row>
    <row r="2599" spans="12:13" x14ac:dyDescent="0.25">
      <c r="L2599">
        <f t="shared" si="91"/>
        <v>0</v>
      </c>
      <c r="M2599">
        <f t="shared" si="92"/>
        <v>0</v>
      </c>
    </row>
    <row r="2600" spans="12:13" x14ac:dyDescent="0.25">
      <c r="L2600">
        <f t="shared" si="91"/>
        <v>0</v>
      </c>
      <c r="M2600">
        <f t="shared" si="92"/>
        <v>0</v>
      </c>
    </row>
    <row r="2601" spans="12:13" x14ac:dyDescent="0.25">
      <c r="L2601">
        <f t="shared" si="91"/>
        <v>0</v>
      </c>
      <c r="M2601">
        <f t="shared" si="92"/>
        <v>0</v>
      </c>
    </row>
    <row r="2602" spans="12:13" x14ac:dyDescent="0.25">
      <c r="L2602">
        <f t="shared" si="91"/>
        <v>0</v>
      </c>
      <c r="M2602">
        <f t="shared" si="92"/>
        <v>0</v>
      </c>
    </row>
    <row r="2603" spans="12:13" x14ac:dyDescent="0.25">
      <c r="L2603">
        <f t="shared" si="91"/>
        <v>0</v>
      </c>
      <c r="M2603">
        <f t="shared" si="92"/>
        <v>0</v>
      </c>
    </row>
    <row r="2604" spans="12:13" x14ac:dyDescent="0.25">
      <c r="L2604">
        <f t="shared" si="91"/>
        <v>0</v>
      </c>
      <c r="M2604">
        <f t="shared" si="92"/>
        <v>0</v>
      </c>
    </row>
    <row r="2605" spans="12:13" x14ac:dyDescent="0.25">
      <c r="L2605">
        <f t="shared" si="91"/>
        <v>0</v>
      </c>
      <c r="M2605">
        <f t="shared" si="92"/>
        <v>0</v>
      </c>
    </row>
    <row r="2606" spans="12:13" x14ac:dyDescent="0.25">
      <c r="L2606">
        <f t="shared" ref="L2606:L2669" si="93">+I2606+H2606</f>
        <v>0</v>
      </c>
      <c r="M2606">
        <f t="shared" si="92"/>
        <v>0</v>
      </c>
    </row>
    <row r="2607" spans="12:13" x14ac:dyDescent="0.25">
      <c r="L2607">
        <f t="shared" si="93"/>
        <v>0</v>
      </c>
      <c r="M2607">
        <f t="shared" si="92"/>
        <v>0</v>
      </c>
    </row>
    <row r="2608" spans="12:13" x14ac:dyDescent="0.25">
      <c r="L2608">
        <f t="shared" si="93"/>
        <v>0</v>
      </c>
      <c r="M2608">
        <f t="shared" si="92"/>
        <v>0</v>
      </c>
    </row>
    <row r="2609" spans="12:13" x14ac:dyDescent="0.25">
      <c r="L2609">
        <f t="shared" si="93"/>
        <v>0</v>
      </c>
      <c r="M2609">
        <f t="shared" si="92"/>
        <v>0</v>
      </c>
    </row>
    <row r="2610" spans="12:13" x14ac:dyDescent="0.25">
      <c r="L2610">
        <f t="shared" si="93"/>
        <v>0</v>
      </c>
      <c r="M2610">
        <f t="shared" si="92"/>
        <v>0</v>
      </c>
    </row>
    <row r="2611" spans="12:13" x14ac:dyDescent="0.25">
      <c r="L2611">
        <f t="shared" si="93"/>
        <v>0</v>
      </c>
      <c r="M2611">
        <f t="shared" si="92"/>
        <v>0</v>
      </c>
    </row>
    <row r="2612" spans="12:13" x14ac:dyDescent="0.25">
      <c r="L2612">
        <f t="shared" si="93"/>
        <v>0</v>
      </c>
      <c r="M2612">
        <f t="shared" si="92"/>
        <v>0</v>
      </c>
    </row>
    <row r="2613" spans="12:13" x14ac:dyDescent="0.25">
      <c r="L2613">
        <f t="shared" si="93"/>
        <v>0</v>
      </c>
      <c r="M2613">
        <f t="shared" si="92"/>
        <v>0</v>
      </c>
    </row>
    <row r="2614" spans="12:13" x14ac:dyDescent="0.25">
      <c r="L2614">
        <f t="shared" si="93"/>
        <v>0</v>
      </c>
      <c r="M2614">
        <f t="shared" si="92"/>
        <v>0</v>
      </c>
    </row>
    <row r="2615" spans="12:13" x14ac:dyDescent="0.25">
      <c r="L2615">
        <f t="shared" si="93"/>
        <v>0</v>
      </c>
      <c r="M2615">
        <f t="shared" si="92"/>
        <v>0</v>
      </c>
    </row>
    <row r="2616" spans="12:13" x14ac:dyDescent="0.25">
      <c r="L2616">
        <f t="shared" si="93"/>
        <v>0</v>
      </c>
      <c r="M2616">
        <f t="shared" si="92"/>
        <v>0</v>
      </c>
    </row>
    <row r="2617" spans="12:13" x14ac:dyDescent="0.25">
      <c r="L2617">
        <f t="shared" si="93"/>
        <v>0</v>
      </c>
      <c r="M2617">
        <f t="shared" si="92"/>
        <v>0</v>
      </c>
    </row>
    <row r="2618" spans="12:13" x14ac:dyDescent="0.25">
      <c r="L2618">
        <f t="shared" si="93"/>
        <v>0</v>
      </c>
      <c r="M2618">
        <f t="shared" si="92"/>
        <v>0</v>
      </c>
    </row>
    <row r="2619" spans="12:13" x14ac:dyDescent="0.25">
      <c r="L2619">
        <f t="shared" si="93"/>
        <v>0</v>
      </c>
      <c r="M2619">
        <f t="shared" si="92"/>
        <v>0</v>
      </c>
    </row>
    <row r="2620" spans="12:13" x14ac:dyDescent="0.25">
      <c r="L2620">
        <f t="shared" si="93"/>
        <v>0</v>
      </c>
      <c r="M2620">
        <f t="shared" si="92"/>
        <v>0</v>
      </c>
    </row>
    <row r="2621" spans="12:13" x14ac:dyDescent="0.25">
      <c r="L2621">
        <f t="shared" si="93"/>
        <v>0</v>
      </c>
      <c r="M2621">
        <f t="shared" si="92"/>
        <v>0</v>
      </c>
    </row>
    <row r="2622" spans="12:13" x14ac:dyDescent="0.25">
      <c r="L2622">
        <f t="shared" si="93"/>
        <v>0</v>
      </c>
      <c r="M2622">
        <f t="shared" si="92"/>
        <v>0</v>
      </c>
    </row>
    <row r="2623" spans="12:13" x14ac:dyDescent="0.25">
      <c r="L2623">
        <f t="shared" si="93"/>
        <v>0</v>
      </c>
      <c r="M2623">
        <f t="shared" ref="M2623:M2686" si="94">+I2623/IF(H2623 = 0,1,H2623)</f>
        <v>0</v>
      </c>
    </row>
    <row r="2624" spans="12:13" x14ac:dyDescent="0.25">
      <c r="L2624">
        <f t="shared" si="93"/>
        <v>0</v>
      </c>
      <c r="M2624">
        <f t="shared" si="94"/>
        <v>0</v>
      </c>
    </row>
    <row r="2625" spans="12:13" x14ac:dyDescent="0.25">
      <c r="L2625">
        <f t="shared" si="93"/>
        <v>0</v>
      </c>
      <c r="M2625">
        <f t="shared" si="94"/>
        <v>0</v>
      </c>
    </row>
    <row r="2626" spans="12:13" x14ac:dyDescent="0.25">
      <c r="L2626">
        <f t="shared" si="93"/>
        <v>0</v>
      </c>
      <c r="M2626">
        <f t="shared" si="94"/>
        <v>0</v>
      </c>
    </row>
    <row r="2627" spans="12:13" x14ac:dyDescent="0.25">
      <c r="L2627">
        <f t="shared" si="93"/>
        <v>0</v>
      </c>
      <c r="M2627">
        <f t="shared" si="94"/>
        <v>0</v>
      </c>
    </row>
    <row r="2628" spans="12:13" x14ac:dyDescent="0.25">
      <c r="L2628">
        <f t="shared" si="93"/>
        <v>0</v>
      </c>
      <c r="M2628">
        <f t="shared" si="94"/>
        <v>0</v>
      </c>
    </row>
    <row r="2629" spans="12:13" x14ac:dyDescent="0.25">
      <c r="L2629">
        <f t="shared" si="93"/>
        <v>0</v>
      </c>
      <c r="M2629">
        <f t="shared" si="94"/>
        <v>0</v>
      </c>
    </row>
    <row r="2630" spans="12:13" x14ac:dyDescent="0.25">
      <c r="L2630">
        <f t="shared" si="93"/>
        <v>0</v>
      </c>
      <c r="M2630">
        <f t="shared" si="94"/>
        <v>0</v>
      </c>
    </row>
    <row r="2631" spans="12:13" x14ac:dyDescent="0.25">
      <c r="L2631">
        <f t="shared" si="93"/>
        <v>0</v>
      </c>
      <c r="M2631">
        <f t="shared" si="94"/>
        <v>0</v>
      </c>
    </row>
    <row r="2632" spans="12:13" x14ac:dyDescent="0.25">
      <c r="L2632">
        <f t="shared" si="93"/>
        <v>0</v>
      </c>
      <c r="M2632">
        <f t="shared" si="94"/>
        <v>0</v>
      </c>
    </row>
    <row r="2633" spans="12:13" x14ac:dyDescent="0.25">
      <c r="L2633">
        <f t="shared" si="93"/>
        <v>0</v>
      </c>
      <c r="M2633">
        <f t="shared" si="94"/>
        <v>0</v>
      </c>
    </row>
    <row r="2634" spans="12:13" x14ac:dyDescent="0.25">
      <c r="L2634">
        <f t="shared" si="93"/>
        <v>0</v>
      </c>
      <c r="M2634">
        <f t="shared" si="94"/>
        <v>0</v>
      </c>
    </row>
    <row r="2635" spans="12:13" x14ac:dyDescent="0.25">
      <c r="L2635">
        <f t="shared" si="93"/>
        <v>0</v>
      </c>
      <c r="M2635">
        <f t="shared" si="94"/>
        <v>0</v>
      </c>
    </row>
    <row r="2636" spans="12:13" x14ac:dyDescent="0.25">
      <c r="L2636">
        <f t="shared" si="93"/>
        <v>0</v>
      </c>
      <c r="M2636">
        <f t="shared" si="94"/>
        <v>0</v>
      </c>
    </row>
    <row r="2637" spans="12:13" x14ac:dyDescent="0.25">
      <c r="L2637">
        <f t="shared" si="93"/>
        <v>0</v>
      </c>
      <c r="M2637">
        <f t="shared" si="94"/>
        <v>0</v>
      </c>
    </row>
    <row r="2638" spans="12:13" x14ac:dyDescent="0.25">
      <c r="L2638">
        <f t="shared" si="93"/>
        <v>0</v>
      </c>
      <c r="M2638">
        <f t="shared" si="94"/>
        <v>0</v>
      </c>
    </row>
    <row r="2639" spans="12:13" x14ac:dyDescent="0.25">
      <c r="L2639">
        <f t="shared" si="93"/>
        <v>0</v>
      </c>
      <c r="M2639">
        <f t="shared" si="94"/>
        <v>0</v>
      </c>
    </row>
    <row r="2640" spans="12:13" x14ac:dyDescent="0.25">
      <c r="L2640">
        <f t="shared" si="93"/>
        <v>0</v>
      </c>
      <c r="M2640">
        <f t="shared" si="94"/>
        <v>0</v>
      </c>
    </row>
    <row r="2641" spans="12:13" x14ac:dyDescent="0.25">
      <c r="L2641">
        <f t="shared" si="93"/>
        <v>0</v>
      </c>
      <c r="M2641">
        <f t="shared" si="94"/>
        <v>0</v>
      </c>
    </row>
    <row r="2642" spans="12:13" x14ac:dyDescent="0.25">
      <c r="L2642">
        <f t="shared" si="93"/>
        <v>0</v>
      </c>
      <c r="M2642">
        <f t="shared" si="94"/>
        <v>0</v>
      </c>
    </row>
    <row r="2643" spans="12:13" x14ac:dyDescent="0.25">
      <c r="L2643">
        <f t="shared" si="93"/>
        <v>0</v>
      </c>
      <c r="M2643">
        <f t="shared" si="94"/>
        <v>0</v>
      </c>
    </row>
    <row r="2644" spans="12:13" x14ac:dyDescent="0.25">
      <c r="L2644">
        <f t="shared" si="93"/>
        <v>0</v>
      </c>
      <c r="M2644">
        <f t="shared" si="94"/>
        <v>0</v>
      </c>
    </row>
    <row r="2645" spans="12:13" x14ac:dyDescent="0.25">
      <c r="L2645">
        <f t="shared" si="93"/>
        <v>0</v>
      </c>
      <c r="M2645">
        <f t="shared" si="94"/>
        <v>0</v>
      </c>
    </row>
    <row r="2646" spans="12:13" x14ac:dyDescent="0.25">
      <c r="L2646">
        <f t="shared" si="93"/>
        <v>0</v>
      </c>
      <c r="M2646">
        <f t="shared" si="94"/>
        <v>0</v>
      </c>
    </row>
    <row r="2647" spans="12:13" x14ac:dyDescent="0.25">
      <c r="L2647">
        <f t="shared" si="93"/>
        <v>0</v>
      </c>
      <c r="M2647">
        <f t="shared" si="94"/>
        <v>0</v>
      </c>
    </row>
    <row r="2648" spans="12:13" x14ac:dyDescent="0.25">
      <c r="L2648">
        <f t="shared" si="93"/>
        <v>0</v>
      </c>
      <c r="M2648">
        <f t="shared" si="94"/>
        <v>0</v>
      </c>
    </row>
    <row r="2649" spans="12:13" x14ac:dyDescent="0.25">
      <c r="L2649">
        <f t="shared" si="93"/>
        <v>0</v>
      </c>
      <c r="M2649">
        <f t="shared" si="94"/>
        <v>0</v>
      </c>
    </row>
    <row r="2650" spans="12:13" x14ac:dyDescent="0.25">
      <c r="L2650">
        <f t="shared" si="93"/>
        <v>0</v>
      </c>
      <c r="M2650">
        <f t="shared" si="94"/>
        <v>0</v>
      </c>
    </row>
    <row r="2651" spans="12:13" x14ac:dyDescent="0.25">
      <c r="L2651">
        <f t="shared" si="93"/>
        <v>0</v>
      </c>
      <c r="M2651">
        <f t="shared" si="94"/>
        <v>0</v>
      </c>
    </row>
    <row r="2652" spans="12:13" x14ac:dyDescent="0.25">
      <c r="L2652">
        <f t="shared" si="93"/>
        <v>0</v>
      </c>
      <c r="M2652">
        <f t="shared" si="94"/>
        <v>0</v>
      </c>
    </row>
    <row r="2653" spans="12:13" x14ac:dyDescent="0.25">
      <c r="L2653">
        <f t="shared" si="93"/>
        <v>0</v>
      </c>
      <c r="M2653">
        <f t="shared" si="94"/>
        <v>0</v>
      </c>
    </row>
    <row r="2654" spans="12:13" x14ac:dyDescent="0.25">
      <c r="L2654">
        <f t="shared" si="93"/>
        <v>0</v>
      </c>
      <c r="M2654">
        <f t="shared" si="94"/>
        <v>0</v>
      </c>
    </row>
    <row r="2655" spans="12:13" x14ac:dyDescent="0.25">
      <c r="L2655">
        <f t="shared" si="93"/>
        <v>0</v>
      </c>
      <c r="M2655">
        <f t="shared" si="94"/>
        <v>0</v>
      </c>
    </row>
    <row r="2656" spans="12:13" x14ac:dyDescent="0.25">
      <c r="L2656">
        <f t="shared" si="93"/>
        <v>0</v>
      </c>
      <c r="M2656">
        <f t="shared" si="94"/>
        <v>0</v>
      </c>
    </row>
    <row r="2657" spans="12:13" x14ac:dyDescent="0.25">
      <c r="L2657">
        <f t="shared" si="93"/>
        <v>0</v>
      </c>
      <c r="M2657">
        <f t="shared" si="94"/>
        <v>0</v>
      </c>
    </row>
    <row r="2658" spans="12:13" x14ac:dyDescent="0.25">
      <c r="L2658">
        <f t="shared" si="93"/>
        <v>0</v>
      </c>
      <c r="M2658">
        <f t="shared" si="94"/>
        <v>0</v>
      </c>
    </row>
    <row r="2659" spans="12:13" x14ac:dyDescent="0.25">
      <c r="L2659">
        <f t="shared" si="93"/>
        <v>0</v>
      </c>
      <c r="M2659">
        <f t="shared" si="94"/>
        <v>0</v>
      </c>
    </row>
    <row r="2660" spans="12:13" x14ac:dyDescent="0.25">
      <c r="L2660">
        <f t="shared" si="93"/>
        <v>0</v>
      </c>
      <c r="M2660">
        <f t="shared" si="94"/>
        <v>0</v>
      </c>
    </row>
    <row r="2661" spans="12:13" x14ac:dyDescent="0.25">
      <c r="L2661">
        <f t="shared" si="93"/>
        <v>0</v>
      </c>
      <c r="M2661">
        <f t="shared" si="94"/>
        <v>0</v>
      </c>
    </row>
    <row r="2662" spans="12:13" x14ac:dyDescent="0.25">
      <c r="L2662">
        <f t="shared" si="93"/>
        <v>0</v>
      </c>
      <c r="M2662">
        <f t="shared" si="94"/>
        <v>0</v>
      </c>
    </row>
    <row r="2663" spans="12:13" x14ac:dyDescent="0.25">
      <c r="L2663">
        <f t="shared" si="93"/>
        <v>0</v>
      </c>
      <c r="M2663">
        <f t="shared" si="94"/>
        <v>0</v>
      </c>
    </row>
    <row r="2664" spans="12:13" x14ac:dyDescent="0.25">
      <c r="L2664">
        <f t="shared" si="93"/>
        <v>0</v>
      </c>
      <c r="M2664">
        <f t="shared" si="94"/>
        <v>0</v>
      </c>
    </row>
    <row r="2665" spans="12:13" x14ac:dyDescent="0.25">
      <c r="L2665">
        <f t="shared" si="93"/>
        <v>0</v>
      </c>
      <c r="M2665">
        <f t="shared" si="94"/>
        <v>0</v>
      </c>
    </row>
    <row r="2666" spans="12:13" x14ac:dyDescent="0.25">
      <c r="L2666">
        <f t="shared" si="93"/>
        <v>0</v>
      </c>
      <c r="M2666">
        <f t="shared" si="94"/>
        <v>0</v>
      </c>
    </row>
    <row r="2667" spans="12:13" x14ac:dyDescent="0.25">
      <c r="L2667">
        <f t="shared" si="93"/>
        <v>0</v>
      </c>
      <c r="M2667">
        <f t="shared" si="94"/>
        <v>0</v>
      </c>
    </row>
    <row r="2668" spans="12:13" x14ac:dyDescent="0.25">
      <c r="L2668">
        <f t="shared" si="93"/>
        <v>0</v>
      </c>
      <c r="M2668">
        <f t="shared" si="94"/>
        <v>0</v>
      </c>
    </row>
    <row r="2669" spans="12:13" x14ac:dyDescent="0.25">
      <c r="L2669">
        <f t="shared" si="93"/>
        <v>0</v>
      </c>
      <c r="M2669">
        <f t="shared" si="94"/>
        <v>0</v>
      </c>
    </row>
    <row r="2670" spans="12:13" x14ac:dyDescent="0.25">
      <c r="L2670">
        <f t="shared" ref="L2670:L2733" si="95">+I2670+H2670</f>
        <v>0</v>
      </c>
      <c r="M2670">
        <f t="shared" si="94"/>
        <v>0</v>
      </c>
    </row>
    <row r="2671" spans="12:13" x14ac:dyDescent="0.25">
      <c r="L2671">
        <f t="shared" si="95"/>
        <v>0</v>
      </c>
      <c r="M2671">
        <f t="shared" si="94"/>
        <v>0</v>
      </c>
    </row>
    <row r="2672" spans="12:13" x14ac:dyDescent="0.25">
      <c r="L2672">
        <f t="shared" si="95"/>
        <v>0</v>
      </c>
      <c r="M2672">
        <f t="shared" si="94"/>
        <v>0</v>
      </c>
    </row>
    <row r="2673" spans="12:13" x14ac:dyDescent="0.25">
      <c r="L2673">
        <f t="shared" si="95"/>
        <v>0</v>
      </c>
      <c r="M2673">
        <f t="shared" si="94"/>
        <v>0</v>
      </c>
    </row>
    <row r="2674" spans="12:13" x14ac:dyDescent="0.25">
      <c r="L2674">
        <f t="shared" si="95"/>
        <v>0</v>
      </c>
      <c r="M2674">
        <f t="shared" si="94"/>
        <v>0</v>
      </c>
    </row>
    <row r="2675" spans="12:13" x14ac:dyDescent="0.25">
      <c r="L2675">
        <f t="shared" si="95"/>
        <v>0</v>
      </c>
      <c r="M2675">
        <f t="shared" si="94"/>
        <v>0</v>
      </c>
    </row>
    <row r="2676" spans="12:13" x14ac:dyDescent="0.25">
      <c r="L2676">
        <f t="shared" si="95"/>
        <v>0</v>
      </c>
      <c r="M2676">
        <f t="shared" si="94"/>
        <v>0</v>
      </c>
    </row>
    <row r="2677" spans="12:13" x14ac:dyDescent="0.25">
      <c r="L2677">
        <f t="shared" si="95"/>
        <v>0</v>
      </c>
      <c r="M2677">
        <f t="shared" si="94"/>
        <v>0</v>
      </c>
    </row>
    <row r="2678" spans="12:13" x14ac:dyDescent="0.25">
      <c r="L2678">
        <f t="shared" si="95"/>
        <v>0</v>
      </c>
      <c r="M2678">
        <f t="shared" si="94"/>
        <v>0</v>
      </c>
    </row>
    <row r="2679" spans="12:13" x14ac:dyDescent="0.25">
      <c r="L2679">
        <f t="shared" si="95"/>
        <v>0</v>
      </c>
      <c r="M2679">
        <f t="shared" si="94"/>
        <v>0</v>
      </c>
    </row>
    <row r="2680" spans="12:13" x14ac:dyDescent="0.25">
      <c r="L2680">
        <f t="shared" si="95"/>
        <v>0</v>
      </c>
      <c r="M2680">
        <f t="shared" si="94"/>
        <v>0</v>
      </c>
    </row>
    <row r="2681" spans="12:13" x14ac:dyDescent="0.25">
      <c r="L2681">
        <f t="shared" si="95"/>
        <v>0</v>
      </c>
      <c r="M2681">
        <f t="shared" si="94"/>
        <v>0</v>
      </c>
    </row>
    <row r="2682" spans="12:13" x14ac:dyDescent="0.25">
      <c r="L2682">
        <f t="shared" si="95"/>
        <v>0</v>
      </c>
      <c r="M2682">
        <f t="shared" si="94"/>
        <v>0</v>
      </c>
    </row>
    <row r="2683" spans="12:13" x14ac:dyDescent="0.25">
      <c r="L2683">
        <f t="shared" si="95"/>
        <v>0</v>
      </c>
      <c r="M2683">
        <f t="shared" si="94"/>
        <v>0</v>
      </c>
    </row>
    <row r="2684" spans="12:13" x14ac:dyDescent="0.25">
      <c r="L2684">
        <f t="shared" si="95"/>
        <v>0</v>
      </c>
      <c r="M2684">
        <f t="shared" si="94"/>
        <v>0</v>
      </c>
    </row>
    <row r="2685" spans="12:13" x14ac:dyDescent="0.25">
      <c r="L2685">
        <f t="shared" si="95"/>
        <v>0</v>
      </c>
      <c r="M2685">
        <f t="shared" si="94"/>
        <v>0</v>
      </c>
    </row>
    <row r="2686" spans="12:13" x14ac:dyDescent="0.25">
      <c r="L2686">
        <f t="shared" si="95"/>
        <v>0</v>
      </c>
      <c r="M2686">
        <f t="shared" si="94"/>
        <v>0</v>
      </c>
    </row>
    <row r="2687" spans="12:13" x14ac:dyDescent="0.25">
      <c r="L2687">
        <f t="shared" si="95"/>
        <v>0</v>
      </c>
      <c r="M2687">
        <f t="shared" ref="M2687:M2750" si="96">+I2687/IF(H2687 = 0,1,H2687)</f>
        <v>0</v>
      </c>
    </row>
    <row r="2688" spans="12:13" x14ac:dyDescent="0.25">
      <c r="L2688">
        <f t="shared" si="95"/>
        <v>0</v>
      </c>
      <c r="M2688">
        <f t="shared" si="96"/>
        <v>0</v>
      </c>
    </row>
    <row r="2689" spans="12:13" x14ac:dyDescent="0.25">
      <c r="L2689">
        <f t="shared" si="95"/>
        <v>0</v>
      </c>
      <c r="M2689">
        <f t="shared" si="96"/>
        <v>0</v>
      </c>
    </row>
    <row r="2690" spans="12:13" x14ac:dyDescent="0.25">
      <c r="L2690">
        <f t="shared" si="95"/>
        <v>0</v>
      </c>
      <c r="M2690">
        <f t="shared" si="96"/>
        <v>0</v>
      </c>
    </row>
    <row r="2691" spans="12:13" x14ac:dyDescent="0.25">
      <c r="L2691">
        <f t="shared" si="95"/>
        <v>0</v>
      </c>
      <c r="M2691">
        <f t="shared" si="96"/>
        <v>0</v>
      </c>
    </row>
    <row r="2692" spans="12:13" x14ac:dyDescent="0.25">
      <c r="L2692">
        <f t="shared" si="95"/>
        <v>0</v>
      </c>
      <c r="M2692">
        <f t="shared" si="96"/>
        <v>0</v>
      </c>
    </row>
    <row r="2693" spans="12:13" x14ac:dyDescent="0.25">
      <c r="L2693">
        <f t="shared" si="95"/>
        <v>0</v>
      </c>
      <c r="M2693">
        <f t="shared" si="96"/>
        <v>0</v>
      </c>
    </row>
    <row r="2694" spans="12:13" x14ac:dyDescent="0.25">
      <c r="L2694">
        <f t="shared" si="95"/>
        <v>0</v>
      </c>
      <c r="M2694">
        <f t="shared" si="96"/>
        <v>0</v>
      </c>
    </row>
    <row r="2695" spans="12:13" x14ac:dyDescent="0.25">
      <c r="L2695">
        <f t="shared" si="95"/>
        <v>0</v>
      </c>
      <c r="M2695">
        <f t="shared" si="96"/>
        <v>0</v>
      </c>
    </row>
    <row r="2696" spans="12:13" x14ac:dyDescent="0.25">
      <c r="L2696">
        <f t="shared" si="95"/>
        <v>0</v>
      </c>
      <c r="M2696">
        <f t="shared" si="96"/>
        <v>0</v>
      </c>
    </row>
    <row r="2697" spans="12:13" x14ac:dyDescent="0.25">
      <c r="L2697">
        <f t="shared" si="95"/>
        <v>0</v>
      </c>
      <c r="M2697">
        <f t="shared" si="96"/>
        <v>0</v>
      </c>
    </row>
    <row r="2698" spans="12:13" x14ac:dyDescent="0.25">
      <c r="L2698">
        <f t="shared" si="95"/>
        <v>0</v>
      </c>
      <c r="M2698">
        <f t="shared" si="96"/>
        <v>0</v>
      </c>
    </row>
    <row r="2699" spans="12:13" x14ac:dyDescent="0.25">
      <c r="L2699">
        <f t="shared" si="95"/>
        <v>0</v>
      </c>
      <c r="M2699">
        <f t="shared" si="96"/>
        <v>0</v>
      </c>
    </row>
    <row r="2700" spans="12:13" x14ac:dyDescent="0.25">
      <c r="L2700">
        <f t="shared" si="95"/>
        <v>0</v>
      </c>
      <c r="M2700">
        <f t="shared" si="96"/>
        <v>0</v>
      </c>
    </row>
    <row r="2701" spans="12:13" x14ac:dyDescent="0.25">
      <c r="L2701">
        <f t="shared" si="95"/>
        <v>0</v>
      </c>
      <c r="M2701">
        <f t="shared" si="96"/>
        <v>0</v>
      </c>
    </row>
    <row r="2702" spans="12:13" x14ac:dyDescent="0.25">
      <c r="L2702">
        <f t="shared" si="95"/>
        <v>0</v>
      </c>
      <c r="M2702">
        <f t="shared" si="96"/>
        <v>0</v>
      </c>
    </row>
    <row r="2703" spans="12:13" x14ac:dyDescent="0.25">
      <c r="L2703">
        <f t="shared" si="95"/>
        <v>0</v>
      </c>
      <c r="M2703">
        <f t="shared" si="96"/>
        <v>0</v>
      </c>
    </row>
    <row r="2704" spans="12:13" x14ac:dyDescent="0.25">
      <c r="L2704">
        <f t="shared" si="95"/>
        <v>0</v>
      </c>
      <c r="M2704">
        <f t="shared" si="96"/>
        <v>0</v>
      </c>
    </row>
    <row r="2705" spans="12:13" x14ac:dyDescent="0.25">
      <c r="L2705">
        <f t="shared" si="95"/>
        <v>0</v>
      </c>
      <c r="M2705">
        <f t="shared" si="96"/>
        <v>0</v>
      </c>
    </row>
    <row r="2706" spans="12:13" x14ac:dyDescent="0.25">
      <c r="L2706">
        <f t="shared" si="95"/>
        <v>0</v>
      </c>
      <c r="M2706">
        <f t="shared" si="96"/>
        <v>0</v>
      </c>
    </row>
    <row r="2707" spans="12:13" x14ac:dyDescent="0.25">
      <c r="L2707">
        <f t="shared" si="95"/>
        <v>0</v>
      </c>
      <c r="M2707">
        <f t="shared" si="96"/>
        <v>0</v>
      </c>
    </row>
    <row r="2708" spans="12:13" x14ac:dyDescent="0.25">
      <c r="L2708">
        <f t="shared" si="95"/>
        <v>0</v>
      </c>
      <c r="M2708">
        <f t="shared" si="96"/>
        <v>0</v>
      </c>
    </row>
    <row r="2709" spans="12:13" x14ac:dyDescent="0.25">
      <c r="L2709">
        <f t="shared" si="95"/>
        <v>0</v>
      </c>
      <c r="M2709">
        <f t="shared" si="96"/>
        <v>0</v>
      </c>
    </row>
    <row r="2710" spans="12:13" x14ac:dyDescent="0.25">
      <c r="L2710">
        <f t="shared" si="95"/>
        <v>0</v>
      </c>
      <c r="M2710">
        <f t="shared" si="96"/>
        <v>0</v>
      </c>
    </row>
    <row r="2711" spans="12:13" x14ac:dyDescent="0.25">
      <c r="L2711">
        <f t="shared" si="95"/>
        <v>0</v>
      </c>
      <c r="M2711">
        <f t="shared" si="96"/>
        <v>0</v>
      </c>
    </row>
    <row r="2712" spans="12:13" x14ac:dyDescent="0.25">
      <c r="L2712">
        <f t="shared" si="95"/>
        <v>0</v>
      </c>
      <c r="M2712">
        <f t="shared" si="96"/>
        <v>0</v>
      </c>
    </row>
    <row r="2713" spans="12:13" x14ac:dyDescent="0.25">
      <c r="L2713">
        <f t="shared" si="95"/>
        <v>0</v>
      </c>
      <c r="M2713">
        <f t="shared" si="96"/>
        <v>0</v>
      </c>
    </row>
    <row r="2714" spans="12:13" x14ac:dyDescent="0.25">
      <c r="L2714">
        <f t="shared" si="95"/>
        <v>0</v>
      </c>
      <c r="M2714">
        <f t="shared" si="96"/>
        <v>0</v>
      </c>
    </row>
    <row r="2715" spans="12:13" x14ac:dyDescent="0.25">
      <c r="L2715">
        <f t="shared" si="95"/>
        <v>0</v>
      </c>
      <c r="M2715">
        <f t="shared" si="96"/>
        <v>0</v>
      </c>
    </row>
    <row r="2716" spans="12:13" x14ac:dyDescent="0.25">
      <c r="L2716">
        <f t="shared" si="95"/>
        <v>0</v>
      </c>
      <c r="M2716">
        <f t="shared" si="96"/>
        <v>0</v>
      </c>
    </row>
    <row r="2717" spans="12:13" x14ac:dyDescent="0.25">
      <c r="L2717">
        <f t="shared" si="95"/>
        <v>0</v>
      </c>
      <c r="M2717">
        <f t="shared" si="96"/>
        <v>0</v>
      </c>
    </row>
    <row r="2718" spans="12:13" x14ac:dyDescent="0.25">
      <c r="L2718">
        <f t="shared" si="95"/>
        <v>0</v>
      </c>
      <c r="M2718">
        <f t="shared" si="96"/>
        <v>0</v>
      </c>
    </row>
    <row r="2719" spans="12:13" x14ac:dyDescent="0.25">
      <c r="L2719">
        <f t="shared" si="95"/>
        <v>0</v>
      </c>
      <c r="M2719">
        <f t="shared" si="96"/>
        <v>0</v>
      </c>
    </row>
    <row r="2720" spans="12:13" x14ac:dyDescent="0.25">
      <c r="L2720">
        <f t="shared" si="95"/>
        <v>0</v>
      </c>
      <c r="M2720">
        <f t="shared" si="96"/>
        <v>0</v>
      </c>
    </row>
    <row r="2721" spans="12:13" x14ac:dyDescent="0.25">
      <c r="L2721">
        <f t="shared" si="95"/>
        <v>0</v>
      </c>
      <c r="M2721">
        <f t="shared" si="96"/>
        <v>0</v>
      </c>
    </row>
    <row r="2722" spans="12:13" x14ac:dyDescent="0.25">
      <c r="L2722">
        <f t="shared" si="95"/>
        <v>0</v>
      </c>
      <c r="M2722">
        <f t="shared" si="96"/>
        <v>0</v>
      </c>
    </row>
    <row r="2723" spans="12:13" x14ac:dyDescent="0.25">
      <c r="L2723">
        <f t="shared" si="95"/>
        <v>0</v>
      </c>
      <c r="M2723">
        <f t="shared" si="96"/>
        <v>0</v>
      </c>
    </row>
    <row r="2724" spans="12:13" x14ac:dyDescent="0.25">
      <c r="L2724">
        <f t="shared" si="95"/>
        <v>0</v>
      </c>
      <c r="M2724">
        <f t="shared" si="96"/>
        <v>0</v>
      </c>
    </row>
    <row r="2725" spans="12:13" x14ac:dyDescent="0.25">
      <c r="L2725">
        <f t="shared" si="95"/>
        <v>0</v>
      </c>
      <c r="M2725">
        <f t="shared" si="96"/>
        <v>0</v>
      </c>
    </row>
    <row r="2726" spans="12:13" x14ac:dyDescent="0.25">
      <c r="L2726">
        <f t="shared" si="95"/>
        <v>0</v>
      </c>
      <c r="M2726">
        <f t="shared" si="96"/>
        <v>0</v>
      </c>
    </row>
    <row r="2727" spans="12:13" x14ac:dyDescent="0.25">
      <c r="L2727">
        <f t="shared" si="95"/>
        <v>0</v>
      </c>
      <c r="M2727">
        <f t="shared" si="96"/>
        <v>0</v>
      </c>
    </row>
    <row r="2728" spans="12:13" x14ac:dyDescent="0.25">
      <c r="L2728">
        <f t="shared" si="95"/>
        <v>0</v>
      </c>
      <c r="M2728">
        <f t="shared" si="96"/>
        <v>0</v>
      </c>
    </row>
    <row r="2729" spans="12:13" x14ac:dyDescent="0.25">
      <c r="L2729">
        <f t="shared" si="95"/>
        <v>0</v>
      </c>
      <c r="M2729">
        <f t="shared" si="96"/>
        <v>0</v>
      </c>
    </row>
    <row r="2730" spans="12:13" x14ac:dyDescent="0.25">
      <c r="L2730">
        <f t="shared" si="95"/>
        <v>0</v>
      </c>
      <c r="M2730">
        <f t="shared" si="96"/>
        <v>0</v>
      </c>
    </row>
    <row r="2731" spans="12:13" x14ac:dyDescent="0.25">
      <c r="L2731">
        <f t="shared" si="95"/>
        <v>0</v>
      </c>
      <c r="M2731">
        <f t="shared" si="96"/>
        <v>0</v>
      </c>
    </row>
    <row r="2732" spans="12:13" x14ac:dyDescent="0.25">
      <c r="L2732">
        <f t="shared" si="95"/>
        <v>0</v>
      </c>
      <c r="M2732">
        <f t="shared" si="96"/>
        <v>0</v>
      </c>
    </row>
    <row r="2733" spans="12:13" x14ac:dyDescent="0.25">
      <c r="L2733">
        <f t="shared" si="95"/>
        <v>0</v>
      </c>
      <c r="M2733">
        <f t="shared" si="96"/>
        <v>0</v>
      </c>
    </row>
    <row r="2734" spans="12:13" x14ac:dyDescent="0.25">
      <c r="L2734">
        <f t="shared" ref="L2734:L2797" si="97">+I2734+H2734</f>
        <v>0</v>
      </c>
      <c r="M2734">
        <f t="shared" si="96"/>
        <v>0</v>
      </c>
    </row>
    <row r="2735" spans="12:13" x14ac:dyDescent="0.25">
      <c r="L2735">
        <f t="shared" si="97"/>
        <v>0</v>
      </c>
      <c r="M2735">
        <f t="shared" si="96"/>
        <v>0</v>
      </c>
    </row>
    <row r="2736" spans="12:13" x14ac:dyDescent="0.25">
      <c r="L2736">
        <f t="shared" si="97"/>
        <v>0</v>
      </c>
      <c r="M2736">
        <f t="shared" si="96"/>
        <v>0</v>
      </c>
    </row>
    <row r="2737" spans="12:13" x14ac:dyDescent="0.25">
      <c r="L2737">
        <f t="shared" si="97"/>
        <v>0</v>
      </c>
      <c r="M2737">
        <f t="shared" si="96"/>
        <v>0</v>
      </c>
    </row>
    <row r="2738" spans="12:13" x14ac:dyDescent="0.25">
      <c r="L2738">
        <f t="shared" si="97"/>
        <v>0</v>
      </c>
      <c r="M2738">
        <f t="shared" si="96"/>
        <v>0</v>
      </c>
    </row>
    <row r="2739" spans="12:13" x14ac:dyDescent="0.25">
      <c r="L2739">
        <f t="shared" si="97"/>
        <v>0</v>
      </c>
      <c r="M2739">
        <f t="shared" si="96"/>
        <v>0</v>
      </c>
    </row>
    <row r="2740" spans="12:13" x14ac:dyDescent="0.25">
      <c r="L2740">
        <f t="shared" si="97"/>
        <v>0</v>
      </c>
      <c r="M2740">
        <f t="shared" si="96"/>
        <v>0</v>
      </c>
    </row>
    <row r="2741" spans="12:13" x14ac:dyDescent="0.25">
      <c r="L2741">
        <f t="shared" si="97"/>
        <v>0</v>
      </c>
      <c r="M2741">
        <f t="shared" si="96"/>
        <v>0</v>
      </c>
    </row>
    <row r="2742" spans="12:13" x14ac:dyDescent="0.25">
      <c r="L2742">
        <f t="shared" si="97"/>
        <v>0</v>
      </c>
      <c r="M2742">
        <f t="shared" si="96"/>
        <v>0</v>
      </c>
    </row>
    <row r="2743" spans="12:13" x14ac:dyDescent="0.25">
      <c r="L2743">
        <f t="shared" si="97"/>
        <v>0</v>
      </c>
      <c r="M2743">
        <f t="shared" si="96"/>
        <v>0</v>
      </c>
    </row>
    <row r="2744" spans="12:13" x14ac:dyDescent="0.25">
      <c r="L2744">
        <f t="shared" si="97"/>
        <v>0</v>
      </c>
      <c r="M2744">
        <f t="shared" si="96"/>
        <v>0</v>
      </c>
    </row>
    <row r="2745" spans="12:13" x14ac:dyDescent="0.25">
      <c r="L2745">
        <f t="shared" si="97"/>
        <v>0</v>
      </c>
      <c r="M2745">
        <f t="shared" si="96"/>
        <v>0</v>
      </c>
    </row>
    <row r="2746" spans="12:13" x14ac:dyDescent="0.25">
      <c r="L2746">
        <f t="shared" si="97"/>
        <v>0</v>
      </c>
      <c r="M2746">
        <f t="shared" si="96"/>
        <v>0</v>
      </c>
    </row>
    <row r="2747" spans="12:13" x14ac:dyDescent="0.25">
      <c r="L2747">
        <f t="shared" si="97"/>
        <v>0</v>
      </c>
      <c r="M2747">
        <f t="shared" si="96"/>
        <v>0</v>
      </c>
    </row>
    <row r="2748" spans="12:13" x14ac:dyDescent="0.25">
      <c r="L2748">
        <f t="shared" si="97"/>
        <v>0</v>
      </c>
      <c r="M2748">
        <f t="shared" si="96"/>
        <v>0</v>
      </c>
    </row>
    <row r="2749" spans="12:13" x14ac:dyDescent="0.25">
      <c r="L2749">
        <f t="shared" si="97"/>
        <v>0</v>
      </c>
      <c r="M2749">
        <f t="shared" si="96"/>
        <v>0</v>
      </c>
    </row>
    <row r="2750" spans="12:13" x14ac:dyDescent="0.25">
      <c r="L2750">
        <f t="shared" si="97"/>
        <v>0</v>
      </c>
      <c r="M2750">
        <f t="shared" si="96"/>
        <v>0</v>
      </c>
    </row>
    <row r="2751" spans="12:13" x14ac:dyDescent="0.25">
      <c r="L2751">
        <f t="shared" si="97"/>
        <v>0</v>
      </c>
      <c r="M2751">
        <f t="shared" ref="M2751:M2814" si="98">+I2751/IF(H2751 = 0,1,H2751)</f>
        <v>0</v>
      </c>
    </row>
    <row r="2752" spans="12:13" x14ac:dyDescent="0.25">
      <c r="L2752">
        <f t="shared" si="97"/>
        <v>0</v>
      </c>
      <c r="M2752">
        <f t="shared" si="98"/>
        <v>0</v>
      </c>
    </row>
    <row r="2753" spans="12:13" x14ac:dyDescent="0.25">
      <c r="L2753">
        <f t="shared" si="97"/>
        <v>0</v>
      </c>
      <c r="M2753">
        <f t="shared" si="98"/>
        <v>0</v>
      </c>
    </row>
    <row r="2754" spans="12:13" x14ac:dyDescent="0.25">
      <c r="L2754">
        <f t="shared" si="97"/>
        <v>0</v>
      </c>
      <c r="M2754">
        <f t="shared" si="98"/>
        <v>0</v>
      </c>
    </row>
    <row r="2755" spans="12:13" x14ac:dyDescent="0.25">
      <c r="L2755">
        <f t="shared" si="97"/>
        <v>0</v>
      </c>
      <c r="M2755">
        <f t="shared" si="98"/>
        <v>0</v>
      </c>
    </row>
    <row r="2756" spans="12:13" x14ac:dyDescent="0.25">
      <c r="L2756">
        <f t="shared" si="97"/>
        <v>0</v>
      </c>
      <c r="M2756">
        <f t="shared" si="98"/>
        <v>0</v>
      </c>
    </row>
    <row r="2757" spans="12:13" x14ac:dyDescent="0.25">
      <c r="L2757">
        <f t="shared" si="97"/>
        <v>0</v>
      </c>
      <c r="M2757">
        <f t="shared" si="98"/>
        <v>0</v>
      </c>
    </row>
    <row r="2758" spans="12:13" x14ac:dyDescent="0.25">
      <c r="L2758">
        <f t="shared" si="97"/>
        <v>0</v>
      </c>
      <c r="M2758">
        <f t="shared" si="98"/>
        <v>0</v>
      </c>
    </row>
    <row r="2759" spans="12:13" x14ac:dyDescent="0.25">
      <c r="L2759">
        <f t="shared" si="97"/>
        <v>0</v>
      </c>
      <c r="M2759">
        <f t="shared" si="98"/>
        <v>0</v>
      </c>
    </row>
    <row r="2760" spans="12:13" x14ac:dyDescent="0.25">
      <c r="L2760">
        <f t="shared" si="97"/>
        <v>0</v>
      </c>
      <c r="M2760">
        <f t="shared" si="98"/>
        <v>0</v>
      </c>
    </row>
    <row r="2761" spans="12:13" x14ac:dyDescent="0.25">
      <c r="L2761">
        <f t="shared" si="97"/>
        <v>0</v>
      </c>
      <c r="M2761">
        <f t="shared" si="98"/>
        <v>0</v>
      </c>
    </row>
    <row r="2762" spans="12:13" x14ac:dyDescent="0.25">
      <c r="L2762">
        <f t="shared" si="97"/>
        <v>0</v>
      </c>
      <c r="M2762">
        <f t="shared" si="98"/>
        <v>0</v>
      </c>
    </row>
    <row r="2763" spans="12:13" x14ac:dyDescent="0.25">
      <c r="L2763">
        <f t="shared" si="97"/>
        <v>0</v>
      </c>
      <c r="M2763">
        <f t="shared" si="98"/>
        <v>0</v>
      </c>
    </row>
    <row r="2764" spans="12:13" x14ac:dyDescent="0.25">
      <c r="L2764">
        <f t="shared" si="97"/>
        <v>0</v>
      </c>
      <c r="M2764">
        <f t="shared" si="98"/>
        <v>0</v>
      </c>
    </row>
    <row r="2765" spans="12:13" x14ac:dyDescent="0.25">
      <c r="L2765">
        <f t="shared" si="97"/>
        <v>0</v>
      </c>
      <c r="M2765">
        <f t="shared" si="98"/>
        <v>0</v>
      </c>
    </row>
    <row r="2766" spans="12:13" x14ac:dyDescent="0.25">
      <c r="L2766">
        <f t="shared" si="97"/>
        <v>0</v>
      </c>
      <c r="M2766">
        <f t="shared" si="98"/>
        <v>0</v>
      </c>
    </row>
    <row r="2767" spans="12:13" x14ac:dyDescent="0.25">
      <c r="L2767">
        <f t="shared" si="97"/>
        <v>0</v>
      </c>
      <c r="M2767">
        <f t="shared" si="98"/>
        <v>0</v>
      </c>
    </row>
    <row r="2768" spans="12:13" x14ac:dyDescent="0.25">
      <c r="L2768">
        <f t="shared" si="97"/>
        <v>0</v>
      </c>
      <c r="M2768">
        <f t="shared" si="98"/>
        <v>0</v>
      </c>
    </row>
    <row r="2769" spans="12:13" x14ac:dyDescent="0.25">
      <c r="L2769">
        <f t="shared" si="97"/>
        <v>0</v>
      </c>
      <c r="M2769">
        <f t="shared" si="98"/>
        <v>0</v>
      </c>
    </row>
    <row r="2770" spans="12:13" x14ac:dyDescent="0.25">
      <c r="L2770">
        <f t="shared" si="97"/>
        <v>0</v>
      </c>
      <c r="M2770">
        <f t="shared" si="98"/>
        <v>0</v>
      </c>
    </row>
    <row r="2771" spans="12:13" x14ac:dyDescent="0.25">
      <c r="L2771">
        <f t="shared" si="97"/>
        <v>0</v>
      </c>
      <c r="M2771">
        <f t="shared" si="98"/>
        <v>0</v>
      </c>
    </row>
    <row r="2772" spans="12:13" x14ac:dyDescent="0.25">
      <c r="L2772">
        <f t="shared" si="97"/>
        <v>0</v>
      </c>
      <c r="M2772">
        <f t="shared" si="98"/>
        <v>0</v>
      </c>
    </row>
    <row r="2773" spans="12:13" x14ac:dyDescent="0.25">
      <c r="L2773">
        <f t="shared" si="97"/>
        <v>0</v>
      </c>
      <c r="M2773">
        <f t="shared" si="98"/>
        <v>0</v>
      </c>
    </row>
    <row r="2774" spans="12:13" x14ac:dyDescent="0.25">
      <c r="L2774">
        <f t="shared" si="97"/>
        <v>0</v>
      </c>
      <c r="M2774">
        <f t="shared" si="98"/>
        <v>0</v>
      </c>
    </row>
    <row r="2775" spans="12:13" x14ac:dyDescent="0.25">
      <c r="L2775">
        <f t="shared" si="97"/>
        <v>0</v>
      </c>
      <c r="M2775">
        <f t="shared" si="98"/>
        <v>0</v>
      </c>
    </row>
    <row r="2776" spans="12:13" x14ac:dyDescent="0.25">
      <c r="L2776">
        <f t="shared" si="97"/>
        <v>0</v>
      </c>
      <c r="M2776">
        <f t="shared" si="98"/>
        <v>0</v>
      </c>
    </row>
    <row r="2777" spans="12:13" x14ac:dyDescent="0.25">
      <c r="L2777">
        <f t="shared" si="97"/>
        <v>0</v>
      </c>
      <c r="M2777">
        <f t="shared" si="98"/>
        <v>0</v>
      </c>
    </row>
    <row r="2778" spans="12:13" x14ac:dyDescent="0.25">
      <c r="L2778">
        <f t="shared" si="97"/>
        <v>0</v>
      </c>
      <c r="M2778">
        <f t="shared" si="98"/>
        <v>0</v>
      </c>
    </row>
    <row r="2779" spans="12:13" x14ac:dyDescent="0.25">
      <c r="L2779">
        <f t="shared" si="97"/>
        <v>0</v>
      </c>
      <c r="M2779">
        <f t="shared" si="98"/>
        <v>0</v>
      </c>
    </row>
    <row r="2780" spans="12:13" x14ac:dyDescent="0.25">
      <c r="L2780">
        <f t="shared" si="97"/>
        <v>0</v>
      </c>
      <c r="M2780">
        <f t="shared" si="98"/>
        <v>0</v>
      </c>
    </row>
    <row r="2781" spans="12:13" x14ac:dyDescent="0.25">
      <c r="L2781">
        <f t="shared" si="97"/>
        <v>0</v>
      </c>
      <c r="M2781">
        <f t="shared" si="98"/>
        <v>0</v>
      </c>
    </row>
    <row r="2782" spans="12:13" x14ac:dyDescent="0.25">
      <c r="L2782">
        <f t="shared" si="97"/>
        <v>0</v>
      </c>
      <c r="M2782">
        <f t="shared" si="98"/>
        <v>0</v>
      </c>
    </row>
    <row r="2783" spans="12:13" x14ac:dyDescent="0.25">
      <c r="L2783">
        <f t="shared" si="97"/>
        <v>0</v>
      </c>
      <c r="M2783">
        <f t="shared" si="98"/>
        <v>0</v>
      </c>
    </row>
    <row r="2784" spans="12:13" x14ac:dyDescent="0.25">
      <c r="L2784">
        <f t="shared" si="97"/>
        <v>0</v>
      </c>
      <c r="M2784">
        <f t="shared" si="98"/>
        <v>0</v>
      </c>
    </row>
    <row r="2785" spans="12:13" x14ac:dyDescent="0.25">
      <c r="L2785">
        <f t="shared" si="97"/>
        <v>0</v>
      </c>
      <c r="M2785">
        <f t="shared" si="98"/>
        <v>0</v>
      </c>
    </row>
    <row r="2786" spans="12:13" x14ac:dyDescent="0.25">
      <c r="L2786">
        <f t="shared" si="97"/>
        <v>0</v>
      </c>
      <c r="M2786">
        <f t="shared" si="98"/>
        <v>0</v>
      </c>
    </row>
    <row r="2787" spans="12:13" x14ac:dyDescent="0.25">
      <c r="L2787">
        <f t="shared" si="97"/>
        <v>0</v>
      </c>
      <c r="M2787">
        <f t="shared" si="98"/>
        <v>0</v>
      </c>
    </row>
    <row r="2788" spans="12:13" x14ac:dyDescent="0.25">
      <c r="L2788">
        <f t="shared" si="97"/>
        <v>0</v>
      </c>
      <c r="M2788">
        <f t="shared" si="98"/>
        <v>0</v>
      </c>
    </row>
    <row r="2789" spans="12:13" x14ac:dyDescent="0.25">
      <c r="L2789">
        <f t="shared" si="97"/>
        <v>0</v>
      </c>
      <c r="M2789">
        <f t="shared" si="98"/>
        <v>0</v>
      </c>
    </row>
    <row r="2790" spans="12:13" x14ac:dyDescent="0.25">
      <c r="L2790">
        <f t="shared" si="97"/>
        <v>0</v>
      </c>
      <c r="M2790">
        <f t="shared" si="98"/>
        <v>0</v>
      </c>
    </row>
    <row r="2791" spans="12:13" x14ac:dyDescent="0.25">
      <c r="L2791">
        <f t="shared" si="97"/>
        <v>0</v>
      </c>
      <c r="M2791">
        <f t="shared" si="98"/>
        <v>0</v>
      </c>
    </row>
    <row r="2792" spans="12:13" x14ac:dyDescent="0.25">
      <c r="L2792">
        <f t="shared" si="97"/>
        <v>0</v>
      </c>
      <c r="M2792">
        <f t="shared" si="98"/>
        <v>0</v>
      </c>
    </row>
    <row r="2793" spans="12:13" x14ac:dyDescent="0.25">
      <c r="L2793">
        <f t="shared" si="97"/>
        <v>0</v>
      </c>
      <c r="M2793">
        <f t="shared" si="98"/>
        <v>0</v>
      </c>
    </row>
    <row r="2794" spans="12:13" x14ac:dyDescent="0.25">
      <c r="L2794">
        <f t="shared" si="97"/>
        <v>0</v>
      </c>
      <c r="M2794">
        <f t="shared" si="98"/>
        <v>0</v>
      </c>
    </row>
    <row r="2795" spans="12:13" x14ac:dyDescent="0.25">
      <c r="L2795">
        <f t="shared" si="97"/>
        <v>0</v>
      </c>
      <c r="M2795">
        <f t="shared" si="98"/>
        <v>0</v>
      </c>
    </row>
    <row r="2796" spans="12:13" x14ac:dyDescent="0.25">
      <c r="L2796">
        <f t="shared" si="97"/>
        <v>0</v>
      </c>
      <c r="M2796">
        <f t="shared" si="98"/>
        <v>0</v>
      </c>
    </row>
    <row r="2797" spans="12:13" x14ac:dyDescent="0.25">
      <c r="L2797">
        <f t="shared" si="97"/>
        <v>0</v>
      </c>
      <c r="M2797">
        <f t="shared" si="98"/>
        <v>0</v>
      </c>
    </row>
    <row r="2798" spans="12:13" x14ac:dyDescent="0.25">
      <c r="L2798">
        <f t="shared" ref="L2798:L2861" si="99">+I2798+H2798</f>
        <v>0</v>
      </c>
      <c r="M2798">
        <f t="shared" si="98"/>
        <v>0</v>
      </c>
    </row>
    <row r="2799" spans="12:13" x14ac:dyDescent="0.25">
      <c r="L2799">
        <f t="shared" si="99"/>
        <v>0</v>
      </c>
      <c r="M2799">
        <f t="shared" si="98"/>
        <v>0</v>
      </c>
    </row>
    <row r="2800" spans="12:13" x14ac:dyDescent="0.25">
      <c r="L2800">
        <f t="shared" si="99"/>
        <v>0</v>
      </c>
      <c r="M2800">
        <f t="shared" si="98"/>
        <v>0</v>
      </c>
    </row>
    <row r="2801" spans="12:13" x14ac:dyDescent="0.25">
      <c r="L2801">
        <f t="shared" si="99"/>
        <v>0</v>
      </c>
      <c r="M2801">
        <f t="shared" si="98"/>
        <v>0</v>
      </c>
    </row>
    <row r="2802" spans="12:13" x14ac:dyDescent="0.25">
      <c r="L2802">
        <f t="shared" si="99"/>
        <v>0</v>
      </c>
      <c r="M2802">
        <f t="shared" si="98"/>
        <v>0</v>
      </c>
    </row>
    <row r="2803" spans="12:13" x14ac:dyDescent="0.25">
      <c r="L2803">
        <f t="shared" si="99"/>
        <v>0</v>
      </c>
      <c r="M2803">
        <f t="shared" si="98"/>
        <v>0</v>
      </c>
    </row>
    <row r="2804" spans="12:13" x14ac:dyDescent="0.25">
      <c r="L2804">
        <f t="shared" si="99"/>
        <v>0</v>
      </c>
      <c r="M2804">
        <f t="shared" si="98"/>
        <v>0</v>
      </c>
    </row>
    <row r="2805" spans="12:13" x14ac:dyDescent="0.25">
      <c r="L2805">
        <f t="shared" si="99"/>
        <v>0</v>
      </c>
      <c r="M2805">
        <f t="shared" si="98"/>
        <v>0</v>
      </c>
    </row>
    <row r="2806" spans="12:13" x14ac:dyDescent="0.25">
      <c r="L2806">
        <f t="shared" si="99"/>
        <v>0</v>
      </c>
      <c r="M2806">
        <f t="shared" si="98"/>
        <v>0</v>
      </c>
    </row>
    <row r="2807" spans="12:13" x14ac:dyDescent="0.25">
      <c r="L2807">
        <f t="shared" si="99"/>
        <v>0</v>
      </c>
      <c r="M2807">
        <f t="shared" si="98"/>
        <v>0</v>
      </c>
    </row>
    <row r="2808" spans="12:13" x14ac:dyDescent="0.25">
      <c r="L2808">
        <f t="shared" si="99"/>
        <v>0</v>
      </c>
      <c r="M2808">
        <f t="shared" si="98"/>
        <v>0</v>
      </c>
    </row>
    <row r="2809" spans="12:13" x14ac:dyDescent="0.25">
      <c r="L2809">
        <f t="shared" si="99"/>
        <v>0</v>
      </c>
      <c r="M2809">
        <f t="shared" si="98"/>
        <v>0</v>
      </c>
    </row>
    <row r="2810" spans="12:13" x14ac:dyDescent="0.25">
      <c r="L2810">
        <f t="shared" si="99"/>
        <v>0</v>
      </c>
      <c r="M2810">
        <f t="shared" si="98"/>
        <v>0</v>
      </c>
    </row>
    <row r="2811" spans="12:13" x14ac:dyDescent="0.25">
      <c r="L2811">
        <f t="shared" si="99"/>
        <v>0</v>
      </c>
      <c r="M2811">
        <f t="shared" si="98"/>
        <v>0</v>
      </c>
    </row>
    <row r="2812" spans="12:13" x14ac:dyDescent="0.25">
      <c r="L2812">
        <f t="shared" si="99"/>
        <v>0</v>
      </c>
      <c r="M2812">
        <f t="shared" si="98"/>
        <v>0</v>
      </c>
    </row>
    <row r="2813" spans="12:13" x14ac:dyDescent="0.25">
      <c r="L2813">
        <f t="shared" si="99"/>
        <v>0</v>
      </c>
      <c r="M2813">
        <f t="shared" si="98"/>
        <v>0</v>
      </c>
    </row>
    <row r="2814" spans="12:13" x14ac:dyDescent="0.25">
      <c r="L2814">
        <f t="shared" si="99"/>
        <v>0</v>
      </c>
      <c r="M2814">
        <f t="shared" si="98"/>
        <v>0</v>
      </c>
    </row>
    <row r="2815" spans="12:13" x14ac:dyDescent="0.25">
      <c r="L2815">
        <f t="shared" si="99"/>
        <v>0</v>
      </c>
      <c r="M2815">
        <f t="shared" ref="M2815:M2878" si="100">+I2815/IF(H2815 = 0,1,H2815)</f>
        <v>0</v>
      </c>
    </row>
    <row r="2816" spans="12:13" x14ac:dyDescent="0.25">
      <c r="L2816">
        <f t="shared" si="99"/>
        <v>0</v>
      </c>
      <c r="M2816">
        <f t="shared" si="100"/>
        <v>0</v>
      </c>
    </row>
    <row r="2817" spans="12:13" x14ac:dyDescent="0.25">
      <c r="L2817">
        <f t="shared" si="99"/>
        <v>0</v>
      </c>
      <c r="M2817">
        <f t="shared" si="100"/>
        <v>0</v>
      </c>
    </row>
    <row r="2818" spans="12:13" x14ac:dyDescent="0.25">
      <c r="L2818">
        <f t="shared" si="99"/>
        <v>0</v>
      </c>
      <c r="M2818">
        <f t="shared" si="100"/>
        <v>0</v>
      </c>
    </row>
    <row r="2819" spans="12:13" x14ac:dyDescent="0.25">
      <c r="L2819">
        <f t="shared" si="99"/>
        <v>0</v>
      </c>
      <c r="M2819">
        <f t="shared" si="100"/>
        <v>0</v>
      </c>
    </row>
    <row r="2820" spans="12:13" x14ac:dyDescent="0.25">
      <c r="L2820">
        <f t="shared" si="99"/>
        <v>0</v>
      </c>
      <c r="M2820">
        <f t="shared" si="100"/>
        <v>0</v>
      </c>
    </row>
    <row r="2821" spans="12:13" x14ac:dyDescent="0.25">
      <c r="L2821">
        <f t="shared" si="99"/>
        <v>0</v>
      </c>
      <c r="M2821">
        <f t="shared" si="100"/>
        <v>0</v>
      </c>
    </row>
    <row r="2822" spans="12:13" x14ac:dyDescent="0.25">
      <c r="L2822">
        <f t="shared" si="99"/>
        <v>0</v>
      </c>
      <c r="M2822">
        <f t="shared" si="100"/>
        <v>0</v>
      </c>
    </row>
    <row r="2823" spans="12:13" x14ac:dyDescent="0.25">
      <c r="L2823">
        <f t="shared" si="99"/>
        <v>0</v>
      </c>
      <c r="M2823">
        <f t="shared" si="100"/>
        <v>0</v>
      </c>
    </row>
    <row r="2824" spans="12:13" x14ac:dyDescent="0.25">
      <c r="L2824">
        <f t="shared" si="99"/>
        <v>0</v>
      </c>
      <c r="M2824">
        <f t="shared" si="100"/>
        <v>0</v>
      </c>
    </row>
    <row r="2825" spans="12:13" x14ac:dyDescent="0.25">
      <c r="L2825">
        <f t="shared" si="99"/>
        <v>0</v>
      </c>
      <c r="M2825">
        <f t="shared" si="100"/>
        <v>0</v>
      </c>
    </row>
    <row r="2826" spans="12:13" x14ac:dyDescent="0.25">
      <c r="L2826">
        <f t="shared" si="99"/>
        <v>0</v>
      </c>
      <c r="M2826">
        <f t="shared" si="100"/>
        <v>0</v>
      </c>
    </row>
    <row r="2827" spans="12:13" x14ac:dyDescent="0.25">
      <c r="L2827">
        <f t="shared" si="99"/>
        <v>0</v>
      </c>
      <c r="M2827">
        <f t="shared" si="100"/>
        <v>0</v>
      </c>
    </row>
    <row r="2828" spans="12:13" x14ac:dyDescent="0.25">
      <c r="L2828">
        <f t="shared" si="99"/>
        <v>0</v>
      </c>
      <c r="M2828">
        <f t="shared" si="100"/>
        <v>0</v>
      </c>
    </row>
    <row r="2829" spans="12:13" x14ac:dyDescent="0.25">
      <c r="L2829">
        <f t="shared" si="99"/>
        <v>0</v>
      </c>
      <c r="M2829">
        <f t="shared" si="100"/>
        <v>0</v>
      </c>
    </row>
    <row r="2830" spans="12:13" x14ac:dyDescent="0.25">
      <c r="L2830">
        <f t="shared" si="99"/>
        <v>0</v>
      </c>
      <c r="M2830">
        <f t="shared" si="100"/>
        <v>0</v>
      </c>
    </row>
    <row r="2831" spans="12:13" x14ac:dyDescent="0.25">
      <c r="L2831">
        <f t="shared" si="99"/>
        <v>0</v>
      </c>
      <c r="M2831">
        <f t="shared" si="100"/>
        <v>0</v>
      </c>
    </row>
    <row r="2832" spans="12:13" x14ac:dyDescent="0.25">
      <c r="L2832">
        <f t="shared" si="99"/>
        <v>0</v>
      </c>
      <c r="M2832">
        <f t="shared" si="100"/>
        <v>0</v>
      </c>
    </row>
    <row r="2833" spans="12:13" x14ac:dyDescent="0.25">
      <c r="L2833">
        <f t="shared" si="99"/>
        <v>0</v>
      </c>
      <c r="M2833">
        <f t="shared" si="100"/>
        <v>0</v>
      </c>
    </row>
    <row r="2834" spans="12:13" x14ac:dyDescent="0.25">
      <c r="L2834">
        <f t="shared" si="99"/>
        <v>0</v>
      </c>
      <c r="M2834">
        <f t="shared" si="100"/>
        <v>0</v>
      </c>
    </row>
    <row r="2835" spans="12:13" x14ac:dyDescent="0.25">
      <c r="L2835">
        <f t="shared" si="99"/>
        <v>0</v>
      </c>
      <c r="M2835">
        <f t="shared" si="100"/>
        <v>0</v>
      </c>
    </row>
    <row r="2836" spans="12:13" x14ac:dyDescent="0.25">
      <c r="L2836">
        <f t="shared" si="99"/>
        <v>0</v>
      </c>
      <c r="M2836">
        <f t="shared" si="100"/>
        <v>0</v>
      </c>
    </row>
    <row r="2837" spans="12:13" x14ac:dyDescent="0.25">
      <c r="L2837">
        <f t="shared" si="99"/>
        <v>0</v>
      </c>
      <c r="M2837">
        <f t="shared" si="100"/>
        <v>0</v>
      </c>
    </row>
    <row r="2838" spans="12:13" x14ac:dyDescent="0.25">
      <c r="L2838">
        <f t="shared" si="99"/>
        <v>0</v>
      </c>
      <c r="M2838">
        <f t="shared" si="100"/>
        <v>0</v>
      </c>
    </row>
    <row r="2839" spans="12:13" x14ac:dyDescent="0.25">
      <c r="L2839">
        <f t="shared" si="99"/>
        <v>0</v>
      </c>
      <c r="M2839">
        <f t="shared" si="100"/>
        <v>0</v>
      </c>
    </row>
    <row r="2840" spans="12:13" x14ac:dyDescent="0.25">
      <c r="L2840">
        <f t="shared" si="99"/>
        <v>0</v>
      </c>
      <c r="M2840">
        <f t="shared" si="100"/>
        <v>0</v>
      </c>
    </row>
    <row r="2841" spans="12:13" x14ac:dyDescent="0.25">
      <c r="L2841">
        <f t="shared" si="99"/>
        <v>0</v>
      </c>
      <c r="M2841">
        <f t="shared" si="100"/>
        <v>0</v>
      </c>
    </row>
    <row r="2842" spans="12:13" x14ac:dyDescent="0.25">
      <c r="L2842">
        <f t="shared" si="99"/>
        <v>0</v>
      </c>
      <c r="M2842">
        <f t="shared" si="100"/>
        <v>0</v>
      </c>
    </row>
    <row r="2843" spans="12:13" x14ac:dyDescent="0.25">
      <c r="L2843">
        <f t="shared" si="99"/>
        <v>0</v>
      </c>
      <c r="M2843">
        <f t="shared" si="100"/>
        <v>0</v>
      </c>
    </row>
    <row r="2844" spans="12:13" x14ac:dyDescent="0.25">
      <c r="L2844">
        <f t="shared" si="99"/>
        <v>0</v>
      </c>
      <c r="M2844">
        <f t="shared" si="100"/>
        <v>0</v>
      </c>
    </row>
    <row r="2845" spans="12:13" x14ac:dyDescent="0.25">
      <c r="L2845">
        <f t="shared" si="99"/>
        <v>0</v>
      </c>
      <c r="M2845">
        <f t="shared" si="100"/>
        <v>0</v>
      </c>
    </row>
    <row r="2846" spans="12:13" x14ac:dyDescent="0.25">
      <c r="L2846">
        <f t="shared" si="99"/>
        <v>0</v>
      </c>
      <c r="M2846">
        <f t="shared" si="100"/>
        <v>0</v>
      </c>
    </row>
    <row r="2847" spans="12:13" x14ac:dyDescent="0.25">
      <c r="L2847">
        <f t="shared" si="99"/>
        <v>0</v>
      </c>
      <c r="M2847">
        <f t="shared" si="100"/>
        <v>0</v>
      </c>
    </row>
    <row r="2848" spans="12:13" x14ac:dyDescent="0.25">
      <c r="L2848">
        <f t="shared" si="99"/>
        <v>0</v>
      </c>
      <c r="M2848">
        <f t="shared" si="100"/>
        <v>0</v>
      </c>
    </row>
    <row r="2849" spans="12:13" x14ac:dyDescent="0.25">
      <c r="L2849">
        <f t="shared" si="99"/>
        <v>0</v>
      </c>
      <c r="M2849">
        <f t="shared" si="100"/>
        <v>0</v>
      </c>
    </row>
    <row r="2850" spans="12:13" x14ac:dyDescent="0.25">
      <c r="L2850">
        <f t="shared" si="99"/>
        <v>0</v>
      </c>
      <c r="M2850">
        <f t="shared" si="100"/>
        <v>0</v>
      </c>
    </row>
    <row r="2851" spans="12:13" x14ac:dyDescent="0.25">
      <c r="L2851">
        <f t="shared" si="99"/>
        <v>0</v>
      </c>
      <c r="M2851">
        <f t="shared" si="100"/>
        <v>0</v>
      </c>
    </row>
    <row r="2852" spans="12:13" x14ac:dyDescent="0.25">
      <c r="L2852">
        <f t="shared" si="99"/>
        <v>0</v>
      </c>
      <c r="M2852">
        <f t="shared" si="100"/>
        <v>0</v>
      </c>
    </row>
    <row r="2853" spans="12:13" x14ac:dyDescent="0.25">
      <c r="L2853">
        <f t="shared" si="99"/>
        <v>0</v>
      </c>
      <c r="M2853">
        <f t="shared" si="100"/>
        <v>0</v>
      </c>
    </row>
    <row r="2854" spans="12:13" x14ac:dyDescent="0.25">
      <c r="L2854">
        <f t="shared" si="99"/>
        <v>0</v>
      </c>
      <c r="M2854">
        <f t="shared" si="100"/>
        <v>0</v>
      </c>
    </row>
    <row r="2855" spans="12:13" x14ac:dyDescent="0.25">
      <c r="L2855">
        <f t="shared" si="99"/>
        <v>0</v>
      </c>
      <c r="M2855">
        <f t="shared" si="100"/>
        <v>0</v>
      </c>
    </row>
    <row r="2856" spans="12:13" x14ac:dyDescent="0.25">
      <c r="L2856">
        <f t="shared" si="99"/>
        <v>0</v>
      </c>
      <c r="M2856">
        <f t="shared" si="100"/>
        <v>0</v>
      </c>
    </row>
    <row r="2857" spans="12:13" x14ac:dyDescent="0.25">
      <c r="L2857">
        <f t="shared" si="99"/>
        <v>0</v>
      </c>
      <c r="M2857">
        <f t="shared" si="100"/>
        <v>0</v>
      </c>
    </row>
    <row r="2858" spans="12:13" x14ac:dyDescent="0.25">
      <c r="L2858">
        <f t="shared" si="99"/>
        <v>0</v>
      </c>
      <c r="M2858">
        <f t="shared" si="100"/>
        <v>0</v>
      </c>
    </row>
    <row r="2859" spans="12:13" x14ac:dyDescent="0.25">
      <c r="L2859">
        <f t="shared" si="99"/>
        <v>0</v>
      </c>
      <c r="M2859">
        <f t="shared" si="100"/>
        <v>0</v>
      </c>
    </row>
    <row r="2860" spans="12:13" x14ac:dyDescent="0.25">
      <c r="L2860">
        <f t="shared" si="99"/>
        <v>0</v>
      </c>
      <c r="M2860">
        <f t="shared" si="100"/>
        <v>0</v>
      </c>
    </row>
    <row r="2861" spans="12:13" x14ac:dyDescent="0.25">
      <c r="L2861">
        <f t="shared" si="99"/>
        <v>0</v>
      </c>
      <c r="M2861">
        <f t="shared" si="100"/>
        <v>0</v>
      </c>
    </row>
    <row r="2862" spans="12:13" x14ac:dyDescent="0.25">
      <c r="L2862">
        <f t="shared" ref="L2862:L2925" si="101">+I2862+H2862</f>
        <v>0</v>
      </c>
      <c r="M2862">
        <f t="shared" si="100"/>
        <v>0</v>
      </c>
    </row>
    <row r="2863" spans="12:13" x14ac:dyDescent="0.25">
      <c r="L2863">
        <f t="shared" si="101"/>
        <v>0</v>
      </c>
      <c r="M2863">
        <f t="shared" si="100"/>
        <v>0</v>
      </c>
    </row>
    <row r="2864" spans="12:13" x14ac:dyDescent="0.25">
      <c r="L2864">
        <f t="shared" si="101"/>
        <v>0</v>
      </c>
      <c r="M2864">
        <f t="shared" si="100"/>
        <v>0</v>
      </c>
    </row>
    <row r="2865" spans="12:13" x14ac:dyDescent="0.25">
      <c r="L2865">
        <f t="shared" si="101"/>
        <v>0</v>
      </c>
      <c r="M2865">
        <f t="shared" si="100"/>
        <v>0</v>
      </c>
    </row>
    <row r="2866" spans="12:13" x14ac:dyDescent="0.25">
      <c r="L2866">
        <f t="shared" si="101"/>
        <v>0</v>
      </c>
      <c r="M2866">
        <f t="shared" si="100"/>
        <v>0</v>
      </c>
    </row>
    <row r="2867" spans="12:13" x14ac:dyDescent="0.25">
      <c r="L2867">
        <f t="shared" si="101"/>
        <v>0</v>
      </c>
      <c r="M2867">
        <f t="shared" si="100"/>
        <v>0</v>
      </c>
    </row>
    <row r="2868" spans="12:13" x14ac:dyDescent="0.25">
      <c r="L2868">
        <f t="shared" si="101"/>
        <v>0</v>
      </c>
      <c r="M2868">
        <f t="shared" si="100"/>
        <v>0</v>
      </c>
    </row>
    <row r="2869" spans="12:13" x14ac:dyDescent="0.25">
      <c r="L2869">
        <f t="shared" si="101"/>
        <v>0</v>
      </c>
      <c r="M2869">
        <f t="shared" si="100"/>
        <v>0</v>
      </c>
    </row>
    <row r="2870" spans="12:13" x14ac:dyDescent="0.25">
      <c r="L2870">
        <f t="shared" si="101"/>
        <v>0</v>
      </c>
      <c r="M2870">
        <f t="shared" si="100"/>
        <v>0</v>
      </c>
    </row>
    <row r="2871" spans="12:13" x14ac:dyDescent="0.25">
      <c r="L2871">
        <f t="shared" si="101"/>
        <v>0</v>
      </c>
      <c r="M2871">
        <f t="shared" si="100"/>
        <v>0</v>
      </c>
    </row>
    <row r="2872" spans="12:13" x14ac:dyDescent="0.25">
      <c r="L2872">
        <f t="shared" si="101"/>
        <v>0</v>
      </c>
      <c r="M2872">
        <f t="shared" si="100"/>
        <v>0</v>
      </c>
    </row>
    <row r="2873" spans="12:13" x14ac:dyDescent="0.25">
      <c r="L2873">
        <f t="shared" si="101"/>
        <v>0</v>
      </c>
      <c r="M2873">
        <f t="shared" si="100"/>
        <v>0</v>
      </c>
    </row>
    <row r="2874" spans="12:13" x14ac:dyDescent="0.25">
      <c r="L2874">
        <f t="shared" si="101"/>
        <v>0</v>
      </c>
      <c r="M2874">
        <f t="shared" si="100"/>
        <v>0</v>
      </c>
    </row>
    <row r="2875" spans="12:13" x14ac:dyDescent="0.25">
      <c r="L2875">
        <f t="shared" si="101"/>
        <v>0</v>
      </c>
      <c r="M2875">
        <f t="shared" si="100"/>
        <v>0</v>
      </c>
    </row>
    <row r="2876" spans="12:13" x14ac:dyDescent="0.25">
      <c r="L2876">
        <f t="shared" si="101"/>
        <v>0</v>
      </c>
      <c r="M2876">
        <f t="shared" si="100"/>
        <v>0</v>
      </c>
    </row>
    <row r="2877" spans="12:13" x14ac:dyDescent="0.25">
      <c r="L2877">
        <f t="shared" si="101"/>
        <v>0</v>
      </c>
      <c r="M2877">
        <f t="shared" si="100"/>
        <v>0</v>
      </c>
    </row>
    <row r="2878" spans="12:13" x14ac:dyDescent="0.25">
      <c r="L2878">
        <f t="shared" si="101"/>
        <v>0</v>
      </c>
      <c r="M2878">
        <f t="shared" si="100"/>
        <v>0</v>
      </c>
    </row>
    <row r="2879" spans="12:13" x14ac:dyDescent="0.25">
      <c r="L2879">
        <f t="shared" si="101"/>
        <v>0</v>
      </c>
      <c r="M2879">
        <f t="shared" ref="M2879:M2942" si="102">+I2879/IF(H2879 = 0,1,H2879)</f>
        <v>0</v>
      </c>
    </row>
    <row r="2880" spans="12:13" x14ac:dyDescent="0.25">
      <c r="L2880">
        <f t="shared" si="101"/>
        <v>0</v>
      </c>
      <c r="M2880">
        <f t="shared" si="102"/>
        <v>0</v>
      </c>
    </row>
    <row r="2881" spans="12:13" x14ac:dyDescent="0.25">
      <c r="L2881">
        <f t="shared" si="101"/>
        <v>0</v>
      </c>
      <c r="M2881">
        <f t="shared" si="102"/>
        <v>0</v>
      </c>
    </row>
    <row r="2882" spans="12:13" x14ac:dyDescent="0.25">
      <c r="L2882">
        <f t="shared" si="101"/>
        <v>0</v>
      </c>
      <c r="M2882">
        <f t="shared" si="102"/>
        <v>0</v>
      </c>
    </row>
    <row r="2883" spans="12:13" x14ac:dyDescent="0.25">
      <c r="L2883">
        <f t="shared" si="101"/>
        <v>0</v>
      </c>
      <c r="M2883">
        <f t="shared" si="102"/>
        <v>0</v>
      </c>
    </row>
    <row r="2884" spans="12:13" x14ac:dyDescent="0.25">
      <c r="L2884">
        <f t="shared" si="101"/>
        <v>0</v>
      </c>
      <c r="M2884">
        <f t="shared" si="102"/>
        <v>0</v>
      </c>
    </row>
    <row r="2885" spans="12:13" x14ac:dyDescent="0.25">
      <c r="L2885">
        <f t="shared" si="101"/>
        <v>0</v>
      </c>
      <c r="M2885">
        <f t="shared" si="102"/>
        <v>0</v>
      </c>
    </row>
    <row r="2886" spans="12:13" x14ac:dyDescent="0.25">
      <c r="L2886">
        <f t="shared" si="101"/>
        <v>0</v>
      </c>
      <c r="M2886">
        <f t="shared" si="102"/>
        <v>0</v>
      </c>
    </row>
    <row r="2887" spans="12:13" x14ac:dyDescent="0.25">
      <c r="L2887">
        <f t="shared" si="101"/>
        <v>0</v>
      </c>
      <c r="M2887">
        <f t="shared" si="102"/>
        <v>0</v>
      </c>
    </row>
    <row r="2888" spans="12:13" x14ac:dyDescent="0.25">
      <c r="L2888">
        <f t="shared" si="101"/>
        <v>0</v>
      </c>
      <c r="M2888">
        <f t="shared" si="102"/>
        <v>0</v>
      </c>
    </row>
    <row r="2889" spans="12:13" x14ac:dyDescent="0.25">
      <c r="L2889">
        <f t="shared" si="101"/>
        <v>0</v>
      </c>
      <c r="M2889">
        <f t="shared" si="102"/>
        <v>0</v>
      </c>
    </row>
    <row r="2890" spans="12:13" x14ac:dyDescent="0.25">
      <c r="L2890">
        <f t="shared" si="101"/>
        <v>0</v>
      </c>
      <c r="M2890">
        <f t="shared" si="102"/>
        <v>0</v>
      </c>
    </row>
    <row r="2891" spans="12:13" x14ac:dyDescent="0.25">
      <c r="L2891">
        <f t="shared" si="101"/>
        <v>0</v>
      </c>
      <c r="M2891">
        <f t="shared" si="102"/>
        <v>0</v>
      </c>
    </row>
    <row r="2892" spans="12:13" x14ac:dyDescent="0.25">
      <c r="L2892">
        <f t="shared" si="101"/>
        <v>0</v>
      </c>
      <c r="M2892">
        <f t="shared" si="102"/>
        <v>0</v>
      </c>
    </row>
    <row r="2893" spans="12:13" x14ac:dyDescent="0.25">
      <c r="L2893">
        <f t="shared" si="101"/>
        <v>0</v>
      </c>
      <c r="M2893">
        <f t="shared" si="102"/>
        <v>0</v>
      </c>
    </row>
    <row r="2894" spans="12:13" x14ac:dyDescent="0.25">
      <c r="L2894">
        <f t="shared" si="101"/>
        <v>0</v>
      </c>
      <c r="M2894">
        <f t="shared" si="102"/>
        <v>0</v>
      </c>
    </row>
    <row r="2895" spans="12:13" x14ac:dyDescent="0.25">
      <c r="L2895">
        <f t="shared" si="101"/>
        <v>0</v>
      </c>
      <c r="M2895">
        <f t="shared" si="102"/>
        <v>0</v>
      </c>
    </row>
    <row r="2896" spans="12:13" x14ac:dyDescent="0.25">
      <c r="L2896">
        <f t="shared" si="101"/>
        <v>0</v>
      </c>
      <c r="M2896">
        <f t="shared" si="102"/>
        <v>0</v>
      </c>
    </row>
    <row r="2897" spans="12:13" x14ac:dyDescent="0.25">
      <c r="L2897">
        <f t="shared" si="101"/>
        <v>0</v>
      </c>
      <c r="M2897">
        <f t="shared" si="102"/>
        <v>0</v>
      </c>
    </row>
    <row r="2898" spans="12:13" x14ac:dyDescent="0.25">
      <c r="L2898">
        <f t="shared" si="101"/>
        <v>0</v>
      </c>
      <c r="M2898">
        <f t="shared" si="102"/>
        <v>0</v>
      </c>
    </row>
    <row r="2899" spans="12:13" x14ac:dyDescent="0.25">
      <c r="L2899">
        <f t="shared" si="101"/>
        <v>0</v>
      </c>
      <c r="M2899">
        <f t="shared" si="102"/>
        <v>0</v>
      </c>
    </row>
    <row r="2900" spans="12:13" x14ac:dyDescent="0.25">
      <c r="L2900">
        <f t="shared" si="101"/>
        <v>0</v>
      </c>
      <c r="M2900">
        <f t="shared" si="102"/>
        <v>0</v>
      </c>
    </row>
    <row r="2901" spans="12:13" x14ac:dyDescent="0.25">
      <c r="L2901">
        <f t="shared" si="101"/>
        <v>0</v>
      </c>
      <c r="M2901">
        <f t="shared" si="102"/>
        <v>0</v>
      </c>
    </row>
    <row r="2902" spans="12:13" x14ac:dyDescent="0.25">
      <c r="L2902">
        <f t="shared" si="101"/>
        <v>0</v>
      </c>
      <c r="M2902">
        <f t="shared" si="102"/>
        <v>0</v>
      </c>
    </row>
    <row r="2903" spans="12:13" x14ac:dyDescent="0.25">
      <c r="L2903">
        <f t="shared" si="101"/>
        <v>0</v>
      </c>
      <c r="M2903">
        <f t="shared" si="102"/>
        <v>0</v>
      </c>
    </row>
    <row r="2904" spans="12:13" x14ac:dyDescent="0.25">
      <c r="L2904">
        <f t="shared" si="101"/>
        <v>0</v>
      </c>
      <c r="M2904">
        <f t="shared" si="102"/>
        <v>0</v>
      </c>
    </row>
    <row r="2905" spans="12:13" x14ac:dyDescent="0.25">
      <c r="L2905">
        <f t="shared" si="101"/>
        <v>0</v>
      </c>
      <c r="M2905">
        <f t="shared" si="102"/>
        <v>0</v>
      </c>
    </row>
    <row r="2906" spans="12:13" x14ac:dyDescent="0.25">
      <c r="L2906">
        <f t="shared" si="101"/>
        <v>0</v>
      </c>
      <c r="M2906">
        <f t="shared" si="102"/>
        <v>0</v>
      </c>
    </row>
    <row r="2907" spans="12:13" x14ac:dyDescent="0.25">
      <c r="L2907">
        <f t="shared" si="101"/>
        <v>0</v>
      </c>
      <c r="M2907">
        <f t="shared" si="102"/>
        <v>0</v>
      </c>
    </row>
    <row r="2908" spans="12:13" x14ac:dyDescent="0.25">
      <c r="L2908">
        <f t="shared" si="101"/>
        <v>0</v>
      </c>
      <c r="M2908">
        <f t="shared" si="102"/>
        <v>0</v>
      </c>
    </row>
    <row r="2909" spans="12:13" x14ac:dyDescent="0.25">
      <c r="L2909">
        <f t="shared" si="101"/>
        <v>0</v>
      </c>
      <c r="M2909">
        <f t="shared" si="102"/>
        <v>0</v>
      </c>
    </row>
    <row r="2910" spans="12:13" x14ac:dyDescent="0.25">
      <c r="L2910">
        <f t="shared" si="101"/>
        <v>0</v>
      </c>
      <c r="M2910">
        <f t="shared" si="102"/>
        <v>0</v>
      </c>
    </row>
    <row r="2911" spans="12:13" x14ac:dyDescent="0.25">
      <c r="L2911">
        <f t="shared" si="101"/>
        <v>0</v>
      </c>
      <c r="M2911">
        <f t="shared" si="102"/>
        <v>0</v>
      </c>
    </row>
    <row r="2912" spans="12:13" x14ac:dyDescent="0.25">
      <c r="L2912">
        <f t="shared" si="101"/>
        <v>0</v>
      </c>
      <c r="M2912">
        <f t="shared" si="102"/>
        <v>0</v>
      </c>
    </row>
    <row r="2913" spans="12:13" x14ac:dyDescent="0.25">
      <c r="L2913">
        <f t="shared" si="101"/>
        <v>0</v>
      </c>
      <c r="M2913">
        <f t="shared" si="102"/>
        <v>0</v>
      </c>
    </row>
    <row r="2914" spans="12:13" x14ac:dyDescent="0.25">
      <c r="L2914">
        <f t="shared" si="101"/>
        <v>0</v>
      </c>
      <c r="M2914">
        <f t="shared" si="102"/>
        <v>0</v>
      </c>
    </row>
    <row r="2915" spans="12:13" x14ac:dyDescent="0.25">
      <c r="L2915">
        <f t="shared" si="101"/>
        <v>0</v>
      </c>
      <c r="M2915">
        <f t="shared" si="102"/>
        <v>0</v>
      </c>
    </row>
    <row r="2916" spans="12:13" x14ac:dyDescent="0.25">
      <c r="L2916">
        <f t="shared" si="101"/>
        <v>0</v>
      </c>
      <c r="M2916">
        <f t="shared" si="102"/>
        <v>0</v>
      </c>
    </row>
    <row r="2917" spans="12:13" x14ac:dyDescent="0.25">
      <c r="L2917">
        <f t="shared" si="101"/>
        <v>0</v>
      </c>
      <c r="M2917">
        <f t="shared" si="102"/>
        <v>0</v>
      </c>
    </row>
    <row r="2918" spans="12:13" x14ac:dyDescent="0.25">
      <c r="L2918">
        <f t="shared" si="101"/>
        <v>0</v>
      </c>
      <c r="M2918">
        <f t="shared" si="102"/>
        <v>0</v>
      </c>
    </row>
    <row r="2919" spans="12:13" x14ac:dyDescent="0.25">
      <c r="L2919">
        <f t="shared" si="101"/>
        <v>0</v>
      </c>
      <c r="M2919">
        <f t="shared" si="102"/>
        <v>0</v>
      </c>
    </row>
    <row r="2920" spans="12:13" x14ac:dyDescent="0.25">
      <c r="L2920">
        <f t="shared" si="101"/>
        <v>0</v>
      </c>
      <c r="M2920">
        <f t="shared" si="102"/>
        <v>0</v>
      </c>
    </row>
    <row r="2921" spans="12:13" x14ac:dyDescent="0.25">
      <c r="L2921">
        <f t="shared" si="101"/>
        <v>0</v>
      </c>
      <c r="M2921">
        <f t="shared" si="102"/>
        <v>0</v>
      </c>
    </row>
    <row r="2922" spans="12:13" x14ac:dyDescent="0.25">
      <c r="L2922">
        <f t="shared" si="101"/>
        <v>0</v>
      </c>
      <c r="M2922">
        <f t="shared" si="102"/>
        <v>0</v>
      </c>
    </row>
    <row r="2923" spans="12:13" x14ac:dyDescent="0.25">
      <c r="L2923">
        <f t="shared" si="101"/>
        <v>0</v>
      </c>
      <c r="M2923">
        <f t="shared" si="102"/>
        <v>0</v>
      </c>
    </row>
    <row r="2924" spans="12:13" x14ac:dyDescent="0.25">
      <c r="L2924">
        <f t="shared" si="101"/>
        <v>0</v>
      </c>
      <c r="M2924">
        <f t="shared" si="102"/>
        <v>0</v>
      </c>
    </row>
    <row r="2925" spans="12:13" x14ac:dyDescent="0.25">
      <c r="L2925">
        <f t="shared" si="101"/>
        <v>0</v>
      </c>
      <c r="M2925">
        <f t="shared" si="102"/>
        <v>0</v>
      </c>
    </row>
    <row r="2926" spans="12:13" x14ac:dyDescent="0.25">
      <c r="L2926">
        <f t="shared" ref="L2926:L2989" si="103">+I2926+H2926</f>
        <v>0</v>
      </c>
      <c r="M2926">
        <f t="shared" si="102"/>
        <v>0</v>
      </c>
    </row>
    <row r="2927" spans="12:13" x14ac:dyDescent="0.25">
      <c r="L2927">
        <f t="shared" si="103"/>
        <v>0</v>
      </c>
      <c r="M2927">
        <f t="shared" si="102"/>
        <v>0</v>
      </c>
    </row>
    <row r="2928" spans="12:13" x14ac:dyDescent="0.25">
      <c r="L2928">
        <f t="shared" si="103"/>
        <v>0</v>
      </c>
      <c r="M2928">
        <f t="shared" si="102"/>
        <v>0</v>
      </c>
    </row>
    <row r="2929" spans="12:13" x14ac:dyDescent="0.25">
      <c r="L2929">
        <f t="shared" si="103"/>
        <v>0</v>
      </c>
      <c r="M2929">
        <f t="shared" si="102"/>
        <v>0</v>
      </c>
    </row>
    <row r="2930" spans="12:13" x14ac:dyDescent="0.25">
      <c r="L2930">
        <f t="shared" si="103"/>
        <v>0</v>
      </c>
      <c r="M2930">
        <f t="shared" si="102"/>
        <v>0</v>
      </c>
    </row>
    <row r="2931" spans="12:13" x14ac:dyDescent="0.25">
      <c r="L2931">
        <f t="shared" si="103"/>
        <v>0</v>
      </c>
      <c r="M2931">
        <f t="shared" si="102"/>
        <v>0</v>
      </c>
    </row>
    <row r="2932" spans="12:13" x14ac:dyDescent="0.25">
      <c r="L2932">
        <f t="shared" si="103"/>
        <v>0</v>
      </c>
      <c r="M2932">
        <f t="shared" si="102"/>
        <v>0</v>
      </c>
    </row>
    <row r="2933" spans="12:13" x14ac:dyDescent="0.25">
      <c r="L2933">
        <f t="shared" si="103"/>
        <v>0</v>
      </c>
      <c r="M2933">
        <f t="shared" si="102"/>
        <v>0</v>
      </c>
    </row>
    <row r="2934" spans="12:13" x14ac:dyDescent="0.25">
      <c r="L2934">
        <f t="shared" si="103"/>
        <v>0</v>
      </c>
      <c r="M2934">
        <f t="shared" si="102"/>
        <v>0</v>
      </c>
    </row>
    <row r="2935" spans="12:13" x14ac:dyDescent="0.25">
      <c r="L2935">
        <f t="shared" si="103"/>
        <v>0</v>
      </c>
      <c r="M2935">
        <f t="shared" si="102"/>
        <v>0</v>
      </c>
    </row>
    <row r="2936" spans="12:13" x14ac:dyDescent="0.25">
      <c r="L2936">
        <f t="shared" si="103"/>
        <v>0</v>
      </c>
      <c r="M2936">
        <f t="shared" si="102"/>
        <v>0</v>
      </c>
    </row>
    <row r="2937" spans="12:13" x14ac:dyDescent="0.25">
      <c r="L2937">
        <f t="shared" si="103"/>
        <v>0</v>
      </c>
      <c r="M2937">
        <f t="shared" si="102"/>
        <v>0</v>
      </c>
    </row>
    <row r="2938" spans="12:13" x14ac:dyDescent="0.25">
      <c r="L2938">
        <f t="shared" si="103"/>
        <v>0</v>
      </c>
      <c r="M2938">
        <f t="shared" si="102"/>
        <v>0</v>
      </c>
    </row>
    <row r="2939" spans="12:13" x14ac:dyDescent="0.25">
      <c r="L2939">
        <f t="shared" si="103"/>
        <v>0</v>
      </c>
      <c r="M2939">
        <f t="shared" si="102"/>
        <v>0</v>
      </c>
    </row>
    <row r="2940" spans="12:13" x14ac:dyDescent="0.25">
      <c r="L2940">
        <f t="shared" si="103"/>
        <v>0</v>
      </c>
      <c r="M2940">
        <f t="shared" si="102"/>
        <v>0</v>
      </c>
    </row>
    <row r="2941" spans="12:13" x14ac:dyDescent="0.25">
      <c r="L2941">
        <f t="shared" si="103"/>
        <v>0</v>
      </c>
      <c r="M2941">
        <f t="shared" si="102"/>
        <v>0</v>
      </c>
    </row>
    <row r="2942" spans="12:13" x14ac:dyDescent="0.25">
      <c r="L2942">
        <f t="shared" si="103"/>
        <v>0</v>
      </c>
      <c r="M2942">
        <f t="shared" si="102"/>
        <v>0</v>
      </c>
    </row>
    <row r="2943" spans="12:13" x14ac:dyDescent="0.25">
      <c r="L2943">
        <f t="shared" si="103"/>
        <v>0</v>
      </c>
      <c r="M2943">
        <f t="shared" ref="M2943:M3006" si="104">+I2943/IF(H2943 = 0,1,H2943)</f>
        <v>0</v>
      </c>
    </row>
    <row r="2944" spans="12:13" x14ac:dyDescent="0.25">
      <c r="L2944">
        <f t="shared" si="103"/>
        <v>0</v>
      </c>
      <c r="M2944">
        <f t="shared" si="104"/>
        <v>0</v>
      </c>
    </row>
    <row r="2945" spans="12:13" x14ac:dyDescent="0.25">
      <c r="L2945">
        <f t="shared" si="103"/>
        <v>0</v>
      </c>
      <c r="M2945">
        <f t="shared" si="104"/>
        <v>0</v>
      </c>
    </row>
    <row r="2946" spans="12:13" x14ac:dyDescent="0.25">
      <c r="L2946">
        <f t="shared" si="103"/>
        <v>0</v>
      </c>
      <c r="M2946">
        <f t="shared" si="104"/>
        <v>0</v>
      </c>
    </row>
    <row r="2947" spans="12:13" x14ac:dyDescent="0.25">
      <c r="L2947">
        <f t="shared" si="103"/>
        <v>0</v>
      </c>
      <c r="M2947">
        <f t="shared" si="104"/>
        <v>0</v>
      </c>
    </row>
    <row r="2948" spans="12:13" x14ac:dyDescent="0.25">
      <c r="L2948">
        <f t="shared" si="103"/>
        <v>0</v>
      </c>
      <c r="M2948">
        <f t="shared" si="104"/>
        <v>0</v>
      </c>
    </row>
    <row r="2949" spans="12:13" x14ac:dyDescent="0.25">
      <c r="L2949">
        <f t="shared" si="103"/>
        <v>0</v>
      </c>
      <c r="M2949">
        <f t="shared" si="104"/>
        <v>0</v>
      </c>
    </row>
    <row r="2950" spans="12:13" x14ac:dyDescent="0.25">
      <c r="L2950">
        <f t="shared" si="103"/>
        <v>0</v>
      </c>
      <c r="M2950">
        <f t="shared" si="104"/>
        <v>0</v>
      </c>
    </row>
    <row r="2951" spans="12:13" x14ac:dyDescent="0.25">
      <c r="L2951">
        <f t="shared" si="103"/>
        <v>0</v>
      </c>
      <c r="M2951">
        <f t="shared" si="104"/>
        <v>0</v>
      </c>
    </row>
    <row r="2952" spans="12:13" x14ac:dyDescent="0.25">
      <c r="L2952">
        <f t="shared" si="103"/>
        <v>0</v>
      </c>
      <c r="M2952">
        <f t="shared" si="104"/>
        <v>0</v>
      </c>
    </row>
    <row r="2953" spans="12:13" x14ac:dyDescent="0.25">
      <c r="L2953">
        <f t="shared" si="103"/>
        <v>0</v>
      </c>
      <c r="M2953">
        <f t="shared" si="104"/>
        <v>0</v>
      </c>
    </row>
    <row r="2954" spans="12:13" x14ac:dyDescent="0.25">
      <c r="L2954">
        <f t="shared" si="103"/>
        <v>0</v>
      </c>
      <c r="M2954">
        <f t="shared" si="104"/>
        <v>0</v>
      </c>
    </row>
    <row r="2955" spans="12:13" x14ac:dyDescent="0.25">
      <c r="L2955">
        <f t="shared" si="103"/>
        <v>0</v>
      </c>
      <c r="M2955">
        <f t="shared" si="104"/>
        <v>0</v>
      </c>
    </row>
    <row r="2956" spans="12:13" x14ac:dyDescent="0.25">
      <c r="L2956">
        <f t="shared" si="103"/>
        <v>0</v>
      </c>
      <c r="M2956">
        <f t="shared" si="104"/>
        <v>0</v>
      </c>
    </row>
    <row r="2957" spans="12:13" x14ac:dyDescent="0.25">
      <c r="L2957">
        <f t="shared" si="103"/>
        <v>0</v>
      </c>
      <c r="M2957">
        <f t="shared" si="104"/>
        <v>0</v>
      </c>
    </row>
    <row r="2958" spans="12:13" x14ac:dyDescent="0.25">
      <c r="L2958">
        <f t="shared" si="103"/>
        <v>0</v>
      </c>
      <c r="M2958">
        <f t="shared" si="104"/>
        <v>0</v>
      </c>
    </row>
    <row r="2959" spans="12:13" x14ac:dyDescent="0.25">
      <c r="L2959">
        <f t="shared" si="103"/>
        <v>0</v>
      </c>
      <c r="M2959">
        <f t="shared" si="104"/>
        <v>0</v>
      </c>
    </row>
    <row r="2960" spans="12:13" x14ac:dyDescent="0.25">
      <c r="L2960">
        <f t="shared" si="103"/>
        <v>0</v>
      </c>
      <c r="M2960">
        <f t="shared" si="104"/>
        <v>0</v>
      </c>
    </row>
    <row r="2961" spans="12:13" x14ac:dyDescent="0.25">
      <c r="L2961">
        <f t="shared" si="103"/>
        <v>0</v>
      </c>
      <c r="M2961">
        <f t="shared" si="104"/>
        <v>0</v>
      </c>
    </row>
    <row r="2962" spans="12:13" x14ac:dyDescent="0.25">
      <c r="L2962">
        <f t="shared" si="103"/>
        <v>0</v>
      </c>
      <c r="M2962">
        <f t="shared" si="104"/>
        <v>0</v>
      </c>
    </row>
    <row r="2963" spans="12:13" x14ac:dyDescent="0.25">
      <c r="L2963">
        <f t="shared" si="103"/>
        <v>0</v>
      </c>
      <c r="M2963">
        <f t="shared" si="104"/>
        <v>0</v>
      </c>
    </row>
    <row r="2964" spans="12:13" x14ac:dyDescent="0.25">
      <c r="L2964">
        <f t="shared" si="103"/>
        <v>0</v>
      </c>
      <c r="M2964">
        <f t="shared" si="104"/>
        <v>0</v>
      </c>
    </row>
    <row r="2965" spans="12:13" x14ac:dyDescent="0.25">
      <c r="L2965">
        <f t="shared" si="103"/>
        <v>0</v>
      </c>
      <c r="M2965">
        <f t="shared" si="104"/>
        <v>0</v>
      </c>
    </row>
    <row r="2966" spans="12:13" x14ac:dyDescent="0.25">
      <c r="L2966">
        <f t="shared" si="103"/>
        <v>0</v>
      </c>
      <c r="M2966">
        <f t="shared" si="104"/>
        <v>0</v>
      </c>
    </row>
    <row r="2967" spans="12:13" x14ac:dyDescent="0.25">
      <c r="L2967">
        <f t="shared" si="103"/>
        <v>0</v>
      </c>
      <c r="M2967">
        <f t="shared" si="104"/>
        <v>0</v>
      </c>
    </row>
    <row r="2968" spans="12:13" x14ac:dyDescent="0.25">
      <c r="L2968">
        <f t="shared" si="103"/>
        <v>0</v>
      </c>
      <c r="M2968">
        <f t="shared" si="104"/>
        <v>0</v>
      </c>
    </row>
    <row r="2969" spans="12:13" x14ac:dyDescent="0.25">
      <c r="L2969">
        <f t="shared" si="103"/>
        <v>0</v>
      </c>
      <c r="M2969">
        <f t="shared" si="104"/>
        <v>0</v>
      </c>
    </row>
    <row r="2970" spans="12:13" x14ac:dyDescent="0.25">
      <c r="L2970">
        <f t="shared" si="103"/>
        <v>0</v>
      </c>
      <c r="M2970">
        <f t="shared" si="104"/>
        <v>0</v>
      </c>
    </row>
    <row r="2971" spans="12:13" x14ac:dyDescent="0.25">
      <c r="L2971">
        <f t="shared" si="103"/>
        <v>0</v>
      </c>
      <c r="M2971">
        <f t="shared" si="104"/>
        <v>0</v>
      </c>
    </row>
    <row r="2972" spans="12:13" x14ac:dyDescent="0.25">
      <c r="L2972">
        <f t="shared" si="103"/>
        <v>0</v>
      </c>
      <c r="M2972">
        <f t="shared" si="104"/>
        <v>0</v>
      </c>
    </row>
    <row r="2973" spans="12:13" x14ac:dyDescent="0.25">
      <c r="L2973">
        <f t="shared" si="103"/>
        <v>0</v>
      </c>
      <c r="M2973">
        <f t="shared" si="104"/>
        <v>0</v>
      </c>
    </row>
    <row r="2974" spans="12:13" x14ac:dyDescent="0.25">
      <c r="L2974">
        <f t="shared" si="103"/>
        <v>0</v>
      </c>
      <c r="M2974">
        <f t="shared" si="104"/>
        <v>0</v>
      </c>
    </row>
    <row r="2975" spans="12:13" x14ac:dyDescent="0.25">
      <c r="L2975">
        <f t="shared" si="103"/>
        <v>0</v>
      </c>
      <c r="M2975">
        <f t="shared" si="104"/>
        <v>0</v>
      </c>
    </row>
    <row r="2976" spans="12:13" x14ac:dyDescent="0.25">
      <c r="L2976">
        <f t="shared" si="103"/>
        <v>0</v>
      </c>
      <c r="M2976">
        <f t="shared" si="104"/>
        <v>0</v>
      </c>
    </row>
    <row r="2977" spans="12:13" x14ac:dyDescent="0.25">
      <c r="L2977">
        <f t="shared" si="103"/>
        <v>0</v>
      </c>
      <c r="M2977">
        <f t="shared" si="104"/>
        <v>0</v>
      </c>
    </row>
    <row r="2978" spans="12:13" x14ac:dyDescent="0.25">
      <c r="L2978">
        <f t="shared" si="103"/>
        <v>0</v>
      </c>
      <c r="M2978">
        <f t="shared" si="104"/>
        <v>0</v>
      </c>
    </row>
    <row r="2979" spans="12:13" x14ac:dyDescent="0.25">
      <c r="L2979">
        <f t="shared" si="103"/>
        <v>0</v>
      </c>
      <c r="M2979">
        <f t="shared" si="104"/>
        <v>0</v>
      </c>
    </row>
    <row r="2980" spans="12:13" x14ac:dyDescent="0.25">
      <c r="L2980">
        <f t="shared" si="103"/>
        <v>0</v>
      </c>
      <c r="M2980">
        <f t="shared" si="104"/>
        <v>0</v>
      </c>
    </row>
    <row r="2981" spans="12:13" x14ac:dyDescent="0.25">
      <c r="L2981">
        <f t="shared" si="103"/>
        <v>0</v>
      </c>
      <c r="M2981">
        <f t="shared" si="104"/>
        <v>0</v>
      </c>
    </row>
    <row r="2982" spans="12:13" x14ac:dyDescent="0.25">
      <c r="L2982">
        <f t="shared" si="103"/>
        <v>0</v>
      </c>
      <c r="M2982">
        <f t="shared" si="104"/>
        <v>0</v>
      </c>
    </row>
    <row r="2983" spans="12:13" x14ac:dyDescent="0.25">
      <c r="L2983">
        <f t="shared" si="103"/>
        <v>0</v>
      </c>
      <c r="M2983">
        <f t="shared" si="104"/>
        <v>0</v>
      </c>
    </row>
    <row r="2984" spans="12:13" x14ac:dyDescent="0.25">
      <c r="L2984">
        <f t="shared" si="103"/>
        <v>0</v>
      </c>
      <c r="M2984">
        <f t="shared" si="104"/>
        <v>0</v>
      </c>
    </row>
    <row r="2985" spans="12:13" x14ac:dyDescent="0.25">
      <c r="L2985">
        <f t="shared" si="103"/>
        <v>0</v>
      </c>
      <c r="M2985">
        <f t="shared" si="104"/>
        <v>0</v>
      </c>
    </row>
    <row r="2986" spans="12:13" x14ac:dyDescent="0.25">
      <c r="L2986">
        <f t="shared" si="103"/>
        <v>0</v>
      </c>
      <c r="M2986">
        <f t="shared" si="104"/>
        <v>0</v>
      </c>
    </row>
    <row r="2987" spans="12:13" x14ac:dyDescent="0.25">
      <c r="L2987">
        <f t="shared" si="103"/>
        <v>0</v>
      </c>
      <c r="M2987">
        <f t="shared" si="104"/>
        <v>0</v>
      </c>
    </row>
    <row r="2988" spans="12:13" x14ac:dyDescent="0.25">
      <c r="L2988">
        <f t="shared" si="103"/>
        <v>0</v>
      </c>
      <c r="M2988">
        <f t="shared" si="104"/>
        <v>0</v>
      </c>
    </row>
    <row r="2989" spans="12:13" x14ac:dyDescent="0.25">
      <c r="L2989">
        <f t="shared" si="103"/>
        <v>0</v>
      </c>
      <c r="M2989">
        <f t="shared" si="104"/>
        <v>0</v>
      </c>
    </row>
    <row r="2990" spans="12:13" x14ac:dyDescent="0.25">
      <c r="L2990">
        <f t="shared" ref="L2990:L3053" si="105">+I2990+H2990</f>
        <v>0</v>
      </c>
      <c r="M2990">
        <f t="shared" si="104"/>
        <v>0</v>
      </c>
    </row>
    <row r="2991" spans="12:13" x14ac:dyDescent="0.25">
      <c r="L2991">
        <f t="shared" si="105"/>
        <v>0</v>
      </c>
      <c r="M2991">
        <f t="shared" si="104"/>
        <v>0</v>
      </c>
    </row>
    <row r="2992" spans="12:13" x14ac:dyDescent="0.25">
      <c r="L2992">
        <f t="shared" si="105"/>
        <v>0</v>
      </c>
      <c r="M2992">
        <f t="shared" si="104"/>
        <v>0</v>
      </c>
    </row>
    <row r="2993" spans="12:13" x14ac:dyDescent="0.25">
      <c r="L2993">
        <f t="shared" si="105"/>
        <v>0</v>
      </c>
      <c r="M2993">
        <f t="shared" si="104"/>
        <v>0</v>
      </c>
    </row>
    <row r="2994" spans="12:13" x14ac:dyDescent="0.25">
      <c r="L2994">
        <f t="shared" si="105"/>
        <v>0</v>
      </c>
      <c r="M2994">
        <f t="shared" si="104"/>
        <v>0</v>
      </c>
    </row>
    <row r="2995" spans="12:13" x14ac:dyDescent="0.25">
      <c r="L2995">
        <f t="shared" si="105"/>
        <v>0</v>
      </c>
      <c r="M2995">
        <f t="shared" si="104"/>
        <v>0</v>
      </c>
    </row>
    <row r="2996" spans="12:13" x14ac:dyDescent="0.25">
      <c r="L2996">
        <f t="shared" si="105"/>
        <v>0</v>
      </c>
      <c r="M2996">
        <f t="shared" si="104"/>
        <v>0</v>
      </c>
    </row>
    <row r="2997" spans="12:13" x14ac:dyDescent="0.25">
      <c r="L2997">
        <f t="shared" si="105"/>
        <v>0</v>
      </c>
      <c r="M2997">
        <f t="shared" si="104"/>
        <v>0</v>
      </c>
    </row>
    <row r="2998" spans="12:13" x14ac:dyDescent="0.25">
      <c r="L2998">
        <f t="shared" si="105"/>
        <v>0</v>
      </c>
      <c r="M2998">
        <f t="shared" si="104"/>
        <v>0</v>
      </c>
    </row>
    <row r="2999" spans="12:13" x14ac:dyDescent="0.25">
      <c r="L2999">
        <f t="shared" si="105"/>
        <v>0</v>
      </c>
      <c r="M2999">
        <f t="shared" si="104"/>
        <v>0</v>
      </c>
    </row>
    <row r="3000" spans="12:13" x14ac:dyDescent="0.25">
      <c r="L3000">
        <f t="shared" si="105"/>
        <v>0</v>
      </c>
      <c r="M3000">
        <f t="shared" si="104"/>
        <v>0</v>
      </c>
    </row>
    <row r="3001" spans="12:13" x14ac:dyDescent="0.25">
      <c r="L3001">
        <f t="shared" si="105"/>
        <v>0</v>
      </c>
      <c r="M3001">
        <f t="shared" si="104"/>
        <v>0</v>
      </c>
    </row>
    <row r="3002" spans="12:13" x14ac:dyDescent="0.25">
      <c r="L3002">
        <f t="shared" si="105"/>
        <v>0</v>
      </c>
      <c r="M3002">
        <f t="shared" si="104"/>
        <v>0</v>
      </c>
    </row>
    <row r="3003" spans="12:13" x14ac:dyDescent="0.25">
      <c r="L3003">
        <f t="shared" si="105"/>
        <v>0</v>
      </c>
      <c r="M3003">
        <f t="shared" si="104"/>
        <v>0</v>
      </c>
    </row>
    <row r="3004" spans="12:13" x14ac:dyDescent="0.25">
      <c r="L3004">
        <f t="shared" si="105"/>
        <v>0</v>
      </c>
      <c r="M3004">
        <f t="shared" si="104"/>
        <v>0</v>
      </c>
    </row>
    <row r="3005" spans="12:13" x14ac:dyDescent="0.25">
      <c r="L3005">
        <f t="shared" si="105"/>
        <v>0</v>
      </c>
      <c r="M3005">
        <f t="shared" si="104"/>
        <v>0</v>
      </c>
    </row>
    <row r="3006" spans="12:13" x14ac:dyDescent="0.25">
      <c r="L3006">
        <f t="shared" si="105"/>
        <v>0</v>
      </c>
      <c r="M3006">
        <f t="shared" si="104"/>
        <v>0</v>
      </c>
    </row>
    <row r="3007" spans="12:13" x14ac:dyDescent="0.25">
      <c r="L3007">
        <f t="shared" si="105"/>
        <v>0</v>
      </c>
      <c r="M3007">
        <f t="shared" ref="M3007:M3070" si="106">+I3007/IF(H3007 = 0,1,H3007)</f>
        <v>0</v>
      </c>
    </row>
    <row r="3008" spans="12:13" x14ac:dyDescent="0.25">
      <c r="L3008">
        <f t="shared" si="105"/>
        <v>0</v>
      </c>
      <c r="M3008">
        <f t="shared" si="106"/>
        <v>0</v>
      </c>
    </row>
    <row r="3009" spans="12:13" x14ac:dyDescent="0.25">
      <c r="L3009">
        <f t="shared" si="105"/>
        <v>0</v>
      </c>
      <c r="M3009">
        <f t="shared" si="106"/>
        <v>0</v>
      </c>
    </row>
    <row r="3010" spans="12:13" x14ac:dyDescent="0.25">
      <c r="L3010">
        <f t="shared" si="105"/>
        <v>0</v>
      </c>
      <c r="M3010">
        <f t="shared" si="106"/>
        <v>0</v>
      </c>
    </row>
    <row r="3011" spans="12:13" x14ac:dyDescent="0.25">
      <c r="L3011">
        <f t="shared" si="105"/>
        <v>0</v>
      </c>
      <c r="M3011">
        <f t="shared" si="106"/>
        <v>0</v>
      </c>
    </row>
    <row r="3012" spans="12:13" x14ac:dyDescent="0.25">
      <c r="L3012">
        <f t="shared" si="105"/>
        <v>0</v>
      </c>
      <c r="M3012">
        <f t="shared" si="106"/>
        <v>0</v>
      </c>
    </row>
    <row r="3013" spans="12:13" x14ac:dyDescent="0.25">
      <c r="L3013">
        <f t="shared" si="105"/>
        <v>0</v>
      </c>
      <c r="M3013">
        <f t="shared" si="106"/>
        <v>0</v>
      </c>
    </row>
    <row r="3014" spans="12:13" x14ac:dyDescent="0.25">
      <c r="L3014">
        <f t="shared" si="105"/>
        <v>0</v>
      </c>
      <c r="M3014">
        <f t="shared" si="106"/>
        <v>0</v>
      </c>
    </row>
    <row r="3015" spans="12:13" x14ac:dyDescent="0.25">
      <c r="L3015">
        <f t="shared" si="105"/>
        <v>0</v>
      </c>
      <c r="M3015">
        <f t="shared" si="106"/>
        <v>0</v>
      </c>
    </row>
    <row r="3016" spans="12:13" x14ac:dyDescent="0.25">
      <c r="L3016">
        <f t="shared" si="105"/>
        <v>0</v>
      </c>
      <c r="M3016">
        <f t="shared" si="106"/>
        <v>0</v>
      </c>
    </row>
    <row r="3017" spans="12:13" x14ac:dyDescent="0.25">
      <c r="L3017">
        <f t="shared" si="105"/>
        <v>0</v>
      </c>
      <c r="M3017">
        <f t="shared" si="106"/>
        <v>0</v>
      </c>
    </row>
    <row r="3018" spans="12:13" x14ac:dyDescent="0.25">
      <c r="L3018">
        <f t="shared" si="105"/>
        <v>0</v>
      </c>
      <c r="M3018">
        <f t="shared" si="106"/>
        <v>0</v>
      </c>
    </row>
    <row r="3019" spans="12:13" x14ac:dyDescent="0.25">
      <c r="L3019">
        <f t="shared" si="105"/>
        <v>0</v>
      </c>
      <c r="M3019">
        <f t="shared" si="106"/>
        <v>0</v>
      </c>
    </row>
    <row r="3020" spans="12:13" x14ac:dyDescent="0.25">
      <c r="L3020">
        <f t="shared" si="105"/>
        <v>0</v>
      </c>
      <c r="M3020">
        <f t="shared" si="106"/>
        <v>0</v>
      </c>
    </row>
    <row r="3021" spans="12:13" x14ac:dyDescent="0.25">
      <c r="L3021">
        <f t="shared" si="105"/>
        <v>0</v>
      </c>
      <c r="M3021">
        <f t="shared" si="106"/>
        <v>0</v>
      </c>
    </row>
    <row r="3022" spans="12:13" x14ac:dyDescent="0.25">
      <c r="L3022">
        <f t="shared" si="105"/>
        <v>0</v>
      </c>
      <c r="M3022">
        <f t="shared" si="106"/>
        <v>0</v>
      </c>
    </row>
    <row r="3023" spans="12:13" x14ac:dyDescent="0.25">
      <c r="L3023">
        <f t="shared" si="105"/>
        <v>0</v>
      </c>
      <c r="M3023">
        <f t="shared" si="106"/>
        <v>0</v>
      </c>
    </row>
    <row r="3024" spans="12:13" x14ac:dyDescent="0.25">
      <c r="L3024">
        <f t="shared" si="105"/>
        <v>0</v>
      </c>
      <c r="M3024">
        <f t="shared" si="106"/>
        <v>0</v>
      </c>
    </row>
    <row r="3025" spans="12:13" x14ac:dyDescent="0.25">
      <c r="L3025">
        <f t="shared" si="105"/>
        <v>0</v>
      </c>
      <c r="M3025">
        <f t="shared" si="106"/>
        <v>0</v>
      </c>
    </row>
    <row r="3026" spans="12:13" x14ac:dyDescent="0.25">
      <c r="L3026">
        <f t="shared" si="105"/>
        <v>0</v>
      </c>
      <c r="M3026">
        <f t="shared" si="106"/>
        <v>0</v>
      </c>
    </row>
    <row r="3027" spans="12:13" x14ac:dyDescent="0.25">
      <c r="L3027">
        <f t="shared" si="105"/>
        <v>0</v>
      </c>
      <c r="M3027">
        <f t="shared" si="106"/>
        <v>0</v>
      </c>
    </row>
    <row r="3028" spans="12:13" x14ac:dyDescent="0.25">
      <c r="L3028">
        <f t="shared" si="105"/>
        <v>0</v>
      </c>
      <c r="M3028">
        <f t="shared" si="106"/>
        <v>0</v>
      </c>
    </row>
    <row r="3029" spans="12:13" x14ac:dyDescent="0.25">
      <c r="L3029">
        <f t="shared" si="105"/>
        <v>0</v>
      </c>
      <c r="M3029">
        <f t="shared" si="106"/>
        <v>0</v>
      </c>
    </row>
    <row r="3030" spans="12:13" x14ac:dyDescent="0.25">
      <c r="L3030">
        <f t="shared" si="105"/>
        <v>0</v>
      </c>
      <c r="M3030">
        <f t="shared" si="106"/>
        <v>0</v>
      </c>
    </row>
    <row r="3031" spans="12:13" x14ac:dyDescent="0.25">
      <c r="L3031">
        <f t="shared" si="105"/>
        <v>0</v>
      </c>
      <c r="M3031">
        <f t="shared" si="106"/>
        <v>0</v>
      </c>
    </row>
    <row r="3032" spans="12:13" x14ac:dyDescent="0.25">
      <c r="L3032">
        <f t="shared" si="105"/>
        <v>0</v>
      </c>
      <c r="M3032">
        <f t="shared" si="106"/>
        <v>0</v>
      </c>
    </row>
    <row r="3033" spans="12:13" x14ac:dyDescent="0.25">
      <c r="L3033">
        <f t="shared" si="105"/>
        <v>0</v>
      </c>
      <c r="M3033">
        <f t="shared" si="106"/>
        <v>0</v>
      </c>
    </row>
    <row r="3034" spans="12:13" x14ac:dyDescent="0.25">
      <c r="L3034">
        <f t="shared" si="105"/>
        <v>0</v>
      </c>
      <c r="M3034">
        <f t="shared" si="106"/>
        <v>0</v>
      </c>
    </row>
    <row r="3035" spans="12:13" x14ac:dyDescent="0.25">
      <c r="L3035">
        <f t="shared" si="105"/>
        <v>0</v>
      </c>
      <c r="M3035">
        <f t="shared" si="106"/>
        <v>0</v>
      </c>
    </row>
    <row r="3036" spans="12:13" x14ac:dyDescent="0.25">
      <c r="L3036">
        <f t="shared" si="105"/>
        <v>0</v>
      </c>
      <c r="M3036">
        <f t="shared" si="106"/>
        <v>0</v>
      </c>
    </row>
    <row r="3037" spans="12:13" x14ac:dyDescent="0.25">
      <c r="L3037">
        <f t="shared" si="105"/>
        <v>0</v>
      </c>
      <c r="M3037">
        <f t="shared" si="106"/>
        <v>0</v>
      </c>
    </row>
    <row r="3038" spans="12:13" x14ac:dyDescent="0.25">
      <c r="L3038">
        <f t="shared" si="105"/>
        <v>0</v>
      </c>
      <c r="M3038">
        <f t="shared" si="106"/>
        <v>0</v>
      </c>
    </row>
    <row r="3039" spans="12:13" x14ac:dyDescent="0.25">
      <c r="L3039">
        <f t="shared" si="105"/>
        <v>0</v>
      </c>
      <c r="M3039">
        <f t="shared" si="106"/>
        <v>0</v>
      </c>
    </row>
    <row r="3040" spans="12:13" x14ac:dyDescent="0.25">
      <c r="L3040">
        <f t="shared" si="105"/>
        <v>0</v>
      </c>
      <c r="M3040">
        <f t="shared" si="106"/>
        <v>0</v>
      </c>
    </row>
    <row r="3041" spans="12:13" x14ac:dyDescent="0.25">
      <c r="L3041">
        <f t="shared" si="105"/>
        <v>0</v>
      </c>
      <c r="M3041">
        <f t="shared" si="106"/>
        <v>0</v>
      </c>
    </row>
    <row r="3042" spans="12:13" x14ac:dyDescent="0.25">
      <c r="L3042">
        <f t="shared" si="105"/>
        <v>0</v>
      </c>
      <c r="M3042">
        <f t="shared" si="106"/>
        <v>0</v>
      </c>
    </row>
    <row r="3043" spans="12:13" x14ac:dyDescent="0.25">
      <c r="L3043">
        <f t="shared" si="105"/>
        <v>0</v>
      </c>
      <c r="M3043">
        <f t="shared" si="106"/>
        <v>0</v>
      </c>
    </row>
    <row r="3044" spans="12:13" x14ac:dyDescent="0.25">
      <c r="L3044">
        <f t="shared" si="105"/>
        <v>0</v>
      </c>
      <c r="M3044">
        <f t="shared" si="106"/>
        <v>0</v>
      </c>
    </row>
    <row r="3045" spans="12:13" x14ac:dyDescent="0.25">
      <c r="L3045">
        <f t="shared" si="105"/>
        <v>0</v>
      </c>
      <c r="M3045">
        <f t="shared" si="106"/>
        <v>0</v>
      </c>
    </row>
    <row r="3046" spans="12:13" x14ac:dyDescent="0.25">
      <c r="L3046">
        <f t="shared" si="105"/>
        <v>0</v>
      </c>
      <c r="M3046">
        <f t="shared" si="106"/>
        <v>0</v>
      </c>
    </row>
    <row r="3047" spans="12:13" x14ac:dyDescent="0.25">
      <c r="L3047">
        <f t="shared" si="105"/>
        <v>0</v>
      </c>
      <c r="M3047">
        <f t="shared" si="106"/>
        <v>0</v>
      </c>
    </row>
    <row r="3048" spans="12:13" x14ac:dyDescent="0.25">
      <c r="L3048">
        <f t="shared" si="105"/>
        <v>0</v>
      </c>
      <c r="M3048">
        <f t="shared" si="106"/>
        <v>0</v>
      </c>
    </row>
    <row r="3049" spans="12:13" x14ac:dyDescent="0.25">
      <c r="L3049">
        <f t="shared" si="105"/>
        <v>0</v>
      </c>
      <c r="M3049">
        <f t="shared" si="106"/>
        <v>0</v>
      </c>
    </row>
    <row r="3050" spans="12:13" x14ac:dyDescent="0.25">
      <c r="L3050">
        <f t="shared" si="105"/>
        <v>0</v>
      </c>
      <c r="M3050">
        <f t="shared" si="106"/>
        <v>0</v>
      </c>
    </row>
    <row r="3051" spans="12:13" x14ac:dyDescent="0.25">
      <c r="L3051">
        <f t="shared" si="105"/>
        <v>0</v>
      </c>
      <c r="M3051">
        <f t="shared" si="106"/>
        <v>0</v>
      </c>
    </row>
    <row r="3052" spans="12:13" x14ac:dyDescent="0.25">
      <c r="L3052">
        <f t="shared" si="105"/>
        <v>0</v>
      </c>
      <c r="M3052">
        <f t="shared" si="106"/>
        <v>0</v>
      </c>
    </row>
    <row r="3053" spans="12:13" x14ac:dyDescent="0.25">
      <c r="L3053">
        <f t="shared" si="105"/>
        <v>0</v>
      </c>
      <c r="M3053">
        <f t="shared" si="106"/>
        <v>0</v>
      </c>
    </row>
    <row r="3054" spans="12:13" x14ac:dyDescent="0.25">
      <c r="L3054">
        <f t="shared" ref="L3054:L3117" si="107">+I3054+H3054</f>
        <v>0</v>
      </c>
      <c r="M3054">
        <f t="shared" si="106"/>
        <v>0</v>
      </c>
    </row>
    <row r="3055" spans="12:13" x14ac:dyDescent="0.25">
      <c r="L3055">
        <f t="shared" si="107"/>
        <v>0</v>
      </c>
      <c r="M3055">
        <f t="shared" si="106"/>
        <v>0</v>
      </c>
    </row>
    <row r="3056" spans="12:13" x14ac:dyDescent="0.25">
      <c r="L3056">
        <f t="shared" si="107"/>
        <v>0</v>
      </c>
      <c r="M3056">
        <f t="shared" si="106"/>
        <v>0</v>
      </c>
    </row>
    <row r="3057" spans="12:13" x14ac:dyDescent="0.25">
      <c r="L3057">
        <f t="shared" si="107"/>
        <v>0</v>
      </c>
      <c r="M3057">
        <f t="shared" si="106"/>
        <v>0</v>
      </c>
    </row>
    <row r="3058" spans="12:13" x14ac:dyDescent="0.25">
      <c r="L3058">
        <f t="shared" si="107"/>
        <v>0</v>
      </c>
      <c r="M3058">
        <f t="shared" si="106"/>
        <v>0</v>
      </c>
    </row>
    <row r="3059" spans="12:13" x14ac:dyDescent="0.25">
      <c r="L3059">
        <f t="shared" si="107"/>
        <v>0</v>
      </c>
      <c r="M3059">
        <f t="shared" si="106"/>
        <v>0</v>
      </c>
    </row>
    <row r="3060" spans="12:13" x14ac:dyDescent="0.25">
      <c r="L3060">
        <f t="shared" si="107"/>
        <v>0</v>
      </c>
      <c r="M3060">
        <f t="shared" si="106"/>
        <v>0</v>
      </c>
    </row>
    <row r="3061" spans="12:13" x14ac:dyDescent="0.25">
      <c r="L3061">
        <f t="shared" si="107"/>
        <v>0</v>
      </c>
      <c r="M3061">
        <f t="shared" si="106"/>
        <v>0</v>
      </c>
    </row>
    <row r="3062" spans="12:13" x14ac:dyDescent="0.25">
      <c r="L3062">
        <f t="shared" si="107"/>
        <v>0</v>
      </c>
      <c r="M3062">
        <f t="shared" si="106"/>
        <v>0</v>
      </c>
    </row>
    <row r="3063" spans="12:13" x14ac:dyDescent="0.25">
      <c r="L3063">
        <f t="shared" si="107"/>
        <v>0</v>
      </c>
      <c r="M3063">
        <f t="shared" si="106"/>
        <v>0</v>
      </c>
    </row>
    <row r="3064" spans="12:13" x14ac:dyDescent="0.25">
      <c r="L3064">
        <f t="shared" si="107"/>
        <v>0</v>
      </c>
      <c r="M3064">
        <f t="shared" si="106"/>
        <v>0</v>
      </c>
    </row>
    <row r="3065" spans="12:13" x14ac:dyDescent="0.25">
      <c r="L3065">
        <f t="shared" si="107"/>
        <v>0</v>
      </c>
      <c r="M3065">
        <f t="shared" si="106"/>
        <v>0</v>
      </c>
    </row>
    <row r="3066" spans="12:13" x14ac:dyDescent="0.25">
      <c r="L3066">
        <f t="shared" si="107"/>
        <v>0</v>
      </c>
      <c r="M3066">
        <f t="shared" si="106"/>
        <v>0</v>
      </c>
    </row>
    <row r="3067" spans="12:13" x14ac:dyDescent="0.25">
      <c r="L3067">
        <f t="shared" si="107"/>
        <v>0</v>
      </c>
      <c r="M3067">
        <f t="shared" si="106"/>
        <v>0</v>
      </c>
    </row>
    <row r="3068" spans="12:13" x14ac:dyDescent="0.25">
      <c r="L3068">
        <f t="shared" si="107"/>
        <v>0</v>
      </c>
      <c r="M3068">
        <f t="shared" si="106"/>
        <v>0</v>
      </c>
    </row>
    <row r="3069" spans="12:13" x14ac:dyDescent="0.25">
      <c r="L3069">
        <f t="shared" si="107"/>
        <v>0</v>
      </c>
      <c r="M3069">
        <f t="shared" si="106"/>
        <v>0</v>
      </c>
    </row>
    <row r="3070" spans="12:13" x14ac:dyDescent="0.25">
      <c r="L3070">
        <f t="shared" si="107"/>
        <v>0</v>
      </c>
      <c r="M3070">
        <f t="shared" si="106"/>
        <v>0</v>
      </c>
    </row>
    <row r="3071" spans="12:13" x14ac:dyDescent="0.25">
      <c r="L3071">
        <f t="shared" si="107"/>
        <v>0</v>
      </c>
      <c r="M3071">
        <f t="shared" ref="M3071:M3134" si="108">+I3071/IF(H3071 = 0,1,H3071)</f>
        <v>0</v>
      </c>
    </row>
    <row r="3072" spans="12:13" x14ac:dyDescent="0.25">
      <c r="L3072">
        <f t="shared" si="107"/>
        <v>0</v>
      </c>
      <c r="M3072">
        <f t="shared" si="108"/>
        <v>0</v>
      </c>
    </row>
    <row r="3073" spans="12:13" x14ac:dyDescent="0.25">
      <c r="L3073">
        <f t="shared" si="107"/>
        <v>0</v>
      </c>
      <c r="M3073">
        <f t="shared" si="108"/>
        <v>0</v>
      </c>
    </row>
    <row r="3074" spans="12:13" x14ac:dyDescent="0.25">
      <c r="L3074">
        <f t="shared" si="107"/>
        <v>0</v>
      </c>
      <c r="M3074">
        <f t="shared" si="108"/>
        <v>0</v>
      </c>
    </row>
    <row r="3075" spans="12:13" x14ac:dyDescent="0.25">
      <c r="L3075">
        <f t="shared" si="107"/>
        <v>0</v>
      </c>
      <c r="M3075">
        <f t="shared" si="108"/>
        <v>0</v>
      </c>
    </row>
    <row r="3076" spans="12:13" x14ac:dyDescent="0.25">
      <c r="L3076">
        <f t="shared" si="107"/>
        <v>0</v>
      </c>
      <c r="M3076">
        <f t="shared" si="108"/>
        <v>0</v>
      </c>
    </row>
    <row r="3077" spans="12:13" x14ac:dyDescent="0.25">
      <c r="L3077">
        <f t="shared" si="107"/>
        <v>0</v>
      </c>
      <c r="M3077">
        <f t="shared" si="108"/>
        <v>0</v>
      </c>
    </row>
    <row r="3078" spans="12:13" x14ac:dyDescent="0.25">
      <c r="L3078">
        <f t="shared" si="107"/>
        <v>0</v>
      </c>
      <c r="M3078">
        <f t="shared" si="108"/>
        <v>0</v>
      </c>
    </row>
    <row r="3079" spans="12:13" x14ac:dyDescent="0.25">
      <c r="L3079">
        <f t="shared" si="107"/>
        <v>0</v>
      </c>
      <c r="M3079">
        <f t="shared" si="108"/>
        <v>0</v>
      </c>
    </row>
    <row r="3080" spans="12:13" x14ac:dyDescent="0.25">
      <c r="L3080">
        <f t="shared" si="107"/>
        <v>0</v>
      </c>
      <c r="M3080">
        <f t="shared" si="108"/>
        <v>0</v>
      </c>
    </row>
    <row r="3081" spans="12:13" x14ac:dyDescent="0.25">
      <c r="L3081">
        <f t="shared" si="107"/>
        <v>0</v>
      </c>
      <c r="M3081">
        <f t="shared" si="108"/>
        <v>0</v>
      </c>
    </row>
    <row r="3082" spans="12:13" x14ac:dyDescent="0.25">
      <c r="L3082">
        <f t="shared" si="107"/>
        <v>0</v>
      </c>
      <c r="M3082">
        <f t="shared" si="108"/>
        <v>0</v>
      </c>
    </row>
    <row r="3083" spans="12:13" x14ac:dyDescent="0.25">
      <c r="L3083">
        <f t="shared" si="107"/>
        <v>0</v>
      </c>
      <c r="M3083">
        <f t="shared" si="108"/>
        <v>0</v>
      </c>
    </row>
    <row r="3084" spans="12:13" x14ac:dyDescent="0.25">
      <c r="L3084">
        <f t="shared" si="107"/>
        <v>0</v>
      </c>
      <c r="M3084">
        <f t="shared" si="108"/>
        <v>0</v>
      </c>
    </row>
    <row r="3085" spans="12:13" x14ac:dyDescent="0.25">
      <c r="L3085">
        <f t="shared" si="107"/>
        <v>0</v>
      </c>
      <c r="M3085">
        <f t="shared" si="108"/>
        <v>0</v>
      </c>
    </row>
    <row r="3086" spans="12:13" x14ac:dyDescent="0.25">
      <c r="L3086">
        <f t="shared" si="107"/>
        <v>0</v>
      </c>
      <c r="M3086">
        <f t="shared" si="108"/>
        <v>0</v>
      </c>
    </row>
    <row r="3087" spans="12:13" x14ac:dyDescent="0.25">
      <c r="L3087">
        <f t="shared" si="107"/>
        <v>0</v>
      </c>
      <c r="M3087">
        <f t="shared" si="108"/>
        <v>0</v>
      </c>
    </row>
    <row r="3088" spans="12:13" x14ac:dyDescent="0.25">
      <c r="L3088">
        <f t="shared" si="107"/>
        <v>0</v>
      </c>
      <c r="M3088">
        <f t="shared" si="108"/>
        <v>0</v>
      </c>
    </row>
    <row r="3089" spans="12:13" x14ac:dyDescent="0.25">
      <c r="L3089">
        <f t="shared" si="107"/>
        <v>0</v>
      </c>
      <c r="M3089">
        <f t="shared" si="108"/>
        <v>0</v>
      </c>
    </row>
    <row r="3090" spans="12:13" x14ac:dyDescent="0.25">
      <c r="L3090">
        <f t="shared" si="107"/>
        <v>0</v>
      </c>
      <c r="M3090">
        <f t="shared" si="108"/>
        <v>0</v>
      </c>
    </row>
    <row r="3091" spans="12:13" x14ac:dyDescent="0.25">
      <c r="L3091">
        <f t="shared" si="107"/>
        <v>0</v>
      </c>
      <c r="M3091">
        <f t="shared" si="108"/>
        <v>0</v>
      </c>
    </row>
    <row r="3092" spans="12:13" x14ac:dyDescent="0.25">
      <c r="L3092">
        <f t="shared" si="107"/>
        <v>0</v>
      </c>
      <c r="M3092">
        <f t="shared" si="108"/>
        <v>0</v>
      </c>
    </row>
    <row r="3093" spans="12:13" x14ac:dyDescent="0.25">
      <c r="L3093">
        <f t="shared" si="107"/>
        <v>0</v>
      </c>
      <c r="M3093">
        <f t="shared" si="108"/>
        <v>0</v>
      </c>
    </row>
    <row r="3094" spans="12:13" x14ac:dyDescent="0.25">
      <c r="L3094">
        <f t="shared" si="107"/>
        <v>0</v>
      </c>
      <c r="M3094">
        <f t="shared" si="108"/>
        <v>0</v>
      </c>
    </row>
    <row r="3095" spans="12:13" x14ac:dyDescent="0.25">
      <c r="L3095">
        <f t="shared" si="107"/>
        <v>0</v>
      </c>
      <c r="M3095">
        <f t="shared" si="108"/>
        <v>0</v>
      </c>
    </row>
    <row r="3096" spans="12:13" x14ac:dyDescent="0.25">
      <c r="L3096">
        <f t="shared" si="107"/>
        <v>0</v>
      </c>
      <c r="M3096">
        <f t="shared" si="108"/>
        <v>0</v>
      </c>
    </row>
    <row r="3097" spans="12:13" x14ac:dyDescent="0.25">
      <c r="L3097">
        <f t="shared" si="107"/>
        <v>0</v>
      </c>
      <c r="M3097">
        <f t="shared" si="108"/>
        <v>0</v>
      </c>
    </row>
    <row r="3098" spans="12:13" x14ac:dyDescent="0.25">
      <c r="L3098">
        <f t="shared" si="107"/>
        <v>0</v>
      </c>
      <c r="M3098">
        <f t="shared" si="108"/>
        <v>0</v>
      </c>
    </row>
    <row r="3099" spans="12:13" x14ac:dyDescent="0.25">
      <c r="L3099">
        <f t="shared" si="107"/>
        <v>0</v>
      </c>
      <c r="M3099">
        <f t="shared" si="108"/>
        <v>0</v>
      </c>
    </row>
    <row r="3100" spans="12:13" x14ac:dyDescent="0.25">
      <c r="L3100">
        <f t="shared" si="107"/>
        <v>0</v>
      </c>
      <c r="M3100">
        <f t="shared" si="108"/>
        <v>0</v>
      </c>
    </row>
    <row r="3101" spans="12:13" x14ac:dyDescent="0.25">
      <c r="L3101">
        <f t="shared" si="107"/>
        <v>0</v>
      </c>
      <c r="M3101">
        <f t="shared" si="108"/>
        <v>0</v>
      </c>
    </row>
    <row r="3102" spans="12:13" x14ac:dyDescent="0.25">
      <c r="L3102">
        <f t="shared" si="107"/>
        <v>0</v>
      </c>
      <c r="M3102">
        <f t="shared" si="108"/>
        <v>0</v>
      </c>
    </row>
    <row r="3103" spans="12:13" x14ac:dyDescent="0.25">
      <c r="L3103">
        <f t="shared" si="107"/>
        <v>0</v>
      </c>
      <c r="M3103">
        <f t="shared" si="108"/>
        <v>0</v>
      </c>
    </row>
    <row r="3104" spans="12:13" x14ac:dyDescent="0.25">
      <c r="L3104">
        <f t="shared" si="107"/>
        <v>0</v>
      </c>
      <c r="M3104">
        <f t="shared" si="108"/>
        <v>0</v>
      </c>
    </row>
    <row r="3105" spans="12:13" x14ac:dyDescent="0.25">
      <c r="L3105">
        <f t="shared" si="107"/>
        <v>0</v>
      </c>
      <c r="M3105">
        <f t="shared" si="108"/>
        <v>0</v>
      </c>
    </row>
    <row r="3106" spans="12:13" x14ac:dyDescent="0.25">
      <c r="L3106">
        <f t="shared" si="107"/>
        <v>0</v>
      </c>
      <c r="M3106">
        <f t="shared" si="108"/>
        <v>0</v>
      </c>
    </row>
    <row r="3107" spans="12:13" x14ac:dyDescent="0.25">
      <c r="L3107">
        <f t="shared" si="107"/>
        <v>0</v>
      </c>
      <c r="M3107">
        <f t="shared" si="108"/>
        <v>0</v>
      </c>
    </row>
    <row r="3108" spans="12:13" x14ac:dyDescent="0.25">
      <c r="L3108">
        <f t="shared" si="107"/>
        <v>0</v>
      </c>
      <c r="M3108">
        <f t="shared" si="108"/>
        <v>0</v>
      </c>
    </row>
    <row r="3109" spans="12:13" x14ac:dyDescent="0.25">
      <c r="L3109">
        <f t="shared" si="107"/>
        <v>0</v>
      </c>
      <c r="M3109">
        <f t="shared" si="108"/>
        <v>0</v>
      </c>
    </row>
    <row r="3110" spans="12:13" x14ac:dyDescent="0.25">
      <c r="L3110">
        <f t="shared" si="107"/>
        <v>0</v>
      </c>
      <c r="M3110">
        <f t="shared" si="108"/>
        <v>0</v>
      </c>
    </row>
    <row r="3111" spans="12:13" x14ac:dyDescent="0.25">
      <c r="L3111">
        <f t="shared" si="107"/>
        <v>0</v>
      </c>
      <c r="M3111">
        <f t="shared" si="108"/>
        <v>0</v>
      </c>
    </row>
    <row r="3112" spans="12:13" x14ac:dyDescent="0.25">
      <c r="L3112">
        <f t="shared" si="107"/>
        <v>0</v>
      </c>
      <c r="M3112">
        <f t="shared" si="108"/>
        <v>0</v>
      </c>
    </row>
    <row r="3113" spans="12:13" x14ac:dyDescent="0.25">
      <c r="L3113">
        <f t="shared" si="107"/>
        <v>0</v>
      </c>
      <c r="M3113">
        <f t="shared" si="108"/>
        <v>0</v>
      </c>
    </row>
    <row r="3114" spans="12:13" x14ac:dyDescent="0.25">
      <c r="L3114">
        <f t="shared" si="107"/>
        <v>0</v>
      </c>
      <c r="M3114">
        <f t="shared" si="108"/>
        <v>0</v>
      </c>
    </row>
    <row r="3115" spans="12:13" x14ac:dyDescent="0.25">
      <c r="L3115">
        <f t="shared" si="107"/>
        <v>0</v>
      </c>
      <c r="M3115">
        <f t="shared" si="108"/>
        <v>0</v>
      </c>
    </row>
    <row r="3116" spans="12:13" x14ac:dyDescent="0.25">
      <c r="L3116">
        <f t="shared" si="107"/>
        <v>0</v>
      </c>
      <c r="M3116">
        <f t="shared" si="108"/>
        <v>0</v>
      </c>
    </row>
    <row r="3117" spans="12:13" x14ac:dyDescent="0.25">
      <c r="L3117">
        <f t="shared" si="107"/>
        <v>0</v>
      </c>
      <c r="M3117">
        <f t="shared" si="108"/>
        <v>0</v>
      </c>
    </row>
    <row r="3118" spans="12:13" x14ac:dyDescent="0.25">
      <c r="L3118">
        <f t="shared" ref="L3118:L3181" si="109">+I3118+H3118</f>
        <v>0</v>
      </c>
      <c r="M3118">
        <f t="shared" si="108"/>
        <v>0</v>
      </c>
    </row>
    <row r="3119" spans="12:13" x14ac:dyDescent="0.25">
      <c r="L3119">
        <f t="shared" si="109"/>
        <v>0</v>
      </c>
      <c r="M3119">
        <f t="shared" si="108"/>
        <v>0</v>
      </c>
    </row>
    <row r="3120" spans="12:13" x14ac:dyDescent="0.25">
      <c r="L3120">
        <f t="shared" si="109"/>
        <v>0</v>
      </c>
      <c r="M3120">
        <f t="shared" si="108"/>
        <v>0</v>
      </c>
    </row>
    <row r="3121" spans="12:13" x14ac:dyDescent="0.25">
      <c r="L3121">
        <f t="shared" si="109"/>
        <v>0</v>
      </c>
      <c r="M3121">
        <f t="shared" si="108"/>
        <v>0</v>
      </c>
    </row>
    <row r="3122" spans="12:13" x14ac:dyDescent="0.25">
      <c r="L3122">
        <f t="shared" si="109"/>
        <v>0</v>
      </c>
      <c r="M3122">
        <f t="shared" si="108"/>
        <v>0</v>
      </c>
    </row>
    <row r="3123" spans="12:13" x14ac:dyDescent="0.25">
      <c r="L3123">
        <f t="shared" si="109"/>
        <v>0</v>
      </c>
      <c r="M3123">
        <f t="shared" si="108"/>
        <v>0</v>
      </c>
    </row>
    <row r="3124" spans="12:13" x14ac:dyDescent="0.25">
      <c r="L3124">
        <f t="shared" si="109"/>
        <v>0</v>
      </c>
      <c r="M3124">
        <f t="shared" si="108"/>
        <v>0</v>
      </c>
    </row>
    <row r="3125" spans="12:13" x14ac:dyDescent="0.25">
      <c r="L3125">
        <f t="shared" si="109"/>
        <v>0</v>
      </c>
      <c r="M3125">
        <f t="shared" si="108"/>
        <v>0</v>
      </c>
    </row>
    <row r="3126" spans="12:13" x14ac:dyDescent="0.25">
      <c r="L3126">
        <f t="shared" si="109"/>
        <v>0</v>
      </c>
      <c r="M3126">
        <f t="shared" si="108"/>
        <v>0</v>
      </c>
    </row>
    <row r="3127" spans="12:13" x14ac:dyDescent="0.25">
      <c r="L3127">
        <f t="shared" si="109"/>
        <v>0</v>
      </c>
      <c r="M3127">
        <f t="shared" si="108"/>
        <v>0</v>
      </c>
    </row>
    <row r="3128" spans="12:13" x14ac:dyDescent="0.25">
      <c r="L3128">
        <f t="shared" si="109"/>
        <v>0</v>
      </c>
      <c r="M3128">
        <f t="shared" si="108"/>
        <v>0</v>
      </c>
    </row>
    <row r="3129" spans="12:13" x14ac:dyDescent="0.25">
      <c r="L3129">
        <f t="shared" si="109"/>
        <v>0</v>
      </c>
      <c r="M3129">
        <f t="shared" si="108"/>
        <v>0</v>
      </c>
    </row>
    <row r="3130" spans="12:13" x14ac:dyDescent="0.25">
      <c r="L3130">
        <f t="shared" si="109"/>
        <v>0</v>
      </c>
      <c r="M3130">
        <f t="shared" si="108"/>
        <v>0</v>
      </c>
    </row>
    <row r="3131" spans="12:13" x14ac:dyDescent="0.25">
      <c r="L3131">
        <f t="shared" si="109"/>
        <v>0</v>
      </c>
      <c r="M3131">
        <f t="shared" si="108"/>
        <v>0</v>
      </c>
    </row>
    <row r="3132" spans="12:13" x14ac:dyDescent="0.25">
      <c r="L3132">
        <f t="shared" si="109"/>
        <v>0</v>
      </c>
      <c r="M3132">
        <f t="shared" si="108"/>
        <v>0</v>
      </c>
    </row>
    <row r="3133" spans="12:13" x14ac:dyDescent="0.25">
      <c r="L3133">
        <f t="shared" si="109"/>
        <v>0</v>
      </c>
      <c r="M3133">
        <f t="shared" si="108"/>
        <v>0</v>
      </c>
    </row>
    <row r="3134" spans="12:13" x14ac:dyDescent="0.25">
      <c r="L3134">
        <f t="shared" si="109"/>
        <v>0</v>
      </c>
      <c r="M3134">
        <f t="shared" si="108"/>
        <v>0</v>
      </c>
    </row>
    <row r="3135" spans="12:13" x14ac:dyDescent="0.25">
      <c r="L3135">
        <f t="shared" si="109"/>
        <v>0</v>
      </c>
      <c r="M3135">
        <f t="shared" ref="M3135:M3198" si="110">+I3135/IF(H3135 = 0,1,H3135)</f>
        <v>0</v>
      </c>
    </row>
    <row r="3136" spans="12:13" x14ac:dyDescent="0.25">
      <c r="L3136">
        <f t="shared" si="109"/>
        <v>0</v>
      </c>
      <c r="M3136">
        <f t="shared" si="110"/>
        <v>0</v>
      </c>
    </row>
    <row r="3137" spans="12:13" x14ac:dyDescent="0.25">
      <c r="L3137">
        <f t="shared" si="109"/>
        <v>0</v>
      </c>
      <c r="M3137">
        <f t="shared" si="110"/>
        <v>0</v>
      </c>
    </row>
    <row r="3138" spans="12:13" x14ac:dyDescent="0.25">
      <c r="L3138">
        <f t="shared" si="109"/>
        <v>0</v>
      </c>
      <c r="M3138">
        <f t="shared" si="110"/>
        <v>0</v>
      </c>
    </row>
    <row r="3139" spans="12:13" x14ac:dyDescent="0.25">
      <c r="L3139">
        <f t="shared" si="109"/>
        <v>0</v>
      </c>
      <c r="M3139">
        <f t="shared" si="110"/>
        <v>0</v>
      </c>
    </row>
    <row r="3140" spans="12:13" x14ac:dyDescent="0.25">
      <c r="L3140">
        <f t="shared" si="109"/>
        <v>0</v>
      </c>
      <c r="M3140">
        <f t="shared" si="110"/>
        <v>0</v>
      </c>
    </row>
    <row r="3141" spans="12:13" x14ac:dyDescent="0.25">
      <c r="L3141">
        <f t="shared" si="109"/>
        <v>0</v>
      </c>
      <c r="M3141">
        <f t="shared" si="110"/>
        <v>0</v>
      </c>
    </row>
    <row r="3142" spans="12:13" x14ac:dyDescent="0.25">
      <c r="L3142">
        <f t="shared" si="109"/>
        <v>0</v>
      </c>
      <c r="M3142">
        <f t="shared" si="110"/>
        <v>0</v>
      </c>
    </row>
    <row r="3143" spans="12:13" x14ac:dyDescent="0.25">
      <c r="L3143">
        <f t="shared" si="109"/>
        <v>0</v>
      </c>
      <c r="M3143">
        <f t="shared" si="110"/>
        <v>0</v>
      </c>
    </row>
    <row r="3144" spans="12:13" x14ac:dyDescent="0.25">
      <c r="L3144">
        <f t="shared" si="109"/>
        <v>0</v>
      </c>
      <c r="M3144">
        <f t="shared" si="110"/>
        <v>0</v>
      </c>
    </row>
    <row r="3145" spans="12:13" x14ac:dyDescent="0.25">
      <c r="L3145">
        <f t="shared" si="109"/>
        <v>0</v>
      </c>
      <c r="M3145">
        <f t="shared" si="110"/>
        <v>0</v>
      </c>
    </row>
    <row r="3146" spans="12:13" x14ac:dyDescent="0.25">
      <c r="L3146">
        <f t="shared" si="109"/>
        <v>0</v>
      </c>
      <c r="M3146">
        <f t="shared" si="110"/>
        <v>0</v>
      </c>
    </row>
    <row r="3147" spans="12:13" x14ac:dyDescent="0.25">
      <c r="L3147">
        <f t="shared" si="109"/>
        <v>0</v>
      </c>
      <c r="M3147">
        <f t="shared" si="110"/>
        <v>0</v>
      </c>
    </row>
    <row r="3148" spans="12:13" x14ac:dyDescent="0.25">
      <c r="L3148">
        <f t="shared" si="109"/>
        <v>0</v>
      </c>
      <c r="M3148">
        <f t="shared" si="110"/>
        <v>0</v>
      </c>
    </row>
    <row r="3149" spans="12:13" x14ac:dyDescent="0.25">
      <c r="L3149">
        <f t="shared" si="109"/>
        <v>0</v>
      </c>
      <c r="M3149">
        <f t="shared" si="110"/>
        <v>0</v>
      </c>
    </row>
    <row r="3150" spans="12:13" x14ac:dyDescent="0.25">
      <c r="L3150">
        <f t="shared" si="109"/>
        <v>0</v>
      </c>
      <c r="M3150">
        <f t="shared" si="110"/>
        <v>0</v>
      </c>
    </row>
    <row r="3151" spans="12:13" x14ac:dyDescent="0.25">
      <c r="L3151">
        <f t="shared" si="109"/>
        <v>0</v>
      </c>
      <c r="M3151">
        <f t="shared" si="110"/>
        <v>0</v>
      </c>
    </row>
    <row r="3152" spans="12:13" x14ac:dyDescent="0.25">
      <c r="L3152">
        <f t="shared" si="109"/>
        <v>0</v>
      </c>
      <c r="M3152">
        <f t="shared" si="110"/>
        <v>0</v>
      </c>
    </row>
    <row r="3153" spans="12:13" x14ac:dyDescent="0.25">
      <c r="L3153">
        <f t="shared" si="109"/>
        <v>0</v>
      </c>
      <c r="M3153">
        <f t="shared" si="110"/>
        <v>0</v>
      </c>
    </row>
    <row r="3154" spans="12:13" x14ac:dyDescent="0.25">
      <c r="L3154">
        <f t="shared" si="109"/>
        <v>0</v>
      </c>
      <c r="M3154">
        <f t="shared" si="110"/>
        <v>0</v>
      </c>
    </row>
    <row r="3155" spans="12:13" x14ac:dyDescent="0.25">
      <c r="L3155">
        <f t="shared" si="109"/>
        <v>0</v>
      </c>
      <c r="M3155">
        <f t="shared" si="110"/>
        <v>0</v>
      </c>
    </row>
    <row r="3156" spans="12:13" x14ac:dyDescent="0.25">
      <c r="L3156">
        <f t="shared" si="109"/>
        <v>0</v>
      </c>
      <c r="M3156">
        <f t="shared" si="110"/>
        <v>0</v>
      </c>
    </row>
    <row r="3157" spans="12:13" x14ac:dyDescent="0.25">
      <c r="L3157">
        <f t="shared" si="109"/>
        <v>0</v>
      </c>
      <c r="M3157">
        <f t="shared" si="110"/>
        <v>0</v>
      </c>
    </row>
    <row r="3158" spans="12:13" x14ac:dyDescent="0.25">
      <c r="L3158">
        <f t="shared" si="109"/>
        <v>0</v>
      </c>
      <c r="M3158">
        <f t="shared" si="110"/>
        <v>0</v>
      </c>
    </row>
    <row r="3159" spans="12:13" x14ac:dyDescent="0.25">
      <c r="L3159">
        <f t="shared" si="109"/>
        <v>0</v>
      </c>
      <c r="M3159">
        <f t="shared" si="110"/>
        <v>0</v>
      </c>
    </row>
    <row r="3160" spans="12:13" x14ac:dyDescent="0.25">
      <c r="L3160">
        <f t="shared" si="109"/>
        <v>0</v>
      </c>
      <c r="M3160">
        <f t="shared" si="110"/>
        <v>0</v>
      </c>
    </row>
    <row r="3161" spans="12:13" x14ac:dyDescent="0.25">
      <c r="L3161">
        <f t="shared" si="109"/>
        <v>0</v>
      </c>
      <c r="M3161">
        <f t="shared" si="110"/>
        <v>0</v>
      </c>
    </row>
    <row r="3162" spans="12:13" x14ac:dyDescent="0.25">
      <c r="L3162">
        <f t="shared" si="109"/>
        <v>0</v>
      </c>
      <c r="M3162">
        <f t="shared" si="110"/>
        <v>0</v>
      </c>
    </row>
    <row r="3163" spans="12:13" x14ac:dyDescent="0.25">
      <c r="L3163">
        <f t="shared" si="109"/>
        <v>0</v>
      </c>
      <c r="M3163">
        <f t="shared" si="110"/>
        <v>0</v>
      </c>
    </row>
    <row r="3164" spans="12:13" x14ac:dyDescent="0.25">
      <c r="L3164">
        <f t="shared" si="109"/>
        <v>0</v>
      </c>
      <c r="M3164">
        <f t="shared" si="110"/>
        <v>0</v>
      </c>
    </row>
    <row r="3165" spans="12:13" x14ac:dyDescent="0.25">
      <c r="L3165">
        <f t="shared" si="109"/>
        <v>0</v>
      </c>
      <c r="M3165">
        <f t="shared" si="110"/>
        <v>0</v>
      </c>
    </row>
    <row r="3166" spans="12:13" x14ac:dyDescent="0.25">
      <c r="L3166">
        <f t="shared" si="109"/>
        <v>0</v>
      </c>
      <c r="M3166">
        <f t="shared" si="110"/>
        <v>0</v>
      </c>
    </row>
    <row r="3167" spans="12:13" x14ac:dyDescent="0.25">
      <c r="L3167">
        <f t="shared" si="109"/>
        <v>0</v>
      </c>
      <c r="M3167">
        <f t="shared" si="110"/>
        <v>0</v>
      </c>
    </row>
    <row r="3168" spans="12:13" x14ac:dyDescent="0.25">
      <c r="L3168">
        <f t="shared" si="109"/>
        <v>0</v>
      </c>
      <c r="M3168">
        <f t="shared" si="110"/>
        <v>0</v>
      </c>
    </row>
    <row r="3169" spans="12:13" x14ac:dyDescent="0.25">
      <c r="L3169">
        <f t="shared" si="109"/>
        <v>0</v>
      </c>
      <c r="M3169">
        <f t="shared" si="110"/>
        <v>0</v>
      </c>
    </row>
    <row r="3170" spans="12:13" x14ac:dyDescent="0.25">
      <c r="L3170">
        <f t="shared" si="109"/>
        <v>0</v>
      </c>
      <c r="M3170">
        <f t="shared" si="110"/>
        <v>0</v>
      </c>
    </row>
    <row r="3171" spans="12:13" x14ac:dyDescent="0.25">
      <c r="L3171">
        <f t="shared" si="109"/>
        <v>0</v>
      </c>
      <c r="M3171">
        <f t="shared" si="110"/>
        <v>0</v>
      </c>
    </row>
    <row r="3172" spans="12:13" x14ac:dyDescent="0.25">
      <c r="L3172">
        <f t="shared" si="109"/>
        <v>0</v>
      </c>
      <c r="M3172">
        <f t="shared" si="110"/>
        <v>0</v>
      </c>
    </row>
    <row r="3173" spans="12:13" x14ac:dyDescent="0.25">
      <c r="L3173">
        <f t="shared" si="109"/>
        <v>0</v>
      </c>
      <c r="M3173">
        <f t="shared" si="110"/>
        <v>0</v>
      </c>
    </row>
    <row r="3174" spans="12:13" x14ac:dyDescent="0.25">
      <c r="L3174">
        <f t="shared" si="109"/>
        <v>0</v>
      </c>
      <c r="M3174">
        <f t="shared" si="110"/>
        <v>0</v>
      </c>
    </row>
    <row r="3175" spans="12:13" x14ac:dyDescent="0.25">
      <c r="L3175">
        <f t="shared" si="109"/>
        <v>0</v>
      </c>
      <c r="M3175">
        <f t="shared" si="110"/>
        <v>0</v>
      </c>
    </row>
    <row r="3176" spans="12:13" x14ac:dyDescent="0.25">
      <c r="L3176">
        <f t="shared" si="109"/>
        <v>0</v>
      </c>
      <c r="M3176">
        <f t="shared" si="110"/>
        <v>0</v>
      </c>
    </row>
    <row r="3177" spans="12:13" x14ac:dyDescent="0.25">
      <c r="L3177">
        <f t="shared" si="109"/>
        <v>0</v>
      </c>
      <c r="M3177">
        <f t="shared" si="110"/>
        <v>0</v>
      </c>
    </row>
    <row r="3178" spans="12:13" x14ac:dyDescent="0.25">
      <c r="L3178">
        <f t="shared" si="109"/>
        <v>0</v>
      </c>
      <c r="M3178">
        <f t="shared" si="110"/>
        <v>0</v>
      </c>
    </row>
    <row r="3179" spans="12:13" x14ac:dyDescent="0.25">
      <c r="L3179">
        <f t="shared" si="109"/>
        <v>0</v>
      </c>
      <c r="M3179">
        <f t="shared" si="110"/>
        <v>0</v>
      </c>
    </row>
    <row r="3180" spans="12:13" x14ac:dyDescent="0.25">
      <c r="L3180">
        <f t="shared" si="109"/>
        <v>0</v>
      </c>
      <c r="M3180">
        <f t="shared" si="110"/>
        <v>0</v>
      </c>
    </row>
    <row r="3181" spans="12:13" x14ac:dyDescent="0.25">
      <c r="L3181">
        <f t="shared" si="109"/>
        <v>0</v>
      </c>
      <c r="M3181">
        <f t="shared" si="110"/>
        <v>0</v>
      </c>
    </row>
    <row r="3182" spans="12:13" x14ac:dyDescent="0.25">
      <c r="L3182">
        <f t="shared" ref="L3182:L3245" si="111">+I3182+H3182</f>
        <v>0</v>
      </c>
      <c r="M3182">
        <f t="shared" si="110"/>
        <v>0</v>
      </c>
    </row>
    <row r="3183" spans="12:13" x14ac:dyDescent="0.25">
      <c r="L3183">
        <f t="shared" si="111"/>
        <v>0</v>
      </c>
      <c r="M3183">
        <f t="shared" si="110"/>
        <v>0</v>
      </c>
    </row>
    <row r="3184" spans="12:13" x14ac:dyDescent="0.25">
      <c r="L3184">
        <f t="shared" si="111"/>
        <v>0</v>
      </c>
      <c r="M3184">
        <f t="shared" si="110"/>
        <v>0</v>
      </c>
    </row>
    <row r="3185" spans="12:13" x14ac:dyDescent="0.25">
      <c r="L3185">
        <f t="shared" si="111"/>
        <v>0</v>
      </c>
      <c r="M3185">
        <f t="shared" si="110"/>
        <v>0</v>
      </c>
    </row>
    <row r="3186" spans="12:13" x14ac:dyDescent="0.25">
      <c r="L3186">
        <f t="shared" si="111"/>
        <v>0</v>
      </c>
      <c r="M3186">
        <f t="shared" si="110"/>
        <v>0</v>
      </c>
    </row>
    <row r="3187" spans="12:13" x14ac:dyDescent="0.25">
      <c r="L3187">
        <f t="shared" si="111"/>
        <v>0</v>
      </c>
      <c r="M3187">
        <f t="shared" si="110"/>
        <v>0</v>
      </c>
    </row>
    <row r="3188" spans="12:13" x14ac:dyDescent="0.25">
      <c r="L3188">
        <f t="shared" si="111"/>
        <v>0</v>
      </c>
      <c r="M3188">
        <f t="shared" si="110"/>
        <v>0</v>
      </c>
    </row>
    <row r="3189" spans="12:13" x14ac:dyDescent="0.25">
      <c r="L3189">
        <f t="shared" si="111"/>
        <v>0</v>
      </c>
      <c r="M3189">
        <f t="shared" si="110"/>
        <v>0</v>
      </c>
    </row>
    <row r="3190" spans="12:13" x14ac:dyDescent="0.25">
      <c r="L3190">
        <f t="shared" si="111"/>
        <v>0</v>
      </c>
      <c r="M3190">
        <f t="shared" si="110"/>
        <v>0</v>
      </c>
    </row>
    <row r="3191" spans="12:13" x14ac:dyDescent="0.25">
      <c r="L3191">
        <f t="shared" si="111"/>
        <v>0</v>
      </c>
      <c r="M3191">
        <f t="shared" si="110"/>
        <v>0</v>
      </c>
    </row>
    <row r="3192" spans="12:13" x14ac:dyDescent="0.25">
      <c r="L3192">
        <f t="shared" si="111"/>
        <v>0</v>
      </c>
      <c r="M3192">
        <f t="shared" si="110"/>
        <v>0</v>
      </c>
    </row>
    <row r="3193" spans="12:13" x14ac:dyDescent="0.25">
      <c r="L3193">
        <f t="shared" si="111"/>
        <v>0</v>
      </c>
      <c r="M3193">
        <f t="shared" si="110"/>
        <v>0</v>
      </c>
    </row>
    <row r="3194" spans="12:13" x14ac:dyDescent="0.25">
      <c r="L3194">
        <f t="shared" si="111"/>
        <v>0</v>
      </c>
      <c r="M3194">
        <f t="shared" si="110"/>
        <v>0</v>
      </c>
    </row>
    <row r="3195" spans="12:13" x14ac:dyDescent="0.25">
      <c r="L3195">
        <f t="shared" si="111"/>
        <v>0</v>
      </c>
      <c r="M3195">
        <f t="shared" si="110"/>
        <v>0</v>
      </c>
    </row>
    <row r="3196" spans="12:13" x14ac:dyDescent="0.25">
      <c r="L3196">
        <f t="shared" si="111"/>
        <v>0</v>
      </c>
      <c r="M3196">
        <f t="shared" si="110"/>
        <v>0</v>
      </c>
    </row>
    <row r="3197" spans="12:13" x14ac:dyDescent="0.25">
      <c r="L3197">
        <f t="shared" si="111"/>
        <v>0</v>
      </c>
      <c r="M3197">
        <f t="shared" si="110"/>
        <v>0</v>
      </c>
    </row>
    <row r="3198" spans="12:13" x14ac:dyDescent="0.25">
      <c r="L3198">
        <f t="shared" si="111"/>
        <v>0</v>
      </c>
      <c r="M3198">
        <f t="shared" si="110"/>
        <v>0</v>
      </c>
    </row>
    <row r="3199" spans="12:13" x14ac:dyDescent="0.25">
      <c r="L3199">
        <f t="shared" si="111"/>
        <v>0</v>
      </c>
      <c r="M3199">
        <f t="shared" ref="M3199:M3262" si="112">+I3199/IF(H3199 = 0,1,H3199)</f>
        <v>0</v>
      </c>
    </row>
    <row r="3200" spans="12:13" x14ac:dyDescent="0.25">
      <c r="L3200">
        <f t="shared" si="111"/>
        <v>0</v>
      </c>
      <c r="M3200">
        <f t="shared" si="112"/>
        <v>0</v>
      </c>
    </row>
    <row r="3201" spans="12:13" x14ac:dyDescent="0.25">
      <c r="L3201">
        <f t="shared" si="111"/>
        <v>0</v>
      </c>
      <c r="M3201">
        <f t="shared" si="112"/>
        <v>0</v>
      </c>
    </row>
    <row r="3202" spans="12:13" x14ac:dyDescent="0.25">
      <c r="L3202">
        <f t="shared" si="111"/>
        <v>0</v>
      </c>
      <c r="M3202">
        <f t="shared" si="112"/>
        <v>0</v>
      </c>
    </row>
    <row r="3203" spans="12:13" x14ac:dyDescent="0.25">
      <c r="L3203">
        <f t="shared" si="111"/>
        <v>0</v>
      </c>
      <c r="M3203">
        <f t="shared" si="112"/>
        <v>0</v>
      </c>
    </row>
    <row r="3204" spans="12:13" x14ac:dyDescent="0.25">
      <c r="L3204">
        <f t="shared" si="111"/>
        <v>0</v>
      </c>
      <c r="M3204">
        <f t="shared" si="112"/>
        <v>0</v>
      </c>
    </row>
    <row r="3205" spans="12:13" x14ac:dyDescent="0.25">
      <c r="L3205">
        <f t="shared" si="111"/>
        <v>0</v>
      </c>
      <c r="M3205">
        <f t="shared" si="112"/>
        <v>0</v>
      </c>
    </row>
    <row r="3206" spans="12:13" x14ac:dyDescent="0.25">
      <c r="L3206">
        <f t="shared" si="111"/>
        <v>0</v>
      </c>
      <c r="M3206">
        <f t="shared" si="112"/>
        <v>0</v>
      </c>
    </row>
    <row r="3207" spans="12:13" x14ac:dyDescent="0.25">
      <c r="L3207">
        <f t="shared" si="111"/>
        <v>0</v>
      </c>
      <c r="M3207">
        <f t="shared" si="112"/>
        <v>0</v>
      </c>
    </row>
    <row r="3208" spans="12:13" x14ac:dyDescent="0.25">
      <c r="L3208">
        <f t="shared" si="111"/>
        <v>0</v>
      </c>
      <c r="M3208">
        <f t="shared" si="112"/>
        <v>0</v>
      </c>
    </row>
    <row r="3209" spans="12:13" x14ac:dyDescent="0.25">
      <c r="L3209">
        <f t="shared" si="111"/>
        <v>0</v>
      </c>
      <c r="M3209">
        <f t="shared" si="112"/>
        <v>0</v>
      </c>
    </row>
    <row r="3210" spans="12:13" x14ac:dyDescent="0.25">
      <c r="L3210">
        <f t="shared" si="111"/>
        <v>0</v>
      </c>
      <c r="M3210">
        <f t="shared" si="112"/>
        <v>0</v>
      </c>
    </row>
    <row r="3211" spans="12:13" x14ac:dyDescent="0.25">
      <c r="L3211">
        <f t="shared" si="111"/>
        <v>0</v>
      </c>
      <c r="M3211">
        <f t="shared" si="112"/>
        <v>0</v>
      </c>
    </row>
    <row r="3212" spans="12:13" x14ac:dyDescent="0.25">
      <c r="L3212">
        <f t="shared" si="111"/>
        <v>0</v>
      </c>
      <c r="M3212">
        <f t="shared" si="112"/>
        <v>0</v>
      </c>
    </row>
    <row r="3213" spans="12:13" x14ac:dyDescent="0.25">
      <c r="L3213">
        <f t="shared" si="111"/>
        <v>0</v>
      </c>
      <c r="M3213">
        <f t="shared" si="112"/>
        <v>0</v>
      </c>
    </row>
    <row r="3214" spans="12:13" x14ac:dyDescent="0.25">
      <c r="L3214">
        <f t="shared" si="111"/>
        <v>0</v>
      </c>
      <c r="M3214">
        <f t="shared" si="112"/>
        <v>0</v>
      </c>
    </row>
    <row r="3215" spans="12:13" x14ac:dyDescent="0.25">
      <c r="L3215">
        <f t="shared" si="111"/>
        <v>0</v>
      </c>
      <c r="M3215">
        <f t="shared" si="112"/>
        <v>0</v>
      </c>
    </row>
    <row r="3216" spans="12:13" x14ac:dyDescent="0.25">
      <c r="L3216">
        <f t="shared" si="111"/>
        <v>0</v>
      </c>
      <c r="M3216">
        <f t="shared" si="112"/>
        <v>0</v>
      </c>
    </row>
    <row r="3217" spans="12:13" x14ac:dyDescent="0.25">
      <c r="L3217">
        <f t="shared" si="111"/>
        <v>0</v>
      </c>
      <c r="M3217">
        <f t="shared" si="112"/>
        <v>0</v>
      </c>
    </row>
    <row r="3218" spans="12:13" x14ac:dyDescent="0.25">
      <c r="L3218">
        <f t="shared" si="111"/>
        <v>0</v>
      </c>
      <c r="M3218">
        <f t="shared" si="112"/>
        <v>0</v>
      </c>
    </row>
    <row r="3219" spans="12:13" x14ac:dyDescent="0.25">
      <c r="L3219">
        <f t="shared" si="111"/>
        <v>0</v>
      </c>
      <c r="M3219">
        <f t="shared" si="112"/>
        <v>0</v>
      </c>
    </row>
    <row r="3220" spans="12:13" x14ac:dyDescent="0.25">
      <c r="L3220">
        <f t="shared" si="111"/>
        <v>0</v>
      </c>
      <c r="M3220">
        <f t="shared" si="112"/>
        <v>0</v>
      </c>
    </row>
    <row r="3221" spans="12:13" x14ac:dyDescent="0.25">
      <c r="L3221">
        <f t="shared" si="111"/>
        <v>0</v>
      </c>
      <c r="M3221">
        <f t="shared" si="112"/>
        <v>0</v>
      </c>
    </row>
    <row r="3222" spans="12:13" x14ac:dyDescent="0.25">
      <c r="L3222">
        <f t="shared" si="111"/>
        <v>0</v>
      </c>
      <c r="M3222">
        <f t="shared" si="112"/>
        <v>0</v>
      </c>
    </row>
    <row r="3223" spans="12:13" x14ac:dyDescent="0.25">
      <c r="L3223">
        <f t="shared" si="111"/>
        <v>0</v>
      </c>
      <c r="M3223">
        <f t="shared" si="112"/>
        <v>0</v>
      </c>
    </row>
    <row r="3224" spans="12:13" x14ac:dyDescent="0.25">
      <c r="L3224">
        <f t="shared" si="111"/>
        <v>0</v>
      </c>
      <c r="M3224">
        <f t="shared" si="112"/>
        <v>0</v>
      </c>
    </row>
    <row r="3225" spans="12:13" x14ac:dyDescent="0.25">
      <c r="L3225">
        <f t="shared" si="111"/>
        <v>0</v>
      </c>
      <c r="M3225">
        <f t="shared" si="112"/>
        <v>0</v>
      </c>
    </row>
    <row r="3226" spans="12:13" x14ac:dyDescent="0.25">
      <c r="L3226">
        <f t="shared" si="111"/>
        <v>0</v>
      </c>
      <c r="M3226">
        <f t="shared" si="112"/>
        <v>0</v>
      </c>
    </row>
    <row r="3227" spans="12:13" x14ac:dyDescent="0.25">
      <c r="L3227">
        <f t="shared" si="111"/>
        <v>0</v>
      </c>
      <c r="M3227">
        <f t="shared" si="112"/>
        <v>0</v>
      </c>
    </row>
    <row r="3228" spans="12:13" x14ac:dyDescent="0.25">
      <c r="L3228">
        <f t="shared" si="111"/>
        <v>0</v>
      </c>
      <c r="M3228">
        <f t="shared" si="112"/>
        <v>0</v>
      </c>
    </row>
    <row r="3229" spans="12:13" x14ac:dyDescent="0.25">
      <c r="L3229">
        <f t="shared" si="111"/>
        <v>0</v>
      </c>
      <c r="M3229">
        <f t="shared" si="112"/>
        <v>0</v>
      </c>
    </row>
    <row r="3230" spans="12:13" x14ac:dyDescent="0.25">
      <c r="L3230">
        <f t="shared" si="111"/>
        <v>0</v>
      </c>
      <c r="M3230">
        <f t="shared" si="112"/>
        <v>0</v>
      </c>
    </row>
    <row r="3231" spans="12:13" x14ac:dyDescent="0.25">
      <c r="L3231">
        <f t="shared" si="111"/>
        <v>0</v>
      </c>
      <c r="M3231">
        <f t="shared" si="112"/>
        <v>0</v>
      </c>
    </row>
    <row r="3232" spans="12:13" x14ac:dyDescent="0.25">
      <c r="L3232">
        <f t="shared" si="111"/>
        <v>0</v>
      </c>
      <c r="M3232">
        <f t="shared" si="112"/>
        <v>0</v>
      </c>
    </row>
    <row r="3233" spans="12:13" x14ac:dyDescent="0.25">
      <c r="L3233">
        <f t="shared" si="111"/>
        <v>0</v>
      </c>
      <c r="M3233">
        <f t="shared" si="112"/>
        <v>0</v>
      </c>
    </row>
    <row r="3234" spans="12:13" x14ac:dyDescent="0.25">
      <c r="L3234">
        <f t="shared" si="111"/>
        <v>0</v>
      </c>
      <c r="M3234">
        <f t="shared" si="112"/>
        <v>0</v>
      </c>
    </row>
    <row r="3235" spans="12:13" x14ac:dyDescent="0.25">
      <c r="L3235">
        <f t="shared" si="111"/>
        <v>0</v>
      </c>
      <c r="M3235">
        <f t="shared" si="112"/>
        <v>0</v>
      </c>
    </row>
    <row r="3236" spans="12:13" x14ac:dyDescent="0.25">
      <c r="L3236">
        <f t="shared" si="111"/>
        <v>0</v>
      </c>
      <c r="M3236">
        <f t="shared" si="112"/>
        <v>0</v>
      </c>
    </row>
    <row r="3237" spans="12:13" x14ac:dyDescent="0.25">
      <c r="L3237">
        <f t="shared" si="111"/>
        <v>0</v>
      </c>
      <c r="M3237">
        <f t="shared" si="112"/>
        <v>0</v>
      </c>
    </row>
    <row r="3238" spans="12:13" x14ac:dyDescent="0.25">
      <c r="L3238">
        <f t="shared" si="111"/>
        <v>0</v>
      </c>
      <c r="M3238">
        <f t="shared" si="112"/>
        <v>0</v>
      </c>
    </row>
    <row r="3239" spans="12:13" x14ac:dyDescent="0.25">
      <c r="L3239">
        <f t="shared" si="111"/>
        <v>0</v>
      </c>
      <c r="M3239">
        <f t="shared" si="112"/>
        <v>0</v>
      </c>
    </row>
    <row r="3240" spans="12:13" x14ac:dyDescent="0.25">
      <c r="L3240">
        <f t="shared" si="111"/>
        <v>0</v>
      </c>
      <c r="M3240">
        <f t="shared" si="112"/>
        <v>0</v>
      </c>
    </row>
    <row r="3241" spans="12:13" x14ac:dyDescent="0.25">
      <c r="L3241">
        <f t="shared" si="111"/>
        <v>0</v>
      </c>
      <c r="M3241">
        <f t="shared" si="112"/>
        <v>0</v>
      </c>
    </row>
    <row r="3242" spans="12:13" x14ac:dyDescent="0.25">
      <c r="L3242">
        <f t="shared" si="111"/>
        <v>0</v>
      </c>
      <c r="M3242">
        <f t="shared" si="112"/>
        <v>0</v>
      </c>
    </row>
    <row r="3243" spans="12:13" x14ac:dyDescent="0.25">
      <c r="L3243">
        <f t="shared" si="111"/>
        <v>0</v>
      </c>
      <c r="M3243">
        <f t="shared" si="112"/>
        <v>0</v>
      </c>
    </row>
    <row r="3244" spans="12:13" x14ac:dyDescent="0.25">
      <c r="L3244">
        <f t="shared" si="111"/>
        <v>0</v>
      </c>
      <c r="M3244">
        <f t="shared" si="112"/>
        <v>0</v>
      </c>
    </row>
    <row r="3245" spans="12:13" x14ac:dyDescent="0.25">
      <c r="L3245">
        <f t="shared" si="111"/>
        <v>0</v>
      </c>
      <c r="M3245">
        <f t="shared" si="112"/>
        <v>0</v>
      </c>
    </row>
    <row r="3246" spans="12:13" x14ac:dyDescent="0.25">
      <c r="L3246">
        <f t="shared" ref="L3246:L3309" si="113">+I3246+H3246</f>
        <v>0</v>
      </c>
      <c r="M3246">
        <f t="shared" si="112"/>
        <v>0</v>
      </c>
    </row>
    <row r="3247" spans="12:13" x14ac:dyDescent="0.25">
      <c r="L3247">
        <f t="shared" si="113"/>
        <v>0</v>
      </c>
      <c r="M3247">
        <f t="shared" si="112"/>
        <v>0</v>
      </c>
    </row>
    <row r="3248" spans="12:13" x14ac:dyDescent="0.25">
      <c r="L3248">
        <f t="shared" si="113"/>
        <v>0</v>
      </c>
      <c r="M3248">
        <f t="shared" si="112"/>
        <v>0</v>
      </c>
    </row>
    <row r="3249" spans="12:13" x14ac:dyDescent="0.25">
      <c r="L3249">
        <f t="shared" si="113"/>
        <v>0</v>
      </c>
      <c r="M3249">
        <f t="shared" si="112"/>
        <v>0</v>
      </c>
    </row>
    <row r="3250" spans="12:13" x14ac:dyDescent="0.25">
      <c r="L3250">
        <f t="shared" si="113"/>
        <v>0</v>
      </c>
      <c r="M3250">
        <f t="shared" si="112"/>
        <v>0</v>
      </c>
    </row>
    <row r="3251" spans="12:13" x14ac:dyDescent="0.25">
      <c r="L3251">
        <f t="shared" si="113"/>
        <v>0</v>
      </c>
      <c r="M3251">
        <f t="shared" si="112"/>
        <v>0</v>
      </c>
    </row>
    <row r="3252" spans="12:13" x14ac:dyDescent="0.25">
      <c r="L3252">
        <f t="shared" si="113"/>
        <v>0</v>
      </c>
      <c r="M3252">
        <f t="shared" si="112"/>
        <v>0</v>
      </c>
    </row>
    <row r="3253" spans="12:13" x14ac:dyDescent="0.25">
      <c r="L3253">
        <f t="shared" si="113"/>
        <v>0</v>
      </c>
      <c r="M3253">
        <f t="shared" si="112"/>
        <v>0</v>
      </c>
    </row>
    <row r="3254" spans="12:13" x14ac:dyDescent="0.25">
      <c r="L3254">
        <f t="shared" si="113"/>
        <v>0</v>
      </c>
      <c r="M3254">
        <f t="shared" si="112"/>
        <v>0</v>
      </c>
    </row>
    <row r="3255" spans="12:13" x14ac:dyDescent="0.25">
      <c r="L3255">
        <f t="shared" si="113"/>
        <v>0</v>
      </c>
      <c r="M3255">
        <f t="shared" si="112"/>
        <v>0</v>
      </c>
    </row>
    <row r="3256" spans="12:13" x14ac:dyDescent="0.25">
      <c r="L3256">
        <f t="shared" si="113"/>
        <v>0</v>
      </c>
      <c r="M3256">
        <f t="shared" si="112"/>
        <v>0</v>
      </c>
    </row>
    <row r="3257" spans="12:13" x14ac:dyDescent="0.25">
      <c r="L3257">
        <f t="shared" si="113"/>
        <v>0</v>
      </c>
      <c r="M3257">
        <f t="shared" si="112"/>
        <v>0</v>
      </c>
    </row>
    <row r="3258" spans="12:13" x14ac:dyDescent="0.25">
      <c r="L3258">
        <f t="shared" si="113"/>
        <v>0</v>
      </c>
      <c r="M3258">
        <f t="shared" si="112"/>
        <v>0</v>
      </c>
    </row>
    <row r="3259" spans="12:13" x14ac:dyDescent="0.25">
      <c r="L3259">
        <f t="shared" si="113"/>
        <v>0</v>
      </c>
      <c r="M3259">
        <f t="shared" si="112"/>
        <v>0</v>
      </c>
    </row>
    <row r="3260" spans="12:13" x14ac:dyDescent="0.25">
      <c r="L3260">
        <f t="shared" si="113"/>
        <v>0</v>
      </c>
      <c r="M3260">
        <f t="shared" si="112"/>
        <v>0</v>
      </c>
    </row>
    <row r="3261" spans="12:13" x14ac:dyDescent="0.25">
      <c r="L3261">
        <f t="shared" si="113"/>
        <v>0</v>
      </c>
      <c r="M3261">
        <f t="shared" si="112"/>
        <v>0</v>
      </c>
    </row>
    <row r="3262" spans="12:13" x14ac:dyDescent="0.25">
      <c r="L3262">
        <f t="shared" si="113"/>
        <v>0</v>
      </c>
      <c r="M3262">
        <f t="shared" si="112"/>
        <v>0</v>
      </c>
    </row>
    <row r="3263" spans="12:13" x14ac:dyDescent="0.25">
      <c r="L3263">
        <f t="shared" si="113"/>
        <v>0</v>
      </c>
      <c r="M3263">
        <f t="shared" ref="M3263:M3326" si="114">+I3263/IF(H3263 = 0,1,H3263)</f>
        <v>0</v>
      </c>
    </row>
    <row r="3264" spans="12:13" x14ac:dyDescent="0.25">
      <c r="L3264">
        <f t="shared" si="113"/>
        <v>0</v>
      </c>
      <c r="M3264">
        <f t="shared" si="114"/>
        <v>0</v>
      </c>
    </row>
    <row r="3265" spans="12:13" x14ac:dyDescent="0.25">
      <c r="L3265">
        <f t="shared" si="113"/>
        <v>0</v>
      </c>
      <c r="M3265">
        <f t="shared" si="114"/>
        <v>0</v>
      </c>
    </row>
    <row r="3266" spans="12:13" x14ac:dyDescent="0.25">
      <c r="L3266">
        <f t="shared" si="113"/>
        <v>0</v>
      </c>
      <c r="M3266">
        <f t="shared" si="114"/>
        <v>0</v>
      </c>
    </row>
    <row r="3267" spans="12:13" x14ac:dyDescent="0.25">
      <c r="L3267">
        <f t="shared" si="113"/>
        <v>0</v>
      </c>
      <c r="M3267">
        <f t="shared" si="114"/>
        <v>0</v>
      </c>
    </row>
    <row r="3268" spans="12:13" x14ac:dyDescent="0.25">
      <c r="L3268">
        <f t="shared" si="113"/>
        <v>0</v>
      </c>
      <c r="M3268">
        <f t="shared" si="114"/>
        <v>0</v>
      </c>
    </row>
    <row r="3269" spans="12:13" x14ac:dyDescent="0.25">
      <c r="L3269">
        <f t="shared" si="113"/>
        <v>0</v>
      </c>
      <c r="M3269">
        <f t="shared" si="114"/>
        <v>0</v>
      </c>
    </row>
    <row r="3270" spans="12:13" x14ac:dyDescent="0.25">
      <c r="L3270">
        <f t="shared" si="113"/>
        <v>0</v>
      </c>
      <c r="M3270">
        <f t="shared" si="114"/>
        <v>0</v>
      </c>
    </row>
    <row r="3271" spans="12:13" x14ac:dyDescent="0.25">
      <c r="L3271">
        <f t="shared" si="113"/>
        <v>0</v>
      </c>
      <c r="M3271">
        <f t="shared" si="114"/>
        <v>0</v>
      </c>
    </row>
    <row r="3272" spans="12:13" x14ac:dyDescent="0.25">
      <c r="L3272">
        <f t="shared" si="113"/>
        <v>0</v>
      </c>
      <c r="M3272">
        <f t="shared" si="114"/>
        <v>0</v>
      </c>
    </row>
    <row r="3273" spans="12:13" x14ac:dyDescent="0.25">
      <c r="L3273">
        <f t="shared" si="113"/>
        <v>0</v>
      </c>
      <c r="M3273">
        <f t="shared" si="114"/>
        <v>0</v>
      </c>
    </row>
    <row r="3274" spans="12:13" x14ac:dyDescent="0.25">
      <c r="L3274">
        <f t="shared" si="113"/>
        <v>0</v>
      </c>
      <c r="M3274">
        <f t="shared" si="114"/>
        <v>0</v>
      </c>
    </row>
    <row r="3275" spans="12:13" x14ac:dyDescent="0.25">
      <c r="L3275">
        <f t="shared" si="113"/>
        <v>0</v>
      </c>
      <c r="M3275">
        <f t="shared" si="114"/>
        <v>0</v>
      </c>
    </row>
    <row r="3276" spans="12:13" x14ac:dyDescent="0.25">
      <c r="L3276">
        <f t="shared" si="113"/>
        <v>0</v>
      </c>
      <c r="M3276">
        <f t="shared" si="114"/>
        <v>0</v>
      </c>
    </row>
    <row r="3277" spans="12:13" x14ac:dyDescent="0.25">
      <c r="L3277">
        <f t="shared" si="113"/>
        <v>0</v>
      </c>
      <c r="M3277">
        <f t="shared" si="114"/>
        <v>0</v>
      </c>
    </row>
    <row r="3278" spans="12:13" x14ac:dyDescent="0.25">
      <c r="L3278">
        <f t="shared" si="113"/>
        <v>0</v>
      </c>
      <c r="M3278">
        <f t="shared" si="114"/>
        <v>0</v>
      </c>
    </row>
    <row r="3279" spans="12:13" x14ac:dyDescent="0.25">
      <c r="L3279">
        <f t="shared" si="113"/>
        <v>0</v>
      </c>
      <c r="M3279">
        <f t="shared" si="114"/>
        <v>0</v>
      </c>
    </row>
    <row r="3280" spans="12:13" x14ac:dyDescent="0.25">
      <c r="L3280">
        <f t="shared" si="113"/>
        <v>0</v>
      </c>
      <c r="M3280">
        <f t="shared" si="114"/>
        <v>0</v>
      </c>
    </row>
    <row r="3281" spans="12:13" x14ac:dyDescent="0.25">
      <c r="L3281">
        <f t="shared" si="113"/>
        <v>0</v>
      </c>
      <c r="M3281">
        <f t="shared" si="114"/>
        <v>0</v>
      </c>
    </row>
    <row r="3282" spans="12:13" x14ac:dyDescent="0.25">
      <c r="L3282">
        <f t="shared" si="113"/>
        <v>0</v>
      </c>
      <c r="M3282">
        <f t="shared" si="114"/>
        <v>0</v>
      </c>
    </row>
    <row r="3283" spans="12:13" x14ac:dyDescent="0.25">
      <c r="L3283">
        <f t="shared" si="113"/>
        <v>0</v>
      </c>
      <c r="M3283">
        <f t="shared" si="114"/>
        <v>0</v>
      </c>
    </row>
    <row r="3284" spans="12:13" x14ac:dyDescent="0.25">
      <c r="L3284">
        <f t="shared" si="113"/>
        <v>0</v>
      </c>
      <c r="M3284">
        <f t="shared" si="114"/>
        <v>0</v>
      </c>
    </row>
    <row r="3285" spans="12:13" x14ac:dyDescent="0.25">
      <c r="L3285">
        <f t="shared" si="113"/>
        <v>0</v>
      </c>
      <c r="M3285">
        <f t="shared" si="114"/>
        <v>0</v>
      </c>
    </row>
    <row r="3286" spans="12:13" x14ac:dyDescent="0.25">
      <c r="L3286">
        <f t="shared" si="113"/>
        <v>0</v>
      </c>
      <c r="M3286">
        <f t="shared" si="114"/>
        <v>0</v>
      </c>
    </row>
    <row r="3287" spans="12:13" x14ac:dyDescent="0.25">
      <c r="L3287">
        <f t="shared" si="113"/>
        <v>0</v>
      </c>
      <c r="M3287">
        <f t="shared" si="114"/>
        <v>0</v>
      </c>
    </row>
    <row r="3288" spans="12:13" x14ac:dyDescent="0.25">
      <c r="L3288">
        <f t="shared" si="113"/>
        <v>0</v>
      </c>
      <c r="M3288">
        <f t="shared" si="114"/>
        <v>0</v>
      </c>
    </row>
    <row r="3289" spans="12:13" x14ac:dyDescent="0.25">
      <c r="L3289">
        <f t="shared" si="113"/>
        <v>0</v>
      </c>
      <c r="M3289">
        <f t="shared" si="114"/>
        <v>0</v>
      </c>
    </row>
    <row r="3290" spans="12:13" x14ac:dyDescent="0.25">
      <c r="L3290">
        <f t="shared" si="113"/>
        <v>0</v>
      </c>
      <c r="M3290">
        <f t="shared" si="114"/>
        <v>0</v>
      </c>
    </row>
    <row r="3291" spans="12:13" x14ac:dyDescent="0.25">
      <c r="L3291">
        <f t="shared" si="113"/>
        <v>0</v>
      </c>
      <c r="M3291">
        <f t="shared" si="114"/>
        <v>0</v>
      </c>
    </row>
    <row r="3292" spans="12:13" x14ac:dyDescent="0.25">
      <c r="L3292">
        <f t="shared" si="113"/>
        <v>0</v>
      </c>
      <c r="M3292">
        <f t="shared" si="114"/>
        <v>0</v>
      </c>
    </row>
    <row r="3293" spans="12:13" x14ac:dyDescent="0.25">
      <c r="L3293">
        <f t="shared" si="113"/>
        <v>0</v>
      </c>
      <c r="M3293">
        <f t="shared" si="114"/>
        <v>0</v>
      </c>
    </row>
    <row r="3294" spans="12:13" x14ac:dyDescent="0.25">
      <c r="L3294">
        <f t="shared" si="113"/>
        <v>0</v>
      </c>
      <c r="M3294">
        <f t="shared" si="114"/>
        <v>0</v>
      </c>
    </row>
    <row r="3295" spans="12:13" x14ac:dyDescent="0.25">
      <c r="L3295">
        <f t="shared" si="113"/>
        <v>0</v>
      </c>
      <c r="M3295">
        <f t="shared" si="114"/>
        <v>0</v>
      </c>
    </row>
    <row r="3296" spans="12:13" x14ac:dyDescent="0.25">
      <c r="L3296">
        <f t="shared" si="113"/>
        <v>0</v>
      </c>
      <c r="M3296">
        <f t="shared" si="114"/>
        <v>0</v>
      </c>
    </row>
    <row r="3297" spans="12:13" x14ac:dyDescent="0.25">
      <c r="L3297">
        <f t="shared" si="113"/>
        <v>0</v>
      </c>
      <c r="M3297">
        <f t="shared" si="114"/>
        <v>0</v>
      </c>
    </row>
    <row r="3298" spans="12:13" x14ac:dyDescent="0.25">
      <c r="L3298">
        <f t="shared" si="113"/>
        <v>0</v>
      </c>
      <c r="M3298">
        <f t="shared" si="114"/>
        <v>0</v>
      </c>
    </row>
    <row r="3299" spans="12:13" x14ac:dyDescent="0.25">
      <c r="L3299">
        <f t="shared" si="113"/>
        <v>0</v>
      </c>
      <c r="M3299">
        <f t="shared" si="114"/>
        <v>0</v>
      </c>
    </row>
    <row r="3300" spans="12:13" x14ac:dyDescent="0.25">
      <c r="L3300">
        <f t="shared" si="113"/>
        <v>0</v>
      </c>
      <c r="M3300">
        <f t="shared" si="114"/>
        <v>0</v>
      </c>
    </row>
    <row r="3301" spans="12:13" x14ac:dyDescent="0.25">
      <c r="L3301">
        <f t="shared" si="113"/>
        <v>0</v>
      </c>
      <c r="M3301">
        <f t="shared" si="114"/>
        <v>0</v>
      </c>
    </row>
    <row r="3302" spans="12:13" x14ac:dyDescent="0.25">
      <c r="L3302">
        <f t="shared" si="113"/>
        <v>0</v>
      </c>
      <c r="M3302">
        <f t="shared" si="114"/>
        <v>0</v>
      </c>
    </row>
    <row r="3303" spans="12:13" x14ac:dyDescent="0.25">
      <c r="L3303">
        <f t="shared" si="113"/>
        <v>0</v>
      </c>
      <c r="M3303">
        <f t="shared" si="114"/>
        <v>0</v>
      </c>
    </row>
    <row r="3304" spans="12:13" x14ac:dyDescent="0.25">
      <c r="L3304">
        <f t="shared" si="113"/>
        <v>0</v>
      </c>
      <c r="M3304">
        <f t="shared" si="114"/>
        <v>0</v>
      </c>
    </row>
    <row r="3305" spans="12:13" x14ac:dyDescent="0.25">
      <c r="L3305">
        <f t="shared" si="113"/>
        <v>0</v>
      </c>
      <c r="M3305">
        <f t="shared" si="114"/>
        <v>0</v>
      </c>
    </row>
    <row r="3306" spans="12:13" x14ac:dyDescent="0.25">
      <c r="L3306">
        <f t="shared" si="113"/>
        <v>0</v>
      </c>
      <c r="M3306">
        <f t="shared" si="114"/>
        <v>0</v>
      </c>
    </row>
    <row r="3307" spans="12:13" x14ac:dyDescent="0.25">
      <c r="L3307">
        <f t="shared" si="113"/>
        <v>0</v>
      </c>
      <c r="M3307">
        <f t="shared" si="114"/>
        <v>0</v>
      </c>
    </row>
    <row r="3308" spans="12:13" x14ac:dyDescent="0.25">
      <c r="L3308">
        <f t="shared" si="113"/>
        <v>0</v>
      </c>
      <c r="M3308">
        <f t="shared" si="114"/>
        <v>0</v>
      </c>
    </row>
    <row r="3309" spans="12:13" x14ac:dyDescent="0.25">
      <c r="L3309">
        <f t="shared" si="113"/>
        <v>0</v>
      </c>
      <c r="M3309">
        <f t="shared" si="114"/>
        <v>0</v>
      </c>
    </row>
    <row r="3310" spans="12:13" x14ac:dyDescent="0.25">
      <c r="L3310">
        <f t="shared" ref="L3310:L3373" si="115">+I3310+H3310</f>
        <v>0</v>
      </c>
      <c r="M3310">
        <f t="shared" si="114"/>
        <v>0</v>
      </c>
    </row>
    <row r="3311" spans="12:13" x14ac:dyDescent="0.25">
      <c r="L3311">
        <f t="shared" si="115"/>
        <v>0</v>
      </c>
      <c r="M3311">
        <f t="shared" si="114"/>
        <v>0</v>
      </c>
    </row>
    <row r="3312" spans="12:13" x14ac:dyDescent="0.25">
      <c r="L3312">
        <f t="shared" si="115"/>
        <v>0</v>
      </c>
      <c r="M3312">
        <f t="shared" si="114"/>
        <v>0</v>
      </c>
    </row>
    <row r="3313" spans="12:13" x14ac:dyDescent="0.25">
      <c r="L3313">
        <f t="shared" si="115"/>
        <v>0</v>
      </c>
      <c r="M3313">
        <f t="shared" si="114"/>
        <v>0</v>
      </c>
    </row>
    <row r="3314" spans="12:13" x14ac:dyDescent="0.25">
      <c r="L3314">
        <f t="shared" si="115"/>
        <v>0</v>
      </c>
      <c r="M3314">
        <f t="shared" si="114"/>
        <v>0</v>
      </c>
    </row>
    <row r="3315" spans="12:13" x14ac:dyDescent="0.25">
      <c r="L3315">
        <f t="shared" si="115"/>
        <v>0</v>
      </c>
      <c r="M3315">
        <f t="shared" si="114"/>
        <v>0</v>
      </c>
    </row>
    <row r="3316" spans="12:13" x14ac:dyDescent="0.25">
      <c r="L3316">
        <f t="shared" si="115"/>
        <v>0</v>
      </c>
      <c r="M3316">
        <f t="shared" si="114"/>
        <v>0</v>
      </c>
    </row>
    <row r="3317" spans="12:13" x14ac:dyDescent="0.25">
      <c r="L3317">
        <f t="shared" si="115"/>
        <v>0</v>
      </c>
      <c r="M3317">
        <f t="shared" si="114"/>
        <v>0</v>
      </c>
    </row>
    <row r="3318" spans="12:13" x14ac:dyDescent="0.25">
      <c r="L3318">
        <f t="shared" si="115"/>
        <v>0</v>
      </c>
      <c r="M3318">
        <f t="shared" si="114"/>
        <v>0</v>
      </c>
    </row>
    <row r="3319" spans="12:13" x14ac:dyDescent="0.25">
      <c r="L3319">
        <f t="shared" si="115"/>
        <v>0</v>
      </c>
      <c r="M3319">
        <f t="shared" si="114"/>
        <v>0</v>
      </c>
    </row>
    <row r="3320" spans="12:13" x14ac:dyDescent="0.25">
      <c r="L3320">
        <f t="shared" si="115"/>
        <v>0</v>
      </c>
      <c r="M3320">
        <f t="shared" si="114"/>
        <v>0</v>
      </c>
    </row>
    <row r="3321" spans="12:13" x14ac:dyDescent="0.25">
      <c r="L3321">
        <f t="shared" si="115"/>
        <v>0</v>
      </c>
      <c r="M3321">
        <f t="shared" si="114"/>
        <v>0</v>
      </c>
    </row>
    <row r="3322" spans="12:13" x14ac:dyDescent="0.25">
      <c r="L3322">
        <f t="shared" si="115"/>
        <v>0</v>
      </c>
      <c r="M3322">
        <f t="shared" si="114"/>
        <v>0</v>
      </c>
    </row>
    <row r="3323" spans="12:13" x14ac:dyDescent="0.25">
      <c r="L3323">
        <f t="shared" si="115"/>
        <v>0</v>
      </c>
      <c r="M3323">
        <f t="shared" si="114"/>
        <v>0</v>
      </c>
    </row>
    <row r="3324" spans="12:13" x14ac:dyDescent="0.25">
      <c r="L3324">
        <f t="shared" si="115"/>
        <v>0</v>
      </c>
      <c r="M3324">
        <f t="shared" si="114"/>
        <v>0</v>
      </c>
    </row>
    <row r="3325" spans="12:13" x14ac:dyDescent="0.25">
      <c r="L3325">
        <f t="shared" si="115"/>
        <v>0</v>
      </c>
      <c r="M3325">
        <f t="shared" si="114"/>
        <v>0</v>
      </c>
    </row>
    <row r="3326" spans="12:13" x14ac:dyDescent="0.25">
      <c r="L3326">
        <f t="shared" si="115"/>
        <v>0</v>
      </c>
      <c r="M3326">
        <f t="shared" si="114"/>
        <v>0</v>
      </c>
    </row>
    <row r="3327" spans="12:13" x14ac:dyDescent="0.25">
      <c r="L3327">
        <f t="shared" si="115"/>
        <v>0</v>
      </c>
      <c r="M3327">
        <f t="shared" ref="M3327:M3390" si="116">+I3327/IF(H3327 = 0,1,H3327)</f>
        <v>0</v>
      </c>
    </row>
    <row r="3328" spans="12:13" x14ac:dyDescent="0.25">
      <c r="L3328">
        <f t="shared" si="115"/>
        <v>0</v>
      </c>
      <c r="M3328">
        <f t="shared" si="116"/>
        <v>0</v>
      </c>
    </row>
    <row r="3329" spans="12:13" x14ac:dyDescent="0.25">
      <c r="L3329">
        <f t="shared" si="115"/>
        <v>0</v>
      </c>
      <c r="M3329">
        <f t="shared" si="116"/>
        <v>0</v>
      </c>
    </row>
    <row r="3330" spans="12:13" x14ac:dyDescent="0.25">
      <c r="L3330">
        <f t="shared" si="115"/>
        <v>0</v>
      </c>
      <c r="M3330">
        <f t="shared" si="116"/>
        <v>0</v>
      </c>
    </row>
    <row r="3331" spans="12:13" x14ac:dyDescent="0.25">
      <c r="L3331">
        <f t="shared" si="115"/>
        <v>0</v>
      </c>
      <c r="M3331">
        <f t="shared" si="116"/>
        <v>0</v>
      </c>
    </row>
    <row r="3332" spans="12:13" x14ac:dyDescent="0.25">
      <c r="L3332">
        <f t="shared" si="115"/>
        <v>0</v>
      </c>
      <c r="M3332">
        <f t="shared" si="116"/>
        <v>0</v>
      </c>
    </row>
    <row r="3333" spans="12:13" x14ac:dyDescent="0.25">
      <c r="L3333">
        <f t="shared" si="115"/>
        <v>0</v>
      </c>
      <c r="M3333">
        <f t="shared" si="116"/>
        <v>0</v>
      </c>
    </row>
    <row r="3334" spans="12:13" x14ac:dyDescent="0.25">
      <c r="L3334">
        <f t="shared" si="115"/>
        <v>0</v>
      </c>
      <c r="M3334">
        <f t="shared" si="116"/>
        <v>0</v>
      </c>
    </row>
    <row r="3335" spans="12:13" x14ac:dyDescent="0.25">
      <c r="L3335">
        <f t="shared" si="115"/>
        <v>0</v>
      </c>
      <c r="M3335">
        <f t="shared" si="116"/>
        <v>0</v>
      </c>
    </row>
    <row r="3336" spans="12:13" x14ac:dyDescent="0.25">
      <c r="L3336">
        <f t="shared" si="115"/>
        <v>0</v>
      </c>
      <c r="M3336">
        <f t="shared" si="116"/>
        <v>0</v>
      </c>
    </row>
    <row r="3337" spans="12:13" x14ac:dyDescent="0.25">
      <c r="L3337">
        <f t="shared" si="115"/>
        <v>0</v>
      </c>
      <c r="M3337">
        <f t="shared" si="116"/>
        <v>0</v>
      </c>
    </row>
    <row r="3338" spans="12:13" x14ac:dyDescent="0.25">
      <c r="L3338">
        <f t="shared" si="115"/>
        <v>0</v>
      </c>
      <c r="M3338">
        <f t="shared" si="116"/>
        <v>0</v>
      </c>
    </row>
    <row r="3339" spans="12:13" x14ac:dyDescent="0.25">
      <c r="L3339">
        <f t="shared" si="115"/>
        <v>0</v>
      </c>
      <c r="M3339">
        <f t="shared" si="116"/>
        <v>0</v>
      </c>
    </row>
    <row r="3340" spans="12:13" x14ac:dyDescent="0.25">
      <c r="L3340">
        <f t="shared" si="115"/>
        <v>0</v>
      </c>
      <c r="M3340">
        <f t="shared" si="116"/>
        <v>0</v>
      </c>
    </row>
    <row r="3341" spans="12:13" x14ac:dyDescent="0.25">
      <c r="L3341">
        <f t="shared" si="115"/>
        <v>0</v>
      </c>
      <c r="M3341">
        <f t="shared" si="116"/>
        <v>0</v>
      </c>
    </row>
    <row r="3342" spans="12:13" x14ac:dyDescent="0.25">
      <c r="L3342">
        <f t="shared" si="115"/>
        <v>0</v>
      </c>
      <c r="M3342">
        <f t="shared" si="116"/>
        <v>0</v>
      </c>
    </row>
    <row r="3343" spans="12:13" x14ac:dyDescent="0.25">
      <c r="L3343">
        <f t="shared" si="115"/>
        <v>0</v>
      </c>
      <c r="M3343">
        <f t="shared" si="116"/>
        <v>0</v>
      </c>
    </row>
    <row r="3344" spans="12:13" x14ac:dyDescent="0.25">
      <c r="L3344">
        <f t="shared" si="115"/>
        <v>0</v>
      </c>
      <c r="M3344">
        <f t="shared" si="116"/>
        <v>0</v>
      </c>
    </row>
    <row r="3345" spans="12:13" x14ac:dyDescent="0.25">
      <c r="L3345">
        <f t="shared" si="115"/>
        <v>0</v>
      </c>
      <c r="M3345">
        <f t="shared" si="116"/>
        <v>0</v>
      </c>
    </row>
    <row r="3346" spans="12:13" x14ac:dyDescent="0.25">
      <c r="L3346">
        <f t="shared" si="115"/>
        <v>0</v>
      </c>
      <c r="M3346">
        <f t="shared" si="116"/>
        <v>0</v>
      </c>
    </row>
    <row r="3347" spans="12:13" x14ac:dyDescent="0.25">
      <c r="L3347">
        <f t="shared" si="115"/>
        <v>0</v>
      </c>
      <c r="M3347">
        <f t="shared" si="116"/>
        <v>0</v>
      </c>
    </row>
    <row r="3348" spans="12:13" x14ac:dyDescent="0.25">
      <c r="L3348">
        <f t="shared" si="115"/>
        <v>0</v>
      </c>
      <c r="M3348">
        <f t="shared" si="116"/>
        <v>0</v>
      </c>
    </row>
    <row r="3349" spans="12:13" x14ac:dyDescent="0.25">
      <c r="L3349">
        <f t="shared" si="115"/>
        <v>0</v>
      </c>
      <c r="M3349">
        <f t="shared" si="116"/>
        <v>0</v>
      </c>
    </row>
    <row r="3350" spans="12:13" x14ac:dyDescent="0.25">
      <c r="L3350">
        <f t="shared" si="115"/>
        <v>0</v>
      </c>
      <c r="M3350">
        <f t="shared" si="116"/>
        <v>0</v>
      </c>
    </row>
    <row r="3351" spans="12:13" x14ac:dyDescent="0.25">
      <c r="L3351">
        <f t="shared" si="115"/>
        <v>0</v>
      </c>
      <c r="M3351">
        <f t="shared" si="116"/>
        <v>0</v>
      </c>
    </row>
    <row r="3352" spans="12:13" x14ac:dyDescent="0.25">
      <c r="L3352">
        <f t="shared" si="115"/>
        <v>0</v>
      </c>
      <c r="M3352">
        <f t="shared" si="116"/>
        <v>0</v>
      </c>
    </row>
    <row r="3353" spans="12:13" x14ac:dyDescent="0.25">
      <c r="L3353">
        <f t="shared" si="115"/>
        <v>0</v>
      </c>
      <c r="M3353">
        <f t="shared" si="116"/>
        <v>0</v>
      </c>
    </row>
    <row r="3354" spans="12:13" x14ac:dyDescent="0.25">
      <c r="L3354">
        <f t="shared" si="115"/>
        <v>0</v>
      </c>
      <c r="M3354">
        <f t="shared" si="116"/>
        <v>0</v>
      </c>
    </row>
    <row r="3355" spans="12:13" x14ac:dyDescent="0.25">
      <c r="L3355">
        <f t="shared" si="115"/>
        <v>0</v>
      </c>
      <c r="M3355">
        <f t="shared" si="116"/>
        <v>0</v>
      </c>
    </row>
    <row r="3356" spans="12:13" x14ac:dyDescent="0.25">
      <c r="L3356">
        <f t="shared" si="115"/>
        <v>0</v>
      </c>
      <c r="M3356">
        <f t="shared" si="116"/>
        <v>0</v>
      </c>
    </row>
    <row r="3357" spans="12:13" x14ac:dyDescent="0.25">
      <c r="L3357">
        <f t="shared" si="115"/>
        <v>0</v>
      </c>
      <c r="M3357">
        <f t="shared" si="116"/>
        <v>0</v>
      </c>
    </row>
    <row r="3358" spans="12:13" x14ac:dyDescent="0.25">
      <c r="L3358">
        <f t="shared" si="115"/>
        <v>0</v>
      </c>
      <c r="M3358">
        <f t="shared" si="116"/>
        <v>0</v>
      </c>
    </row>
    <row r="3359" spans="12:13" x14ac:dyDescent="0.25">
      <c r="L3359">
        <f t="shared" si="115"/>
        <v>0</v>
      </c>
      <c r="M3359">
        <f t="shared" si="116"/>
        <v>0</v>
      </c>
    </row>
    <row r="3360" spans="12:13" x14ac:dyDescent="0.25">
      <c r="L3360">
        <f t="shared" si="115"/>
        <v>0</v>
      </c>
      <c r="M3360">
        <f t="shared" si="116"/>
        <v>0</v>
      </c>
    </row>
    <row r="3361" spans="12:13" x14ac:dyDescent="0.25">
      <c r="L3361">
        <f t="shared" si="115"/>
        <v>0</v>
      </c>
      <c r="M3361">
        <f t="shared" si="116"/>
        <v>0</v>
      </c>
    </row>
    <row r="3362" spans="12:13" x14ac:dyDescent="0.25">
      <c r="L3362">
        <f t="shared" si="115"/>
        <v>0</v>
      </c>
      <c r="M3362">
        <f t="shared" si="116"/>
        <v>0</v>
      </c>
    </row>
    <row r="3363" spans="12:13" x14ac:dyDescent="0.25">
      <c r="L3363">
        <f t="shared" si="115"/>
        <v>0</v>
      </c>
      <c r="M3363">
        <f t="shared" si="116"/>
        <v>0</v>
      </c>
    </row>
    <row r="3364" spans="12:13" x14ac:dyDescent="0.25">
      <c r="L3364">
        <f t="shared" si="115"/>
        <v>0</v>
      </c>
      <c r="M3364">
        <f t="shared" si="116"/>
        <v>0</v>
      </c>
    </row>
    <row r="3365" spans="12:13" x14ac:dyDescent="0.25">
      <c r="L3365">
        <f t="shared" si="115"/>
        <v>0</v>
      </c>
      <c r="M3365">
        <f t="shared" si="116"/>
        <v>0</v>
      </c>
    </row>
    <row r="3366" spans="12:13" x14ac:dyDescent="0.25">
      <c r="L3366">
        <f t="shared" si="115"/>
        <v>0</v>
      </c>
      <c r="M3366">
        <f t="shared" si="116"/>
        <v>0</v>
      </c>
    </row>
    <row r="3367" spans="12:13" x14ac:dyDescent="0.25">
      <c r="L3367">
        <f t="shared" si="115"/>
        <v>0</v>
      </c>
      <c r="M3367">
        <f t="shared" si="116"/>
        <v>0</v>
      </c>
    </row>
    <row r="3368" spans="12:13" x14ac:dyDescent="0.25">
      <c r="L3368">
        <f t="shared" si="115"/>
        <v>0</v>
      </c>
      <c r="M3368">
        <f t="shared" si="116"/>
        <v>0</v>
      </c>
    </row>
    <row r="3369" spans="12:13" x14ac:dyDescent="0.25">
      <c r="L3369">
        <f t="shared" si="115"/>
        <v>0</v>
      </c>
      <c r="M3369">
        <f t="shared" si="116"/>
        <v>0</v>
      </c>
    </row>
    <row r="3370" spans="12:13" x14ac:dyDescent="0.25">
      <c r="L3370">
        <f t="shared" si="115"/>
        <v>0</v>
      </c>
      <c r="M3370">
        <f t="shared" si="116"/>
        <v>0</v>
      </c>
    </row>
    <row r="3371" spans="12:13" x14ac:dyDescent="0.25">
      <c r="L3371">
        <f t="shared" si="115"/>
        <v>0</v>
      </c>
      <c r="M3371">
        <f t="shared" si="116"/>
        <v>0</v>
      </c>
    </row>
    <row r="3372" spans="12:13" x14ac:dyDescent="0.25">
      <c r="L3372">
        <f t="shared" si="115"/>
        <v>0</v>
      </c>
      <c r="M3372">
        <f t="shared" si="116"/>
        <v>0</v>
      </c>
    </row>
    <row r="3373" spans="12:13" x14ac:dyDescent="0.25">
      <c r="L3373">
        <f t="shared" si="115"/>
        <v>0</v>
      </c>
      <c r="M3373">
        <f t="shared" si="116"/>
        <v>0</v>
      </c>
    </row>
    <row r="3374" spans="12:13" x14ac:dyDescent="0.25">
      <c r="L3374">
        <f t="shared" ref="L3374:L3437" si="117">+I3374+H3374</f>
        <v>0</v>
      </c>
      <c r="M3374">
        <f t="shared" si="116"/>
        <v>0</v>
      </c>
    </row>
    <row r="3375" spans="12:13" x14ac:dyDescent="0.25">
      <c r="L3375">
        <f t="shared" si="117"/>
        <v>0</v>
      </c>
      <c r="M3375">
        <f t="shared" si="116"/>
        <v>0</v>
      </c>
    </row>
    <row r="3376" spans="12:13" x14ac:dyDescent="0.25">
      <c r="L3376">
        <f t="shared" si="117"/>
        <v>0</v>
      </c>
      <c r="M3376">
        <f t="shared" si="116"/>
        <v>0</v>
      </c>
    </row>
    <row r="3377" spans="12:13" x14ac:dyDescent="0.25">
      <c r="L3377">
        <f t="shared" si="117"/>
        <v>0</v>
      </c>
      <c r="M3377">
        <f t="shared" si="116"/>
        <v>0</v>
      </c>
    </row>
    <row r="3378" spans="12:13" x14ac:dyDescent="0.25">
      <c r="L3378">
        <f t="shared" si="117"/>
        <v>0</v>
      </c>
      <c r="M3378">
        <f t="shared" si="116"/>
        <v>0</v>
      </c>
    </row>
    <row r="3379" spans="12:13" x14ac:dyDescent="0.25">
      <c r="L3379">
        <f t="shared" si="117"/>
        <v>0</v>
      </c>
      <c r="M3379">
        <f t="shared" si="116"/>
        <v>0</v>
      </c>
    </row>
    <row r="3380" spans="12:13" x14ac:dyDescent="0.25">
      <c r="L3380">
        <f t="shared" si="117"/>
        <v>0</v>
      </c>
      <c r="M3380">
        <f t="shared" si="116"/>
        <v>0</v>
      </c>
    </row>
    <row r="3381" spans="12:13" x14ac:dyDescent="0.25">
      <c r="L3381">
        <f t="shared" si="117"/>
        <v>0</v>
      </c>
      <c r="M3381">
        <f t="shared" si="116"/>
        <v>0</v>
      </c>
    </row>
    <row r="3382" spans="12:13" x14ac:dyDescent="0.25">
      <c r="L3382">
        <f t="shared" si="117"/>
        <v>0</v>
      </c>
      <c r="M3382">
        <f t="shared" si="116"/>
        <v>0</v>
      </c>
    </row>
    <row r="3383" spans="12:13" x14ac:dyDescent="0.25">
      <c r="L3383">
        <f t="shared" si="117"/>
        <v>0</v>
      </c>
      <c r="M3383">
        <f t="shared" si="116"/>
        <v>0</v>
      </c>
    </row>
    <row r="3384" spans="12:13" x14ac:dyDescent="0.25">
      <c r="L3384">
        <f t="shared" si="117"/>
        <v>0</v>
      </c>
      <c r="M3384">
        <f t="shared" si="116"/>
        <v>0</v>
      </c>
    </row>
    <row r="3385" spans="12:13" x14ac:dyDescent="0.25">
      <c r="L3385">
        <f t="shared" si="117"/>
        <v>0</v>
      </c>
      <c r="M3385">
        <f t="shared" si="116"/>
        <v>0</v>
      </c>
    </row>
    <row r="3386" spans="12:13" x14ac:dyDescent="0.25">
      <c r="L3386">
        <f t="shared" si="117"/>
        <v>0</v>
      </c>
      <c r="M3386">
        <f t="shared" si="116"/>
        <v>0</v>
      </c>
    </row>
    <row r="3387" spans="12:13" x14ac:dyDescent="0.25">
      <c r="L3387">
        <f t="shared" si="117"/>
        <v>0</v>
      </c>
      <c r="M3387">
        <f t="shared" si="116"/>
        <v>0</v>
      </c>
    </row>
    <row r="3388" spans="12:13" x14ac:dyDescent="0.25">
      <c r="L3388">
        <f t="shared" si="117"/>
        <v>0</v>
      </c>
      <c r="M3388">
        <f t="shared" si="116"/>
        <v>0</v>
      </c>
    </row>
    <row r="3389" spans="12:13" x14ac:dyDescent="0.25">
      <c r="L3389">
        <f t="shared" si="117"/>
        <v>0</v>
      </c>
      <c r="M3389">
        <f t="shared" si="116"/>
        <v>0</v>
      </c>
    </row>
    <row r="3390" spans="12:13" x14ac:dyDescent="0.25">
      <c r="L3390">
        <f t="shared" si="117"/>
        <v>0</v>
      </c>
      <c r="M3390">
        <f t="shared" si="116"/>
        <v>0</v>
      </c>
    </row>
    <row r="3391" spans="12:13" x14ac:dyDescent="0.25">
      <c r="L3391">
        <f t="shared" si="117"/>
        <v>0</v>
      </c>
      <c r="M3391">
        <f t="shared" ref="M3391:M3453" si="118">+I3391/IF(H3391 = 0,1,H3391)</f>
        <v>0</v>
      </c>
    </row>
    <row r="3392" spans="12:13" x14ac:dyDescent="0.25">
      <c r="L3392">
        <f t="shared" si="117"/>
        <v>0</v>
      </c>
      <c r="M3392">
        <f t="shared" si="118"/>
        <v>0</v>
      </c>
    </row>
    <row r="3393" spans="12:13" x14ac:dyDescent="0.25">
      <c r="L3393">
        <f t="shared" si="117"/>
        <v>0</v>
      </c>
      <c r="M3393">
        <f t="shared" si="118"/>
        <v>0</v>
      </c>
    </row>
    <row r="3394" spans="12:13" x14ac:dyDescent="0.25">
      <c r="L3394">
        <f t="shared" si="117"/>
        <v>0</v>
      </c>
      <c r="M3394">
        <f t="shared" si="118"/>
        <v>0</v>
      </c>
    </row>
    <row r="3395" spans="12:13" x14ac:dyDescent="0.25">
      <c r="L3395">
        <f t="shared" si="117"/>
        <v>0</v>
      </c>
      <c r="M3395">
        <f t="shared" si="118"/>
        <v>0</v>
      </c>
    </row>
    <row r="3396" spans="12:13" x14ac:dyDescent="0.25">
      <c r="L3396">
        <f t="shared" si="117"/>
        <v>0</v>
      </c>
      <c r="M3396">
        <f t="shared" si="118"/>
        <v>0</v>
      </c>
    </row>
    <row r="3397" spans="12:13" x14ac:dyDescent="0.25">
      <c r="L3397">
        <f t="shared" si="117"/>
        <v>0</v>
      </c>
      <c r="M3397">
        <f t="shared" si="118"/>
        <v>0</v>
      </c>
    </row>
    <row r="3398" spans="12:13" x14ac:dyDescent="0.25">
      <c r="L3398">
        <f t="shared" si="117"/>
        <v>0</v>
      </c>
      <c r="M3398">
        <f t="shared" si="118"/>
        <v>0</v>
      </c>
    </row>
    <row r="3399" spans="12:13" x14ac:dyDescent="0.25">
      <c r="L3399">
        <f t="shared" si="117"/>
        <v>0</v>
      </c>
      <c r="M3399">
        <f t="shared" si="118"/>
        <v>0</v>
      </c>
    </row>
    <row r="3400" spans="12:13" x14ac:dyDescent="0.25">
      <c r="L3400">
        <f t="shared" si="117"/>
        <v>0</v>
      </c>
      <c r="M3400">
        <f t="shared" si="118"/>
        <v>0</v>
      </c>
    </row>
    <row r="3401" spans="12:13" x14ac:dyDescent="0.25">
      <c r="L3401">
        <f t="shared" si="117"/>
        <v>0</v>
      </c>
      <c r="M3401">
        <f t="shared" si="118"/>
        <v>0</v>
      </c>
    </row>
    <row r="3402" spans="12:13" x14ac:dyDescent="0.25">
      <c r="L3402">
        <f t="shared" si="117"/>
        <v>0</v>
      </c>
      <c r="M3402">
        <f t="shared" si="118"/>
        <v>0</v>
      </c>
    </row>
    <row r="3403" spans="12:13" x14ac:dyDescent="0.25">
      <c r="L3403">
        <f t="shared" si="117"/>
        <v>0</v>
      </c>
      <c r="M3403">
        <f t="shared" si="118"/>
        <v>0</v>
      </c>
    </row>
    <row r="3404" spans="12:13" x14ac:dyDescent="0.25">
      <c r="L3404">
        <f t="shared" si="117"/>
        <v>0</v>
      </c>
      <c r="M3404">
        <f t="shared" si="118"/>
        <v>0</v>
      </c>
    </row>
    <row r="3405" spans="12:13" x14ac:dyDescent="0.25">
      <c r="L3405">
        <f t="shared" si="117"/>
        <v>0</v>
      </c>
      <c r="M3405">
        <f t="shared" si="118"/>
        <v>0</v>
      </c>
    </row>
    <row r="3406" spans="12:13" x14ac:dyDescent="0.25">
      <c r="L3406">
        <f t="shared" si="117"/>
        <v>0</v>
      </c>
      <c r="M3406">
        <f t="shared" si="118"/>
        <v>0</v>
      </c>
    </row>
    <row r="3407" spans="12:13" x14ac:dyDescent="0.25">
      <c r="L3407">
        <f t="shared" si="117"/>
        <v>0</v>
      </c>
      <c r="M3407">
        <f t="shared" si="118"/>
        <v>0</v>
      </c>
    </row>
    <row r="3408" spans="12:13" x14ac:dyDescent="0.25">
      <c r="L3408">
        <f t="shared" si="117"/>
        <v>0</v>
      </c>
      <c r="M3408">
        <f t="shared" si="118"/>
        <v>0</v>
      </c>
    </row>
    <row r="3409" spans="12:13" x14ac:dyDescent="0.25">
      <c r="L3409">
        <f t="shared" si="117"/>
        <v>0</v>
      </c>
      <c r="M3409">
        <f t="shared" si="118"/>
        <v>0</v>
      </c>
    </row>
    <row r="3410" spans="12:13" x14ac:dyDescent="0.25">
      <c r="L3410">
        <f t="shared" si="117"/>
        <v>0</v>
      </c>
      <c r="M3410">
        <f t="shared" si="118"/>
        <v>0</v>
      </c>
    </row>
    <row r="3411" spans="12:13" x14ac:dyDescent="0.25">
      <c r="L3411">
        <f t="shared" si="117"/>
        <v>0</v>
      </c>
      <c r="M3411">
        <f t="shared" si="118"/>
        <v>0</v>
      </c>
    </row>
    <row r="3412" spans="12:13" x14ac:dyDescent="0.25">
      <c r="L3412">
        <f t="shared" si="117"/>
        <v>0</v>
      </c>
      <c r="M3412">
        <f t="shared" si="118"/>
        <v>0</v>
      </c>
    </row>
    <row r="3413" spans="12:13" x14ac:dyDescent="0.25">
      <c r="L3413">
        <f t="shared" si="117"/>
        <v>0</v>
      </c>
      <c r="M3413">
        <f t="shared" si="118"/>
        <v>0</v>
      </c>
    </row>
    <row r="3414" spans="12:13" x14ac:dyDescent="0.25">
      <c r="L3414">
        <f t="shared" si="117"/>
        <v>0</v>
      </c>
      <c r="M3414">
        <f t="shared" si="118"/>
        <v>0</v>
      </c>
    </row>
    <row r="3415" spans="12:13" x14ac:dyDescent="0.25">
      <c r="L3415">
        <f t="shared" si="117"/>
        <v>0</v>
      </c>
      <c r="M3415">
        <f t="shared" si="118"/>
        <v>0</v>
      </c>
    </row>
    <row r="3416" spans="12:13" x14ac:dyDescent="0.25">
      <c r="L3416">
        <f t="shared" si="117"/>
        <v>0</v>
      </c>
      <c r="M3416">
        <f t="shared" si="118"/>
        <v>0</v>
      </c>
    </row>
    <row r="3417" spans="12:13" x14ac:dyDescent="0.25">
      <c r="L3417">
        <f t="shared" si="117"/>
        <v>0</v>
      </c>
      <c r="M3417">
        <f t="shared" si="118"/>
        <v>0</v>
      </c>
    </row>
    <row r="3418" spans="12:13" x14ac:dyDescent="0.25">
      <c r="L3418">
        <f t="shared" si="117"/>
        <v>0</v>
      </c>
      <c r="M3418">
        <f t="shared" si="118"/>
        <v>0</v>
      </c>
    </row>
    <row r="3419" spans="12:13" x14ac:dyDescent="0.25">
      <c r="L3419">
        <f t="shared" si="117"/>
        <v>0</v>
      </c>
      <c r="M3419">
        <f t="shared" si="118"/>
        <v>0</v>
      </c>
    </row>
    <row r="3420" spans="12:13" x14ac:dyDescent="0.25">
      <c r="L3420">
        <f t="shared" si="117"/>
        <v>0</v>
      </c>
      <c r="M3420">
        <f t="shared" si="118"/>
        <v>0</v>
      </c>
    </row>
    <row r="3421" spans="12:13" x14ac:dyDescent="0.25">
      <c r="L3421">
        <f t="shared" si="117"/>
        <v>0</v>
      </c>
      <c r="M3421">
        <f t="shared" si="118"/>
        <v>0</v>
      </c>
    </row>
    <row r="3422" spans="12:13" x14ac:dyDescent="0.25">
      <c r="L3422">
        <f t="shared" si="117"/>
        <v>0</v>
      </c>
      <c r="M3422">
        <f t="shared" si="118"/>
        <v>0</v>
      </c>
    </row>
    <row r="3423" spans="12:13" x14ac:dyDescent="0.25">
      <c r="L3423">
        <f t="shared" si="117"/>
        <v>0</v>
      </c>
      <c r="M3423">
        <f t="shared" si="118"/>
        <v>0</v>
      </c>
    </row>
    <row r="3424" spans="12:13" x14ac:dyDescent="0.25">
      <c r="L3424">
        <f t="shared" si="117"/>
        <v>0</v>
      </c>
      <c r="M3424">
        <f t="shared" si="118"/>
        <v>0</v>
      </c>
    </row>
    <row r="3425" spans="12:13" x14ac:dyDescent="0.25">
      <c r="L3425">
        <f t="shared" si="117"/>
        <v>0</v>
      </c>
      <c r="M3425">
        <f t="shared" si="118"/>
        <v>0</v>
      </c>
    </row>
    <row r="3426" spans="12:13" x14ac:dyDescent="0.25">
      <c r="L3426">
        <f t="shared" si="117"/>
        <v>0</v>
      </c>
      <c r="M3426">
        <f t="shared" si="118"/>
        <v>0</v>
      </c>
    </row>
    <row r="3427" spans="12:13" x14ac:dyDescent="0.25">
      <c r="L3427">
        <f t="shared" si="117"/>
        <v>0</v>
      </c>
      <c r="M3427">
        <f t="shared" si="118"/>
        <v>0</v>
      </c>
    </row>
    <row r="3428" spans="12:13" x14ac:dyDescent="0.25">
      <c r="L3428">
        <f t="shared" si="117"/>
        <v>0</v>
      </c>
      <c r="M3428">
        <f t="shared" si="118"/>
        <v>0</v>
      </c>
    </row>
    <row r="3429" spans="12:13" x14ac:dyDescent="0.25">
      <c r="L3429">
        <f t="shared" si="117"/>
        <v>0</v>
      </c>
      <c r="M3429">
        <f t="shared" si="118"/>
        <v>0</v>
      </c>
    </row>
    <row r="3430" spans="12:13" x14ac:dyDescent="0.25">
      <c r="L3430">
        <f t="shared" si="117"/>
        <v>0</v>
      </c>
      <c r="M3430">
        <f t="shared" si="118"/>
        <v>0</v>
      </c>
    </row>
    <row r="3431" spans="12:13" x14ac:dyDescent="0.25">
      <c r="L3431">
        <f t="shared" si="117"/>
        <v>0</v>
      </c>
      <c r="M3431">
        <f t="shared" si="118"/>
        <v>0</v>
      </c>
    </row>
    <row r="3432" spans="12:13" x14ac:dyDescent="0.25">
      <c r="L3432">
        <f t="shared" si="117"/>
        <v>0</v>
      </c>
      <c r="M3432">
        <f t="shared" si="118"/>
        <v>0</v>
      </c>
    </row>
    <row r="3433" spans="12:13" x14ac:dyDescent="0.25">
      <c r="L3433">
        <f t="shared" si="117"/>
        <v>0</v>
      </c>
      <c r="M3433">
        <f t="shared" si="118"/>
        <v>0</v>
      </c>
    </row>
    <row r="3434" spans="12:13" x14ac:dyDescent="0.25">
      <c r="L3434">
        <f t="shared" si="117"/>
        <v>0</v>
      </c>
      <c r="M3434">
        <f t="shared" si="118"/>
        <v>0</v>
      </c>
    </row>
    <row r="3435" spans="12:13" x14ac:dyDescent="0.25">
      <c r="L3435">
        <f t="shared" si="117"/>
        <v>0</v>
      </c>
      <c r="M3435">
        <f t="shared" si="118"/>
        <v>0</v>
      </c>
    </row>
    <row r="3436" spans="12:13" x14ac:dyDescent="0.25">
      <c r="L3436">
        <f t="shared" si="117"/>
        <v>0</v>
      </c>
      <c r="M3436">
        <f t="shared" si="118"/>
        <v>0</v>
      </c>
    </row>
    <row r="3437" spans="12:13" x14ac:dyDescent="0.25">
      <c r="L3437">
        <f t="shared" si="117"/>
        <v>0</v>
      </c>
      <c r="M3437">
        <f t="shared" si="118"/>
        <v>0</v>
      </c>
    </row>
    <row r="3438" spans="12:13" x14ac:dyDescent="0.25">
      <c r="L3438">
        <f t="shared" ref="L3438:L3453" si="119">+I3438+H3438</f>
        <v>0</v>
      </c>
      <c r="M3438">
        <f t="shared" si="118"/>
        <v>0</v>
      </c>
    </row>
    <row r="3439" spans="12:13" x14ac:dyDescent="0.25">
      <c r="L3439">
        <f t="shared" si="119"/>
        <v>0</v>
      </c>
      <c r="M3439">
        <f t="shared" si="118"/>
        <v>0</v>
      </c>
    </row>
    <row r="3440" spans="12:13" x14ac:dyDescent="0.25">
      <c r="L3440">
        <f t="shared" si="119"/>
        <v>0</v>
      </c>
      <c r="M3440">
        <f t="shared" si="118"/>
        <v>0</v>
      </c>
    </row>
    <row r="3441" spans="12:13" x14ac:dyDescent="0.25">
      <c r="L3441">
        <f t="shared" si="119"/>
        <v>0</v>
      </c>
      <c r="M3441">
        <f t="shared" si="118"/>
        <v>0</v>
      </c>
    </row>
    <row r="3442" spans="12:13" x14ac:dyDescent="0.25">
      <c r="L3442">
        <f t="shared" si="119"/>
        <v>0</v>
      </c>
      <c r="M3442">
        <f t="shared" si="118"/>
        <v>0</v>
      </c>
    </row>
    <row r="3443" spans="12:13" x14ac:dyDescent="0.25">
      <c r="L3443">
        <f t="shared" si="119"/>
        <v>0</v>
      </c>
      <c r="M3443">
        <f t="shared" si="118"/>
        <v>0</v>
      </c>
    </row>
    <row r="3444" spans="12:13" x14ac:dyDescent="0.25">
      <c r="L3444">
        <f t="shared" si="119"/>
        <v>0</v>
      </c>
      <c r="M3444">
        <f t="shared" si="118"/>
        <v>0</v>
      </c>
    </row>
    <row r="3445" spans="12:13" x14ac:dyDescent="0.25">
      <c r="L3445">
        <f t="shared" si="119"/>
        <v>0</v>
      </c>
      <c r="M3445">
        <f t="shared" si="118"/>
        <v>0</v>
      </c>
    </row>
    <row r="3446" spans="12:13" x14ac:dyDescent="0.25">
      <c r="L3446">
        <f t="shared" si="119"/>
        <v>0</v>
      </c>
      <c r="M3446">
        <f t="shared" si="118"/>
        <v>0</v>
      </c>
    </row>
    <row r="3447" spans="12:13" x14ac:dyDescent="0.25">
      <c r="L3447">
        <f t="shared" si="119"/>
        <v>0</v>
      </c>
      <c r="M3447">
        <f t="shared" si="118"/>
        <v>0</v>
      </c>
    </row>
    <row r="3448" spans="12:13" x14ac:dyDescent="0.25">
      <c r="L3448">
        <f t="shared" si="119"/>
        <v>0</v>
      </c>
      <c r="M3448">
        <f t="shared" si="118"/>
        <v>0</v>
      </c>
    </row>
    <row r="3449" spans="12:13" x14ac:dyDescent="0.25">
      <c r="L3449">
        <f t="shared" si="119"/>
        <v>0</v>
      </c>
      <c r="M3449">
        <f t="shared" si="118"/>
        <v>0</v>
      </c>
    </row>
    <row r="3450" spans="12:13" x14ac:dyDescent="0.25">
      <c r="L3450">
        <f t="shared" si="119"/>
        <v>0</v>
      </c>
      <c r="M3450">
        <f t="shared" si="118"/>
        <v>0</v>
      </c>
    </row>
    <row r="3451" spans="12:13" x14ac:dyDescent="0.25">
      <c r="L3451">
        <f t="shared" si="119"/>
        <v>0</v>
      </c>
      <c r="M3451">
        <f t="shared" si="118"/>
        <v>0</v>
      </c>
    </row>
    <row r="3452" spans="12:13" x14ac:dyDescent="0.25">
      <c r="L3452">
        <f t="shared" si="119"/>
        <v>0</v>
      </c>
      <c r="M3452">
        <f t="shared" si="118"/>
        <v>0</v>
      </c>
    </row>
    <row r="3453" spans="12:13" x14ac:dyDescent="0.25">
      <c r="L3453">
        <f t="shared" si="119"/>
        <v>0</v>
      </c>
      <c r="M3453">
        <f t="shared" si="118"/>
        <v>0</v>
      </c>
    </row>
  </sheetData>
  <mergeCells count="10">
    <mergeCell ref="B7:C7"/>
    <mergeCell ref="R19:S19"/>
    <mergeCell ref="T19:W19"/>
    <mergeCell ref="AA19:AB19"/>
    <mergeCell ref="AC19:AD19"/>
    <mergeCell ref="T35:W35"/>
    <mergeCell ref="Z35:AA35"/>
    <mergeCell ref="AB35:AC35"/>
    <mergeCell ref="AD35:AE35"/>
    <mergeCell ref="AE19:AF19"/>
  </mergeCells>
  <phoneticPr fontId="15" type="noConversion"/>
  <conditionalFormatting sqref="N18 J10:K18 M10:M18 A10:A67 B10:F18">
    <cfRule type="cellIs" dxfId="23" priority="27" stopIfTrue="1" operator="greaterThan">
      <formula>21770.5</formula>
    </cfRule>
  </conditionalFormatting>
  <dataValidations count="4">
    <dataValidation type="list" allowBlank="1" showInputMessage="1" showErrorMessage="1" sqref="C3">
      <formula1>$Q$5:$Q$15</formula1>
    </dataValidation>
    <dataValidation type="list" allowBlank="1" showInputMessage="1" showErrorMessage="1" sqref="C6">
      <formula1>$S$5:$S$6</formula1>
    </dataValidation>
    <dataValidation type="list" allowBlank="1" showInputMessage="1" showErrorMessage="1" sqref="C5">
      <formula1>$T$5:$T$6</formula1>
    </dataValidation>
    <dataValidation type="list" allowBlank="1" showInputMessage="1" showErrorMessage="1" sqref="C4">
      <formula1>$R$5:$R$15</formula1>
    </dataValidation>
  </dataValidations>
  <printOptions horizontalCentered="1"/>
  <pageMargins left="0.23622047244094491" right="0.23622047244094491" top="0.23622047244094491" bottom="0.23622047244094491" header="0.31496062992125984" footer="0.11811023622047245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4" name="Button 3">
              <controlPr defaultSize="0" print="0" autoFill="0" autoPict="0" macro="[0]!GetFilteredData">
                <anchor moveWithCells="1" sizeWithCells="1">
                  <from>
                    <xdr:col>1</xdr:col>
                    <xdr:colOff>838200</xdr:colOff>
                    <xdr:row>6</xdr:row>
                    <xdr:rowOff>152400</xdr:rowOff>
                  </from>
                  <to>
                    <xdr:col>3</xdr:col>
                    <xdr:colOff>400050</xdr:colOff>
                    <xdr:row>7</xdr:row>
                    <xdr:rowOff>139700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5:N25"/>
  <sheetViews>
    <sheetView topLeftCell="I4" workbookViewId="0">
      <selection activeCell="J20" sqref="J20"/>
    </sheetView>
  </sheetViews>
  <sheetFormatPr defaultRowHeight="12.5" x14ac:dyDescent="0.25"/>
  <cols>
    <col min="9" max="9" width="12.1796875" bestFit="1" customWidth="1"/>
  </cols>
  <sheetData>
    <row r="5" spans="1:14" ht="13" thickBot="1" x14ac:dyDescent="0.3">
      <c r="B5" t="s">
        <v>32</v>
      </c>
      <c r="C5" t="s">
        <v>33</v>
      </c>
      <c r="D5" t="s">
        <v>34</v>
      </c>
      <c r="E5" t="s">
        <v>35</v>
      </c>
      <c r="F5" t="s">
        <v>36</v>
      </c>
      <c r="J5" t="s">
        <v>32</v>
      </c>
      <c r="K5" t="s">
        <v>33</v>
      </c>
      <c r="L5" t="s">
        <v>34</v>
      </c>
      <c r="M5" t="s">
        <v>35</v>
      </c>
      <c r="N5" t="s">
        <v>36</v>
      </c>
    </row>
    <row r="6" spans="1:14" ht="13" thickBot="1" x14ac:dyDescent="0.3">
      <c r="A6" t="s">
        <v>70</v>
      </c>
      <c r="B6">
        <v>62</v>
      </c>
      <c r="C6">
        <v>3.5</v>
      </c>
      <c r="D6">
        <v>3</v>
      </c>
      <c r="E6">
        <v>10</v>
      </c>
      <c r="F6">
        <v>10</v>
      </c>
      <c r="I6" t="s">
        <v>90</v>
      </c>
      <c r="J6">
        <v>61.72</v>
      </c>
      <c r="K6">
        <v>4.33</v>
      </c>
      <c r="L6">
        <v>2.4700000000000002</v>
      </c>
      <c r="M6">
        <v>10</v>
      </c>
      <c r="N6">
        <v>10</v>
      </c>
    </row>
    <row r="7" spans="1:14" ht="13" thickBot="1" x14ac:dyDescent="0.3">
      <c r="A7" t="s">
        <v>69</v>
      </c>
      <c r="B7">
        <v>62.5</v>
      </c>
      <c r="C7">
        <v>3.3</v>
      </c>
      <c r="D7">
        <v>2.2000000000000002</v>
      </c>
      <c r="E7">
        <v>10</v>
      </c>
      <c r="F7">
        <v>10</v>
      </c>
      <c r="I7" t="s">
        <v>91</v>
      </c>
    </row>
    <row r="8" spans="1:14" ht="13" thickBot="1" x14ac:dyDescent="0.3">
      <c r="A8" t="s">
        <v>72</v>
      </c>
      <c r="B8">
        <v>62.4</v>
      </c>
      <c r="C8">
        <v>3.6</v>
      </c>
      <c r="D8">
        <v>2.2000000000000002</v>
      </c>
      <c r="E8">
        <v>10</v>
      </c>
      <c r="F8">
        <v>10</v>
      </c>
      <c r="I8" t="s">
        <v>92</v>
      </c>
      <c r="J8">
        <v>62.5</v>
      </c>
      <c r="K8">
        <v>3.3</v>
      </c>
      <c r="L8">
        <v>2.2000000000000002</v>
      </c>
      <c r="M8">
        <v>10</v>
      </c>
      <c r="N8">
        <v>10</v>
      </c>
    </row>
    <row r="9" spans="1:14" ht="13" thickBot="1" x14ac:dyDescent="0.3">
      <c r="A9" t="s">
        <v>71</v>
      </c>
      <c r="B9">
        <v>63</v>
      </c>
      <c r="C9">
        <v>2.5</v>
      </c>
      <c r="D9">
        <v>2.2999999999999998</v>
      </c>
      <c r="E9">
        <v>5</v>
      </c>
      <c r="F9">
        <v>10</v>
      </c>
      <c r="I9" t="s">
        <v>93</v>
      </c>
      <c r="J9">
        <v>62.62</v>
      </c>
      <c r="K9">
        <v>2.96</v>
      </c>
      <c r="L9">
        <v>2.52</v>
      </c>
      <c r="M9">
        <v>6.54</v>
      </c>
      <c r="N9">
        <v>10</v>
      </c>
    </row>
    <row r="10" spans="1:14" ht="13" thickBot="1" x14ac:dyDescent="0.3">
      <c r="A10" t="s">
        <v>66</v>
      </c>
      <c r="B10">
        <v>61.5</v>
      </c>
      <c r="C10">
        <v>5</v>
      </c>
      <c r="D10">
        <v>2.5</v>
      </c>
      <c r="E10">
        <v>10</v>
      </c>
      <c r="F10">
        <v>10</v>
      </c>
      <c r="I10" t="s">
        <v>94</v>
      </c>
      <c r="J10">
        <v>62.43</v>
      </c>
      <c r="K10">
        <v>3.52</v>
      </c>
      <c r="L10">
        <v>2.2000000000000002</v>
      </c>
      <c r="M10">
        <v>10</v>
      </c>
      <c r="N10">
        <v>10</v>
      </c>
    </row>
    <row r="11" spans="1:14" ht="13" thickBot="1" x14ac:dyDescent="0.3">
      <c r="A11" t="s">
        <v>68</v>
      </c>
      <c r="B11">
        <v>60.5</v>
      </c>
      <c r="C11">
        <v>5.5</v>
      </c>
      <c r="D11">
        <v>2.5</v>
      </c>
      <c r="E11">
        <v>10</v>
      </c>
      <c r="F11">
        <v>10</v>
      </c>
      <c r="I11" t="s">
        <v>95</v>
      </c>
    </row>
    <row r="12" spans="1:14" ht="13" thickBot="1" x14ac:dyDescent="0.3">
      <c r="A12" t="s">
        <v>80</v>
      </c>
      <c r="B12">
        <v>50</v>
      </c>
      <c r="C12">
        <v>2.25</v>
      </c>
      <c r="D12">
        <v>3.5</v>
      </c>
      <c r="E12">
        <v>5</v>
      </c>
      <c r="F12">
        <v>5</v>
      </c>
      <c r="I12" t="s">
        <v>96</v>
      </c>
    </row>
    <row r="13" spans="1:14" ht="13" thickBot="1" x14ac:dyDescent="0.3">
      <c r="A13" t="s">
        <v>81</v>
      </c>
      <c r="B13">
        <v>43</v>
      </c>
      <c r="C13">
        <v>5</v>
      </c>
      <c r="D13">
        <v>6.5</v>
      </c>
      <c r="E13">
        <v>15</v>
      </c>
      <c r="F13">
        <v>10</v>
      </c>
      <c r="I13" t="s">
        <v>97</v>
      </c>
    </row>
    <row r="14" spans="1:14" ht="13" thickBot="1" x14ac:dyDescent="0.3">
      <c r="A14" t="s">
        <v>82</v>
      </c>
      <c r="B14">
        <v>30</v>
      </c>
      <c r="C14">
        <v>18</v>
      </c>
      <c r="D14">
        <v>5</v>
      </c>
      <c r="E14">
        <v>5</v>
      </c>
      <c r="F14">
        <v>10</v>
      </c>
      <c r="I14" t="s">
        <v>98</v>
      </c>
      <c r="J14">
        <v>60.94</v>
      </c>
      <c r="K14">
        <v>5.15</v>
      </c>
      <c r="L14">
        <v>2.75</v>
      </c>
      <c r="M14">
        <v>6.82</v>
      </c>
      <c r="N14">
        <v>40</v>
      </c>
    </row>
    <row r="15" spans="1:14" ht="13" thickBot="1" x14ac:dyDescent="0.3">
      <c r="A15" t="s">
        <v>73</v>
      </c>
      <c r="B15">
        <v>62.8</v>
      </c>
      <c r="C15">
        <v>3</v>
      </c>
      <c r="D15">
        <v>2.75</v>
      </c>
      <c r="E15">
        <v>10</v>
      </c>
      <c r="F15">
        <v>10</v>
      </c>
      <c r="I15" t="s">
        <v>99</v>
      </c>
      <c r="J15">
        <v>60.53</v>
      </c>
      <c r="K15">
        <v>5.83</v>
      </c>
      <c r="L15">
        <v>2.77</v>
      </c>
      <c r="M15">
        <v>7</v>
      </c>
      <c r="N15">
        <v>40</v>
      </c>
    </row>
    <row r="16" spans="1:14" ht="13" thickBot="1" x14ac:dyDescent="0.3">
      <c r="A16" t="s">
        <v>76</v>
      </c>
      <c r="B16">
        <v>61</v>
      </c>
      <c r="C16">
        <v>3.9</v>
      </c>
      <c r="D16">
        <v>3.6</v>
      </c>
      <c r="E16">
        <v>7</v>
      </c>
      <c r="F16">
        <v>40</v>
      </c>
      <c r="I16" t="s">
        <v>100</v>
      </c>
      <c r="J16">
        <v>61.75</v>
      </c>
      <c r="K16">
        <v>4.08</v>
      </c>
      <c r="L16">
        <v>2.57</v>
      </c>
      <c r="M16">
        <v>7</v>
      </c>
      <c r="N16">
        <v>40</v>
      </c>
    </row>
    <row r="17" spans="1:14" ht="13" thickBot="1" x14ac:dyDescent="0.3">
      <c r="A17" t="s">
        <v>75</v>
      </c>
      <c r="B17">
        <v>62.1</v>
      </c>
      <c r="C17">
        <v>3.7</v>
      </c>
      <c r="D17">
        <v>2.5</v>
      </c>
      <c r="E17">
        <v>7</v>
      </c>
      <c r="F17">
        <v>40</v>
      </c>
      <c r="I17" t="s">
        <v>101</v>
      </c>
      <c r="J17">
        <v>62.07</v>
      </c>
      <c r="K17">
        <v>3.66</v>
      </c>
      <c r="L17">
        <v>2.6</v>
      </c>
      <c r="M17">
        <v>7</v>
      </c>
      <c r="N17">
        <v>40</v>
      </c>
    </row>
    <row r="18" spans="1:14" ht="13" thickBot="1" x14ac:dyDescent="0.3">
      <c r="A18" t="s">
        <v>78</v>
      </c>
      <c r="B18">
        <v>61.5</v>
      </c>
      <c r="C18">
        <v>3.8</v>
      </c>
      <c r="D18">
        <v>2.6</v>
      </c>
      <c r="E18">
        <v>7</v>
      </c>
      <c r="F18">
        <v>40</v>
      </c>
      <c r="I18" t="s">
        <v>102</v>
      </c>
      <c r="J18">
        <v>61.36</v>
      </c>
      <c r="K18">
        <v>4.2300000000000004</v>
      </c>
      <c r="L18">
        <v>2.64</v>
      </c>
      <c r="M18">
        <v>7</v>
      </c>
      <c r="N18">
        <v>40</v>
      </c>
    </row>
    <row r="19" spans="1:14" ht="13" thickBot="1" x14ac:dyDescent="0.3">
      <c r="A19" t="s">
        <v>77</v>
      </c>
      <c r="B19">
        <v>62.8</v>
      </c>
      <c r="C19">
        <v>2.8</v>
      </c>
      <c r="D19">
        <v>2.4</v>
      </c>
      <c r="E19">
        <v>7</v>
      </c>
      <c r="F19">
        <v>40</v>
      </c>
      <c r="I19" t="s">
        <v>103</v>
      </c>
    </row>
    <row r="20" spans="1:14" ht="13" thickBot="1" x14ac:dyDescent="0.3">
      <c r="A20" t="s">
        <v>67</v>
      </c>
      <c r="B20">
        <v>60.8</v>
      </c>
      <c r="C20">
        <v>5.5</v>
      </c>
      <c r="D20">
        <v>2.7</v>
      </c>
      <c r="E20">
        <v>7</v>
      </c>
      <c r="F20">
        <v>40</v>
      </c>
      <c r="I20" t="s">
        <v>145</v>
      </c>
    </row>
    <row r="21" spans="1:14" x14ac:dyDescent="0.25">
      <c r="A21" t="s">
        <v>74</v>
      </c>
      <c r="B21">
        <v>59.6</v>
      </c>
      <c r="C21">
        <v>7</v>
      </c>
      <c r="D21">
        <v>3</v>
      </c>
      <c r="E21">
        <v>7</v>
      </c>
      <c r="F21">
        <v>40</v>
      </c>
      <c r="I21" t="s">
        <v>144</v>
      </c>
    </row>
    <row r="22" spans="1:14" x14ac:dyDescent="0.25">
      <c r="A22" t="s">
        <v>153</v>
      </c>
      <c r="B22">
        <v>62.8</v>
      </c>
      <c r="C22">
        <v>2.7</v>
      </c>
      <c r="D22">
        <v>2.5</v>
      </c>
      <c r="E22">
        <v>5</v>
      </c>
      <c r="F22">
        <v>10</v>
      </c>
    </row>
    <row r="23" spans="1:14" x14ac:dyDescent="0.25">
      <c r="A23" t="s">
        <v>154</v>
      </c>
      <c r="B23">
        <v>62.5</v>
      </c>
      <c r="C23">
        <v>3</v>
      </c>
      <c r="D23">
        <v>2.6</v>
      </c>
      <c r="E23">
        <v>7</v>
      </c>
      <c r="F23">
        <v>40</v>
      </c>
    </row>
    <row r="24" spans="1:14" ht="13" thickBot="1" x14ac:dyDescent="0.3">
      <c r="A24" t="s">
        <v>83</v>
      </c>
    </row>
    <row r="25" spans="1:14" x14ac:dyDescent="0.25">
      <c r="A25" t="s">
        <v>79</v>
      </c>
      <c r="B25">
        <v>62.2</v>
      </c>
      <c r="C25">
        <v>3.25</v>
      </c>
      <c r="D25">
        <v>3</v>
      </c>
      <c r="E25">
        <v>5</v>
      </c>
      <c r="F25">
        <v>40</v>
      </c>
    </row>
  </sheetData>
  <pageMargins left="0.70866141732283472" right="0.70866141732283472" top="0.74803149606299213" bottom="0.74803149606299213" header="0.31496062992125984" footer="0.31496062992125984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24"/>
  <sheetViews>
    <sheetView topLeftCell="A4" workbookViewId="0">
      <selection activeCell="E121" sqref="E121:L121"/>
    </sheetView>
  </sheetViews>
  <sheetFormatPr defaultRowHeight="12.5" x14ac:dyDescent="0.25"/>
  <cols>
    <col min="2" max="2" width="11.81640625" bestFit="1" customWidth="1"/>
  </cols>
  <sheetData>
    <row r="1" spans="1:5" x14ac:dyDescent="0.25">
      <c r="A1" t="s">
        <v>86</v>
      </c>
      <c r="D1" t="s">
        <v>84</v>
      </c>
    </row>
    <row r="2" spans="1:5" x14ac:dyDescent="0.25">
      <c r="A2" t="s">
        <v>56</v>
      </c>
      <c r="B2" t="s">
        <v>55</v>
      </c>
      <c r="C2" t="s">
        <v>32</v>
      </c>
      <c r="D2" t="s">
        <v>33</v>
      </c>
      <c r="E2" t="s">
        <v>34</v>
      </c>
    </row>
    <row r="3" spans="1:5" x14ac:dyDescent="0.25">
      <c r="A3" t="s">
        <v>10</v>
      </c>
      <c r="B3" t="s">
        <v>0</v>
      </c>
      <c r="C3">
        <v>62.548780487804876</v>
      </c>
      <c r="D3">
        <v>2.5926829268292684</v>
      </c>
      <c r="E3">
        <v>2.9195121951219511</v>
      </c>
    </row>
    <row r="4" spans="1:5" x14ac:dyDescent="0.25">
      <c r="A4" t="s">
        <v>11</v>
      </c>
      <c r="B4" t="s">
        <v>0</v>
      </c>
    </row>
    <row r="5" spans="1:5" x14ac:dyDescent="0.25">
      <c r="A5" t="s">
        <v>9</v>
      </c>
      <c r="B5" t="s">
        <v>0</v>
      </c>
    </row>
    <row r="6" spans="1:5" x14ac:dyDescent="0.25">
      <c r="A6" t="s">
        <v>31</v>
      </c>
      <c r="B6" t="s">
        <v>0</v>
      </c>
    </row>
    <row r="7" spans="1:5" x14ac:dyDescent="0.25">
      <c r="A7" t="s">
        <v>27</v>
      </c>
      <c r="B7" t="s">
        <v>0</v>
      </c>
    </row>
    <row r="8" spans="1:5" x14ac:dyDescent="0.25">
      <c r="A8" t="s">
        <v>2</v>
      </c>
      <c r="B8" t="s">
        <v>0</v>
      </c>
    </row>
    <row r="9" spans="1:5" x14ac:dyDescent="0.25">
      <c r="A9" t="s">
        <v>44</v>
      </c>
      <c r="B9" t="s">
        <v>0</v>
      </c>
    </row>
    <row r="10" spans="1:5" x14ac:dyDescent="0.25">
      <c r="A10" t="s">
        <v>85</v>
      </c>
      <c r="C10">
        <f>AVERAGE(C3:C9)</f>
        <v>62.548780487804876</v>
      </c>
      <c r="D10">
        <f>AVERAGE(D3:D9)</f>
        <v>2.5926829268292684</v>
      </c>
      <c r="E10">
        <f>AVERAGE(E3:E9)</f>
        <v>2.9195121951219511</v>
      </c>
    </row>
    <row r="14" spans="1:5" x14ac:dyDescent="0.25">
      <c r="A14" t="s">
        <v>86</v>
      </c>
      <c r="B14" s="542" t="s">
        <v>87</v>
      </c>
      <c r="C14" s="542"/>
      <c r="D14" t="s">
        <v>84</v>
      </c>
      <c r="E14">
        <f>Plants!$G$1</f>
        <v>41000</v>
      </c>
    </row>
    <row r="15" spans="1:5" x14ac:dyDescent="0.25">
      <c r="A15" t="s">
        <v>56</v>
      </c>
      <c r="B15" t="s">
        <v>55</v>
      </c>
      <c r="C15" t="s">
        <v>32</v>
      </c>
      <c r="D15" t="s">
        <v>33</v>
      </c>
      <c r="E15" t="s">
        <v>34</v>
      </c>
    </row>
    <row r="16" spans="1:5" x14ac:dyDescent="0.25">
      <c r="A16" t="s">
        <v>3</v>
      </c>
      <c r="B16" t="s">
        <v>0</v>
      </c>
      <c r="C16">
        <v>62.548780487804876</v>
      </c>
      <c r="D16">
        <v>2.5926829268292684</v>
      </c>
      <c r="E16">
        <v>2.9195121951219511</v>
      </c>
    </row>
    <row r="17" spans="1:5" x14ac:dyDescent="0.25">
      <c r="A17" t="s">
        <v>60</v>
      </c>
      <c r="B17" t="s">
        <v>0</v>
      </c>
    </row>
    <row r="18" spans="1:5" x14ac:dyDescent="0.25">
      <c r="A18" t="s">
        <v>4</v>
      </c>
      <c r="B18" t="s">
        <v>0</v>
      </c>
    </row>
    <row r="19" spans="1:5" x14ac:dyDescent="0.25">
      <c r="A19" t="s">
        <v>5</v>
      </c>
      <c r="B19" t="s">
        <v>0</v>
      </c>
    </row>
    <row r="20" spans="1:5" x14ac:dyDescent="0.25">
      <c r="A20" t="s">
        <v>30</v>
      </c>
      <c r="B20" t="s">
        <v>0</v>
      </c>
    </row>
    <row r="21" spans="1:5" x14ac:dyDescent="0.25">
      <c r="A21" t="s">
        <v>61</v>
      </c>
      <c r="B21" t="s">
        <v>0</v>
      </c>
    </row>
    <row r="22" spans="1:5" x14ac:dyDescent="0.25">
      <c r="A22" t="s">
        <v>62</v>
      </c>
      <c r="B22" t="s">
        <v>0</v>
      </c>
    </row>
    <row r="23" spans="1:5" x14ac:dyDescent="0.25">
      <c r="A23" t="s">
        <v>63</v>
      </c>
      <c r="B23" t="s">
        <v>0</v>
      </c>
    </row>
    <row r="24" spans="1:5" x14ac:dyDescent="0.25">
      <c r="A24" t="s">
        <v>85</v>
      </c>
      <c r="C24">
        <f>AVERAGE(C16:C23)</f>
        <v>62.548780487804876</v>
      </c>
      <c r="D24">
        <f>AVERAGE(D16:D23)</f>
        <v>2.5926829268292684</v>
      </c>
      <c r="E24">
        <f>AVERAGE(E16:E23)</f>
        <v>2.9195121951219511</v>
      </c>
    </row>
  </sheetData>
  <mergeCells count="1">
    <mergeCell ref="B14:C14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pageSetUpPr fitToPage="1"/>
  </sheetPr>
  <dimension ref="B1:AF140"/>
  <sheetViews>
    <sheetView showZeros="0" topLeftCell="A88" workbookViewId="0">
      <selection activeCell="E121" sqref="E121:L121"/>
    </sheetView>
  </sheetViews>
  <sheetFormatPr defaultRowHeight="12.5" x14ac:dyDescent="0.25"/>
  <cols>
    <col min="2" max="2" width="10.453125" bestFit="1" customWidth="1"/>
    <col min="5" max="5" width="17.453125" customWidth="1"/>
    <col min="6" max="6" width="9.1796875" customWidth="1"/>
    <col min="7" max="7" width="16.453125" customWidth="1"/>
    <col min="21" max="21" width="20.1796875" bestFit="1" customWidth="1"/>
    <col min="22" max="22" width="9.1796875" customWidth="1"/>
    <col min="23" max="23" width="18.26953125" customWidth="1"/>
  </cols>
  <sheetData>
    <row r="1" spans="2:32" ht="13" thickBot="1" x14ac:dyDescent="0.3"/>
    <row r="2" spans="2:32" ht="13" thickBot="1" x14ac:dyDescent="0.3">
      <c r="B2" s="542">
        <f>'Dir Quality Report'!$R$2</f>
        <v>44743</v>
      </c>
      <c r="C2" s="542"/>
      <c r="D2" s="542"/>
      <c r="E2" s="542"/>
      <c r="F2" s="542"/>
      <c r="R2" s="542">
        <f>'Dir Quality Report'!$R$2</f>
        <v>44743</v>
      </c>
      <c r="S2" s="542"/>
      <c r="T2" s="542"/>
      <c r="U2" s="542"/>
      <c r="V2" s="542"/>
    </row>
    <row r="4" spans="2:32" ht="13" thickBot="1" x14ac:dyDescent="0.3"/>
    <row r="5" spans="2:32" ht="13" thickBot="1" x14ac:dyDescent="0.3">
      <c r="H5" t="s">
        <v>18</v>
      </c>
      <c r="I5" t="s">
        <v>19</v>
      </c>
      <c r="J5" t="s">
        <v>20</v>
      </c>
      <c r="K5" t="s">
        <v>35</v>
      </c>
      <c r="L5" t="s">
        <v>36</v>
      </c>
      <c r="M5" t="s">
        <v>114</v>
      </c>
      <c r="N5" t="s">
        <v>115</v>
      </c>
      <c r="X5" t="s">
        <v>18</v>
      </c>
      <c r="Y5" t="s">
        <v>19</v>
      </c>
      <c r="Z5" t="s">
        <v>20</v>
      </c>
      <c r="AA5" t="s">
        <v>35</v>
      </c>
      <c r="AB5" t="s">
        <v>36</v>
      </c>
      <c r="AC5" t="s">
        <v>114</v>
      </c>
      <c r="AD5" t="s">
        <v>115</v>
      </c>
    </row>
    <row r="6" spans="2:32" ht="13" thickBot="1" x14ac:dyDescent="0.3">
      <c r="D6" s="542" t="s">
        <v>108</v>
      </c>
      <c r="E6" s="542"/>
      <c r="F6" s="542"/>
      <c r="G6" t="s">
        <v>116</v>
      </c>
      <c r="H6">
        <f t="array" ref="H6:L6">Norm!J6:N6</f>
        <v>61.72</v>
      </c>
      <c r="I6">
        <v>4.33</v>
      </c>
      <c r="J6">
        <v>2.4700000000000002</v>
      </c>
      <c r="K6">
        <v>10</v>
      </c>
      <c r="L6">
        <v>10</v>
      </c>
      <c r="M6">
        <v>5.25</v>
      </c>
      <c r="N6">
        <v>1.0588235294117649</v>
      </c>
      <c r="T6" s="542" t="s">
        <v>108</v>
      </c>
      <c r="U6" s="542"/>
      <c r="V6" s="542"/>
      <c r="W6" t="s">
        <v>116</v>
      </c>
      <c r="X6">
        <f t="array" ref="X6:AB6">Norm!J9:N9</f>
        <v>62.62</v>
      </c>
      <c r="Y6">
        <v>2.96</v>
      </c>
      <c r="Z6">
        <v>2.52</v>
      </c>
      <c r="AA6">
        <v>6.54</v>
      </c>
      <c r="AB6">
        <v>10</v>
      </c>
      <c r="AC6">
        <v>4.9000000000000004</v>
      </c>
      <c r="AD6">
        <v>1.0416666666666667</v>
      </c>
    </row>
    <row r="7" spans="2:32" ht="13" thickBot="1" x14ac:dyDescent="0.3">
      <c r="D7" s="542" t="s">
        <v>117</v>
      </c>
      <c r="E7" s="542"/>
      <c r="F7" s="542"/>
      <c r="G7" t="s">
        <v>116</v>
      </c>
      <c r="H7">
        <f>MonthlyAvg!E22</f>
        <v>61.352456140350874</v>
      </c>
      <c r="I7">
        <f>MonthlyAvg!F22</f>
        <v>5.8298245614035098</v>
      </c>
      <c r="J7">
        <f>MonthlyAvg!G22</f>
        <v>2.5766666666666658</v>
      </c>
      <c r="K7">
        <f>MonthlyAvg!H22</f>
        <v>15.956140350877195</v>
      </c>
      <c r="L7">
        <f>MonthlyAvg!I22</f>
        <v>25.526315789473685</v>
      </c>
      <c r="M7">
        <f>MonthlyAvg!J22</f>
        <v>8.4064912280701751</v>
      </c>
      <c r="N7">
        <f>MonthlyAvg!K22</f>
        <v>0.44198013842913009</v>
      </c>
      <c r="U7" t="s">
        <v>118</v>
      </c>
      <c r="W7" t="s">
        <v>116</v>
      </c>
      <c r="X7">
        <f>MonthlyAvg!E40</f>
        <v>62.258461538461503</v>
      </c>
      <c r="Y7">
        <f>MonthlyAvg!F40</f>
        <v>3.0430769230769239</v>
      </c>
      <c r="Z7">
        <f>MonthlyAvg!G40</f>
        <v>2.9661538461538468</v>
      </c>
      <c r="AA7">
        <f>MonthlyAvg!H40</f>
        <v>5.615384615384615</v>
      </c>
      <c r="AB7">
        <f>MonthlyAvg!I40</f>
        <v>16.507692307692309</v>
      </c>
      <c r="AC7">
        <f>MonthlyAvg!J40</f>
        <v>6.0092307692307703</v>
      </c>
      <c r="AD7">
        <f>MonthlyAvg!K40</f>
        <v>0.97472194135490386</v>
      </c>
    </row>
    <row r="8" spans="2:32" ht="13" thickBot="1" x14ac:dyDescent="0.3">
      <c r="H8">
        <f>SUMPRODUCT($G$11:$G$18,H11:H18)/SUM($G$11:$G$18)</f>
        <v>61.352456140350874</v>
      </c>
      <c r="I8">
        <f>SUMPRODUCT($G$11:$G$18,I11:I18)/SUM($G$11:$G$18)</f>
        <v>5.8298245614035098</v>
      </c>
      <c r="J8">
        <f>SUMPRODUCT($G$11:$G$18,J11:J18)/SUM($G$11:$G$18)</f>
        <v>2.5766666666666671</v>
      </c>
      <c r="K8">
        <f>SUMPRODUCT($G$11:$G$18,K11:K18)/SUM($G$11:$G$18)</f>
        <v>15.956140350877192</v>
      </c>
      <c r="L8">
        <f>SUMPRODUCT($G$11:$G$18,L11:L18)/SUM($G$11:$G$18)</f>
        <v>25.526315789473692</v>
      </c>
      <c r="M8">
        <f>I8+J8</f>
        <v>8.4064912280701769</v>
      </c>
      <c r="N8">
        <f>J8/I8</f>
        <v>0.44198013842913031</v>
      </c>
    </row>
    <row r="9" spans="2:32" ht="34.5" customHeight="1" thickBot="1" x14ac:dyDescent="0.3">
      <c r="C9" t="s">
        <v>46</v>
      </c>
      <c r="D9" t="s">
        <v>119</v>
      </c>
      <c r="E9" s="542" t="s">
        <v>120</v>
      </c>
      <c r="F9" s="542"/>
      <c r="G9" t="s">
        <v>121</v>
      </c>
      <c r="H9" s="542" t="s">
        <v>122</v>
      </c>
      <c r="I9" s="542"/>
      <c r="J9" s="542"/>
      <c r="K9" s="542"/>
      <c r="L9" s="542"/>
      <c r="M9" s="542"/>
      <c r="N9" s="542"/>
      <c r="S9" t="s">
        <v>46</v>
      </c>
      <c r="T9" t="s">
        <v>119</v>
      </c>
      <c r="U9" s="542" t="s">
        <v>120</v>
      </c>
      <c r="V9" s="542"/>
      <c r="W9" t="s">
        <v>121</v>
      </c>
      <c r="X9" s="542" t="s">
        <v>122</v>
      </c>
      <c r="Y9" s="542"/>
      <c r="Z9" s="542"/>
      <c r="AA9" s="542"/>
      <c r="AB9" s="542"/>
      <c r="AC9" s="542"/>
      <c r="AD9" s="542"/>
    </row>
    <row r="10" spans="2:32" ht="13" thickBot="1" x14ac:dyDescent="0.3">
      <c r="H10" t="s">
        <v>18</v>
      </c>
      <c r="I10" t="s">
        <v>19</v>
      </c>
      <c r="J10" t="s">
        <v>20</v>
      </c>
      <c r="K10" t="s">
        <v>35</v>
      </c>
      <c r="L10" t="s">
        <v>36</v>
      </c>
      <c r="M10" t="s">
        <v>114</v>
      </c>
      <c r="N10" t="s">
        <v>115</v>
      </c>
      <c r="X10" t="s">
        <v>18</v>
      </c>
      <c r="Y10" t="s">
        <v>19</v>
      </c>
      <c r="Z10" t="s">
        <v>20</v>
      </c>
      <c r="AA10" t="s">
        <v>35</v>
      </c>
      <c r="AB10" t="s">
        <v>36</v>
      </c>
      <c r="AC10" t="s">
        <v>114</v>
      </c>
      <c r="AD10" t="s">
        <v>115</v>
      </c>
    </row>
    <row r="11" spans="2:32" x14ac:dyDescent="0.25">
      <c r="C11" s="542" t="s">
        <v>3</v>
      </c>
      <c r="D11" t="s">
        <v>27</v>
      </c>
      <c r="E11" s="542" t="s">
        <v>116</v>
      </c>
      <c r="F11">
        <f>MonthlyAvg!L14</f>
        <v>25</v>
      </c>
      <c r="G11">
        <f>(F11/F19)*100</f>
        <v>43.859649122807014</v>
      </c>
      <c r="H11">
        <f>MonthlyAvg!E14</f>
        <v>60.7288</v>
      </c>
      <c r="I11">
        <f>MonthlyAvg!F14</f>
        <v>6.8856000000000019</v>
      </c>
      <c r="J11">
        <f>MonthlyAvg!G14</f>
        <v>2.4612000000000003</v>
      </c>
      <c r="K11">
        <f>MonthlyAvg!H14</f>
        <v>17.491999999999997</v>
      </c>
      <c r="L11">
        <f>MonthlyAvg!I14</f>
        <v>24.232000000000006</v>
      </c>
      <c r="M11">
        <f>MonthlyAvg!J14</f>
        <v>9.3468000000000018</v>
      </c>
      <c r="N11">
        <f>MonthlyAvg!K14</f>
        <v>0.35744161728825369</v>
      </c>
      <c r="S11" s="542" t="s">
        <v>5</v>
      </c>
      <c r="T11" t="s">
        <v>27</v>
      </c>
      <c r="U11" s="542" t="s">
        <v>116</v>
      </c>
      <c r="V11">
        <f>MonthlyAvg!L32</f>
        <v>0</v>
      </c>
      <c r="W11">
        <f>(V11/V19)*100</f>
        <v>0</v>
      </c>
      <c r="X11">
        <f>MonthlyAvg!E32</f>
        <v>0</v>
      </c>
      <c r="Y11">
        <f>MonthlyAvg!F32</f>
        <v>0</v>
      </c>
      <c r="Z11">
        <f>MonthlyAvg!G32</f>
        <v>0</v>
      </c>
      <c r="AA11">
        <f>MonthlyAvg!H32</f>
        <v>0</v>
      </c>
      <c r="AB11">
        <f>MonthlyAvg!I32</f>
        <v>0</v>
      </c>
      <c r="AC11">
        <f>MonthlyAvg!J32</f>
        <v>0</v>
      </c>
      <c r="AD11">
        <f>MonthlyAvg!K32</f>
        <v>0</v>
      </c>
    </row>
    <row r="12" spans="2:32" x14ac:dyDescent="0.25">
      <c r="C12" s="542"/>
      <c r="D12" t="s">
        <v>2</v>
      </c>
      <c r="E12" s="542"/>
      <c r="F12">
        <f>MonthlyAvg!L15</f>
        <v>14</v>
      </c>
      <c r="G12">
        <f>(F12/F19)*100</f>
        <v>24.561403508771928</v>
      </c>
      <c r="H12">
        <f>MonthlyAvg!E15</f>
        <v>61.344285714285711</v>
      </c>
      <c r="I12">
        <f>MonthlyAvg!F15</f>
        <v>5.6949999999999994</v>
      </c>
      <c r="J12">
        <f>MonthlyAvg!G15</f>
        <v>2.6485714285714286</v>
      </c>
      <c r="K12">
        <f>MonthlyAvg!H15</f>
        <v>14.242857142857142</v>
      </c>
      <c r="L12">
        <f>MonthlyAvg!I15</f>
        <v>28.307142857142857</v>
      </c>
      <c r="M12">
        <f>MonthlyAvg!J15</f>
        <v>8.343571428571428</v>
      </c>
      <c r="N12">
        <f>MonthlyAvg!K15</f>
        <v>0.4650696099335257</v>
      </c>
      <c r="S12" s="542"/>
      <c r="T12" t="s">
        <v>2</v>
      </c>
      <c r="U12" s="542"/>
      <c r="V12">
        <f>MonthlyAvg!L33</f>
        <v>0</v>
      </c>
      <c r="W12">
        <f>(V12/V19)*100</f>
        <v>0</v>
      </c>
      <c r="X12">
        <f>MonthlyAvg!E33</f>
        <v>0</v>
      </c>
      <c r="Y12">
        <f>MonthlyAvg!F33</f>
        <v>0</v>
      </c>
      <c r="Z12">
        <f>MonthlyAvg!G33</f>
        <v>0</v>
      </c>
      <c r="AA12">
        <f>MonthlyAvg!H33</f>
        <v>0</v>
      </c>
      <c r="AB12">
        <f>MonthlyAvg!I33</f>
        <v>0</v>
      </c>
      <c r="AC12">
        <f>MonthlyAvg!J33</f>
        <v>0</v>
      </c>
      <c r="AD12">
        <f>MonthlyAvg!K33</f>
        <v>0</v>
      </c>
    </row>
    <row r="13" spans="2:32" x14ac:dyDescent="0.25">
      <c r="C13" s="542"/>
      <c r="D13" t="s">
        <v>11</v>
      </c>
      <c r="E13" s="542"/>
      <c r="F13">
        <f>MonthlyAvg!L16</f>
        <v>16</v>
      </c>
      <c r="G13">
        <f>(F13/F19)*100</f>
        <v>28.07017543859649</v>
      </c>
      <c r="H13">
        <f>MonthlyAvg!E16</f>
        <v>62.184375000000003</v>
      </c>
      <c r="I13">
        <f>MonthlyAvg!F16</f>
        <v>4.4949999999999992</v>
      </c>
      <c r="J13">
        <f>MonthlyAvg!G16</f>
        <v>2.6937500000000005</v>
      </c>
      <c r="K13">
        <f>MonthlyAvg!H16</f>
        <v>15.949999999999998</v>
      </c>
      <c r="L13">
        <f>MonthlyAvg!I16</f>
        <v>25.637499999999999</v>
      </c>
      <c r="M13">
        <f>MonthlyAvg!J16</f>
        <v>7.1887499999999998</v>
      </c>
      <c r="N13">
        <f>MonthlyAvg!K16</f>
        <v>0.59927697441601802</v>
      </c>
      <c r="S13" s="542"/>
      <c r="T13" t="s">
        <v>11</v>
      </c>
      <c r="U13" s="542"/>
      <c r="V13">
        <f>MonthlyAvg!L34</f>
        <v>0</v>
      </c>
      <c r="W13">
        <f>(V13/V19)*100</f>
        <v>0</v>
      </c>
      <c r="X13">
        <f>MonthlyAvg!E34</f>
        <v>0</v>
      </c>
      <c r="Y13">
        <f>MonthlyAvg!F34</f>
        <v>0</v>
      </c>
      <c r="Z13">
        <f>MonthlyAvg!G34</f>
        <v>0</v>
      </c>
      <c r="AA13">
        <f>MonthlyAvg!H34</f>
        <v>0</v>
      </c>
      <c r="AB13">
        <f>MonthlyAvg!I34</f>
        <v>0</v>
      </c>
      <c r="AC13">
        <f>MonthlyAvg!J34</f>
        <v>0</v>
      </c>
      <c r="AD13">
        <f>MonthlyAvg!K34</f>
        <v>0</v>
      </c>
      <c r="AF13">
        <f>SUMPRODUCT(W11:W18,AC11:AC18)/SUM(W11:W18)</f>
        <v>6.0092307692307685</v>
      </c>
    </row>
    <row r="14" spans="2:32" x14ac:dyDescent="0.25">
      <c r="C14" s="542"/>
      <c r="D14" t="s">
        <v>10</v>
      </c>
      <c r="E14" s="542"/>
      <c r="F14">
        <f>MonthlyAvg!L18</f>
        <v>0</v>
      </c>
      <c r="G14">
        <f>(F14/F19)*100</f>
        <v>0</v>
      </c>
      <c r="H14">
        <f>MonthlyAvg!E18</f>
        <v>0</v>
      </c>
      <c r="I14">
        <f>MonthlyAvg!F18</f>
        <v>0</v>
      </c>
      <c r="J14">
        <f>MonthlyAvg!G18</f>
        <v>0</v>
      </c>
      <c r="K14">
        <f>MonthlyAvg!H18</f>
        <v>0</v>
      </c>
      <c r="L14">
        <f>MonthlyAvg!I18</f>
        <v>0</v>
      </c>
      <c r="M14">
        <f>MonthlyAvg!J18</f>
        <v>0</v>
      </c>
      <c r="N14">
        <f>MonthlyAvg!K18</f>
        <v>0</v>
      </c>
      <c r="S14" s="542"/>
      <c r="T14" t="s">
        <v>222</v>
      </c>
      <c r="U14" s="542"/>
      <c r="V14">
        <f>MonthlyAvg!L36</f>
        <v>25</v>
      </c>
      <c r="W14">
        <f>(V14/V19)*100</f>
        <v>38.461538461538467</v>
      </c>
      <c r="X14">
        <f>MonthlyAvg!E36</f>
        <v>61.08</v>
      </c>
      <c r="Y14">
        <f>MonthlyAvg!F36</f>
        <v>4.0519999999999996</v>
      </c>
      <c r="Z14">
        <f>MonthlyAvg!G36</f>
        <v>3.5959999999999992</v>
      </c>
      <c r="AA14">
        <f>MonthlyAvg!H36</f>
        <v>9.24</v>
      </c>
      <c r="AB14">
        <f>MonthlyAvg!I36</f>
        <v>20.52</v>
      </c>
      <c r="AC14">
        <f>MonthlyAvg!J36</f>
        <v>7.6479999999999988</v>
      </c>
      <c r="AD14">
        <f>MonthlyAvg!K36</f>
        <v>0.88746298124383005</v>
      </c>
    </row>
    <row r="15" spans="2:32" x14ac:dyDescent="0.25">
      <c r="C15" s="542"/>
      <c r="D15" t="s">
        <v>146</v>
      </c>
      <c r="E15" s="542"/>
      <c r="F15">
        <f>MonthlyAvg!L17</f>
        <v>0</v>
      </c>
      <c r="G15">
        <f>(F15/F19)*100</f>
        <v>0</v>
      </c>
      <c r="H15">
        <f>MonthlyAvg!E17</f>
        <v>0</v>
      </c>
      <c r="I15">
        <f>MonthlyAvg!F17</f>
        <v>0</v>
      </c>
      <c r="J15">
        <f>MonthlyAvg!G17</f>
        <v>0</v>
      </c>
      <c r="K15">
        <f>MonthlyAvg!H17</f>
        <v>0</v>
      </c>
      <c r="L15">
        <f>MonthlyAvg!I17</f>
        <v>0</v>
      </c>
      <c r="M15">
        <f>MonthlyAvg!J17</f>
        <v>0</v>
      </c>
      <c r="N15">
        <f>MonthlyAvg!K17</f>
        <v>0</v>
      </c>
      <c r="S15" s="542"/>
      <c r="T15" t="s">
        <v>146</v>
      </c>
      <c r="U15" s="542"/>
      <c r="V15">
        <f>MonthlyAvg!L35</f>
        <v>12</v>
      </c>
      <c r="W15">
        <f>(V15/V19)*100</f>
        <v>18.461538461538463</v>
      </c>
      <c r="X15">
        <f>MonthlyAvg!E35</f>
        <v>62.625000000000007</v>
      </c>
      <c r="Y15">
        <f>MonthlyAvg!F35</f>
        <v>2.6416666666666666</v>
      </c>
      <c r="Z15">
        <f>MonthlyAvg!G35</f>
        <v>2.9416666666666669</v>
      </c>
      <c r="AA15">
        <f>MonthlyAvg!H35</f>
        <v>4.833333333333333</v>
      </c>
      <c r="AB15">
        <f>MonthlyAvg!I35</f>
        <v>14.75</v>
      </c>
      <c r="AC15">
        <f>MonthlyAvg!J35</f>
        <v>5.5833333333333339</v>
      </c>
      <c r="AD15">
        <f>MonthlyAvg!K35</f>
        <v>1.1135646687697163</v>
      </c>
    </row>
    <row r="16" spans="2:32" x14ac:dyDescent="0.25">
      <c r="C16" s="542"/>
      <c r="D16" t="s">
        <v>106</v>
      </c>
      <c r="E16" s="542"/>
      <c r="F16">
        <f>MonthlyAvg!L19</f>
        <v>0</v>
      </c>
      <c r="G16">
        <f>(F16/F19)*100</f>
        <v>0</v>
      </c>
      <c r="H16">
        <f>MonthlyAvg!E19</f>
        <v>0</v>
      </c>
      <c r="I16">
        <f>MonthlyAvg!F19</f>
        <v>0</v>
      </c>
      <c r="J16">
        <f>MonthlyAvg!G19</f>
        <v>0</v>
      </c>
      <c r="K16">
        <f>MonthlyAvg!H19</f>
        <v>0</v>
      </c>
      <c r="L16">
        <f>MonthlyAvg!I19</f>
        <v>0</v>
      </c>
      <c r="M16">
        <f>MonthlyAvg!J19</f>
        <v>0</v>
      </c>
      <c r="N16">
        <f>MonthlyAvg!K19</f>
        <v>0</v>
      </c>
      <c r="S16" s="542"/>
      <c r="T16" t="s">
        <v>106</v>
      </c>
      <c r="U16" s="542"/>
      <c r="V16">
        <f>MonthlyAvg!L37</f>
        <v>28</v>
      </c>
      <c r="W16">
        <f>(V16/V19)*100</f>
        <v>43.07692307692308</v>
      </c>
      <c r="X16">
        <f>MonthlyAvg!E37</f>
        <v>63.153571428571425</v>
      </c>
      <c r="Y16">
        <f>MonthlyAvg!F37</f>
        <v>2.3142857142857141</v>
      </c>
      <c r="Z16">
        <f>MonthlyAvg!G37</f>
        <v>2.4142857142857141</v>
      </c>
      <c r="AA16">
        <f>MonthlyAvg!H37</f>
        <v>2.7142857142857144</v>
      </c>
      <c r="AB16">
        <f>MonthlyAvg!I37</f>
        <v>13.678571428571429</v>
      </c>
      <c r="AC16">
        <f>MonthlyAvg!J37</f>
        <v>4.7285714285714278</v>
      </c>
      <c r="AD16">
        <f>MonthlyAvg!K37</f>
        <v>1.0432098765432098</v>
      </c>
    </row>
    <row r="17" spans="3:32" x14ac:dyDescent="0.25">
      <c r="C17" s="542"/>
      <c r="D17" t="s">
        <v>9</v>
      </c>
      <c r="E17" s="542"/>
      <c r="F17">
        <f>MonthlyAvg!L20</f>
        <v>1</v>
      </c>
      <c r="G17">
        <f>(F17/F19)*100</f>
        <v>1.7543859649122806</v>
      </c>
      <c r="H17">
        <f>MonthlyAvg!E20</f>
        <v>61.53</v>
      </c>
      <c r="I17">
        <f>MonthlyAvg!F20</f>
        <v>5.55</v>
      </c>
      <c r="J17">
        <f>MonthlyAvg!G20</f>
        <v>2.78</v>
      </c>
      <c r="K17">
        <f>MonthlyAvg!H20</f>
        <v>10.3</v>
      </c>
      <c r="L17">
        <f>MonthlyAvg!I20</f>
        <v>32.5</v>
      </c>
      <c r="M17">
        <f>MonthlyAvg!J20</f>
        <v>8.33</v>
      </c>
      <c r="N17">
        <f>MonthlyAvg!K20</f>
        <v>0.50090090090090089</v>
      </c>
      <c r="S17" s="542"/>
      <c r="T17" t="s">
        <v>9</v>
      </c>
      <c r="U17" s="542"/>
      <c r="V17">
        <f>MonthlyAvg!L38</f>
        <v>0</v>
      </c>
      <c r="W17">
        <f>(V17/V19)*100</f>
        <v>0</v>
      </c>
      <c r="X17">
        <f>MonthlyAvg!E38</f>
        <v>0</v>
      </c>
      <c r="Y17">
        <f>MonthlyAvg!F38</f>
        <v>0</v>
      </c>
      <c r="Z17">
        <f>MonthlyAvg!G38</f>
        <v>0</v>
      </c>
      <c r="AA17">
        <f>MonthlyAvg!H38</f>
        <v>0</v>
      </c>
      <c r="AB17">
        <f>MonthlyAvg!I38</f>
        <v>0</v>
      </c>
      <c r="AC17">
        <f>MonthlyAvg!J38</f>
        <v>0</v>
      </c>
      <c r="AD17">
        <f>MonthlyAvg!K38</f>
        <v>0</v>
      </c>
    </row>
    <row r="18" spans="3:32" x14ac:dyDescent="0.25">
      <c r="C18" s="542"/>
      <c r="D18" t="s">
        <v>112</v>
      </c>
      <c r="E18" s="542"/>
      <c r="F18">
        <f>MonthlyAvg!L21</f>
        <v>1</v>
      </c>
      <c r="G18">
        <f>(F18/F19)*100</f>
        <v>1.7543859649122806</v>
      </c>
      <c r="H18">
        <f>MonthlyAvg!E21</f>
        <v>63.57</v>
      </c>
      <c r="I18">
        <f>MonthlyAvg!F21</f>
        <v>2.96</v>
      </c>
      <c r="J18">
        <f>MonthlyAvg!G21</f>
        <v>2.38</v>
      </c>
      <c r="K18">
        <f>MonthlyAvg!H21</f>
        <v>7.3</v>
      </c>
      <c r="L18">
        <f>MonthlyAvg!I21</f>
        <v>10.199999999999999</v>
      </c>
      <c r="M18">
        <f>MonthlyAvg!J21</f>
        <v>5.34</v>
      </c>
      <c r="N18">
        <f>MonthlyAvg!K21</f>
        <v>0.80405405405405406</v>
      </c>
      <c r="S18" s="542"/>
      <c r="T18" t="s">
        <v>112</v>
      </c>
      <c r="U18" s="542"/>
      <c r="V18">
        <f>MonthlyAvg!L39</f>
        <v>0</v>
      </c>
      <c r="W18">
        <f>(V18/V19)*100</f>
        <v>0</v>
      </c>
      <c r="X18">
        <f>MonthlyAvg!E39</f>
        <v>0</v>
      </c>
      <c r="Y18">
        <f>MonthlyAvg!F39</f>
        <v>0</v>
      </c>
      <c r="Z18">
        <f>MonthlyAvg!G39</f>
        <v>0</v>
      </c>
      <c r="AA18">
        <f>MonthlyAvg!H39</f>
        <v>0</v>
      </c>
      <c r="AB18">
        <f>MonthlyAvg!I39</f>
        <v>0</v>
      </c>
      <c r="AC18">
        <f>MonthlyAvg!J39</f>
        <v>0</v>
      </c>
      <c r="AD18">
        <f>MonthlyAvg!K39</f>
        <v>0</v>
      </c>
    </row>
    <row r="19" spans="3:32" ht="13" thickBot="1" x14ac:dyDescent="0.3">
      <c r="C19" s="542" t="s">
        <v>123</v>
      </c>
      <c r="D19" s="542"/>
      <c r="E19" s="542"/>
      <c r="F19">
        <f>MonthlyAvg!L22</f>
        <v>57</v>
      </c>
      <c r="G19">
        <f>SUM(G11:G18)</f>
        <v>99.999999999999986</v>
      </c>
      <c r="H19" s="542"/>
      <c r="I19" s="542"/>
      <c r="J19" s="542"/>
      <c r="K19" s="542"/>
      <c r="L19" s="542"/>
      <c r="M19" s="542"/>
      <c r="N19" s="542"/>
      <c r="S19" s="542" t="s">
        <v>123</v>
      </c>
      <c r="T19" s="542"/>
      <c r="U19" s="542"/>
      <c r="V19">
        <f>MonthlyAvg!L40</f>
        <v>65</v>
      </c>
      <c r="W19">
        <f>SUM(W11:W18)</f>
        <v>100.00000000000001</v>
      </c>
      <c r="X19" s="542"/>
      <c r="Y19" s="542"/>
      <c r="Z19" s="542"/>
      <c r="AA19" s="542"/>
      <c r="AB19" s="542"/>
      <c r="AC19" s="542"/>
      <c r="AD19" s="542"/>
    </row>
    <row r="21" spans="3:32" ht="13" thickBot="1" x14ac:dyDescent="0.3"/>
    <row r="22" spans="3:32" ht="13" thickBot="1" x14ac:dyDescent="0.3">
      <c r="H22" t="s">
        <v>18</v>
      </c>
      <c r="I22" t="s">
        <v>19</v>
      </c>
      <c r="J22" t="s">
        <v>20</v>
      </c>
      <c r="K22" t="s">
        <v>35</v>
      </c>
      <c r="L22" t="s">
        <v>36</v>
      </c>
      <c r="M22" t="s">
        <v>114</v>
      </c>
      <c r="N22" t="s">
        <v>115</v>
      </c>
      <c r="X22" t="s">
        <v>18</v>
      </c>
      <c r="Y22" t="s">
        <v>19</v>
      </c>
      <c r="Z22" t="s">
        <v>20</v>
      </c>
      <c r="AA22" t="s">
        <v>35</v>
      </c>
      <c r="AB22" t="s">
        <v>36</v>
      </c>
      <c r="AC22" t="s">
        <v>114</v>
      </c>
      <c r="AD22" t="s">
        <v>115</v>
      </c>
    </row>
    <row r="23" spans="3:32" ht="13" thickBot="1" x14ac:dyDescent="0.3">
      <c r="D23" s="542" t="s">
        <v>108</v>
      </c>
      <c r="E23" s="542"/>
      <c r="F23" s="542"/>
      <c r="G23" t="s">
        <v>124</v>
      </c>
      <c r="H23">
        <f t="array" ref="H23:L23">Norm!J14:N14</f>
        <v>60.94</v>
      </c>
      <c r="I23">
        <v>5.15</v>
      </c>
      <c r="J23">
        <v>2.75</v>
      </c>
      <c r="K23">
        <v>6.82</v>
      </c>
      <c r="L23">
        <v>40</v>
      </c>
      <c r="M23">
        <v>6.1999999999999993</v>
      </c>
      <c r="N23">
        <v>0.87878787878787878</v>
      </c>
      <c r="T23" s="542" t="s">
        <v>108</v>
      </c>
      <c r="U23" s="542"/>
      <c r="V23" s="542"/>
      <c r="W23" t="s">
        <v>124</v>
      </c>
      <c r="X23">
        <f t="array" ref="X23:AB23">Norm!J17:N17</f>
        <v>62.07</v>
      </c>
      <c r="Y23">
        <v>3.66</v>
      </c>
      <c r="Z23">
        <v>2.6</v>
      </c>
      <c r="AA23">
        <v>7</v>
      </c>
      <c r="AB23">
        <v>40</v>
      </c>
      <c r="AC23">
        <v>5.9</v>
      </c>
      <c r="AD23">
        <v>0.96666666666666667</v>
      </c>
    </row>
    <row r="24" spans="3:32" ht="13" thickBot="1" x14ac:dyDescent="0.3">
      <c r="D24" s="542" t="s">
        <v>117</v>
      </c>
      <c r="E24" s="542"/>
      <c r="F24" s="542"/>
      <c r="G24" t="s">
        <v>124</v>
      </c>
      <c r="H24">
        <f>MonthlyAvg!E76</f>
        <v>61.056344086021497</v>
      </c>
      <c r="I24">
        <f>MonthlyAvg!F76</f>
        <v>6.0663655913978483</v>
      </c>
      <c r="J24">
        <f>MonthlyAvg!G76</f>
        <v>2.8399999999999994</v>
      </c>
      <c r="K24">
        <f>MonthlyAvg!H76</f>
        <v>5.0853333333333328</v>
      </c>
      <c r="L24">
        <f>MonthlyAvg!I76</f>
        <v>41.462999999999987</v>
      </c>
      <c r="M24">
        <f>MonthlyAvg!J76</f>
        <v>8.9063655913978472</v>
      </c>
      <c r="N24">
        <f>MonthlyAvg!K76</f>
        <v>0.46815510163567137</v>
      </c>
      <c r="U24" t="s">
        <v>118</v>
      </c>
      <c r="W24" t="s">
        <v>124</v>
      </c>
      <c r="X24">
        <f>MonthlyAvg!E94</f>
        <v>62.093877551020412</v>
      </c>
      <c r="Y24">
        <f>MonthlyAvg!F94</f>
        <v>3.2632653061224492</v>
      </c>
      <c r="Z24">
        <f>MonthlyAvg!G94</f>
        <v>2.7663265306122451</v>
      </c>
      <c r="AA24">
        <f>MonthlyAvg!H94</f>
        <v>4.6195652173913047</v>
      </c>
      <c r="AB24">
        <f>MonthlyAvg!I94</f>
        <v>39.413043478260867</v>
      </c>
      <c r="AC24">
        <f>MonthlyAvg!J94</f>
        <v>6.0295918367346939</v>
      </c>
      <c r="AD24">
        <f>MonthlyAvg!K94</f>
        <v>0.84771732332707939</v>
      </c>
    </row>
    <row r="25" spans="3:32" ht="13" thickBot="1" x14ac:dyDescent="0.3"/>
    <row r="26" spans="3:32" ht="36.75" customHeight="1" thickBot="1" x14ac:dyDescent="0.3">
      <c r="C26" t="s">
        <v>46</v>
      </c>
      <c r="D26" t="s">
        <v>119</v>
      </c>
      <c r="E26" s="542" t="s">
        <v>120</v>
      </c>
      <c r="F26" s="542"/>
      <c r="G26" t="s">
        <v>121</v>
      </c>
      <c r="H26" s="542" t="s">
        <v>122</v>
      </c>
      <c r="I26" s="542"/>
      <c r="J26" s="542"/>
      <c r="K26" s="542"/>
      <c r="L26" s="542"/>
      <c r="M26" s="542"/>
      <c r="N26" s="542"/>
      <c r="S26" t="s">
        <v>46</v>
      </c>
      <c r="T26" t="s">
        <v>119</v>
      </c>
      <c r="U26" s="542" t="s">
        <v>120</v>
      </c>
      <c r="V26" s="542"/>
      <c r="W26" t="s">
        <v>121</v>
      </c>
      <c r="X26" s="542" t="s">
        <v>122</v>
      </c>
      <c r="Y26" s="542"/>
      <c r="Z26" s="542"/>
      <c r="AA26" s="542"/>
      <c r="AB26" s="542"/>
      <c r="AC26" s="542"/>
      <c r="AD26" s="542"/>
    </row>
    <row r="27" spans="3:32" ht="13" thickBot="1" x14ac:dyDescent="0.3">
      <c r="H27" t="s">
        <v>18</v>
      </c>
      <c r="I27" t="s">
        <v>19</v>
      </c>
      <c r="J27" t="s">
        <v>20</v>
      </c>
      <c r="K27" t="s">
        <v>35</v>
      </c>
      <c r="L27" t="s">
        <v>36</v>
      </c>
      <c r="M27" t="s">
        <v>114</v>
      </c>
      <c r="N27" t="s">
        <v>115</v>
      </c>
      <c r="X27" t="s">
        <v>18</v>
      </c>
      <c r="Y27" t="s">
        <v>19</v>
      </c>
      <c r="Z27" t="s">
        <v>20</v>
      </c>
      <c r="AA27" t="s">
        <v>35</v>
      </c>
      <c r="AB27" t="s">
        <v>36</v>
      </c>
      <c r="AC27" t="s">
        <v>114</v>
      </c>
      <c r="AD27" t="s">
        <v>115</v>
      </c>
    </row>
    <row r="28" spans="3:32" x14ac:dyDescent="0.25">
      <c r="C28" s="542" t="s">
        <v>3</v>
      </c>
      <c r="D28" t="s">
        <v>27</v>
      </c>
      <c r="E28" s="542" t="s">
        <v>124</v>
      </c>
      <c r="F28">
        <f>MonthlyAvg!L68</f>
        <v>25</v>
      </c>
      <c r="G28">
        <f>(F28/F36)*100</f>
        <v>26.881720430107524</v>
      </c>
      <c r="H28">
        <f>MonthlyAvg!E68</f>
        <v>60.778399999999984</v>
      </c>
      <c r="I28">
        <f>MonthlyAvg!F68</f>
        <v>6.6996000000000002</v>
      </c>
      <c r="J28">
        <f>MonthlyAvg!G68</f>
        <v>2.6539999999999999</v>
      </c>
      <c r="K28">
        <f>MonthlyAvg!H68</f>
        <v>5.379999999999999</v>
      </c>
      <c r="L28">
        <f>MonthlyAvg!I68</f>
        <v>42.9</v>
      </c>
      <c r="M28">
        <f>MonthlyAvg!J68</f>
        <v>9.3536000000000001</v>
      </c>
      <c r="N28">
        <f>MonthlyAvg!K68</f>
        <v>0.39614305331661587</v>
      </c>
      <c r="S28" s="542" t="s">
        <v>5</v>
      </c>
      <c r="T28" t="s">
        <v>27</v>
      </c>
      <c r="U28" s="542" t="s">
        <v>124</v>
      </c>
      <c r="V28">
        <f>MonthlyAvg!L86</f>
        <v>7</v>
      </c>
      <c r="W28">
        <f>(V28/V36)*100</f>
        <v>7.1428571428571423</v>
      </c>
      <c r="X28">
        <f>MonthlyAvg!E86</f>
        <v>59.071428571428569</v>
      </c>
      <c r="Y28">
        <f>MonthlyAvg!F86</f>
        <v>7.5571428571428578</v>
      </c>
      <c r="Z28">
        <f>MonthlyAvg!G86</f>
        <v>2.8000000000000003</v>
      </c>
      <c r="AA28">
        <f>MonthlyAvg!H86</f>
        <v>8</v>
      </c>
      <c r="AB28">
        <f>MonthlyAvg!I86</f>
        <v>42.333333333333336</v>
      </c>
      <c r="AC28">
        <f>MonthlyAvg!J86</f>
        <v>10.357142857142858</v>
      </c>
      <c r="AD28">
        <f>MonthlyAvg!K86</f>
        <v>0.37051039697542532</v>
      </c>
    </row>
    <row r="29" spans="3:32" x14ac:dyDescent="0.25">
      <c r="C29" s="542"/>
      <c r="D29" t="s">
        <v>2</v>
      </c>
      <c r="E29" s="542"/>
      <c r="F29">
        <f>MonthlyAvg!L69</f>
        <v>36</v>
      </c>
      <c r="G29">
        <f>(F29/F36)*100</f>
        <v>38.70967741935484</v>
      </c>
      <c r="H29">
        <f>MonthlyAvg!E69</f>
        <v>60.853888888888882</v>
      </c>
      <c r="I29">
        <f>MonthlyAvg!F69</f>
        <v>6.4233333333333356</v>
      </c>
      <c r="J29">
        <f>MonthlyAvg!G69</f>
        <v>2.8255555555555554</v>
      </c>
      <c r="K29">
        <f>MonthlyAvg!H69</f>
        <v>5.4533333333333331</v>
      </c>
      <c r="L29">
        <f>MonthlyAvg!I69</f>
        <v>40.379999999999995</v>
      </c>
      <c r="M29">
        <f>MonthlyAvg!J69</f>
        <v>9.2488888888888905</v>
      </c>
      <c r="N29">
        <f>MonthlyAvg!K69</f>
        <v>0.43988929250994618</v>
      </c>
      <c r="S29" s="542"/>
      <c r="T29" t="s">
        <v>2</v>
      </c>
      <c r="U29" s="542"/>
      <c r="V29">
        <f>MonthlyAvg!L87</f>
        <v>5</v>
      </c>
      <c r="W29">
        <f>(V29/V36)*100</f>
        <v>5.1020408163265305</v>
      </c>
      <c r="X29">
        <f>MonthlyAvg!E87</f>
        <v>59.54</v>
      </c>
      <c r="Y29">
        <f>MonthlyAvg!F87</f>
        <v>6.2200000000000006</v>
      </c>
      <c r="Z29">
        <f>MonthlyAvg!G87</f>
        <v>3.4200000000000004</v>
      </c>
      <c r="AA29">
        <f>MonthlyAvg!H87</f>
        <v>6.25</v>
      </c>
      <c r="AB29">
        <f>MonthlyAvg!I87</f>
        <v>39.5</v>
      </c>
      <c r="AC29">
        <f>MonthlyAvg!J87</f>
        <v>9.64</v>
      </c>
      <c r="AD29">
        <f>MonthlyAvg!K87</f>
        <v>0.54983922829581999</v>
      </c>
    </row>
    <row r="30" spans="3:32" x14ac:dyDescent="0.25">
      <c r="C30" s="542"/>
      <c r="D30" t="s">
        <v>11</v>
      </c>
      <c r="E30" s="542"/>
      <c r="F30">
        <f>MonthlyAvg!L70</f>
        <v>14</v>
      </c>
      <c r="G30">
        <f>(F30/F36)*100</f>
        <v>15.053763440860216</v>
      </c>
      <c r="H30">
        <f>MonthlyAvg!E70</f>
        <v>61.571428571428577</v>
      </c>
      <c r="I30">
        <f>MonthlyAvg!F70</f>
        <v>5.1778571428571434</v>
      </c>
      <c r="J30">
        <f>MonthlyAvg!G70</f>
        <v>2.9707142857142856</v>
      </c>
      <c r="K30">
        <f>MonthlyAvg!H70</f>
        <v>5.9444444444444455</v>
      </c>
      <c r="L30">
        <f>MonthlyAvg!I70</f>
        <v>40.611111111111114</v>
      </c>
      <c r="M30">
        <f>MonthlyAvg!J70</f>
        <v>8.1485714285714295</v>
      </c>
      <c r="N30">
        <f>MonthlyAvg!K70</f>
        <v>0.57373430818043858</v>
      </c>
      <c r="P30">
        <f>SUMPRODUCT(G28:G35,M28:M35)/SUM(G28:G35)</f>
        <v>8.9063655913978472</v>
      </c>
      <c r="S30" s="542"/>
      <c r="T30" t="s">
        <v>11</v>
      </c>
      <c r="U30" s="542"/>
      <c r="V30">
        <f>MonthlyAvg!L88</f>
        <v>0</v>
      </c>
      <c r="W30">
        <f>(V30/V36)*100</f>
        <v>0</v>
      </c>
      <c r="X30">
        <f>MonthlyAvg!E88</f>
        <v>0</v>
      </c>
      <c r="Y30">
        <f>MonthlyAvg!F88</f>
        <v>0</v>
      </c>
      <c r="Z30">
        <f>MonthlyAvg!G88</f>
        <v>0</v>
      </c>
      <c r="AA30">
        <f>MonthlyAvg!H88</f>
        <v>0</v>
      </c>
      <c r="AB30">
        <f>MonthlyAvg!I88</f>
        <v>0</v>
      </c>
      <c r="AC30">
        <f>MonthlyAvg!J88</f>
        <v>0</v>
      </c>
      <c r="AD30">
        <f>MonthlyAvg!K88</f>
        <v>0</v>
      </c>
      <c r="AF30">
        <f>SUMPRODUCT(W28:W35,AC28:AC35)/SUM(W28:W35)</f>
        <v>6.1222222222222218</v>
      </c>
    </row>
    <row r="31" spans="3:32" x14ac:dyDescent="0.25">
      <c r="C31" s="542"/>
      <c r="D31" t="s">
        <v>10</v>
      </c>
      <c r="E31" s="542"/>
      <c r="F31">
        <f>MonthlyAvg!L72</f>
        <v>2</v>
      </c>
      <c r="G31">
        <f>(F31/F36)*100</f>
        <v>2.1505376344086025</v>
      </c>
      <c r="H31">
        <f>MonthlyAvg!E72</f>
        <v>60.195</v>
      </c>
      <c r="I31">
        <f>MonthlyAvg!F72</f>
        <v>4.96</v>
      </c>
      <c r="J31">
        <f>MonthlyAvg!G72</f>
        <v>4.93</v>
      </c>
      <c r="K31">
        <f>MonthlyAvg!H72</f>
        <v>5.2</v>
      </c>
      <c r="L31">
        <f>MonthlyAvg!I72</f>
        <v>45.3</v>
      </c>
      <c r="M31">
        <f>MonthlyAvg!J72</f>
        <v>9.89</v>
      </c>
      <c r="N31">
        <f>MonthlyAvg!K72</f>
        <v>0.99395161290322576</v>
      </c>
      <c r="S31" s="542"/>
      <c r="T31" t="s">
        <v>222</v>
      </c>
      <c r="U31" s="542"/>
      <c r="V31">
        <f>MonthlyAvg!L90</f>
        <v>5</v>
      </c>
      <c r="W31">
        <f>(V31/V36)*100</f>
        <v>5.1020408163265305</v>
      </c>
      <c r="X31">
        <f>MonthlyAvg!E90</f>
        <v>59.48</v>
      </c>
      <c r="Y31">
        <f>MonthlyAvg!F90</f>
        <v>5.5000000000000009</v>
      </c>
      <c r="Z31">
        <f>MonthlyAvg!G90</f>
        <v>4.26</v>
      </c>
      <c r="AA31">
        <f>MonthlyAvg!H90</f>
        <v>4</v>
      </c>
      <c r="AB31">
        <f>MonthlyAvg!I90</f>
        <v>40.799999999999997</v>
      </c>
      <c r="AC31">
        <f>MonthlyAvg!J90</f>
        <v>9.7600000000000016</v>
      </c>
      <c r="AD31">
        <f>MonthlyAvg!K90</f>
        <v>0.77454545454545443</v>
      </c>
    </row>
    <row r="32" spans="3:32" x14ac:dyDescent="0.25">
      <c r="C32" s="542"/>
      <c r="D32" t="s">
        <v>146</v>
      </c>
      <c r="E32" s="542"/>
      <c r="F32">
        <f>MonthlyAvg!L71</f>
        <v>0</v>
      </c>
      <c r="G32">
        <f>F32/F36*100</f>
        <v>0</v>
      </c>
      <c r="H32">
        <f>MonthlyAvg!E71</f>
        <v>0</v>
      </c>
      <c r="I32">
        <f>MonthlyAvg!F71</f>
        <v>0</v>
      </c>
      <c r="J32">
        <f>MonthlyAvg!G71</f>
        <v>0</v>
      </c>
      <c r="K32">
        <f>MonthlyAvg!H71</f>
        <v>0</v>
      </c>
      <c r="L32">
        <f>MonthlyAvg!I71</f>
        <v>0</v>
      </c>
      <c r="M32">
        <f>MonthlyAvg!J71</f>
        <v>0</v>
      </c>
      <c r="N32">
        <f>MonthlyAvg!K71</f>
        <v>0</v>
      </c>
      <c r="S32" s="542"/>
      <c r="T32" t="s">
        <v>146</v>
      </c>
      <c r="U32" s="542"/>
      <c r="V32">
        <f>MonthlyAvg!L89</f>
        <v>26</v>
      </c>
      <c r="X32">
        <f>MonthlyAvg!E89</f>
        <v>62.280769230769231</v>
      </c>
      <c r="Y32">
        <f>MonthlyAvg!F89</f>
        <v>2.815384615384616</v>
      </c>
      <c r="Z32">
        <f>MonthlyAvg!G89</f>
        <v>2.9576923076923078</v>
      </c>
      <c r="AA32">
        <f>MonthlyAvg!H89</f>
        <v>5.8</v>
      </c>
      <c r="AB32">
        <f>MonthlyAvg!I89</f>
        <v>38.08</v>
      </c>
      <c r="AC32">
        <f>MonthlyAvg!J89</f>
        <v>5.7730769230769239</v>
      </c>
      <c r="AD32">
        <f>MonthlyAvg!K89</f>
        <v>1.0505464480874316</v>
      </c>
    </row>
    <row r="33" spans="2:30" x14ac:dyDescent="0.25">
      <c r="C33" s="542"/>
      <c r="D33" t="s">
        <v>106</v>
      </c>
      <c r="E33" s="542"/>
      <c r="F33">
        <f>MonthlyAvg!L73</f>
        <v>0</v>
      </c>
      <c r="G33">
        <f>(F33/F36)*100</f>
        <v>0</v>
      </c>
      <c r="H33">
        <f>MonthlyAvg!E73</f>
        <v>0</v>
      </c>
      <c r="I33">
        <f>MonthlyAvg!F73</f>
        <v>0</v>
      </c>
      <c r="J33">
        <f>MonthlyAvg!G73</f>
        <v>0</v>
      </c>
      <c r="K33">
        <f>MonthlyAvg!H73</f>
        <v>0</v>
      </c>
      <c r="L33">
        <f>MonthlyAvg!I73</f>
        <v>0</v>
      </c>
      <c r="M33">
        <f>MonthlyAvg!J73</f>
        <v>0</v>
      </c>
      <c r="N33">
        <f>MonthlyAvg!K73</f>
        <v>0</v>
      </c>
      <c r="S33" s="542"/>
      <c r="T33" t="s">
        <v>106</v>
      </c>
      <c r="U33" s="542"/>
      <c r="V33">
        <f>MonthlyAvg!L91</f>
        <v>55</v>
      </c>
      <c r="W33">
        <f>(V33/V36)*100</f>
        <v>56.12244897959183</v>
      </c>
      <c r="X33">
        <f>MonthlyAvg!E91</f>
        <v>62.860000000000028</v>
      </c>
      <c r="Y33">
        <f>MonthlyAvg!F91</f>
        <v>2.4563636363636361</v>
      </c>
      <c r="Z33">
        <f>MonthlyAvg!G91</f>
        <v>2.4763636363636361</v>
      </c>
      <c r="AA33">
        <f>MonthlyAvg!H91</f>
        <v>3.5961538461538463</v>
      </c>
      <c r="AB33">
        <f>MonthlyAvg!I91</f>
        <v>39.57692307692308</v>
      </c>
      <c r="AC33">
        <f>MonthlyAvg!J91</f>
        <v>4.9327272727272717</v>
      </c>
      <c r="AD33">
        <f>MonthlyAvg!K91</f>
        <v>1.008142116950407</v>
      </c>
    </row>
    <row r="34" spans="2:30" x14ac:dyDescent="0.25">
      <c r="C34" s="542"/>
      <c r="D34" t="s">
        <v>9</v>
      </c>
      <c r="E34" s="542"/>
      <c r="F34">
        <f>MonthlyAvg!L74</f>
        <v>11</v>
      </c>
      <c r="G34">
        <f>(F34/F36)*100</f>
        <v>11.827956989247312</v>
      </c>
      <c r="H34">
        <f>MonthlyAvg!E74</f>
        <v>60.900909090909089</v>
      </c>
      <c r="I34">
        <f>MonthlyAvg!F74</f>
        <v>6.0720000000000001</v>
      </c>
      <c r="J34">
        <f>MonthlyAvg!G74</f>
        <v>2.9790909090909086</v>
      </c>
      <c r="K34">
        <f>MonthlyAvg!H74</f>
        <v>3.5800000000000005</v>
      </c>
      <c r="L34">
        <f>MonthlyAvg!I74</f>
        <v>45.400000000000006</v>
      </c>
      <c r="M34">
        <f>MonthlyAvg!J74</f>
        <v>9.0510909090909095</v>
      </c>
      <c r="N34">
        <f>MonthlyAvg!K74</f>
        <v>0.49062762007426031</v>
      </c>
      <c r="S34" s="542"/>
      <c r="T34" t="s">
        <v>9</v>
      </c>
      <c r="U34" s="542"/>
      <c r="V34">
        <f>MonthlyAvg!L92</f>
        <v>0</v>
      </c>
      <c r="W34">
        <f>(V34/V36)*100</f>
        <v>0</v>
      </c>
      <c r="X34">
        <f>MonthlyAvg!E92</f>
        <v>0</v>
      </c>
      <c r="Y34">
        <f>MonthlyAvg!F92</f>
        <v>0</v>
      </c>
      <c r="Z34">
        <f>MonthlyAvg!G92</f>
        <v>0</v>
      </c>
      <c r="AA34">
        <f>MonthlyAvg!H92</f>
        <v>0</v>
      </c>
      <c r="AB34">
        <f>MonthlyAvg!I92</f>
        <v>0</v>
      </c>
      <c r="AC34">
        <f>MonthlyAvg!J92</f>
        <v>0</v>
      </c>
      <c r="AD34">
        <f>MonthlyAvg!K92</f>
        <v>0</v>
      </c>
    </row>
    <row r="35" spans="2:30" x14ac:dyDescent="0.25">
      <c r="C35" s="542"/>
      <c r="D35" t="s">
        <v>112</v>
      </c>
      <c r="E35" s="542"/>
      <c r="F35">
        <f>MonthlyAvg!L75</f>
        <v>5</v>
      </c>
      <c r="G35">
        <f>(F35/F36)*100</f>
        <v>5.376344086021505</v>
      </c>
      <c r="H35">
        <f>MonthlyAvg!E75</f>
        <v>63.148000000000003</v>
      </c>
      <c r="I35">
        <f>MonthlyAvg!F75</f>
        <v>3.2480000000000002</v>
      </c>
      <c r="J35">
        <f>MonthlyAvg!G75</f>
        <v>2.3660000000000001</v>
      </c>
      <c r="K35">
        <f>MonthlyAvg!H75</f>
        <v>3.85</v>
      </c>
      <c r="L35">
        <f>MonthlyAvg!I75</f>
        <v>32.875</v>
      </c>
      <c r="M35">
        <f>MonthlyAvg!J75</f>
        <v>5.6140000000000008</v>
      </c>
      <c r="N35">
        <f>MonthlyAvg!K75</f>
        <v>0.72844827586206895</v>
      </c>
      <c r="S35" s="542"/>
      <c r="T35" t="s">
        <v>112</v>
      </c>
      <c r="U35" s="542"/>
      <c r="V35">
        <f>MonthlyAvg!L93</f>
        <v>0</v>
      </c>
      <c r="W35">
        <f>(V35/V36)*100</f>
        <v>0</v>
      </c>
      <c r="X35">
        <f>MonthlyAvg!E93</f>
        <v>0</v>
      </c>
      <c r="Y35">
        <f>MonthlyAvg!F93</f>
        <v>0</v>
      </c>
      <c r="Z35">
        <f>MonthlyAvg!G93</f>
        <v>0</v>
      </c>
      <c r="AA35">
        <f>MonthlyAvg!H93</f>
        <v>0</v>
      </c>
      <c r="AB35">
        <f>MonthlyAvg!I93</f>
        <v>0</v>
      </c>
      <c r="AC35">
        <f>MonthlyAvg!J93</f>
        <v>0</v>
      </c>
      <c r="AD35">
        <f>MonthlyAvg!K93</f>
        <v>0</v>
      </c>
    </row>
    <row r="36" spans="2:30" ht="13" thickBot="1" x14ac:dyDescent="0.3">
      <c r="C36" s="542" t="s">
        <v>123</v>
      </c>
      <c r="D36" s="542"/>
      <c r="E36" s="542"/>
      <c r="F36">
        <f>MonthlyAvg!L76</f>
        <v>93</v>
      </c>
      <c r="G36">
        <f>SUM(G28:G35)</f>
        <v>100.00000000000001</v>
      </c>
      <c r="H36" s="542"/>
      <c r="I36" s="542"/>
      <c r="J36" s="542"/>
      <c r="K36" s="542"/>
      <c r="L36" s="542"/>
      <c r="M36" s="542"/>
      <c r="N36" s="542"/>
      <c r="S36" s="542" t="s">
        <v>123</v>
      </c>
      <c r="T36" s="542"/>
      <c r="U36" s="542"/>
      <c r="V36">
        <f>MonthlyAvg!L94</f>
        <v>98</v>
      </c>
      <c r="W36">
        <f>SUM(W28:W35)</f>
        <v>73.469387755102034</v>
      </c>
      <c r="X36" s="542"/>
      <c r="Y36" s="542"/>
      <c r="Z36" s="542"/>
      <c r="AA36" s="542"/>
      <c r="AB36" s="542"/>
      <c r="AC36" s="542"/>
      <c r="AD36" s="542"/>
    </row>
    <row r="37" spans="2:30" ht="13" thickBot="1" x14ac:dyDescent="0.3"/>
    <row r="39" spans="2:30" ht="13" thickBot="1" x14ac:dyDescent="0.3"/>
    <row r="40" spans="2:30" ht="13" thickBot="1" x14ac:dyDescent="0.3">
      <c r="B40" s="542">
        <f>'Dir Quality Report'!$R$2</f>
        <v>44743</v>
      </c>
      <c r="C40" s="542"/>
      <c r="D40" s="542"/>
      <c r="E40" s="542"/>
      <c r="F40" s="542"/>
      <c r="R40" s="542">
        <f>'Dir Quality Report'!$R$2</f>
        <v>44743</v>
      </c>
      <c r="S40" s="542"/>
      <c r="T40" s="542"/>
      <c r="U40" s="542"/>
      <c r="V40" s="542"/>
    </row>
    <row r="41" spans="2:30" ht="13" thickBot="1" x14ac:dyDescent="0.3"/>
    <row r="42" spans="2:30" ht="13" thickBot="1" x14ac:dyDescent="0.3">
      <c r="H42" t="s">
        <v>18</v>
      </c>
      <c r="I42" t="s">
        <v>19</v>
      </c>
      <c r="J42" t="s">
        <v>20</v>
      </c>
      <c r="K42" t="s">
        <v>35</v>
      </c>
      <c r="L42" t="s">
        <v>36</v>
      </c>
      <c r="M42" t="s">
        <v>114</v>
      </c>
      <c r="N42" t="s">
        <v>115</v>
      </c>
      <c r="X42" t="s">
        <v>18</v>
      </c>
      <c r="Y42" t="s">
        <v>19</v>
      </c>
      <c r="Z42" t="s">
        <v>20</v>
      </c>
      <c r="AA42" t="s">
        <v>35</v>
      </c>
      <c r="AB42" t="s">
        <v>36</v>
      </c>
      <c r="AC42" t="s">
        <v>114</v>
      </c>
      <c r="AD42" t="s">
        <v>115</v>
      </c>
    </row>
    <row r="43" spans="2:30" ht="13" thickBot="1" x14ac:dyDescent="0.3">
      <c r="D43" s="542" t="s">
        <v>108</v>
      </c>
      <c r="E43" s="542"/>
      <c r="F43" s="542"/>
      <c r="G43" t="s">
        <v>116</v>
      </c>
      <c r="H43">
        <f t="array" ref="H43:L43">Norm!J8:N8</f>
        <v>62.5</v>
      </c>
      <c r="I43">
        <v>3.3</v>
      </c>
      <c r="J43">
        <v>2.2000000000000002</v>
      </c>
      <c r="K43">
        <v>10</v>
      </c>
      <c r="L43">
        <v>10</v>
      </c>
      <c r="M43">
        <v>5.3000000000000007</v>
      </c>
      <c r="N43">
        <v>1.0384615384615385</v>
      </c>
      <c r="U43" s="542" t="s">
        <v>108</v>
      </c>
      <c r="V43" s="542"/>
      <c r="W43" t="s">
        <v>116</v>
      </c>
      <c r="X43">
        <f t="array" ref="X43:AB43">Norm!J10:N10</f>
        <v>62.43</v>
      </c>
      <c r="Y43">
        <v>3.52</v>
      </c>
      <c r="Z43">
        <v>2.2000000000000002</v>
      </c>
      <c r="AA43">
        <v>10</v>
      </c>
      <c r="AB43">
        <v>10</v>
      </c>
      <c r="AC43">
        <v>4.6999999999999993</v>
      </c>
      <c r="AD43">
        <v>1.0434782608695652</v>
      </c>
    </row>
    <row r="44" spans="2:30" ht="13" thickBot="1" x14ac:dyDescent="0.3">
      <c r="D44" s="542" t="s">
        <v>125</v>
      </c>
      <c r="E44" s="542"/>
      <c r="F44" s="542"/>
      <c r="G44" t="s">
        <v>116</v>
      </c>
      <c r="H44">
        <f>MonthlyAvg!E31</f>
        <v>61.909803921568631</v>
      </c>
      <c r="I44">
        <f>MonthlyAvg!F31</f>
        <v>3.5176470588235293</v>
      </c>
      <c r="J44">
        <f>MonthlyAvg!G31</f>
        <v>2.1294117647058819</v>
      </c>
      <c r="K44">
        <f>MonthlyAvg!H31</f>
        <v>14.156862745098039</v>
      </c>
      <c r="L44">
        <f>MonthlyAvg!I31</f>
        <v>15.376470588235293</v>
      </c>
      <c r="M44">
        <f>MonthlyAvg!J31</f>
        <v>5.6470588235294112</v>
      </c>
      <c r="N44">
        <f>MonthlyAvg!K31</f>
        <v>0.6053511705685618</v>
      </c>
      <c r="U44" s="542" t="s">
        <v>126</v>
      </c>
      <c r="V44" s="542"/>
      <c r="W44" t="s">
        <v>116</v>
      </c>
      <c r="X44">
        <f>MonthlyAvg!E49</f>
        <v>63.022500000000015</v>
      </c>
      <c r="Y44">
        <f>MonthlyAvg!F49</f>
        <v>3.4249999999999985</v>
      </c>
      <c r="Z44">
        <f>MonthlyAvg!G49</f>
        <v>2.0868421052631576</v>
      </c>
      <c r="AA44">
        <f>MonthlyAvg!H49</f>
        <v>3.893300601912344</v>
      </c>
      <c r="AB44">
        <f>MonthlyAvg!I49</f>
        <v>7.7497452588935225</v>
      </c>
      <c r="AC44">
        <f>MonthlyAvg!J49</f>
        <v>5.5118421052631561</v>
      </c>
      <c r="AD44">
        <f>MonthlyAvg!K49</f>
        <v>0.60929696504033826</v>
      </c>
    </row>
    <row r="45" spans="2:30" ht="13" thickBot="1" x14ac:dyDescent="0.3"/>
    <row r="46" spans="2:30" ht="31.5" customHeight="1" thickBot="1" x14ac:dyDescent="0.3">
      <c r="C46" t="s">
        <v>46</v>
      </c>
      <c r="D46" t="s">
        <v>119</v>
      </c>
      <c r="E46" s="542" t="s">
        <v>120</v>
      </c>
      <c r="F46" s="542"/>
      <c r="G46" t="s">
        <v>121</v>
      </c>
      <c r="H46" s="542" t="s">
        <v>122</v>
      </c>
      <c r="I46" s="542"/>
      <c r="J46" s="542"/>
      <c r="K46" s="542"/>
      <c r="L46" s="542"/>
      <c r="M46" s="542"/>
      <c r="N46" s="542"/>
      <c r="S46" t="s">
        <v>46</v>
      </c>
      <c r="T46" t="s">
        <v>119</v>
      </c>
      <c r="U46" s="542" t="s">
        <v>120</v>
      </c>
      <c r="V46" s="542"/>
      <c r="W46" t="s">
        <v>121</v>
      </c>
      <c r="X46" s="542" t="s">
        <v>122</v>
      </c>
      <c r="Y46" s="542"/>
      <c r="Z46" s="542"/>
      <c r="AA46" s="542"/>
      <c r="AB46" s="542"/>
      <c r="AC46" s="542"/>
      <c r="AD46" s="542"/>
    </row>
    <row r="47" spans="2:30" ht="13" thickBot="1" x14ac:dyDescent="0.3">
      <c r="H47" t="s">
        <v>18</v>
      </c>
      <c r="I47" t="s">
        <v>19</v>
      </c>
      <c r="J47" t="s">
        <v>20</v>
      </c>
      <c r="K47" t="s">
        <v>35</v>
      </c>
      <c r="L47" t="s">
        <v>36</v>
      </c>
      <c r="M47" t="s">
        <v>114</v>
      </c>
      <c r="N47" t="s">
        <v>115</v>
      </c>
      <c r="X47" t="s">
        <v>18</v>
      </c>
      <c r="Y47" t="s">
        <v>19</v>
      </c>
      <c r="Z47" t="s">
        <v>20</v>
      </c>
      <c r="AA47" t="s">
        <v>35</v>
      </c>
      <c r="AB47" t="s">
        <v>36</v>
      </c>
      <c r="AC47" t="s">
        <v>114</v>
      </c>
      <c r="AD47" t="s">
        <v>115</v>
      </c>
    </row>
    <row r="48" spans="2:30" x14ac:dyDescent="0.25">
      <c r="C48" s="542" t="s">
        <v>4</v>
      </c>
      <c r="D48" t="s">
        <v>27</v>
      </c>
      <c r="E48" s="542" t="s">
        <v>116</v>
      </c>
      <c r="F48">
        <f>MonthlyAvg!L23</f>
        <v>0</v>
      </c>
      <c r="G48">
        <f>(F48/$F$56)*100</f>
        <v>0</v>
      </c>
      <c r="H48">
        <f>MonthlyAvg!E23</f>
        <v>0</v>
      </c>
      <c r="I48">
        <f>MonthlyAvg!F23</f>
        <v>0</v>
      </c>
      <c r="J48">
        <f>MonthlyAvg!G23</f>
        <v>0</v>
      </c>
      <c r="K48">
        <f>MonthlyAvg!H23</f>
        <v>0</v>
      </c>
      <c r="L48">
        <f>MonthlyAvg!I23</f>
        <v>0</v>
      </c>
      <c r="M48">
        <f>MonthlyAvg!J23</f>
        <v>0</v>
      </c>
      <c r="N48">
        <f>MonthlyAvg!K23</f>
        <v>0</v>
      </c>
      <c r="S48" s="542" t="s">
        <v>30</v>
      </c>
      <c r="T48" t="s">
        <v>27</v>
      </c>
      <c r="U48" s="542" t="s">
        <v>116</v>
      </c>
      <c r="V48">
        <f>MonthlyAvg!L41</f>
        <v>0</v>
      </c>
      <c r="W48">
        <f>(V48/V56)*100</f>
        <v>0</v>
      </c>
      <c r="X48">
        <f>MonthlyAvg!E41</f>
        <v>0</v>
      </c>
      <c r="Y48">
        <f>MonthlyAvg!F41</f>
        <v>0</v>
      </c>
      <c r="Z48">
        <f>MonthlyAvg!G41</f>
        <v>0</v>
      </c>
      <c r="AA48">
        <f>MonthlyAvg!H41</f>
        <v>0</v>
      </c>
      <c r="AB48">
        <f>MonthlyAvg!I41</f>
        <v>0</v>
      </c>
      <c r="AC48">
        <f>MonthlyAvg!J41</f>
        <v>0</v>
      </c>
      <c r="AD48">
        <f>MonthlyAvg!K41</f>
        <v>0</v>
      </c>
    </row>
    <row r="49" spans="3:32" x14ac:dyDescent="0.25">
      <c r="C49" s="542"/>
      <c r="D49" t="s">
        <v>2</v>
      </c>
      <c r="E49" s="542"/>
      <c r="F49">
        <f>MonthlyAvg!L24</f>
        <v>2</v>
      </c>
      <c r="G49">
        <f t="shared" ref="G49:G55" si="0">(F49/$F$56)*100</f>
        <v>3.9215686274509802</v>
      </c>
      <c r="H49">
        <f>MonthlyAvg!E24</f>
        <v>59.8</v>
      </c>
      <c r="I49">
        <f>MonthlyAvg!F24</f>
        <v>4.1500000000000004</v>
      </c>
      <c r="J49">
        <f>MonthlyAvg!G24</f>
        <v>4.2</v>
      </c>
      <c r="K49">
        <f>MonthlyAvg!H24</f>
        <v>15.3</v>
      </c>
      <c r="L49">
        <f>MonthlyAvg!I24</f>
        <v>16.75</v>
      </c>
      <c r="M49">
        <f>MonthlyAvg!J24</f>
        <v>8.3500000000000014</v>
      </c>
      <c r="N49">
        <f>MonthlyAvg!K24</f>
        <v>1.0120481927710843</v>
      </c>
      <c r="S49" s="542"/>
      <c r="T49" t="s">
        <v>2</v>
      </c>
      <c r="U49" s="542"/>
      <c r="V49">
        <f>MonthlyAvg!L42</f>
        <v>0</v>
      </c>
      <c r="W49">
        <f>(V49/V56)*100</f>
        <v>0</v>
      </c>
      <c r="X49">
        <f>MonthlyAvg!E42</f>
        <v>0</v>
      </c>
      <c r="Y49">
        <f>MonthlyAvg!F42</f>
        <v>0</v>
      </c>
      <c r="Z49">
        <f>MonthlyAvg!G42</f>
        <v>0</v>
      </c>
      <c r="AA49">
        <f>MonthlyAvg!H42</f>
        <v>0</v>
      </c>
      <c r="AB49">
        <f>MonthlyAvg!I42</f>
        <v>0</v>
      </c>
      <c r="AC49">
        <f>MonthlyAvg!J42</f>
        <v>0</v>
      </c>
      <c r="AD49">
        <f>MonthlyAvg!K42</f>
        <v>0</v>
      </c>
    </row>
    <row r="50" spans="3:32" x14ac:dyDescent="0.25">
      <c r="C50" s="542"/>
      <c r="D50" t="s">
        <v>11</v>
      </c>
      <c r="E50" s="542"/>
      <c r="F50">
        <f>MonthlyAvg!L25</f>
        <v>47</v>
      </c>
      <c r="G50">
        <f t="shared" si="0"/>
        <v>92.156862745098039</v>
      </c>
      <c r="H50">
        <f>MonthlyAvg!E25</f>
        <v>62.106382978723403</v>
      </c>
      <c r="I50">
        <f>MonthlyAvg!F25</f>
        <v>3.2765957446808516</v>
      </c>
      <c r="J50">
        <f>MonthlyAvg!G25</f>
        <v>2.05531914893617</v>
      </c>
      <c r="K50">
        <f>MonthlyAvg!H25</f>
        <v>14.48936170212766</v>
      </c>
      <c r="L50">
        <f>MonthlyAvg!I25</f>
        <v>15.340425531914891</v>
      </c>
      <c r="M50">
        <f>MonthlyAvg!J25</f>
        <v>5.3319148936170215</v>
      </c>
      <c r="N50">
        <f>MonthlyAvg!K25</f>
        <v>0.62727272727272709</v>
      </c>
      <c r="P50">
        <f>SUMPRODUCT(G48:G55,M48:M55)/SUM(G48:G55)</f>
        <v>5.6470588235294121</v>
      </c>
      <c r="S50" s="542"/>
      <c r="T50" t="s">
        <v>11</v>
      </c>
      <c r="U50" s="542"/>
      <c r="V50">
        <f>MonthlyAvg!L43</f>
        <v>9</v>
      </c>
      <c r="W50">
        <f>(V50/V56)*100</f>
        <v>23.684210526315788</v>
      </c>
      <c r="X50">
        <f>MonthlyAvg!E43</f>
        <v>63.485444444444447</v>
      </c>
      <c r="Y50">
        <f>MonthlyAvg!F43</f>
        <v>2.5433333333333334</v>
      </c>
      <c r="Z50">
        <f>MonthlyAvg!G43</f>
        <v>2.201111111111111</v>
      </c>
      <c r="AA50">
        <f>MonthlyAvg!H43</f>
        <v>8.4457707574712391</v>
      </c>
      <c r="AB50">
        <f>MonthlyAvg!I43</f>
        <v>7.6297832020723586</v>
      </c>
      <c r="AC50">
        <f>MonthlyAvg!J43</f>
        <v>4.7444444444444445</v>
      </c>
      <c r="AD50">
        <f>MonthlyAvg!K43</f>
        <v>0.86544342507645255</v>
      </c>
      <c r="AF50">
        <f>SUMPRODUCT(W48:W55,AC48:AC55)/SUM(W48:W55)</f>
        <v>5.5118421052631561</v>
      </c>
    </row>
    <row r="51" spans="3:32" x14ac:dyDescent="0.25">
      <c r="C51" s="542"/>
      <c r="D51" t="s">
        <v>10</v>
      </c>
      <c r="E51" s="542"/>
      <c r="F51">
        <f>MonthlyAvg!L27</f>
        <v>0</v>
      </c>
      <c r="G51">
        <f t="shared" si="0"/>
        <v>0</v>
      </c>
      <c r="H51">
        <f>MonthlyAvg!E27</f>
        <v>0</v>
      </c>
      <c r="I51">
        <f>MonthlyAvg!F27</f>
        <v>0</v>
      </c>
      <c r="J51">
        <f>MonthlyAvg!G27</f>
        <v>0</v>
      </c>
      <c r="K51">
        <f>MonthlyAvg!H27</f>
        <v>0</v>
      </c>
      <c r="L51">
        <f>MonthlyAvg!I27</f>
        <v>0</v>
      </c>
      <c r="M51">
        <f>MonthlyAvg!J27</f>
        <v>0</v>
      </c>
      <c r="N51">
        <f>MonthlyAvg!K27</f>
        <v>0</v>
      </c>
      <c r="S51" s="542"/>
      <c r="T51" t="s">
        <v>10</v>
      </c>
      <c r="U51" s="542"/>
      <c r="V51">
        <f>MonthlyAvg!L45</f>
        <v>2</v>
      </c>
      <c r="W51">
        <f>(V51/V56)*100</f>
        <v>5.2631578947368416</v>
      </c>
      <c r="X51">
        <f>MonthlyAvg!E45</f>
        <v>59.814999999999998</v>
      </c>
      <c r="Y51">
        <f>MonthlyAvg!F45</f>
        <v>3.8600000000000003</v>
      </c>
      <c r="Z51">
        <f>MonthlyAvg!G45</f>
        <v>6.8550000000000004</v>
      </c>
      <c r="AA51">
        <f>MonthlyAvg!H45</f>
        <v>4.2261904761904754</v>
      </c>
      <c r="AB51">
        <f>MonthlyAvg!I45</f>
        <v>10.715</v>
      </c>
      <c r="AC51">
        <f>MonthlyAvg!J45</f>
        <v>10.715</v>
      </c>
      <c r="AD51">
        <f>MonthlyAvg!K45</f>
        <v>1.7759067357512952</v>
      </c>
    </row>
    <row r="52" spans="3:32" x14ac:dyDescent="0.25">
      <c r="C52" s="542"/>
      <c r="D52" t="s">
        <v>146</v>
      </c>
      <c r="E52" s="542"/>
      <c r="F52">
        <f>MonthlyAvg!L26</f>
        <v>0</v>
      </c>
      <c r="G52">
        <f t="shared" si="0"/>
        <v>0</v>
      </c>
      <c r="H52">
        <f>MonthlyAvg!E26</f>
        <v>0</v>
      </c>
      <c r="I52">
        <f>MonthlyAvg!F26</f>
        <v>0</v>
      </c>
      <c r="J52">
        <f>MonthlyAvg!G26</f>
        <v>0</v>
      </c>
      <c r="K52">
        <f>MonthlyAvg!H26</f>
        <v>0</v>
      </c>
      <c r="L52">
        <f>MonthlyAvg!I26</f>
        <v>0</v>
      </c>
      <c r="M52">
        <f>MonthlyAvg!J26</f>
        <v>0</v>
      </c>
      <c r="N52">
        <f>MonthlyAvg!K26</f>
        <v>0</v>
      </c>
      <c r="S52" s="542"/>
      <c r="T52" t="s">
        <v>146</v>
      </c>
      <c r="U52" s="542"/>
      <c r="V52">
        <f>MonthlyAvg!L44</f>
        <v>0</v>
      </c>
      <c r="X52">
        <f>MonthlyAvg!E44</f>
        <v>0</v>
      </c>
      <c r="Y52">
        <f>MonthlyAvg!F44</f>
        <v>0</v>
      </c>
      <c r="Z52">
        <f>MonthlyAvg!G44</f>
        <v>0</v>
      </c>
      <c r="AA52">
        <f>MonthlyAvg!H44</f>
        <v>0</v>
      </c>
      <c r="AB52">
        <f>MonthlyAvg!I44</f>
        <v>0</v>
      </c>
      <c r="AC52">
        <f>MonthlyAvg!J44</f>
        <v>0</v>
      </c>
      <c r="AD52">
        <f>MonthlyAvg!K44</f>
        <v>0</v>
      </c>
    </row>
    <row r="53" spans="3:32" x14ac:dyDescent="0.25">
      <c r="C53" s="542"/>
      <c r="D53" t="s">
        <v>106</v>
      </c>
      <c r="E53" s="542"/>
      <c r="F53">
        <f>MonthlyAvg!L28</f>
        <v>0</v>
      </c>
      <c r="G53">
        <f t="shared" si="0"/>
        <v>0</v>
      </c>
      <c r="H53">
        <f>MonthlyAvg!E28</f>
        <v>0</v>
      </c>
      <c r="I53">
        <f>MonthlyAvg!F28</f>
        <v>0</v>
      </c>
      <c r="J53">
        <f>MonthlyAvg!G28</f>
        <v>0</v>
      </c>
      <c r="K53">
        <f>MonthlyAvg!H28</f>
        <v>0</v>
      </c>
      <c r="L53">
        <f>MonthlyAvg!I28</f>
        <v>0</v>
      </c>
      <c r="M53">
        <f>MonthlyAvg!J28</f>
        <v>0</v>
      </c>
      <c r="N53">
        <f>MonthlyAvg!K28</f>
        <v>0</v>
      </c>
      <c r="S53" s="542"/>
      <c r="T53" t="s">
        <v>106</v>
      </c>
      <c r="U53" s="542"/>
      <c r="V53">
        <f>MonthlyAvg!L46</f>
        <v>0</v>
      </c>
      <c r="W53">
        <f>(V53/V56)*100</f>
        <v>0</v>
      </c>
      <c r="X53">
        <f>MonthlyAvg!E46</f>
        <v>0</v>
      </c>
      <c r="Y53">
        <f>MonthlyAvg!F46</f>
        <v>0</v>
      </c>
      <c r="Z53">
        <f>MonthlyAvg!G46</f>
        <v>0</v>
      </c>
      <c r="AA53">
        <f>MonthlyAvg!H46</f>
        <v>0</v>
      </c>
      <c r="AB53">
        <f>MonthlyAvg!I46</f>
        <v>0</v>
      </c>
      <c r="AC53">
        <f>MonthlyAvg!J46</f>
        <v>0</v>
      </c>
      <c r="AD53">
        <f>MonthlyAvg!K46</f>
        <v>0</v>
      </c>
    </row>
    <row r="54" spans="3:32" x14ac:dyDescent="0.25">
      <c r="C54" s="542"/>
      <c r="D54" t="s">
        <v>9</v>
      </c>
      <c r="E54" s="542"/>
      <c r="F54">
        <f>MonthlyAvg!L29</f>
        <v>2</v>
      </c>
      <c r="G54">
        <f t="shared" si="0"/>
        <v>3.9215686274509802</v>
      </c>
      <c r="H54">
        <f>MonthlyAvg!E29</f>
        <v>59.4</v>
      </c>
      <c r="I54">
        <f>MonthlyAvg!F29</f>
        <v>8.5500000000000007</v>
      </c>
      <c r="J54">
        <f>MonthlyAvg!G29</f>
        <v>1.8</v>
      </c>
      <c r="K54">
        <f>MonthlyAvg!H29</f>
        <v>5.2</v>
      </c>
      <c r="L54">
        <f>MonthlyAvg!I29</f>
        <v>14.85</v>
      </c>
      <c r="M54">
        <f>MonthlyAvg!J29</f>
        <v>10.350000000000001</v>
      </c>
      <c r="N54">
        <f>MonthlyAvg!K29</f>
        <v>0.21052631578947367</v>
      </c>
      <c r="S54" s="542"/>
      <c r="T54" t="s">
        <v>9</v>
      </c>
      <c r="U54" s="542"/>
      <c r="V54">
        <f>MonthlyAvg!L47</f>
        <v>27</v>
      </c>
      <c r="W54">
        <f>(V54/V56)*100</f>
        <v>71.05263157894737</v>
      </c>
      <c r="X54">
        <f>MonthlyAvg!E47</f>
        <v>63.105777777777796</v>
      </c>
      <c r="Y54">
        <f>MonthlyAvg!F47</f>
        <v>3.6866666666666656</v>
      </c>
      <c r="Z54">
        <f>MonthlyAvg!G47</f>
        <v>1.6955555555555553</v>
      </c>
      <c r="AA54">
        <f>MonthlyAvg!H47</f>
        <v>2.3511520408535906</v>
      </c>
      <c r="AB54">
        <f>MonthlyAvg!I47</f>
        <v>7.5700841118260254</v>
      </c>
      <c r="AC54">
        <f>MonthlyAvg!J47</f>
        <v>5.3822222222222207</v>
      </c>
      <c r="AD54">
        <f>MonthlyAvg!K47</f>
        <v>0.45991561181434604</v>
      </c>
    </row>
    <row r="55" spans="3:32" x14ac:dyDescent="0.25">
      <c r="C55" s="542"/>
      <c r="D55" t="s">
        <v>112</v>
      </c>
      <c r="E55" s="542"/>
      <c r="F55">
        <f>MonthlyAvg!L30</f>
        <v>0</v>
      </c>
      <c r="G55">
        <f t="shared" si="0"/>
        <v>0</v>
      </c>
      <c r="H55">
        <f>MonthlyAvg!E30</f>
        <v>0</v>
      </c>
      <c r="I55">
        <f>MonthlyAvg!F30</f>
        <v>0</v>
      </c>
      <c r="J55">
        <f>MonthlyAvg!G30</f>
        <v>0</v>
      </c>
      <c r="K55">
        <f>MonthlyAvg!H30</f>
        <v>0</v>
      </c>
      <c r="L55">
        <f>MonthlyAvg!I30</f>
        <v>0</v>
      </c>
      <c r="M55">
        <f>MonthlyAvg!J30</f>
        <v>0</v>
      </c>
      <c r="N55">
        <f>MonthlyAvg!K30</f>
        <v>0</v>
      </c>
      <c r="S55" s="542"/>
      <c r="T55" t="s">
        <v>112</v>
      </c>
      <c r="U55" s="542"/>
      <c r="V55">
        <f>MonthlyAvg!L48</f>
        <v>0</v>
      </c>
      <c r="W55">
        <f>(V55/V56)*100</f>
        <v>0</v>
      </c>
      <c r="X55">
        <f>MonthlyAvg!E48</f>
        <v>0</v>
      </c>
      <c r="Y55">
        <f>MonthlyAvg!F48</f>
        <v>0</v>
      </c>
      <c r="Z55">
        <f>MonthlyAvg!G48</f>
        <v>0</v>
      </c>
      <c r="AA55">
        <f>MonthlyAvg!H48</f>
        <v>0</v>
      </c>
      <c r="AB55">
        <f>MonthlyAvg!I48</f>
        <v>0</v>
      </c>
      <c r="AC55">
        <f>MonthlyAvg!J48</f>
        <v>0</v>
      </c>
      <c r="AD55">
        <f>MonthlyAvg!K48</f>
        <v>0</v>
      </c>
    </row>
    <row r="56" spans="3:32" ht="13" thickBot="1" x14ac:dyDescent="0.3">
      <c r="C56" s="542" t="s">
        <v>123</v>
      </c>
      <c r="D56" s="542"/>
      <c r="E56" s="542"/>
      <c r="F56">
        <f>MonthlyAvg!L31</f>
        <v>51</v>
      </c>
      <c r="G56">
        <f>SUM(G48:G55)</f>
        <v>100</v>
      </c>
      <c r="H56" s="542"/>
      <c r="I56" s="542"/>
      <c r="J56" s="542"/>
      <c r="K56" s="542"/>
      <c r="L56" s="542"/>
      <c r="M56" s="542"/>
      <c r="N56" s="542"/>
      <c r="S56" s="542" t="s">
        <v>123</v>
      </c>
      <c r="T56" s="542"/>
      <c r="U56" s="542"/>
      <c r="V56">
        <f>MonthlyAvg!L49</f>
        <v>38</v>
      </c>
      <c r="W56">
        <f>SUM(W48:W55)</f>
        <v>100</v>
      </c>
      <c r="X56" s="542"/>
      <c r="Y56" s="542"/>
      <c r="Z56" s="542"/>
      <c r="AA56" s="542"/>
      <c r="AB56" s="542"/>
      <c r="AC56" s="542"/>
      <c r="AD56" s="542"/>
    </row>
    <row r="58" spans="3:32" ht="13" thickBot="1" x14ac:dyDescent="0.3"/>
    <row r="59" spans="3:32" ht="13" thickBot="1" x14ac:dyDescent="0.3">
      <c r="H59" t="s">
        <v>18</v>
      </c>
      <c r="I59" t="s">
        <v>19</v>
      </c>
      <c r="J59" t="s">
        <v>20</v>
      </c>
      <c r="K59" t="s">
        <v>35</v>
      </c>
      <c r="L59" t="s">
        <v>36</v>
      </c>
      <c r="M59" t="s">
        <v>114</v>
      </c>
      <c r="N59" t="s">
        <v>115</v>
      </c>
      <c r="X59" t="s">
        <v>18</v>
      </c>
      <c r="Y59" t="s">
        <v>19</v>
      </c>
      <c r="Z59" t="s">
        <v>20</v>
      </c>
      <c r="AA59" t="s">
        <v>35</v>
      </c>
      <c r="AB59" t="s">
        <v>36</v>
      </c>
      <c r="AC59" t="s">
        <v>114</v>
      </c>
      <c r="AD59" t="s">
        <v>115</v>
      </c>
    </row>
    <row r="60" spans="3:32" ht="13" thickBot="1" x14ac:dyDescent="0.3">
      <c r="D60" s="542" t="s">
        <v>108</v>
      </c>
      <c r="E60" s="542"/>
      <c r="F60" s="542"/>
      <c r="G60" t="s">
        <v>124</v>
      </c>
      <c r="H60">
        <f t="array" ref="H60:L60">Norm!J16:N16</f>
        <v>61.75</v>
      </c>
      <c r="I60">
        <v>4.08</v>
      </c>
      <c r="J60">
        <v>2.57</v>
      </c>
      <c r="K60">
        <v>7</v>
      </c>
      <c r="L60">
        <v>40</v>
      </c>
      <c r="M60">
        <v>5.9</v>
      </c>
      <c r="N60">
        <v>0.96666666666666667</v>
      </c>
      <c r="U60" s="542" t="s">
        <v>108</v>
      </c>
      <c r="V60" s="542"/>
      <c r="W60" t="s">
        <v>124</v>
      </c>
      <c r="X60">
        <f t="array" ref="X60:AB60">Norm!J18:N18</f>
        <v>61.36</v>
      </c>
      <c r="Y60">
        <v>4.2300000000000004</v>
      </c>
      <c r="Z60">
        <v>2.64</v>
      </c>
      <c r="AA60">
        <v>7</v>
      </c>
      <c r="AB60">
        <v>40</v>
      </c>
      <c r="AC60">
        <v>5.6999999999999993</v>
      </c>
      <c r="AD60">
        <v>0.96551724137931028</v>
      </c>
    </row>
    <row r="61" spans="3:32" ht="13" thickBot="1" x14ac:dyDescent="0.3">
      <c r="D61" s="542" t="s">
        <v>125</v>
      </c>
      <c r="E61" s="542"/>
      <c r="F61" s="542"/>
      <c r="G61" t="s">
        <v>124</v>
      </c>
      <c r="H61">
        <f>MonthlyAvg!E85</f>
        <v>61.859999999999985</v>
      </c>
      <c r="I61">
        <f>MonthlyAvg!F85</f>
        <v>3.8618181818181818</v>
      </c>
      <c r="J61">
        <f>MonthlyAvg!G85</f>
        <v>2.334545454545454</v>
      </c>
      <c r="K61">
        <f>MonthlyAvg!H85</f>
        <v>10.054545454545456</v>
      </c>
      <c r="L61">
        <f>MonthlyAvg!I85</f>
        <v>40.029090909090904</v>
      </c>
      <c r="M61">
        <f>MonthlyAvg!J85</f>
        <v>6.1963636363636354</v>
      </c>
      <c r="N61">
        <f>MonthlyAvg!K85</f>
        <v>0.6045197740112993</v>
      </c>
      <c r="U61" s="542" t="s">
        <v>126</v>
      </c>
      <c r="V61" s="542"/>
      <c r="W61" t="s">
        <v>124</v>
      </c>
      <c r="X61">
        <f>MonthlyAvg!E103</f>
        <v>61.779792207792191</v>
      </c>
      <c r="Y61">
        <f>MonthlyAvg!F103</f>
        <v>4.9089610389610394</v>
      </c>
      <c r="Z61">
        <f>MonthlyAvg!G103</f>
        <v>2.4764935064935063</v>
      </c>
      <c r="AA61">
        <f>MonthlyAvg!H103</f>
        <v>6.7855523019175807</v>
      </c>
      <c r="AB61">
        <f>MonthlyAvg!I103</f>
        <v>44.633417783324134</v>
      </c>
      <c r="AC61">
        <f>MonthlyAvg!J103</f>
        <v>7.3854545454545457</v>
      </c>
      <c r="AD61">
        <f>MonthlyAvg!K103</f>
        <v>0.5044842456149633</v>
      </c>
    </row>
    <row r="62" spans="3:32" ht="13" thickBot="1" x14ac:dyDescent="0.3"/>
    <row r="63" spans="3:32" ht="34.5" customHeight="1" thickBot="1" x14ac:dyDescent="0.3">
      <c r="C63" t="s">
        <v>46</v>
      </c>
      <c r="D63" t="s">
        <v>119</v>
      </c>
      <c r="E63" s="542" t="s">
        <v>120</v>
      </c>
      <c r="F63" s="542"/>
      <c r="G63" t="s">
        <v>121</v>
      </c>
      <c r="H63" s="542" t="s">
        <v>122</v>
      </c>
      <c r="I63" s="542"/>
      <c r="J63" s="542"/>
      <c r="K63" s="542"/>
      <c r="L63" s="542"/>
      <c r="M63" s="542"/>
      <c r="N63" s="542"/>
      <c r="S63" t="s">
        <v>46</v>
      </c>
      <c r="T63" t="s">
        <v>119</v>
      </c>
      <c r="U63" s="542" t="s">
        <v>120</v>
      </c>
      <c r="V63" s="542"/>
      <c r="W63" t="s">
        <v>121</v>
      </c>
      <c r="X63" s="542" t="s">
        <v>122</v>
      </c>
      <c r="Y63" s="542"/>
      <c r="Z63" s="542"/>
      <c r="AA63" s="542"/>
      <c r="AB63" s="542"/>
      <c r="AC63" s="542"/>
      <c r="AD63" s="542"/>
    </row>
    <row r="64" spans="3:32" ht="13" thickBot="1" x14ac:dyDescent="0.3">
      <c r="H64" t="s">
        <v>18</v>
      </c>
      <c r="I64" t="s">
        <v>19</v>
      </c>
      <c r="J64" t="s">
        <v>20</v>
      </c>
      <c r="K64" t="s">
        <v>35</v>
      </c>
      <c r="L64" t="s">
        <v>36</v>
      </c>
      <c r="M64" t="s">
        <v>114</v>
      </c>
      <c r="N64" t="s">
        <v>115</v>
      </c>
      <c r="X64" t="s">
        <v>18</v>
      </c>
      <c r="Y64" t="s">
        <v>19</v>
      </c>
      <c r="Z64" t="s">
        <v>20</v>
      </c>
      <c r="AA64" t="s">
        <v>35</v>
      </c>
      <c r="AB64" t="s">
        <v>36</v>
      </c>
      <c r="AC64" t="s">
        <v>114</v>
      </c>
      <c r="AD64" t="s">
        <v>115</v>
      </c>
    </row>
    <row r="65" spans="2:32" x14ac:dyDescent="0.25">
      <c r="C65" s="542" t="s">
        <v>4</v>
      </c>
      <c r="D65" t="s">
        <v>27</v>
      </c>
      <c r="E65" s="542" t="s">
        <v>124</v>
      </c>
      <c r="F65">
        <f>MonthlyAvg!L77</f>
        <v>0</v>
      </c>
      <c r="G65">
        <f>(F65/$F$73)*100</f>
        <v>0</v>
      </c>
      <c r="H65">
        <f>MonthlyAvg!E77</f>
        <v>0</v>
      </c>
      <c r="I65">
        <f>MonthlyAvg!F77</f>
        <v>0</v>
      </c>
      <c r="J65">
        <f>MonthlyAvg!G77</f>
        <v>0</v>
      </c>
      <c r="K65">
        <f>MonthlyAvg!H77</f>
        <v>0</v>
      </c>
      <c r="L65">
        <f>MonthlyAvg!I77</f>
        <v>0</v>
      </c>
      <c r="M65">
        <f>MonthlyAvg!J77</f>
        <v>0</v>
      </c>
      <c r="N65">
        <f>MonthlyAvg!K77</f>
        <v>0</v>
      </c>
      <c r="S65" s="542" t="s">
        <v>30</v>
      </c>
      <c r="T65" t="s">
        <v>27</v>
      </c>
      <c r="U65" s="542" t="s">
        <v>124</v>
      </c>
      <c r="V65">
        <f>MonthlyAvg!L95</f>
        <v>0</v>
      </c>
      <c r="W65">
        <f>(V65/V73)*100</f>
        <v>0</v>
      </c>
      <c r="X65">
        <f>MonthlyAvg!E95</f>
        <v>0</v>
      </c>
      <c r="Y65">
        <f>MonthlyAvg!F95</f>
        <v>0</v>
      </c>
      <c r="Z65">
        <f>MonthlyAvg!G95</f>
        <v>0</v>
      </c>
      <c r="AA65">
        <f>MonthlyAvg!H95</f>
        <v>0</v>
      </c>
      <c r="AB65">
        <f>MonthlyAvg!I95</f>
        <v>0</v>
      </c>
      <c r="AC65">
        <f>MonthlyAvg!J95</f>
        <v>0</v>
      </c>
      <c r="AD65">
        <f>MonthlyAvg!K95</f>
        <v>0</v>
      </c>
    </row>
    <row r="66" spans="2:32" x14ac:dyDescent="0.25">
      <c r="C66" s="542"/>
      <c r="D66" t="s">
        <v>2</v>
      </c>
      <c r="E66" s="542"/>
      <c r="F66">
        <f>MonthlyAvg!L78</f>
        <v>0</v>
      </c>
      <c r="G66">
        <f t="shared" ref="G66:G72" si="1">(F66/$F$73)*100</f>
        <v>0</v>
      </c>
      <c r="H66">
        <f>MonthlyAvg!E78</f>
        <v>0</v>
      </c>
      <c r="I66">
        <f>MonthlyAvg!F78</f>
        <v>0</v>
      </c>
      <c r="J66">
        <f>MonthlyAvg!G78</f>
        <v>0</v>
      </c>
      <c r="K66">
        <f>MonthlyAvg!H78</f>
        <v>0</v>
      </c>
      <c r="L66">
        <f>MonthlyAvg!I78</f>
        <v>0</v>
      </c>
      <c r="M66">
        <f>MonthlyAvg!J78</f>
        <v>0</v>
      </c>
      <c r="N66">
        <f>MonthlyAvg!K78</f>
        <v>0</v>
      </c>
      <c r="S66" s="542"/>
      <c r="T66" t="s">
        <v>2</v>
      </c>
      <c r="U66" s="542"/>
      <c r="V66">
        <f>MonthlyAvg!L96</f>
        <v>1</v>
      </c>
      <c r="W66">
        <f>(V66/V73)*100</f>
        <v>1.2987012987012987</v>
      </c>
      <c r="X66">
        <f>MonthlyAvg!E96</f>
        <v>59.02</v>
      </c>
      <c r="Y66">
        <f>MonthlyAvg!F96</f>
        <v>8.77</v>
      </c>
      <c r="Z66">
        <f>MonthlyAvg!G96</f>
        <v>2.9</v>
      </c>
      <c r="AA66">
        <f>MonthlyAvg!H96</f>
        <v>6.1643835616438354</v>
      </c>
      <c r="AB66">
        <f>MonthlyAvg!I96</f>
        <v>46.575342465753415</v>
      </c>
      <c r="AC66">
        <f>MonthlyAvg!J96</f>
        <v>11.67</v>
      </c>
      <c r="AD66">
        <f>MonthlyAvg!K96</f>
        <v>0.33067274800456103</v>
      </c>
    </row>
    <row r="67" spans="2:32" x14ac:dyDescent="0.25">
      <c r="C67" s="542"/>
      <c r="D67" t="s">
        <v>11</v>
      </c>
      <c r="E67" s="542"/>
      <c r="F67">
        <f>MonthlyAvg!L79</f>
        <v>51</v>
      </c>
      <c r="G67">
        <f t="shared" si="1"/>
        <v>92.72727272727272</v>
      </c>
      <c r="H67">
        <f>MonthlyAvg!E79</f>
        <v>61.849019607843125</v>
      </c>
      <c r="I67">
        <f>MonthlyAvg!F79</f>
        <v>3.7803921568627454</v>
      </c>
      <c r="J67">
        <f>MonthlyAvg!G79</f>
        <v>2.3568627450980388</v>
      </c>
      <c r="K67">
        <f>MonthlyAvg!H79</f>
        <v>10.5</v>
      </c>
      <c r="L67">
        <f>MonthlyAvg!I79</f>
        <v>38.954901960784319</v>
      </c>
      <c r="M67">
        <f>MonthlyAvg!J79</f>
        <v>6.1372549019607838</v>
      </c>
      <c r="N67">
        <f>MonthlyAvg!K79</f>
        <v>0.62344398340248952</v>
      </c>
      <c r="P67">
        <f>SUMPRODUCT(G65:G72,M65:M72)/SUM(G65:G72)</f>
        <v>6.1963636363636363</v>
      </c>
      <c r="S67" s="542"/>
      <c r="T67" t="s">
        <v>11</v>
      </c>
      <c r="U67" s="542"/>
      <c r="V67">
        <f>MonthlyAvg!L97</f>
        <v>7</v>
      </c>
      <c r="W67">
        <f>(V67/V73)*100</f>
        <v>9.0909090909090917</v>
      </c>
      <c r="X67">
        <f>MonthlyAvg!E97</f>
        <v>62.584428571428575</v>
      </c>
      <c r="Y67">
        <f>MonthlyAvg!F97</f>
        <v>4.0628571428571423</v>
      </c>
      <c r="Z67">
        <f>MonthlyAvg!G97</f>
        <v>1.9471428571428571</v>
      </c>
      <c r="AA67">
        <f>MonthlyAvg!H97</f>
        <v>8.6114006387819551</v>
      </c>
      <c r="AB67">
        <f>MonthlyAvg!I97</f>
        <v>39.636722239433176</v>
      </c>
      <c r="AC67">
        <f>MonthlyAvg!J97</f>
        <v>6.01</v>
      </c>
      <c r="AD67">
        <f>MonthlyAvg!K97</f>
        <v>0.47925457102672298</v>
      </c>
      <c r="AF67">
        <f>SUMPRODUCT(W65:W72,AC65:AC72)/SUM(W65:W72)</f>
        <v>7.3854545454545466</v>
      </c>
    </row>
    <row r="68" spans="2:32" x14ac:dyDescent="0.25">
      <c r="C68" s="542"/>
      <c r="D68" t="s">
        <v>10</v>
      </c>
      <c r="E68" s="542"/>
      <c r="F68">
        <f>MonthlyAvg!L81</f>
        <v>0</v>
      </c>
      <c r="G68">
        <f t="shared" si="1"/>
        <v>0</v>
      </c>
      <c r="H68">
        <f>MonthlyAvg!E81</f>
        <v>0</v>
      </c>
      <c r="I68">
        <f>MonthlyAvg!F81</f>
        <v>0</v>
      </c>
      <c r="J68">
        <f>MonthlyAvg!G81</f>
        <v>0</v>
      </c>
      <c r="K68">
        <f>MonthlyAvg!H81</f>
        <v>0</v>
      </c>
      <c r="L68">
        <f>MonthlyAvg!I81</f>
        <v>0</v>
      </c>
      <c r="M68">
        <f>MonthlyAvg!J81</f>
        <v>0</v>
      </c>
      <c r="N68">
        <f>MonthlyAvg!K81</f>
        <v>0</v>
      </c>
      <c r="S68" s="542"/>
      <c r="T68" t="s">
        <v>10</v>
      </c>
      <c r="U68" s="542"/>
      <c r="V68">
        <f>MonthlyAvg!L99</f>
        <v>0</v>
      </c>
      <c r="W68">
        <f>(V68/V73)*100</f>
        <v>0</v>
      </c>
      <c r="X68">
        <f>MonthlyAvg!E99</f>
        <v>0</v>
      </c>
      <c r="Y68">
        <f>MonthlyAvg!F99</f>
        <v>0</v>
      </c>
      <c r="Z68">
        <f>MonthlyAvg!G99</f>
        <v>0</v>
      </c>
      <c r="AA68">
        <f>MonthlyAvg!H99</f>
        <v>0</v>
      </c>
      <c r="AB68">
        <f>MonthlyAvg!I99</f>
        <v>0</v>
      </c>
      <c r="AC68">
        <f>MonthlyAvg!J99</f>
        <v>0</v>
      </c>
      <c r="AD68">
        <f>MonthlyAvg!K99</f>
        <v>0</v>
      </c>
    </row>
    <row r="69" spans="2:32" x14ac:dyDescent="0.25">
      <c r="C69" s="542"/>
      <c r="D69" t="s">
        <v>146</v>
      </c>
      <c r="E69" s="542"/>
      <c r="F69">
        <f>MonthlyAvg!L80</f>
        <v>0</v>
      </c>
      <c r="G69">
        <f t="shared" si="1"/>
        <v>0</v>
      </c>
      <c r="H69">
        <f>MonthlyAvg!E80</f>
        <v>0</v>
      </c>
      <c r="I69">
        <f>MonthlyAvg!F80</f>
        <v>0</v>
      </c>
      <c r="J69">
        <f>MonthlyAvg!G80</f>
        <v>0</v>
      </c>
      <c r="K69">
        <f>MonthlyAvg!H80</f>
        <v>0</v>
      </c>
      <c r="L69">
        <f>MonthlyAvg!I80</f>
        <v>0</v>
      </c>
      <c r="M69">
        <f>MonthlyAvg!J80</f>
        <v>0</v>
      </c>
      <c r="N69">
        <f>MonthlyAvg!K80</f>
        <v>0</v>
      </c>
      <c r="S69" s="542"/>
      <c r="T69" t="s">
        <v>146</v>
      </c>
      <c r="U69" s="542"/>
      <c r="V69">
        <f>MonthlyAvg!L98</f>
        <v>0</v>
      </c>
      <c r="X69">
        <f>MonthlyAvg!E98</f>
        <v>0</v>
      </c>
      <c r="Y69">
        <f>MonthlyAvg!F98</f>
        <v>0</v>
      </c>
      <c r="Z69">
        <f>MonthlyAvg!G98</f>
        <v>0</v>
      </c>
      <c r="AA69">
        <f>MonthlyAvg!H98</f>
        <v>0</v>
      </c>
      <c r="AB69">
        <f>MonthlyAvg!I98</f>
        <v>0</v>
      </c>
      <c r="AC69">
        <f>MonthlyAvg!J98</f>
        <v>0</v>
      </c>
      <c r="AD69">
        <f>MonthlyAvg!K98</f>
        <v>0</v>
      </c>
    </row>
    <row r="70" spans="2:32" x14ac:dyDescent="0.25">
      <c r="C70" s="542"/>
      <c r="D70" t="s">
        <v>106</v>
      </c>
      <c r="E70" s="542"/>
      <c r="F70">
        <f>MonthlyAvg!L82</f>
        <v>0</v>
      </c>
      <c r="G70">
        <f t="shared" si="1"/>
        <v>0</v>
      </c>
      <c r="H70">
        <f>MonthlyAvg!E82</f>
        <v>0</v>
      </c>
      <c r="I70">
        <f>MonthlyAvg!F82</f>
        <v>0</v>
      </c>
      <c r="J70">
        <f>MonthlyAvg!G82</f>
        <v>0</v>
      </c>
      <c r="K70">
        <f>MonthlyAvg!H82</f>
        <v>0</v>
      </c>
      <c r="L70">
        <f>MonthlyAvg!I82</f>
        <v>0</v>
      </c>
      <c r="M70">
        <f>MonthlyAvg!J82</f>
        <v>0</v>
      </c>
      <c r="N70">
        <f>MonthlyAvg!K82</f>
        <v>0</v>
      </c>
      <c r="S70" s="542"/>
      <c r="T70" t="s">
        <v>106</v>
      </c>
      <c r="U70" s="542"/>
      <c r="V70">
        <f>MonthlyAvg!L100</f>
        <v>0</v>
      </c>
      <c r="W70">
        <f>(V70/V73)*100</f>
        <v>0</v>
      </c>
      <c r="X70">
        <f>MonthlyAvg!E100</f>
        <v>0</v>
      </c>
      <c r="Y70">
        <f>MonthlyAvg!F100</f>
        <v>0</v>
      </c>
      <c r="Z70">
        <f>MonthlyAvg!G100</f>
        <v>0</v>
      </c>
      <c r="AA70">
        <f>MonthlyAvg!H100</f>
        <v>0</v>
      </c>
      <c r="AB70">
        <f>MonthlyAvg!I100</f>
        <v>0</v>
      </c>
      <c r="AC70">
        <f>MonthlyAvg!J100</f>
        <v>0</v>
      </c>
      <c r="AD70">
        <f>MonthlyAvg!K100</f>
        <v>0</v>
      </c>
    </row>
    <row r="71" spans="2:32" x14ac:dyDescent="0.25">
      <c r="C71" s="542"/>
      <c r="D71" t="s">
        <v>9</v>
      </c>
      <c r="E71" s="542"/>
      <c r="F71">
        <f>MonthlyAvg!L83</f>
        <v>4</v>
      </c>
      <c r="G71">
        <f t="shared" si="1"/>
        <v>7.2727272727272725</v>
      </c>
      <c r="H71">
        <f>MonthlyAvg!E83</f>
        <v>62</v>
      </c>
      <c r="I71">
        <f>MonthlyAvg!F83</f>
        <v>4.9000000000000004</v>
      </c>
      <c r="J71">
        <f>MonthlyAvg!G83</f>
        <v>2.0499999999999998</v>
      </c>
      <c r="K71">
        <f>MonthlyAvg!H83</f>
        <v>4.375</v>
      </c>
      <c r="L71">
        <f>MonthlyAvg!I83</f>
        <v>53.724999999999994</v>
      </c>
      <c r="M71">
        <f>MonthlyAvg!J83</f>
        <v>6.95</v>
      </c>
      <c r="N71">
        <f>MonthlyAvg!K83</f>
        <v>0.41836734693877542</v>
      </c>
      <c r="S71" s="542"/>
      <c r="T71" t="s">
        <v>9</v>
      </c>
      <c r="U71" s="542"/>
      <c r="V71">
        <f>MonthlyAvg!L101</f>
        <v>69</v>
      </c>
      <c r="W71">
        <f>(V71/V73)*100</f>
        <v>89.610389610389603</v>
      </c>
      <c r="X71">
        <f>MonthlyAvg!E101</f>
        <v>61.738159420289854</v>
      </c>
      <c r="Y71">
        <f>MonthlyAvg!F101</f>
        <v>4.9388405797101456</v>
      </c>
      <c r="Z71">
        <f>MonthlyAvg!G101</f>
        <v>2.5240579710144928</v>
      </c>
      <c r="AA71">
        <f>MonthlyAvg!H101</f>
        <v>6.6093237567324072</v>
      </c>
      <c r="AB71">
        <f>MonthlyAvg!I101</f>
        <v>45.112185089480768</v>
      </c>
      <c r="AC71">
        <f>MonthlyAvg!J101</f>
        <v>7.4628985507246384</v>
      </c>
      <c r="AD71">
        <f>MonthlyAvg!K101</f>
        <v>0.51106285580139676</v>
      </c>
    </row>
    <row r="72" spans="2:32" x14ac:dyDescent="0.25">
      <c r="C72" s="542"/>
      <c r="D72" t="s">
        <v>112</v>
      </c>
      <c r="E72" s="542"/>
      <c r="F72">
        <f>MonthlyAvg!L84</f>
        <v>0</v>
      </c>
      <c r="G72">
        <f t="shared" si="1"/>
        <v>0</v>
      </c>
      <c r="H72">
        <f>MonthlyAvg!E84</f>
        <v>0</v>
      </c>
      <c r="I72">
        <f>MonthlyAvg!F84</f>
        <v>0</v>
      </c>
      <c r="J72">
        <f>MonthlyAvg!G84</f>
        <v>0</v>
      </c>
      <c r="K72">
        <f>MonthlyAvg!H84</f>
        <v>0</v>
      </c>
      <c r="L72">
        <f>MonthlyAvg!I84</f>
        <v>0</v>
      </c>
      <c r="M72">
        <f>MonthlyAvg!J84</f>
        <v>0</v>
      </c>
      <c r="N72">
        <f>MonthlyAvg!K84</f>
        <v>0</v>
      </c>
      <c r="S72" s="542"/>
      <c r="T72" t="s">
        <v>112</v>
      </c>
      <c r="U72" s="542"/>
      <c r="V72">
        <f>MonthlyAvg!L102</f>
        <v>0</v>
      </c>
      <c r="W72">
        <f>(V72/V73)*100</f>
        <v>0</v>
      </c>
      <c r="X72">
        <f>MonthlyAvg!E102</f>
        <v>0</v>
      </c>
      <c r="Y72">
        <f>MonthlyAvg!F102</f>
        <v>0</v>
      </c>
      <c r="Z72">
        <f>MonthlyAvg!G102</f>
        <v>0</v>
      </c>
      <c r="AA72">
        <f>MonthlyAvg!H102</f>
        <v>0</v>
      </c>
      <c r="AB72">
        <f>MonthlyAvg!I102</f>
        <v>0</v>
      </c>
      <c r="AC72">
        <f>MonthlyAvg!J102</f>
        <v>0</v>
      </c>
      <c r="AD72">
        <f>MonthlyAvg!K102</f>
        <v>0</v>
      </c>
    </row>
    <row r="73" spans="2:32" ht="13" thickBot="1" x14ac:dyDescent="0.3">
      <c r="C73" s="542" t="s">
        <v>123</v>
      </c>
      <c r="D73" s="542"/>
      <c r="E73" s="542"/>
      <c r="F73">
        <f>MonthlyAvg!L85</f>
        <v>55</v>
      </c>
      <c r="G73">
        <f>SUM(G65:G72)</f>
        <v>99.999999999999986</v>
      </c>
      <c r="H73" s="542"/>
      <c r="I73" s="542"/>
      <c r="J73" s="542"/>
      <c r="K73" s="542"/>
      <c r="L73" s="542"/>
      <c r="M73" s="542"/>
      <c r="N73" s="542"/>
      <c r="S73" s="542" t="s">
        <v>123</v>
      </c>
      <c r="T73" s="542"/>
      <c r="U73" s="542"/>
      <c r="V73">
        <f>MonthlyAvg!L103</f>
        <v>77</v>
      </c>
      <c r="W73">
        <f>SUM(W65:W72)</f>
        <v>100</v>
      </c>
      <c r="X73" s="542"/>
      <c r="Y73" s="542"/>
      <c r="Z73" s="542"/>
      <c r="AA73" s="542"/>
      <c r="AB73" s="542"/>
      <c r="AC73" s="542"/>
      <c r="AD73" s="542"/>
    </row>
    <row r="74" spans="2:32" ht="13" thickBot="1" x14ac:dyDescent="0.3"/>
    <row r="75" spans="2:32" ht="13" thickBot="1" x14ac:dyDescent="0.3">
      <c r="R75" t="s">
        <v>174</v>
      </c>
    </row>
    <row r="76" spans="2:32" ht="13" thickBot="1" x14ac:dyDescent="0.3">
      <c r="B76" s="542">
        <f>'Dir Quality Report'!$R$2</f>
        <v>44743</v>
      </c>
      <c r="C76" s="542"/>
      <c r="D76" s="542"/>
      <c r="E76" s="542"/>
      <c r="F76" s="542"/>
      <c r="R76" s="542">
        <f>'Dir Quality Report'!$R$2</f>
        <v>44743</v>
      </c>
      <c r="S76" s="542"/>
      <c r="T76" s="542"/>
      <c r="U76" s="542"/>
      <c r="V76" s="542"/>
    </row>
    <row r="77" spans="2:32" ht="13" thickBot="1" x14ac:dyDescent="0.3"/>
    <row r="78" spans="2:32" ht="13" thickBot="1" x14ac:dyDescent="0.3">
      <c r="H78" t="s">
        <v>18</v>
      </c>
      <c r="I78" t="s">
        <v>19</v>
      </c>
      <c r="J78" t="s">
        <v>20</v>
      </c>
      <c r="K78" t="s">
        <v>35</v>
      </c>
      <c r="L78" t="s">
        <v>36</v>
      </c>
      <c r="M78" t="s">
        <v>114</v>
      </c>
      <c r="N78" t="s">
        <v>115</v>
      </c>
      <c r="X78" t="s">
        <v>18</v>
      </c>
      <c r="Y78" t="s">
        <v>19</v>
      </c>
      <c r="Z78" t="s">
        <v>20</v>
      </c>
      <c r="AA78" t="s">
        <v>35</v>
      </c>
      <c r="AB78" t="s">
        <v>36</v>
      </c>
      <c r="AC78" t="s">
        <v>114</v>
      </c>
      <c r="AD78" t="s">
        <v>115</v>
      </c>
    </row>
    <row r="79" spans="2:32" ht="13" thickBot="1" x14ac:dyDescent="0.3">
      <c r="D79" s="542" t="s">
        <v>108</v>
      </c>
      <c r="E79" s="542"/>
      <c r="F79" s="542"/>
      <c r="G79" s="542" t="s">
        <v>116</v>
      </c>
      <c r="H79">
        <f t="array" ref="H79:L79">Norm!J7:N7</f>
        <v>0</v>
      </c>
      <c r="I79">
        <v>0</v>
      </c>
      <c r="J79">
        <v>0</v>
      </c>
      <c r="K79">
        <v>0</v>
      </c>
      <c r="L79">
        <v>0</v>
      </c>
      <c r="M79">
        <v>5.15</v>
      </c>
      <c r="N79">
        <v>1.1020408163265305</v>
      </c>
      <c r="T79" t="s">
        <v>108</v>
      </c>
      <c r="W79" t="s">
        <v>124</v>
      </c>
    </row>
    <row r="80" spans="2:32" ht="13" thickBot="1" x14ac:dyDescent="0.3">
      <c r="D80" s="542" t="s">
        <v>127</v>
      </c>
      <c r="E80" s="542"/>
      <c r="F80" s="542"/>
      <c r="G80" s="542"/>
      <c r="H80">
        <f>MonthlyAvg!E58</f>
        <v>0</v>
      </c>
      <c r="I80">
        <f>MonthlyAvg!F58</f>
        <v>0</v>
      </c>
      <c r="J80">
        <f>MonthlyAvg!G58</f>
        <v>0</v>
      </c>
      <c r="K80">
        <f>MonthlyAvg!H58</f>
        <v>0</v>
      </c>
      <c r="L80">
        <f>MonthlyAvg!I58</f>
        <v>0</v>
      </c>
      <c r="M80">
        <f>MonthlyAvg!J58</f>
        <v>0</v>
      </c>
      <c r="N80">
        <f>MonthlyAvg!K58</f>
        <v>0</v>
      </c>
      <c r="U80" t="s">
        <v>118</v>
      </c>
      <c r="W80" t="s">
        <v>124</v>
      </c>
    </row>
    <row r="81" spans="3:30" ht="13" thickBot="1" x14ac:dyDescent="0.3"/>
    <row r="82" spans="3:30" ht="30.75" customHeight="1" thickBot="1" x14ac:dyDescent="0.3">
      <c r="C82" t="s">
        <v>46</v>
      </c>
      <c r="D82" t="s">
        <v>119</v>
      </c>
      <c r="E82" s="542" t="s">
        <v>120</v>
      </c>
      <c r="F82" s="542"/>
      <c r="G82" t="s">
        <v>121</v>
      </c>
      <c r="H82" s="542" t="s">
        <v>122</v>
      </c>
      <c r="I82" s="542"/>
      <c r="J82" s="542"/>
      <c r="K82" s="542"/>
      <c r="L82" s="542"/>
      <c r="M82" s="542"/>
      <c r="N82" s="542"/>
      <c r="S82" t="s">
        <v>46</v>
      </c>
      <c r="T82" t="s">
        <v>119</v>
      </c>
      <c r="U82" t="s">
        <v>120</v>
      </c>
      <c r="W82" t="s">
        <v>121</v>
      </c>
      <c r="X82" s="542" t="s">
        <v>122</v>
      </c>
      <c r="Y82" s="542"/>
      <c r="Z82" s="542"/>
      <c r="AA82" s="542"/>
      <c r="AB82" s="542"/>
      <c r="AC82" s="542"/>
      <c r="AD82" s="542"/>
    </row>
    <row r="83" spans="3:30" ht="13" thickBot="1" x14ac:dyDescent="0.3">
      <c r="C83" s="542" t="s">
        <v>60</v>
      </c>
      <c r="H83" t="s">
        <v>18</v>
      </c>
      <c r="I83" t="s">
        <v>19</v>
      </c>
      <c r="J83" t="s">
        <v>20</v>
      </c>
      <c r="K83" t="s">
        <v>35</v>
      </c>
      <c r="L83" t="s">
        <v>36</v>
      </c>
      <c r="M83" t="s">
        <v>114</v>
      </c>
      <c r="N83" t="s">
        <v>115</v>
      </c>
      <c r="X83" t="s">
        <v>18</v>
      </c>
      <c r="Y83" t="s">
        <v>19</v>
      </c>
      <c r="Z83" t="s">
        <v>20</v>
      </c>
      <c r="AA83" t="s">
        <v>35</v>
      </c>
      <c r="AB83" t="s">
        <v>36</v>
      </c>
      <c r="AC83" t="s">
        <v>114</v>
      </c>
      <c r="AD83" t="s">
        <v>115</v>
      </c>
    </row>
    <row r="84" spans="3:30" x14ac:dyDescent="0.25">
      <c r="C84" s="542"/>
      <c r="D84" t="s">
        <v>27</v>
      </c>
      <c r="E84" s="542" t="s">
        <v>116</v>
      </c>
      <c r="F84">
        <f>MonthlyAvg!L50</f>
        <v>0</v>
      </c>
      <c r="G84" t="e">
        <f>(F84/F92)*100</f>
        <v>#DIV/0!</v>
      </c>
      <c r="H84">
        <f>MonthlyAvg!E50</f>
        <v>0</v>
      </c>
      <c r="I84">
        <f>MonthlyAvg!F50</f>
        <v>0</v>
      </c>
      <c r="J84">
        <f>MonthlyAvg!G50</f>
        <v>0</v>
      </c>
      <c r="K84">
        <f>MonthlyAvg!H50</f>
        <v>0</v>
      </c>
      <c r="L84">
        <f>MonthlyAvg!I50</f>
        <v>0</v>
      </c>
      <c r="M84">
        <f>MonthlyAvg!J50</f>
        <v>0</v>
      </c>
      <c r="N84">
        <f>MonthlyAvg!K50</f>
        <v>0</v>
      </c>
      <c r="S84" s="542" t="s">
        <v>151</v>
      </c>
      <c r="T84" t="s">
        <v>27</v>
      </c>
      <c r="U84" s="542" t="s">
        <v>124</v>
      </c>
      <c r="W84">
        <f>(V84/V92)*100</f>
        <v>0</v>
      </c>
      <c r="X84">
        <f>MonthlyAvg!E107</f>
        <v>0</v>
      </c>
      <c r="Y84">
        <f>MonthlyAvg!F107</f>
        <v>0</v>
      </c>
      <c r="Z84">
        <f>MonthlyAvg!G107</f>
        <v>0</v>
      </c>
      <c r="AA84">
        <f>MonthlyAvg!H107</f>
        <v>0</v>
      </c>
      <c r="AB84">
        <f>MonthlyAvg!I107</f>
        <v>0</v>
      </c>
      <c r="AC84">
        <f t="shared" ref="AC84:AC91" si="2">+Y84+Z84</f>
        <v>0</v>
      </c>
    </row>
    <row r="85" spans="3:30" ht="18" customHeight="1" x14ac:dyDescent="0.25">
      <c r="C85" s="542"/>
      <c r="D85" t="s">
        <v>2</v>
      </c>
      <c r="E85" s="542"/>
      <c r="F85">
        <f>MonthlyAvg!L51</f>
        <v>0</v>
      </c>
      <c r="G85" t="e">
        <f>(F85/F92)*100</f>
        <v>#DIV/0!</v>
      </c>
      <c r="H85">
        <f>MonthlyAvg!E51</f>
        <v>0</v>
      </c>
      <c r="I85">
        <f>MonthlyAvg!F51</f>
        <v>0</v>
      </c>
      <c r="J85">
        <f>MonthlyAvg!G51</f>
        <v>0</v>
      </c>
      <c r="K85">
        <f>MonthlyAvg!H51</f>
        <v>0</v>
      </c>
      <c r="L85">
        <f>MonthlyAvg!I51</f>
        <v>0</v>
      </c>
      <c r="M85">
        <f>MonthlyAvg!J51</f>
        <v>0</v>
      </c>
      <c r="N85">
        <f>MonthlyAvg!K51</f>
        <v>0</v>
      </c>
      <c r="S85" s="542"/>
      <c r="T85" t="s">
        <v>2</v>
      </c>
      <c r="U85" s="542"/>
      <c r="V85">
        <f>[1]Mornflsh!$E28</f>
        <v>41</v>
      </c>
      <c r="W85">
        <f>(V85/V92)*100</f>
        <v>97.61904761904762</v>
      </c>
      <c r="X85">
        <f t="array" ref="X85:AB85">MonthlyAvg!E87:I87</f>
        <v>59.54</v>
      </c>
      <c r="Y85">
        <v>6.2200000000000006</v>
      </c>
      <c r="Z85">
        <v>3.4200000000000004</v>
      </c>
      <c r="AA85">
        <v>6.25</v>
      </c>
      <c r="AB85">
        <v>39.5</v>
      </c>
      <c r="AC85">
        <f t="shared" si="2"/>
        <v>9.64</v>
      </c>
      <c r="AD85">
        <f>+Z85/Y85</f>
        <v>0.54983922829581999</v>
      </c>
    </row>
    <row r="86" spans="3:30" ht="18" customHeight="1" x14ac:dyDescent="0.25">
      <c r="C86" s="542"/>
      <c r="D86" t="s">
        <v>104</v>
      </c>
      <c r="E86" s="542"/>
      <c r="F86">
        <f>MonthlyAvg!L52</f>
        <v>0</v>
      </c>
      <c r="G86" t="e">
        <f>(F86/F92)*100</f>
        <v>#DIV/0!</v>
      </c>
      <c r="H86">
        <f>MonthlyAvg!E52</f>
        <v>0</v>
      </c>
      <c r="I86">
        <f>MonthlyAvg!F52</f>
        <v>0</v>
      </c>
      <c r="J86">
        <f>MonthlyAvg!G52</f>
        <v>0</v>
      </c>
      <c r="K86">
        <f>MonthlyAvg!H52</f>
        <v>0</v>
      </c>
      <c r="L86">
        <f>MonthlyAvg!I52</f>
        <v>0</v>
      </c>
      <c r="M86">
        <f>MonthlyAvg!J52</f>
        <v>0</v>
      </c>
      <c r="N86">
        <f>MonthlyAvg!K52</f>
        <v>0</v>
      </c>
      <c r="S86" s="542"/>
      <c r="T86" t="s">
        <v>11</v>
      </c>
      <c r="U86" s="542"/>
      <c r="W86">
        <f>(V86/V92)*100</f>
        <v>0</v>
      </c>
      <c r="X86">
        <f>MonthlyAvg!E109</f>
        <v>61.26</v>
      </c>
      <c r="Y86">
        <f>MonthlyAvg!F109</f>
        <v>4.1399999999999997</v>
      </c>
      <c r="Z86">
        <f>MonthlyAvg!G109</f>
        <v>3.97</v>
      </c>
      <c r="AA86">
        <f>MonthlyAvg!H109</f>
        <v>0</v>
      </c>
      <c r="AB86">
        <f>MonthlyAvg!I109</f>
        <v>42.7</v>
      </c>
      <c r="AC86">
        <f t="shared" si="2"/>
        <v>8.11</v>
      </c>
    </row>
    <row r="87" spans="3:30" ht="15" customHeight="1" x14ac:dyDescent="0.25">
      <c r="C87" s="542"/>
      <c r="D87" t="s">
        <v>10</v>
      </c>
      <c r="E87" s="542"/>
      <c r="F87">
        <f>MonthlyAvg!L54</f>
        <v>0</v>
      </c>
      <c r="G87" t="e">
        <f>(F87/F92)*100</f>
        <v>#DIV/0!</v>
      </c>
      <c r="H87">
        <f>MonthlyAvg!E54</f>
        <v>0</v>
      </c>
      <c r="I87">
        <f>MonthlyAvg!F54</f>
        <v>0</v>
      </c>
      <c r="J87">
        <f>MonthlyAvg!G54</f>
        <v>0</v>
      </c>
      <c r="K87">
        <f>MonthlyAvg!H54</f>
        <v>0</v>
      </c>
      <c r="L87">
        <f>MonthlyAvg!I54</f>
        <v>0</v>
      </c>
      <c r="M87">
        <f>MonthlyAvg!J54</f>
        <v>0</v>
      </c>
      <c r="N87">
        <f>MonthlyAvg!K54</f>
        <v>0</v>
      </c>
      <c r="S87" s="542"/>
      <c r="T87" t="s">
        <v>10</v>
      </c>
      <c r="U87" s="542"/>
      <c r="V87">
        <f>[1]Mornflsh!$E30</f>
        <v>0</v>
      </c>
      <c r="W87">
        <f>(V87/V92)*100</f>
        <v>0</v>
      </c>
      <c r="X87">
        <f t="array" ref="X87:AB87">MonthlyAvg!E90:I90</f>
        <v>59.48</v>
      </c>
      <c r="Y87">
        <v>5.5000000000000009</v>
      </c>
      <c r="Z87">
        <v>4.26</v>
      </c>
      <c r="AA87">
        <v>4</v>
      </c>
      <c r="AB87">
        <v>40.799999999999997</v>
      </c>
      <c r="AC87">
        <f t="shared" si="2"/>
        <v>9.7600000000000016</v>
      </c>
      <c r="AD87">
        <f>+Z87/Y87</f>
        <v>0.77454545454545443</v>
      </c>
    </row>
    <row r="88" spans="3:30" ht="15" customHeight="1" x14ac:dyDescent="0.25">
      <c r="C88" s="542"/>
      <c r="D88" t="s">
        <v>146</v>
      </c>
      <c r="E88" s="542"/>
      <c r="F88">
        <f>MonthlyAvg!L53</f>
        <v>0</v>
      </c>
      <c r="H88">
        <f>MonthlyAvg!E53</f>
        <v>0</v>
      </c>
      <c r="I88">
        <f>MonthlyAvg!F53</f>
        <v>0</v>
      </c>
      <c r="J88">
        <f>MonthlyAvg!G53</f>
        <v>0</v>
      </c>
      <c r="K88">
        <f>MonthlyAvg!H53</f>
        <v>0</v>
      </c>
      <c r="L88">
        <f>MonthlyAvg!I53</f>
        <v>0</v>
      </c>
      <c r="M88">
        <f>MonthlyAvg!J53</f>
        <v>0</v>
      </c>
      <c r="N88">
        <f>MonthlyAvg!K53</f>
        <v>0</v>
      </c>
      <c r="S88" s="542"/>
      <c r="T88" t="s">
        <v>146</v>
      </c>
      <c r="U88" s="542"/>
      <c r="V88">
        <f>[1]Mornflsh!$E31</f>
        <v>0</v>
      </c>
      <c r="W88">
        <f>(V88/V92)*100</f>
        <v>0</v>
      </c>
      <c r="X88">
        <f t="array" ref="X88:AB88">MonthlyAvg!E89:I89</f>
        <v>62.280769230769231</v>
      </c>
      <c r="Y88">
        <v>2.815384615384616</v>
      </c>
      <c r="Z88">
        <v>2.9576923076923078</v>
      </c>
      <c r="AA88">
        <v>5.8</v>
      </c>
      <c r="AB88">
        <v>38.08</v>
      </c>
      <c r="AC88">
        <f t="shared" si="2"/>
        <v>5.7730769230769239</v>
      </c>
      <c r="AD88">
        <f>+Z88/Y88</f>
        <v>1.0505464480874316</v>
      </c>
    </row>
    <row r="89" spans="3:30" ht="13.5" customHeight="1" x14ac:dyDescent="0.25">
      <c r="C89" s="542"/>
      <c r="D89" t="s">
        <v>106</v>
      </c>
      <c r="E89" s="542"/>
      <c r="F89">
        <f>MonthlyAvg!L55</f>
        <v>0</v>
      </c>
      <c r="G89" t="e">
        <f>(F89/F92)*100</f>
        <v>#DIV/0!</v>
      </c>
      <c r="H89">
        <f>MonthlyAvg!E55</f>
        <v>0</v>
      </c>
      <c r="I89">
        <f>MonthlyAvg!F55</f>
        <v>0</v>
      </c>
      <c r="J89">
        <f>MonthlyAvg!G55</f>
        <v>0</v>
      </c>
      <c r="K89">
        <f>MonthlyAvg!H55</f>
        <v>0</v>
      </c>
      <c r="L89">
        <f>MonthlyAvg!I55</f>
        <v>0</v>
      </c>
      <c r="M89">
        <f>MonthlyAvg!J55</f>
        <v>0</v>
      </c>
      <c r="N89">
        <f>MonthlyAvg!K55</f>
        <v>0</v>
      </c>
      <c r="S89" s="542"/>
      <c r="T89" t="s">
        <v>106</v>
      </c>
      <c r="U89" s="542"/>
      <c r="W89">
        <f>(V89/V92)*100</f>
        <v>0</v>
      </c>
    </row>
    <row r="90" spans="3:30" ht="17.25" customHeight="1" x14ac:dyDescent="0.25">
      <c r="C90" s="542"/>
      <c r="D90" t="s">
        <v>9</v>
      </c>
      <c r="E90" s="542"/>
      <c r="F90">
        <f>MonthlyAvg!L56</f>
        <v>0</v>
      </c>
      <c r="G90" t="e">
        <f>(F90/F92)*100</f>
        <v>#DIV/0!</v>
      </c>
      <c r="H90">
        <f>MonthlyAvg!E56</f>
        <v>0</v>
      </c>
      <c r="I90">
        <f>MonthlyAvg!F56</f>
        <v>0</v>
      </c>
      <c r="J90">
        <f>MonthlyAvg!G56</f>
        <v>0</v>
      </c>
      <c r="K90">
        <f>MonthlyAvg!H56</f>
        <v>0</v>
      </c>
      <c r="L90">
        <f>MonthlyAvg!I56</f>
        <v>0</v>
      </c>
      <c r="M90">
        <f>MonthlyAvg!J56</f>
        <v>0</v>
      </c>
      <c r="N90">
        <f>MonthlyAvg!K56</f>
        <v>0</v>
      </c>
      <c r="S90" s="542"/>
      <c r="T90" t="s">
        <v>9</v>
      </c>
      <c r="U90" s="542"/>
      <c r="W90">
        <f>(V90/V92)*100</f>
        <v>0</v>
      </c>
      <c r="AC90">
        <f t="shared" si="2"/>
        <v>0</v>
      </c>
    </row>
    <row r="91" spans="3:30" ht="15" customHeight="1" x14ac:dyDescent="0.25">
      <c r="C91" s="542"/>
      <c r="D91" t="s">
        <v>112</v>
      </c>
      <c r="E91" s="542"/>
      <c r="F91">
        <f>MonthlyAvg!L57</f>
        <v>0</v>
      </c>
      <c r="G91" t="e">
        <f>(F91/F92)*100</f>
        <v>#DIV/0!</v>
      </c>
      <c r="H91">
        <f>MonthlyAvg!E57</f>
        <v>0</v>
      </c>
      <c r="I91">
        <f>MonthlyAvg!F57</f>
        <v>0</v>
      </c>
      <c r="J91">
        <f>MonthlyAvg!G57</f>
        <v>0</v>
      </c>
      <c r="K91">
        <f>MonthlyAvg!H57</f>
        <v>0</v>
      </c>
      <c r="L91">
        <f>MonthlyAvg!I57</f>
        <v>0</v>
      </c>
      <c r="M91">
        <f>MonthlyAvg!J57</f>
        <v>0</v>
      </c>
      <c r="N91">
        <f>MonthlyAvg!K57</f>
        <v>0</v>
      </c>
      <c r="S91" s="542"/>
      <c r="T91" t="s">
        <v>112</v>
      </c>
      <c r="U91" s="542"/>
      <c r="V91">
        <f>[1]Mornflsh!$E34</f>
        <v>1</v>
      </c>
      <c r="W91">
        <f>(V91/V92)*100</f>
        <v>2.3809523809523809</v>
      </c>
      <c r="AC91">
        <f t="shared" si="2"/>
        <v>0</v>
      </c>
    </row>
    <row r="92" spans="3:30" ht="15.75" customHeight="1" thickBot="1" x14ac:dyDescent="0.3">
      <c r="C92" s="542" t="s">
        <v>123</v>
      </c>
      <c r="D92" s="542"/>
      <c r="E92" s="542"/>
      <c r="F92">
        <f>MonthlyAvg!L58</f>
        <v>0</v>
      </c>
      <c r="G92" t="e">
        <f>SUM(G84:G91)</f>
        <v>#DIV/0!</v>
      </c>
      <c r="H92" s="542"/>
      <c r="I92" s="542"/>
      <c r="J92" s="542"/>
      <c r="K92" s="542"/>
      <c r="L92" s="542"/>
      <c r="M92" s="542"/>
      <c r="N92" s="542"/>
      <c r="S92" s="542" t="s">
        <v>123</v>
      </c>
      <c r="T92" s="542"/>
      <c r="U92" s="542"/>
      <c r="V92">
        <f>SUM(V84:V91)</f>
        <v>42</v>
      </c>
      <c r="W92">
        <f>SUM(W84:W91)</f>
        <v>100</v>
      </c>
    </row>
    <row r="93" spans="3:30" ht="15.75" customHeight="1" thickBot="1" x14ac:dyDescent="0.3"/>
    <row r="94" spans="3:30" ht="13" thickBot="1" x14ac:dyDescent="0.3">
      <c r="H94" t="s">
        <v>18</v>
      </c>
      <c r="I94" t="s">
        <v>19</v>
      </c>
      <c r="J94" t="s">
        <v>20</v>
      </c>
      <c r="K94" t="s">
        <v>35</v>
      </c>
      <c r="L94" t="s">
        <v>36</v>
      </c>
      <c r="M94" t="s">
        <v>114</v>
      </c>
      <c r="N94" t="s">
        <v>115</v>
      </c>
      <c r="X94" t="s">
        <v>18</v>
      </c>
      <c r="Y94" t="s">
        <v>19</v>
      </c>
      <c r="Z94" t="s">
        <v>20</v>
      </c>
      <c r="AA94" t="s">
        <v>35</v>
      </c>
      <c r="AB94" t="s">
        <v>36</v>
      </c>
      <c r="AC94" t="s">
        <v>114</v>
      </c>
      <c r="AD94" t="s">
        <v>115</v>
      </c>
    </row>
    <row r="95" spans="3:30" ht="13" thickBot="1" x14ac:dyDescent="0.3">
      <c r="D95" s="542" t="s">
        <v>108</v>
      </c>
      <c r="E95" s="542"/>
      <c r="F95" s="542"/>
      <c r="G95" s="542" t="s">
        <v>124</v>
      </c>
      <c r="H95">
        <f t="array" ref="H95:L95">Norm!J15:N15</f>
        <v>60.53</v>
      </c>
      <c r="I95">
        <v>5.83</v>
      </c>
      <c r="J95">
        <v>2.77</v>
      </c>
      <c r="K95">
        <v>7</v>
      </c>
      <c r="L95">
        <v>40</v>
      </c>
      <c r="M95">
        <v>6.3</v>
      </c>
      <c r="N95">
        <v>0.90909090909090917</v>
      </c>
      <c r="T95" t="s">
        <v>108</v>
      </c>
      <c r="W95" t="s">
        <v>124</v>
      </c>
      <c r="X95">
        <f t="array" ref="X95:AB95">Norm!J20:N20</f>
        <v>0</v>
      </c>
      <c r="Y95">
        <v>0</v>
      </c>
      <c r="Z95">
        <v>0</v>
      </c>
      <c r="AA95">
        <v>0</v>
      </c>
      <c r="AB95">
        <v>0</v>
      </c>
      <c r="AC95">
        <f>+Y95+Z95</f>
        <v>0</v>
      </c>
      <c r="AD95" t="e">
        <f>+Z95/Y95</f>
        <v>#DIV/0!</v>
      </c>
    </row>
    <row r="96" spans="3:30" ht="13" thickBot="1" x14ac:dyDescent="0.3">
      <c r="D96" s="542" t="s">
        <v>127</v>
      </c>
      <c r="E96" s="542"/>
      <c r="F96" s="542"/>
      <c r="G96" s="542"/>
      <c r="H96">
        <f>MonthlyAvg!E112</f>
        <v>58.829166666666659</v>
      </c>
      <c r="I96">
        <f>MonthlyAvg!F112</f>
        <v>8.5808333333333326</v>
      </c>
      <c r="J96">
        <f>MonthlyAvg!G112</f>
        <v>3.2941666666666669</v>
      </c>
      <c r="K96">
        <f>MonthlyAvg!H112</f>
        <v>8.6083333333333325</v>
      </c>
      <c r="L96">
        <f>MonthlyAvg!I112</f>
        <v>43.579166666666673</v>
      </c>
      <c r="M96">
        <f>MonthlyAvg!J112</f>
        <v>11.875</v>
      </c>
      <c r="N96">
        <f>MonthlyAvg!K112</f>
        <v>0.38389822278333502</v>
      </c>
      <c r="U96" t="s">
        <v>118</v>
      </c>
      <c r="W96" t="s">
        <v>124</v>
      </c>
      <c r="X96" t="e">
        <f t="array" ref="X96:AB96">MonthlyAvg!#REF!</f>
        <v>#REF!</v>
      </c>
      <c r="Y96" t="e">
        <v>#REF!</v>
      </c>
      <c r="Z96" t="e">
        <v>#REF!</v>
      </c>
      <c r="AA96" t="e">
        <v>#REF!</v>
      </c>
      <c r="AB96" t="e">
        <v>#REF!</v>
      </c>
      <c r="AC96" t="e">
        <f>+Y96+Z96</f>
        <v>#REF!</v>
      </c>
      <c r="AD96" t="e">
        <f>+Z96/Y96</f>
        <v>#REF!</v>
      </c>
    </row>
    <row r="97" spans="2:30" ht="13" thickBot="1" x14ac:dyDescent="0.3"/>
    <row r="98" spans="2:30" ht="36.75" customHeight="1" thickBot="1" x14ac:dyDescent="0.3">
      <c r="C98" t="s">
        <v>46</v>
      </c>
      <c r="D98" t="s">
        <v>119</v>
      </c>
      <c r="E98" s="542" t="s">
        <v>120</v>
      </c>
      <c r="F98" s="542"/>
      <c r="G98" t="s">
        <v>121</v>
      </c>
      <c r="H98" s="542" t="s">
        <v>122</v>
      </c>
      <c r="I98" s="542"/>
      <c r="J98" s="542"/>
      <c r="K98" s="542"/>
      <c r="L98" s="542"/>
      <c r="M98" s="542"/>
      <c r="N98" s="542"/>
      <c r="S98" t="s">
        <v>46</v>
      </c>
      <c r="T98" t="s">
        <v>119</v>
      </c>
      <c r="U98" t="s">
        <v>120</v>
      </c>
      <c r="W98" t="s">
        <v>121</v>
      </c>
      <c r="X98" s="542" t="s">
        <v>122</v>
      </c>
      <c r="Y98" s="542"/>
      <c r="Z98" s="542"/>
      <c r="AA98" s="542"/>
      <c r="AB98" s="542"/>
      <c r="AC98" s="542"/>
      <c r="AD98" s="542"/>
    </row>
    <row r="99" spans="2:30" ht="13" thickBot="1" x14ac:dyDescent="0.3">
      <c r="C99" s="542" t="s">
        <v>60</v>
      </c>
      <c r="H99" t="s">
        <v>18</v>
      </c>
      <c r="I99" t="s">
        <v>19</v>
      </c>
      <c r="J99" t="s">
        <v>20</v>
      </c>
      <c r="K99" t="s">
        <v>35</v>
      </c>
      <c r="L99" t="s">
        <v>36</v>
      </c>
      <c r="M99" t="s">
        <v>114</v>
      </c>
      <c r="N99" t="s">
        <v>115</v>
      </c>
      <c r="X99" t="s">
        <v>18</v>
      </c>
      <c r="Y99" t="s">
        <v>19</v>
      </c>
      <c r="Z99" t="s">
        <v>20</v>
      </c>
      <c r="AA99" t="s">
        <v>35</v>
      </c>
      <c r="AB99" t="s">
        <v>36</v>
      </c>
      <c r="AC99" t="s">
        <v>114</v>
      </c>
      <c r="AD99" t="s">
        <v>115</v>
      </c>
    </row>
    <row r="100" spans="2:30" ht="18.75" customHeight="1" x14ac:dyDescent="0.25">
      <c r="C100" s="542"/>
      <c r="D100" t="s">
        <v>27</v>
      </c>
      <c r="E100" s="542" t="s">
        <v>124</v>
      </c>
      <c r="F100">
        <f>MonthlyAvg!L104</f>
        <v>10</v>
      </c>
      <c r="G100">
        <f>(F100/F108)*100</f>
        <v>83.333333333333343</v>
      </c>
      <c r="H100">
        <f>MonthlyAvg!E104</f>
        <v>57.890999999999998</v>
      </c>
      <c r="I100">
        <f>MonthlyAvg!F104</f>
        <v>9.6840000000000011</v>
      </c>
      <c r="J100">
        <f>MonthlyAvg!G104</f>
        <v>3.4050000000000002</v>
      </c>
      <c r="K100">
        <f>MonthlyAvg!H104</f>
        <v>10.33</v>
      </c>
      <c r="L100">
        <f>MonthlyAvg!I104</f>
        <v>41.575000000000003</v>
      </c>
      <c r="M100">
        <f>+I100+J100</f>
        <v>13.089000000000002</v>
      </c>
      <c r="N100">
        <f>+J100/I100</f>
        <v>0.35161090458488226</v>
      </c>
      <c r="S100" s="542" t="s">
        <v>152</v>
      </c>
      <c r="T100" t="s">
        <v>27</v>
      </c>
      <c r="U100" s="542" t="s">
        <v>124</v>
      </c>
      <c r="V100">
        <f>[1]Mornflsh!$E27</f>
        <v>48</v>
      </c>
      <c r="W100">
        <f>(V100/V108)*100</f>
        <v>68.571428571428569</v>
      </c>
      <c r="X100">
        <f t="array" ref="X100:AB100">MonthlyAvg!E86:I86</f>
        <v>59.071428571428569</v>
      </c>
      <c r="Y100">
        <v>7.5571428571428578</v>
      </c>
      <c r="Z100">
        <v>2.8000000000000003</v>
      </c>
      <c r="AA100">
        <v>8</v>
      </c>
      <c r="AB100">
        <v>42.333333333333336</v>
      </c>
      <c r="AC100">
        <f t="shared" ref="AC100:AC107" si="3">+Y100+Z100</f>
        <v>10.357142857142858</v>
      </c>
      <c r="AD100">
        <f>+Z100/Y100</f>
        <v>0.37051039697542532</v>
      </c>
    </row>
    <row r="101" spans="2:30" ht="16.5" customHeight="1" x14ac:dyDescent="0.25">
      <c r="C101" s="542"/>
      <c r="D101" t="s">
        <v>2</v>
      </c>
      <c r="E101" s="542"/>
      <c r="F101">
        <f>MonthlyAvg!L105</f>
        <v>0</v>
      </c>
      <c r="G101">
        <f>(F101/F108)*100</f>
        <v>0</v>
      </c>
      <c r="H101">
        <f>MonthlyAvg!E105</f>
        <v>0</v>
      </c>
      <c r="S101" s="542"/>
      <c r="T101" t="s">
        <v>2</v>
      </c>
      <c r="U101" s="542"/>
      <c r="X101">
        <f>MonthlyAvg!E155</f>
        <v>0</v>
      </c>
      <c r="Y101">
        <f>MonthlyAvg!F155</f>
        <v>0</v>
      </c>
      <c r="Z101">
        <f>MonthlyAvg!G155</f>
        <v>0</v>
      </c>
      <c r="AA101">
        <f>MonthlyAvg!H155</f>
        <v>0</v>
      </c>
      <c r="AB101">
        <f>MonthlyAvg!I155</f>
        <v>0</v>
      </c>
      <c r="AC101">
        <f t="shared" si="3"/>
        <v>0</v>
      </c>
    </row>
    <row r="102" spans="2:30" ht="21" customHeight="1" x14ac:dyDescent="0.25">
      <c r="C102" s="542"/>
      <c r="D102" t="s">
        <v>104</v>
      </c>
      <c r="E102" s="542"/>
      <c r="F102">
        <f>MonthlyAvg!L106</f>
        <v>1</v>
      </c>
      <c r="G102">
        <f>(F102/F108)*100</f>
        <v>8.3333333333333321</v>
      </c>
      <c r="H102">
        <f>MonthlyAvg!E106</f>
        <v>65.78</v>
      </c>
      <c r="S102" s="542"/>
      <c r="T102" t="s">
        <v>11</v>
      </c>
      <c r="U102" s="542"/>
      <c r="V102">
        <f>[1]Mornflsh!$E29</f>
        <v>0</v>
      </c>
      <c r="W102">
        <f>(V102/V108)*100</f>
        <v>0</v>
      </c>
      <c r="X102">
        <f t="array" ref="X102:AB102">MonthlyAvg!E88:I88</f>
        <v>0</v>
      </c>
      <c r="Y102">
        <v>0</v>
      </c>
      <c r="Z102">
        <v>0</v>
      </c>
      <c r="AA102">
        <v>0</v>
      </c>
      <c r="AB102">
        <v>0</v>
      </c>
      <c r="AC102">
        <f t="shared" si="3"/>
        <v>0</v>
      </c>
    </row>
    <row r="103" spans="2:30" ht="15" customHeight="1" x14ac:dyDescent="0.25">
      <c r="C103" s="542"/>
      <c r="D103" t="s">
        <v>10</v>
      </c>
      <c r="E103" s="542"/>
      <c r="F103">
        <f>MonthlyAvg!L108</f>
        <v>0</v>
      </c>
      <c r="G103">
        <f>(F103/F108)*100</f>
        <v>0</v>
      </c>
      <c r="H103">
        <f>MonthlyAvg!E108</f>
        <v>0</v>
      </c>
      <c r="S103" s="542"/>
      <c r="T103" t="s">
        <v>10</v>
      </c>
      <c r="U103" s="542"/>
      <c r="AC103">
        <f t="shared" si="3"/>
        <v>0</v>
      </c>
    </row>
    <row r="104" spans="2:30" ht="15" customHeight="1" x14ac:dyDescent="0.25">
      <c r="C104" s="542"/>
      <c r="D104" t="s">
        <v>146</v>
      </c>
      <c r="E104" s="542"/>
      <c r="F104">
        <f>MonthlyAvg!L107</f>
        <v>0</v>
      </c>
      <c r="H104">
        <f>MonthlyAvg!E107</f>
        <v>0</v>
      </c>
      <c r="S104" s="542"/>
      <c r="T104" t="s">
        <v>146</v>
      </c>
      <c r="U104" s="542"/>
      <c r="AC104">
        <f t="shared" si="3"/>
        <v>0</v>
      </c>
    </row>
    <row r="105" spans="2:30" ht="15" customHeight="1" x14ac:dyDescent="0.25">
      <c r="C105" s="542"/>
      <c r="D105" t="s">
        <v>106</v>
      </c>
      <c r="E105" s="542"/>
      <c r="F105">
        <f>MonthlyAvg!L109</f>
        <v>1</v>
      </c>
      <c r="G105">
        <f>(F105/F108)*100</f>
        <v>8.3333333333333321</v>
      </c>
      <c r="H105">
        <f>MonthlyAvg!E109</f>
        <v>61.26</v>
      </c>
      <c r="S105" s="542"/>
      <c r="T105" t="s">
        <v>106</v>
      </c>
      <c r="U105" s="542"/>
      <c r="V105">
        <f>[1]Mornflsh!$E32</f>
        <v>21</v>
      </c>
      <c r="W105">
        <f>(V105/V108)*100</f>
        <v>30</v>
      </c>
      <c r="X105">
        <f t="array" ref="X105:AB105">MonthlyAvg!E91:I91</f>
        <v>62.860000000000028</v>
      </c>
      <c r="Y105">
        <v>2.4563636363636361</v>
      </c>
      <c r="Z105">
        <v>2.4763636363636361</v>
      </c>
      <c r="AA105">
        <v>3.5961538461538463</v>
      </c>
      <c r="AB105">
        <v>39.57692307692308</v>
      </c>
      <c r="AC105">
        <f t="shared" si="3"/>
        <v>4.9327272727272717</v>
      </c>
      <c r="AD105">
        <f>+Z105/Y105</f>
        <v>1.008142116950407</v>
      </c>
    </row>
    <row r="106" spans="2:30" ht="15" customHeight="1" x14ac:dyDescent="0.25">
      <c r="C106" s="542"/>
      <c r="D106" t="s">
        <v>9</v>
      </c>
      <c r="E106" s="542"/>
      <c r="F106">
        <f>MonthlyAvg!L110</f>
        <v>0</v>
      </c>
      <c r="G106">
        <f>(F106/F108)*100</f>
        <v>0</v>
      </c>
      <c r="H106">
        <f t="array" ref="H106:L106">MonthlyAvg!E110:I110</f>
        <v>0</v>
      </c>
      <c r="I106">
        <v>0</v>
      </c>
      <c r="J106">
        <v>0</v>
      </c>
      <c r="K106">
        <v>0</v>
      </c>
      <c r="L106">
        <v>0</v>
      </c>
      <c r="S106" s="542"/>
      <c r="T106" t="s">
        <v>9</v>
      </c>
      <c r="U106" s="542"/>
      <c r="V106">
        <f>[1]Mornflsh!$E33</f>
        <v>0</v>
      </c>
      <c r="W106">
        <f>(V106/V108)*100</f>
        <v>0</v>
      </c>
      <c r="X106">
        <f t="array" ref="X106:AB106">MonthlyAvg!E92:I92</f>
        <v>0</v>
      </c>
      <c r="Y106">
        <v>0</v>
      </c>
      <c r="Z106">
        <v>0</v>
      </c>
      <c r="AA106">
        <v>0</v>
      </c>
      <c r="AB106">
        <v>0</v>
      </c>
      <c r="AC106">
        <f t="shared" si="3"/>
        <v>0</v>
      </c>
    </row>
    <row r="107" spans="2:30" ht="15" customHeight="1" x14ac:dyDescent="0.25">
      <c r="C107" s="542"/>
      <c r="D107" t="s">
        <v>112</v>
      </c>
      <c r="E107" s="542"/>
      <c r="F107">
        <f>MonthlyAvg!L111</f>
        <v>0</v>
      </c>
      <c r="G107">
        <f>(F107/F108)*100</f>
        <v>0</v>
      </c>
      <c r="H107">
        <f>MonthlyAvg!E111</f>
        <v>0</v>
      </c>
      <c r="S107" s="542"/>
      <c r="T107" t="s">
        <v>112</v>
      </c>
      <c r="U107" s="542"/>
      <c r="V107">
        <f>[1]Mornflsh!$E34</f>
        <v>1</v>
      </c>
      <c r="W107">
        <f>(V107/V108)*100</f>
        <v>1.4285714285714286</v>
      </c>
      <c r="X107">
        <f t="array" ref="X107:AB107">MonthlyAvg!E93:I93</f>
        <v>0</v>
      </c>
      <c r="Y107">
        <v>0</v>
      </c>
      <c r="Z107">
        <v>0</v>
      </c>
      <c r="AA107">
        <v>0</v>
      </c>
      <c r="AB107">
        <v>0</v>
      </c>
      <c r="AC107">
        <f t="shared" si="3"/>
        <v>0</v>
      </c>
      <c r="AD107" t="e">
        <f>+Z107/Y107</f>
        <v>#DIV/0!</v>
      </c>
    </row>
    <row r="108" spans="2:30" ht="15.75" customHeight="1" thickBot="1" x14ac:dyDescent="0.3">
      <c r="C108" s="542" t="s">
        <v>123</v>
      </c>
      <c r="D108" s="542"/>
      <c r="E108" s="542"/>
      <c r="F108">
        <f>MonthlyAvg!L112</f>
        <v>12</v>
      </c>
      <c r="G108">
        <f>SUM(G100:G107)</f>
        <v>100</v>
      </c>
      <c r="H108" s="542"/>
      <c r="I108" s="542"/>
      <c r="J108" s="542"/>
      <c r="K108" s="542"/>
      <c r="L108" s="542"/>
      <c r="M108" s="542"/>
      <c r="N108" s="542"/>
      <c r="S108" s="542" t="s">
        <v>123</v>
      </c>
      <c r="T108" s="542"/>
      <c r="U108" s="542"/>
      <c r="V108">
        <f>SUM(V100:V107)</f>
        <v>70</v>
      </c>
      <c r="W108">
        <f>SUM(W100:W107)</f>
        <v>100</v>
      </c>
    </row>
    <row r="109" spans="2:30" ht="15.75" customHeight="1" thickBot="1" x14ac:dyDescent="0.3"/>
    <row r="110" spans="2:30" ht="15" customHeight="1" x14ac:dyDescent="0.25"/>
    <row r="111" spans="2:30" ht="13" thickBot="1" x14ac:dyDescent="0.3"/>
    <row r="112" spans="2:30" ht="13" thickBot="1" x14ac:dyDescent="0.3">
      <c r="B112" s="542">
        <f>'Dir Quality Report'!$R$2</f>
        <v>44743</v>
      </c>
      <c r="C112" s="542"/>
      <c r="D112" s="542"/>
      <c r="E112" s="542"/>
      <c r="F112" s="542"/>
    </row>
    <row r="114" spans="3:14" ht="13" thickBot="1" x14ac:dyDescent="0.3"/>
    <row r="115" spans="3:14" x14ac:dyDescent="0.25">
      <c r="C115" t="s">
        <v>46</v>
      </c>
      <c r="D115" t="s">
        <v>119</v>
      </c>
      <c r="E115" s="542" t="s">
        <v>120</v>
      </c>
      <c r="F115" s="542"/>
      <c r="G115" t="s">
        <v>121</v>
      </c>
      <c r="H115" s="542" t="s">
        <v>122</v>
      </c>
      <c r="I115" s="542"/>
      <c r="J115" s="542"/>
      <c r="K115" s="542"/>
      <c r="L115" s="542"/>
      <c r="M115" s="542"/>
      <c r="N115" s="542"/>
    </row>
    <row r="116" spans="3:14" x14ac:dyDescent="0.25">
      <c r="C116" s="542" t="s">
        <v>48</v>
      </c>
      <c r="H116" t="s">
        <v>18</v>
      </c>
      <c r="I116" t="s">
        <v>19</v>
      </c>
      <c r="J116" t="s">
        <v>20</v>
      </c>
      <c r="K116" t="s">
        <v>35</v>
      </c>
      <c r="L116" t="s">
        <v>36</v>
      </c>
      <c r="M116" t="s">
        <v>114</v>
      </c>
      <c r="N116" t="s">
        <v>115</v>
      </c>
    </row>
    <row r="117" spans="3:14" x14ac:dyDescent="0.25">
      <c r="C117" s="542"/>
      <c r="D117" t="s">
        <v>27</v>
      </c>
      <c r="E117" s="542" t="s">
        <v>116</v>
      </c>
      <c r="F117">
        <f>MonthlyAvg!L59</f>
        <v>25</v>
      </c>
      <c r="G117">
        <f>(F117/$F$125)*100</f>
        <v>11.848341232227488</v>
      </c>
      <c r="H117">
        <f>MonthlyAvg!E59</f>
        <v>60.7288</v>
      </c>
      <c r="I117">
        <f>MonthlyAvg!F59</f>
        <v>6.8856000000000019</v>
      </c>
      <c r="J117">
        <f>MonthlyAvg!G59</f>
        <v>2.4612000000000003</v>
      </c>
      <c r="K117">
        <f>MonthlyAvg!H59</f>
        <v>17.491999999999997</v>
      </c>
      <c r="L117">
        <f>MonthlyAvg!I59</f>
        <v>24.232000000000006</v>
      </c>
      <c r="M117">
        <f>MonthlyAvg!J59</f>
        <v>9.3468000000000018</v>
      </c>
      <c r="N117">
        <f>MonthlyAvg!K59</f>
        <v>0.35744161728825369</v>
      </c>
    </row>
    <row r="118" spans="3:14" x14ac:dyDescent="0.25">
      <c r="C118" s="542"/>
      <c r="D118" t="s">
        <v>2</v>
      </c>
      <c r="E118" s="542"/>
      <c r="F118">
        <f>MonthlyAvg!L60</f>
        <v>16</v>
      </c>
      <c r="G118">
        <f t="shared" ref="G118:G124" si="4">(F118/$F$125)*100</f>
        <v>7.5829383886255926</v>
      </c>
      <c r="H118">
        <f>MonthlyAvg!E60</f>
        <v>61.15124999999999</v>
      </c>
      <c r="I118">
        <f>MonthlyAvg!F60</f>
        <v>5.5018750000000001</v>
      </c>
      <c r="J118">
        <f>MonthlyAvg!G60</f>
        <v>2.8425000000000002</v>
      </c>
      <c r="K118">
        <f>MonthlyAvg!H60</f>
        <v>14.375</v>
      </c>
      <c r="L118">
        <f>MonthlyAvg!I60</f>
        <v>26.862499999999997</v>
      </c>
      <c r="M118">
        <f>MonthlyAvg!J60</f>
        <v>8.3443749999999994</v>
      </c>
      <c r="N118">
        <f>MonthlyAvg!K60</f>
        <v>0.51664205384528006</v>
      </c>
    </row>
    <row r="119" spans="3:14" x14ac:dyDescent="0.25">
      <c r="C119" s="542"/>
      <c r="D119" t="s">
        <v>104</v>
      </c>
      <c r="E119" s="542"/>
      <c r="F119">
        <f>MonthlyAvg!L61</f>
        <v>72</v>
      </c>
      <c r="G119">
        <f t="shared" si="4"/>
        <v>34.123222748815166</v>
      </c>
      <c r="H119">
        <f>MonthlyAvg!E61</f>
        <v>62.296097222222215</v>
      </c>
      <c r="I119">
        <f>MonthlyAvg!F61</f>
        <v>3.4556944444444446</v>
      </c>
      <c r="J119">
        <f>MonthlyAvg!G61</f>
        <v>2.2154166666666661</v>
      </c>
      <c r="K119">
        <f>MonthlyAvg!H61</f>
        <v>14.058499122461681</v>
      </c>
      <c r="L119">
        <f>MonthlyAvg!I61</f>
        <v>16.664834011370157</v>
      </c>
      <c r="M119">
        <f>MonthlyAvg!J61</f>
        <v>5.6711111111111112</v>
      </c>
      <c r="N119">
        <f>MonthlyAvg!K61</f>
        <v>0.64109159599694532</v>
      </c>
    </row>
    <row r="120" spans="3:14" x14ac:dyDescent="0.25">
      <c r="C120" s="542"/>
      <c r="D120" t="s">
        <v>10</v>
      </c>
      <c r="E120" s="542"/>
      <c r="F120">
        <f>MonthlyAvg!L63</f>
        <v>27</v>
      </c>
      <c r="G120">
        <f t="shared" si="4"/>
        <v>12.796208530805686</v>
      </c>
      <c r="H120">
        <f>MonthlyAvg!E63</f>
        <v>60.986296296296302</v>
      </c>
      <c r="I120">
        <f>MonthlyAvg!F63</f>
        <v>4.0377777777777775</v>
      </c>
      <c r="J120">
        <f>MonthlyAvg!G63</f>
        <v>3.8374074074074076</v>
      </c>
      <c r="K120">
        <f>MonthlyAvg!H63</f>
        <v>8.8686067019400365</v>
      </c>
      <c r="L120">
        <f>MonthlyAvg!I63</f>
        <v>19.793703703703706</v>
      </c>
      <c r="M120">
        <f>MonthlyAvg!J63</f>
        <v>7.8751851851851846</v>
      </c>
      <c r="N120">
        <f>MonthlyAvg!K63</f>
        <v>0.95037607778389299</v>
      </c>
    </row>
    <row r="121" spans="3:14" x14ac:dyDescent="0.25">
      <c r="C121" s="542"/>
      <c r="D121" t="s">
        <v>146</v>
      </c>
      <c r="E121" s="542"/>
      <c r="F121">
        <f>MonthlyAvg!L62</f>
        <v>12</v>
      </c>
      <c r="G121">
        <f t="shared" si="4"/>
        <v>5.6872037914691944</v>
      </c>
      <c r="H121">
        <f>MonthlyAvg!E62</f>
        <v>62.625000000000007</v>
      </c>
      <c r="I121">
        <f>MonthlyAvg!F62</f>
        <v>2.6416666666666666</v>
      </c>
      <c r="J121">
        <f>MonthlyAvg!G62</f>
        <v>2.9416666666666669</v>
      </c>
      <c r="K121">
        <f>MonthlyAvg!H62</f>
        <v>4.833333333333333</v>
      </c>
      <c r="L121">
        <f>MonthlyAvg!I62</f>
        <v>14.75</v>
      </c>
      <c r="M121">
        <f>MonthlyAvg!J62</f>
        <v>5.5833333333333339</v>
      </c>
      <c r="N121">
        <f>MonthlyAvg!K62</f>
        <v>1.1135646687697163</v>
      </c>
    </row>
    <row r="122" spans="3:14" x14ac:dyDescent="0.25">
      <c r="C122" s="542"/>
      <c r="D122" t="s">
        <v>106</v>
      </c>
      <c r="E122" s="542"/>
      <c r="F122">
        <f>MonthlyAvg!L64</f>
        <v>28</v>
      </c>
      <c r="G122">
        <f t="shared" si="4"/>
        <v>13.270142180094787</v>
      </c>
      <c r="H122">
        <f>MonthlyAvg!E64</f>
        <v>63.153571428571425</v>
      </c>
      <c r="I122">
        <f>MonthlyAvg!F64</f>
        <v>2.3142857142857141</v>
      </c>
      <c r="J122">
        <f>MonthlyAvg!G64</f>
        <v>2.4142857142857141</v>
      </c>
      <c r="K122">
        <f>MonthlyAvg!H64</f>
        <v>2.7142857142857144</v>
      </c>
      <c r="L122">
        <f>MonthlyAvg!I64</f>
        <v>13.678571428571429</v>
      </c>
      <c r="M122">
        <f>MonthlyAvg!J64</f>
        <v>4.7285714285714278</v>
      </c>
      <c r="N122">
        <f>MonthlyAvg!K64</f>
        <v>1.0432098765432098</v>
      </c>
    </row>
    <row r="123" spans="3:14" x14ac:dyDescent="0.25">
      <c r="C123" s="542"/>
      <c r="D123" t="s">
        <v>9</v>
      </c>
      <c r="E123" s="542"/>
      <c r="F123">
        <f>MonthlyAvg!L65</f>
        <v>30</v>
      </c>
      <c r="G123">
        <f t="shared" si="4"/>
        <v>14.218009478672986</v>
      </c>
      <c r="H123">
        <f>MonthlyAvg!E65</f>
        <v>62.806200000000004</v>
      </c>
      <c r="I123">
        <f>MonthlyAvg!F65</f>
        <v>4.0729999999999995</v>
      </c>
      <c r="J123">
        <f>MonthlyAvg!G65</f>
        <v>1.7386666666666664</v>
      </c>
      <c r="K123">
        <f>MonthlyAvg!H65</f>
        <v>2.8060368367682318</v>
      </c>
      <c r="L123">
        <f>MonthlyAvg!I65</f>
        <v>8.8864090339767561</v>
      </c>
      <c r="M123">
        <f>MonthlyAvg!J65</f>
        <v>5.8116666666666656</v>
      </c>
      <c r="N123">
        <f>MonthlyAvg!K65</f>
        <v>0.42687617644651771</v>
      </c>
    </row>
    <row r="124" spans="3:14" x14ac:dyDescent="0.25">
      <c r="C124" s="542"/>
      <c r="D124" t="s">
        <v>112</v>
      </c>
      <c r="E124" s="542"/>
      <c r="F124">
        <f>MonthlyAvg!L66</f>
        <v>1</v>
      </c>
      <c r="G124">
        <f t="shared" si="4"/>
        <v>0.47393364928909953</v>
      </c>
      <c r="H124">
        <f>MonthlyAvg!E66</f>
        <v>63.57</v>
      </c>
      <c r="I124">
        <f>MonthlyAvg!F66</f>
        <v>2.96</v>
      </c>
      <c r="J124">
        <f>MonthlyAvg!G66</f>
        <v>2.38</v>
      </c>
      <c r="K124">
        <f>MonthlyAvg!H66</f>
        <v>7.3</v>
      </c>
      <c r="L124">
        <f>MonthlyAvg!I66</f>
        <v>10.199999999999999</v>
      </c>
      <c r="M124">
        <f>MonthlyAvg!J66</f>
        <v>5.34</v>
      </c>
      <c r="N124">
        <f>MonthlyAvg!K66</f>
        <v>0.80405405405405406</v>
      </c>
    </row>
    <row r="125" spans="3:14" ht="13" thickBot="1" x14ac:dyDescent="0.3">
      <c r="C125" s="542" t="s">
        <v>123</v>
      </c>
      <c r="D125" s="542"/>
      <c r="E125" s="542"/>
      <c r="F125">
        <f>MonthlyAvg!L67</f>
        <v>211</v>
      </c>
      <c r="G125">
        <f>SUM(G117:G124)</f>
        <v>99.999999999999972</v>
      </c>
      <c r="H125" s="542"/>
      <c r="I125" s="542"/>
      <c r="J125" s="542"/>
      <c r="K125" s="542"/>
      <c r="L125" s="542"/>
      <c r="M125" s="542"/>
      <c r="N125" s="542"/>
    </row>
    <row r="128" spans="3:14" ht="13" thickBot="1" x14ac:dyDescent="0.3"/>
    <row r="129" spans="3:14" ht="13" thickBot="1" x14ac:dyDescent="0.3">
      <c r="C129" t="s">
        <v>46</v>
      </c>
      <c r="D129" t="s">
        <v>119</v>
      </c>
      <c r="E129" s="542" t="s">
        <v>120</v>
      </c>
      <c r="F129" s="542"/>
      <c r="G129" t="s">
        <v>121</v>
      </c>
      <c r="H129" s="542" t="s">
        <v>122</v>
      </c>
      <c r="I129" s="542"/>
      <c r="J129" s="542"/>
      <c r="K129" s="542"/>
      <c r="L129" s="542"/>
      <c r="M129" s="542"/>
      <c r="N129" s="542"/>
    </row>
    <row r="130" spans="3:14" x14ac:dyDescent="0.25">
      <c r="C130" s="542" t="s">
        <v>48</v>
      </c>
      <c r="H130" t="s">
        <v>18</v>
      </c>
      <c r="I130" t="s">
        <v>19</v>
      </c>
      <c r="J130" t="s">
        <v>20</v>
      </c>
      <c r="K130" t="s">
        <v>35</v>
      </c>
      <c r="L130" t="s">
        <v>36</v>
      </c>
      <c r="M130" t="s">
        <v>114</v>
      </c>
      <c r="N130" t="s">
        <v>115</v>
      </c>
    </row>
    <row r="131" spans="3:14" x14ac:dyDescent="0.25">
      <c r="C131" s="542"/>
      <c r="D131" t="s">
        <v>27</v>
      </c>
      <c r="E131" s="542" t="s">
        <v>124</v>
      </c>
      <c r="F131">
        <f>MonthlyAvg!L113</f>
        <v>42</v>
      </c>
      <c r="G131">
        <f>(F131/$F$139)*100</f>
        <v>12.53731343283582</v>
      </c>
      <c r="H131">
        <f>MonthlyAvg!E113</f>
        <v>59.806428571428555</v>
      </c>
      <c r="I131">
        <f>MonthlyAvg!F113</f>
        <v>7.5530952380952368</v>
      </c>
      <c r="J131">
        <f>MonthlyAvg!G113</f>
        <v>2.8571428571428572</v>
      </c>
      <c r="K131">
        <f>MonthlyAvg!H113</f>
        <v>7.4838709677419351</v>
      </c>
      <c r="L131">
        <f>MonthlyAvg!I113</f>
        <v>42.362903225806448</v>
      </c>
      <c r="M131">
        <f>MonthlyAvg!J113</f>
        <v>10.410238095238094</v>
      </c>
      <c r="N131">
        <f>MonthlyAvg!K113</f>
        <v>0.37827443810484512</v>
      </c>
    </row>
    <row r="132" spans="3:14" x14ac:dyDescent="0.25">
      <c r="C132" s="542"/>
      <c r="D132" t="s">
        <v>2</v>
      </c>
      <c r="E132" s="542"/>
      <c r="F132">
        <f>MonthlyAvg!L114</f>
        <v>42</v>
      </c>
      <c r="G132">
        <f t="shared" ref="G132:G138" si="5">(F132/$F$139)*100</f>
        <v>12.53731343283582</v>
      </c>
      <c r="H132">
        <f>MonthlyAvg!E114</f>
        <v>60.653809523809514</v>
      </c>
      <c r="I132">
        <f>MonthlyAvg!F114</f>
        <v>6.4550000000000018</v>
      </c>
      <c r="J132">
        <f>MonthlyAvg!G114</f>
        <v>2.8980952380952383</v>
      </c>
      <c r="K132">
        <f>MonthlyAvg!H114</f>
        <v>5.6032455216016848</v>
      </c>
      <c r="L132">
        <f>MonthlyAvg!I114</f>
        <v>40.482897787144353</v>
      </c>
      <c r="M132">
        <f>MonthlyAvg!J114</f>
        <v>9.3530952380952392</v>
      </c>
      <c r="N132">
        <f>MonthlyAvg!K114</f>
        <v>0.44896905315185709</v>
      </c>
    </row>
    <row r="133" spans="3:14" x14ac:dyDescent="0.25">
      <c r="C133" s="542"/>
      <c r="D133" t="s">
        <v>104</v>
      </c>
      <c r="E133" s="542"/>
      <c r="F133">
        <f>MonthlyAvg!L115</f>
        <v>73</v>
      </c>
      <c r="G133">
        <f t="shared" si="5"/>
        <v>21.791044776119403</v>
      </c>
      <c r="H133">
        <f>MonthlyAvg!E115</f>
        <v>61.920150684931471</v>
      </c>
      <c r="I133">
        <f>MonthlyAvg!F115</f>
        <v>4.0509589041095877</v>
      </c>
      <c r="J133">
        <f>MonthlyAvg!G115</f>
        <v>2.4236986301369869</v>
      </c>
      <c r="K133">
        <f>MonthlyAvg!H115</f>
        <v>9.5482324186981433</v>
      </c>
      <c r="L133">
        <f>MonthlyAvg!I115</f>
        <v>39.619956701118127</v>
      </c>
      <c r="M133">
        <f>MonthlyAvg!J115</f>
        <v>6.4746575342465746</v>
      </c>
      <c r="N133">
        <f>MonthlyAvg!K115</f>
        <v>0.59830244826186973</v>
      </c>
    </row>
    <row r="134" spans="3:14" x14ac:dyDescent="0.25">
      <c r="C134" s="542"/>
      <c r="D134" t="s">
        <v>10</v>
      </c>
      <c r="E134" s="542"/>
      <c r="F134">
        <f>MonthlyAvg!L117</f>
        <v>7</v>
      </c>
      <c r="G134">
        <f t="shared" si="5"/>
        <v>2.0895522388059704</v>
      </c>
      <c r="H134">
        <f>MonthlyAvg!E117</f>
        <v>59.684285714285707</v>
      </c>
      <c r="I134">
        <f>MonthlyAvg!F117</f>
        <v>5.3457142857142861</v>
      </c>
      <c r="J134">
        <f>MonthlyAvg!G117</f>
        <v>4.4514285714285711</v>
      </c>
      <c r="K134">
        <f>MonthlyAvg!H117</f>
        <v>4.2</v>
      </c>
      <c r="L134">
        <f>MonthlyAvg!I117</f>
        <v>41.550000000000004</v>
      </c>
      <c r="M134">
        <f>MonthlyAvg!J117</f>
        <v>9.7971428571428572</v>
      </c>
      <c r="N134">
        <f>MonthlyAvg!K117</f>
        <v>0.83270978086584702</v>
      </c>
    </row>
    <row r="135" spans="3:14" x14ac:dyDescent="0.25">
      <c r="C135" s="542"/>
      <c r="D135" t="s">
        <v>146</v>
      </c>
      <c r="E135" s="542"/>
      <c r="F135">
        <f>MonthlyAvg!L116</f>
        <v>26</v>
      </c>
      <c r="G135">
        <f t="shared" si="5"/>
        <v>7.7611940298507456</v>
      </c>
      <c r="H135">
        <f>MonthlyAvg!E116</f>
        <v>62.280769230769231</v>
      </c>
      <c r="I135">
        <f>MonthlyAvg!F116</f>
        <v>2.815384615384616</v>
      </c>
      <c r="J135">
        <f>MonthlyAvg!G116</f>
        <v>2.9576923076923078</v>
      </c>
      <c r="K135">
        <f>MonthlyAvg!H116</f>
        <v>5.8</v>
      </c>
      <c r="L135">
        <f>MonthlyAvg!I116</f>
        <v>38.08</v>
      </c>
      <c r="M135">
        <f>MonthlyAvg!J116</f>
        <v>5.7730769230769239</v>
      </c>
      <c r="N135">
        <f>MonthlyAvg!K116</f>
        <v>1.0505464480874316</v>
      </c>
    </row>
    <row r="136" spans="3:14" x14ac:dyDescent="0.25">
      <c r="C136" s="542"/>
      <c r="D136" t="s">
        <v>106</v>
      </c>
      <c r="E136" s="542"/>
      <c r="F136">
        <f>MonthlyAvg!L118</f>
        <v>56</v>
      </c>
      <c r="G136">
        <f t="shared" si="5"/>
        <v>16.716417910447763</v>
      </c>
      <c r="H136">
        <f>MonthlyAvg!E118</f>
        <v>62.831428571428603</v>
      </c>
      <c r="I136">
        <f>MonthlyAvg!F118</f>
        <v>2.4864285714285712</v>
      </c>
      <c r="J136">
        <f>MonthlyAvg!G118</f>
        <v>2.5030357142857147</v>
      </c>
      <c r="K136">
        <f>MonthlyAvg!H118</f>
        <v>3.5283018867924527</v>
      </c>
      <c r="L136">
        <f>MonthlyAvg!I118</f>
        <v>39.635849056603767</v>
      </c>
      <c r="M136">
        <f>MonthlyAvg!J118</f>
        <v>4.9894642857142859</v>
      </c>
      <c r="N136">
        <f>MonthlyAvg!K118</f>
        <v>1.0066791151967829</v>
      </c>
    </row>
    <row r="137" spans="3:14" x14ac:dyDescent="0.25">
      <c r="C137" s="542"/>
      <c r="D137" t="s">
        <v>9</v>
      </c>
      <c r="E137" s="542"/>
      <c r="F137">
        <f>MonthlyAvg!L119</f>
        <v>84</v>
      </c>
      <c r="G137">
        <f t="shared" si="5"/>
        <v>25.07462686567164</v>
      </c>
      <c r="H137">
        <f>MonthlyAvg!E119</f>
        <v>61.640988095238129</v>
      </c>
      <c r="I137">
        <f>MonthlyAvg!F119</f>
        <v>5.0853809523809526</v>
      </c>
      <c r="J137">
        <f>MonthlyAvg!G119</f>
        <v>2.5610714285714287</v>
      </c>
      <c r="K137">
        <f>MonthlyAvg!H119</f>
        <v>6.1366667375245321</v>
      </c>
      <c r="L137">
        <f>MonthlyAvg!I119</f>
        <v>45.561937002098475</v>
      </c>
      <c r="M137">
        <f>MonthlyAvg!J119</f>
        <v>7.6464523809523808</v>
      </c>
      <c r="N137">
        <f>MonthlyAvg!K119</f>
        <v>0.50361446911314411</v>
      </c>
    </row>
    <row r="138" spans="3:14" x14ac:dyDescent="0.25">
      <c r="C138" s="542"/>
      <c r="D138" t="s">
        <v>112</v>
      </c>
      <c r="E138" s="542"/>
      <c r="F138">
        <f>MonthlyAvg!L120</f>
        <v>5</v>
      </c>
      <c r="G138">
        <f t="shared" si="5"/>
        <v>1.4925373134328357</v>
      </c>
      <c r="H138">
        <f>MonthlyAvg!E120</f>
        <v>63.148000000000003</v>
      </c>
      <c r="I138">
        <f>MonthlyAvg!F120</f>
        <v>3.2480000000000002</v>
      </c>
      <c r="J138">
        <f>MonthlyAvg!G120</f>
        <v>2.3660000000000001</v>
      </c>
      <c r="K138">
        <f>MonthlyAvg!H120</f>
        <v>3.85</v>
      </c>
      <c r="L138">
        <f>MonthlyAvg!I120</f>
        <v>32.875</v>
      </c>
      <c r="M138">
        <f>MonthlyAvg!J120</f>
        <v>5.6140000000000008</v>
      </c>
      <c r="N138">
        <f>MonthlyAvg!K120</f>
        <v>0.72844827586206895</v>
      </c>
    </row>
    <row r="139" spans="3:14" ht="13" thickBot="1" x14ac:dyDescent="0.3">
      <c r="C139" s="542" t="s">
        <v>123</v>
      </c>
      <c r="D139" s="542"/>
      <c r="E139" s="542"/>
      <c r="F139">
        <f>MonthlyAvg!L121</f>
        <v>335</v>
      </c>
      <c r="G139">
        <f>SUM(G131:G138)</f>
        <v>99.999999999999986</v>
      </c>
      <c r="H139" s="542"/>
      <c r="I139" s="542"/>
      <c r="J139" s="542"/>
      <c r="K139" s="542"/>
      <c r="L139" s="542"/>
      <c r="M139" s="542"/>
      <c r="N139" s="542"/>
    </row>
    <row r="140" spans="3:14" ht="13" thickBot="1" x14ac:dyDescent="0.3"/>
  </sheetData>
  <mergeCells count="107">
    <mergeCell ref="C139:E139"/>
    <mergeCell ref="H139:N139"/>
    <mergeCell ref="C116:C124"/>
    <mergeCell ref="E117:E124"/>
    <mergeCell ref="C125:E125"/>
    <mergeCell ref="H125:N125"/>
    <mergeCell ref="E129:F129"/>
    <mergeCell ref="H129:N129"/>
    <mergeCell ref="C130:C138"/>
    <mergeCell ref="E131:E138"/>
    <mergeCell ref="C108:E108"/>
    <mergeCell ref="H108:N108"/>
    <mergeCell ref="E115:F115"/>
    <mergeCell ref="H115:N115"/>
    <mergeCell ref="D96:F96"/>
    <mergeCell ref="H98:N98"/>
    <mergeCell ref="C99:C107"/>
    <mergeCell ref="E98:F98"/>
    <mergeCell ref="D80:F80"/>
    <mergeCell ref="E82:F82"/>
    <mergeCell ref="B112:F112"/>
    <mergeCell ref="E100:E107"/>
    <mergeCell ref="G79:G80"/>
    <mergeCell ref="H56:N56"/>
    <mergeCell ref="S56:U56"/>
    <mergeCell ref="B76:F76"/>
    <mergeCell ref="C56:E56"/>
    <mergeCell ref="D95:F95"/>
    <mergeCell ref="G95:G96"/>
    <mergeCell ref="D79:F79"/>
    <mergeCell ref="H82:N82"/>
    <mergeCell ref="C83:C91"/>
    <mergeCell ref="E84:E91"/>
    <mergeCell ref="D60:F60"/>
    <mergeCell ref="U60:V60"/>
    <mergeCell ref="D61:F61"/>
    <mergeCell ref="R76:V76"/>
    <mergeCell ref="E63:F63"/>
    <mergeCell ref="H63:N63"/>
    <mergeCell ref="U63:V63"/>
    <mergeCell ref="C92:E92"/>
    <mergeCell ref="H92:N92"/>
    <mergeCell ref="X73:AD73"/>
    <mergeCell ref="X63:AD63"/>
    <mergeCell ref="C65:C72"/>
    <mergeCell ref="E65:E72"/>
    <mergeCell ref="S65:S72"/>
    <mergeCell ref="U65:U72"/>
    <mergeCell ref="U61:V61"/>
    <mergeCell ref="C73:E73"/>
    <mergeCell ref="H73:N73"/>
    <mergeCell ref="S73:U73"/>
    <mergeCell ref="X36:AD36"/>
    <mergeCell ref="U43:V43"/>
    <mergeCell ref="D44:F44"/>
    <mergeCell ref="U44:V44"/>
    <mergeCell ref="X46:AD46"/>
    <mergeCell ref="S48:S55"/>
    <mergeCell ref="U48:U55"/>
    <mergeCell ref="E46:F46"/>
    <mergeCell ref="R40:V40"/>
    <mergeCell ref="B40:F40"/>
    <mergeCell ref="H36:N36"/>
    <mergeCell ref="S36:U36"/>
    <mergeCell ref="U46:V46"/>
    <mergeCell ref="C48:C55"/>
    <mergeCell ref="E48:E55"/>
    <mergeCell ref="U9:V9"/>
    <mergeCell ref="C19:E19"/>
    <mergeCell ref="H19:N19"/>
    <mergeCell ref="S19:U19"/>
    <mergeCell ref="D43:F43"/>
    <mergeCell ref="D23:F23"/>
    <mergeCell ref="T23:V23"/>
    <mergeCell ref="D24:F24"/>
    <mergeCell ref="E26:F26"/>
    <mergeCell ref="H26:N26"/>
    <mergeCell ref="U26:V26"/>
    <mergeCell ref="C11:C18"/>
    <mergeCell ref="E11:E18"/>
    <mergeCell ref="S28:S35"/>
    <mergeCell ref="U28:U35"/>
    <mergeCell ref="C36:E36"/>
    <mergeCell ref="S100:S107"/>
    <mergeCell ref="S84:S91"/>
    <mergeCell ref="U84:U91"/>
    <mergeCell ref="U100:U107"/>
    <mergeCell ref="X98:AD98"/>
    <mergeCell ref="S108:U108"/>
    <mergeCell ref="X82:AD82"/>
    <mergeCell ref="S92:U92"/>
    <mergeCell ref="B2:F2"/>
    <mergeCell ref="R2:V2"/>
    <mergeCell ref="X9:AD9"/>
    <mergeCell ref="S11:S18"/>
    <mergeCell ref="U11:U18"/>
    <mergeCell ref="X19:AD19"/>
    <mergeCell ref="D6:F6"/>
    <mergeCell ref="T6:V6"/>
    <mergeCell ref="D7:F7"/>
    <mergeCell ref="E9:F9"/>
    <mergeCell ref="H9:N9"/>
    <mergeCell ref="X26:AD26"/>
    <mergeCell ref="H46:N46"/>
    <mergeCell ref="X56:AD56"/>
    <mergeCell ref="C28:C35"/>
    <mergeCell ref="E28:E35"/>
  </mergeCells>
  <printOptions horizontalCentered="1" verticalCentered="1"/>
  <pageMargins left="0" right="0" top="0" bottom="0" header="0.31496062992126" footer="0.31496062992126"/>
  <pageSetup paperSize="9" scale="25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pageSetUpPr fitToPage="1"/>
  </sheetPr>
  <dimension ref="B2:L130"/>
  <sheetViews>
    <sheetView showZeros="0" topLeftCell="A7" workbookViewId="0">
      <selection activeCell="E121" sqref="E121:L121"/>
    </sheetView>
  </sheetViews>
  <sheetFormatPr defaultRowHeight="12.5" x14ac:dyDescent="0.25"/>
  <cols>
    <col min="2" max="2" width="12.453125" customWidth="1"/>
    <col min="4" max="4" width="17.453125" customWidth="1"/>
    <col min="5" max="5" width="9.1796875" customWidth="1"/>
  </cols>
  <sheetData>
    <row r="2" spans="2:12" x14ac:dyDescent="0.25">
      <c r="B2" s="542">
        <f>'Dir Quality Report'!$R$2</f>
        <v>44743</v>
      </c>
      <c r="C2" s="542"/>
      <c r="D2" s="542"/>
      <c r="E2" s="542"/>
      <c r="F2" s="542" t="s">
        <v>221</v>
      </c>
      <c r="G2" s="542"/>
      <c r="H2" s="542"/>
      <c r="I2" s="542"/>
      <c r="J2" s="542"/>
      <c r="K2" s="542"/>
      <c r="L2" s="542"/>
    </row>
    <row r="3" spans="2:12" x14ac:dyDescent="0.25">
      <c r="B3" t="s">
        <v>107</v>
      </c>
      <c r="C3" t="s">
        <v>86</v>
      </c>
      <c r="D3" s="542" t="s">
        <v>120</v>
      </c>
      <c r="E3" s="542"/>
      <c r="F3" s="542" t="s">
        <v>122</v>
      </c>
      <c r="G3" s="542"/>
      <c r="H3" s="542"/>
      <c r="I3" s="542"/>
      <c r="J3" s="542"/>
      <c r="K3" s="542"/>
      <c r="L3" s="542"/>
    </row>
    <row r="4" spans="2:12" x14ac:dyDescent="0.25">
      <c r="E4" t="s">
        <v>210</v>
      </c>
      <c r="F4" t="s">
        <v>18</v>
      </c>
      <c r="G4" t="s">
        <v>19</v>
      </c>
      <c r="H4" t="s">
        <v>20</v>
      </c>
      <c r="I4" t="s">
        <v>35</v>
      </c>
      <c r="J4" t="s">
        <v>36</v>
      </c>
      <c r="K4" t="s">
        <v>114</v>
      </c>
      <c r="L4" t="s">
        <v>115</v>
      </c>
    </row>
    <row r="5" spans="2:12" x14ac:dyDescent="0.25">
      <c r="B5" s="542" t="s">
        <v>218</v>
      </c>
      <c r="C5" s="542" t="s">
        <v>37</v>
      </c>
      <c r="D5" t="s">
        <v>116</v>
      </c>
      <c r="F5">
        <f t="array" ref="F5:J5">Norm!B10:F10</f>
        <v>61.5</v>
      </c>
      <c r="G5">
        <v>5</v>
      </c>
      <c r="H5">
        <v>2.5</v>
      </c>
      <c r="I5">
        <v>10</v>
      </c>
      <c r="J5">
        <v>10</v>
      </c>
      <c r="K5">
        <f>G5+H5</f>
        <v>7.5</v>
      </c>
      <c r="L5">
        <f>H5/G5</f>
        <v>0.5</v>
      </c>
    </row>
    <row r="6" spans="2:12" x14ac:dyDescent="0.25">
      <c r="B6" s="542"/>
      <c r="C6" s="542"/>
      <c r="D6" t="s">
        <v>124</v>
      </c>
      <c r="F6">
        <f t="array" ref="F6:J6">Norm!B20:F20</f>
        <v>60.8</v>
      </c>
      <c r="G6">
        <v>5.5</v>
      </c>
      <c r="H6">
        <v>2.7</v>
      </c>
      <c r="I6">
        <v>7</v>
      </c>
      <c r="J6">
        <v>40</v>
      </c>
      <c r="K6">
        <f>G6+H6</f>
        <v>8.1999999999999993</v>
      </c>
      <c r="L6">
        <f>H6/G6</f>
        <v>0.49090909090909096</v>
      </c>
    </row>
    <row r="7" spans="2:12" ht="15" customHeight="1" x14ac:dyDescent="0.25">
      <c r="B7" s="542"/>
      <c r="C7" s="542" t="s">
        <v>3</v>
      </c>
      <c r="D7" t="s">
        <v>116</v>
      </c>
      <c r="E7">
        <f>MonthlyAvg!L14</f>
        <v>25</v>
      </c>
      <c r="F7">
        <f t="array" ref="F7:L7">MonthlyAvg!E14:K14</f>
        <v>60.7288</v>
      </c>
      <c r="G7">
        <v>6.8856000000000019</v>
      </c>
      <c r="H7">
        <v>2.4612000000000003</v>
      </c>
      <c r="I7">
        <v>17.491999999999997</v>
      </c>
      <c r="J7">
        <v>24.232000000000006</v>
      </c>
      <c r="K7">
        <v>9.3468000000000018</v>
      </c>
      <c r="L7">
        <v>0.35744161728825369</v>
      </c>
    </row>
    <row r="8" spans="2:12" ht="15" customHeight="1" x14ac:dyDescent="0.25">
      <c r="B8" s="542"/>
      <c r="C8" s="542"/>
      <c r="D8" t="s">
        <v>124</v>
      </c>
      <c r="E8">
        <f>MonthlyAvg!L68</f>
        <v>25</v>
      </c>
      <c r="F8">
        <f t="array" ref="F8:L8">MonthlyAvg!E68:K68</f>
        <v>60.778399999999984</v>
      </c>
      <c r="G8">
        <v>6.6996000000000002</v>
      </c>
      <c r="H8">
        <v>2.6539999999999999</v>
      </c>
      <c r="I8">
        <v>5.379999999999999</v>
      </c>
      <c r="J8">
        <v>42.9</v>
      </c>
      <c r="K8">
        <v>9.3536000000000001</v>
      </c>
      <c r="L8">
        <v>0.39614305331661587</v>
      </c>
    </row>
    <row r="9" spans="2:12" ht="15" customHeight="1" x14ac:dyDescent="0.25">
      <c r="B9" s="542"/>
      <c r="C9" s="542" t="s">
        <v>4</v>
      </c>
      <c r="D9" t="s">
        <v>116</v>
      </c>
      <c r="E9">
        <f>MonthlyAvg!L23</f>
        <v>0</v>
      </c>
      <c r="F9">
        <f t="array" ref="F9:L9">MonthlyAvg!E23:K23</f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</row>
    <row r="10" spans="2:12" ht="15" customHeight="1" x14ac:dyDescent="0.25">
      <c r="B10" s="542"/>
      <c r="C10" s="542"/>
      <c r="D10" t="s">
        <v>124</v>
      </c>
      <c r="E10">
        <f>MonthlyAvg!L77</f>
        <v>0</v>
      </c>
      <c r="F10">
        <f t="array" ref="F10:L10">MonthlyAvg!E77:K77</f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</row>
    <row r="11" spans="2:12" ht="15" customHeight="1" x14ac:dyDescent="0.25">
      <c r="B11" s="542"/>
      <c r="C11" s="542" t="s">
        <v>5</v>
      </c>
      <c r="D11" t="s">
        <v>116</v>
      </c>
      <c r="E11">
        <f>MonthlyAvg!L32</f>
        <v>0</v>
      </c>
      <c r="F11">
        <f t="array" ref="F11:L11">MonthlyAvg!E32:K32</f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</row>
    <row r="12" spans="2:12" ht="15" customHeight="1" x14ac:dyDescent="0.25">
      <c r="B12" s="542"/>
      <c r="C12" s="542"/>
      <c r="D12" t="s">
        <v>124</v>
      </c>
      <c r="E12">
        <f>MonthlyAvg!L86</f>
        <v>7</v>
      </c>
      <c r="F12">
        <f t="array" ref="F12:L12">MonthlyAvg!E86:K86</f>
        <v>59.071428571428569</v>
      </c>
      <c r="G12">
        <v>7.5571428571428578</v>
      </c>
      <c r="H12">
        <v>2.8000000000000003</v>
      </c>
      <c r="I12">
        <v>8</v>
      </c>
      <c r="J12">
        <v>42.333333333333336</v>
      </c>
      <c r="K12">
        <v>10.357142857142858</v>
      </c>
      <c r="L12">
        <v>0.37051039697542532</v>
      </c>
    </row>
    <row r="13" spans="2:12" ht="15" customHeight="1" x14ac:dyDescent="0.25">
      <c r="B13" s="542"/>
      <c r="C13" s="542" t="s">
        <v>30</v>
      </c>
      <c r="D13" t="s">
        <v>116</v>
      </c>
      <c r="E13">
        <f>MonthlyAvg!L41</f>
        <v>0</v>
      </c>
      <c r="F13">
        <f t="array" ref="F13:L13">MonthlyAvg!E41:K41</f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</row>
    <row r="14" spans="2:12" ht="15" customHeight="1" x14ac:dyDescent="0.25">
      <c r="B14" s="542"/>
      <c r="C14" s="542"/>
      <c r="D14" t="s">
        <v>124</v>
      </c>
      <c r="E14">
        <f>MonthlyAvg!L95</f>
        <v>0</v>
      </c>
      <c r="F14">
        <f t="array" ref="F14:L14">MonthlyAvg!E95:K95</f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</row>
    <row r="15" spans="2:12" ht="15" customHeight="1" x14ac:dyDescent="0.25">
      <c r="B15" s="542"/>
      <c r="C15" s="542" t="s">
        <v>60</v>
      </c>
      <c r="D15" t="s">
        <v>116</v>
      </c>
      <c r="E15">
        <f>MonthlyAvg!L50</f>
        <v>0</v>
      </c>
      <c r="F15">
        <f t="array" ref="F15:L15">MonthlyAvg!E50:K50</f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</row>
    <row r="16" spans="2:12" ht="15" customHeight="1" x14ac:dyDescent="0.25">
      <c r="B16" s="542"/>
      <c r="C16" s="542"/>
      <c r="D16" t="s">
        <v>124</v>
      </c>
      <c r="E16">
        <f>MonthlyAvg!L104</f>
        <v>10</v>
      </c>
      <c r="F16">
        <f t="array" ref="F16:L16">MonthlyAvg!E104:K104</f>
        <v>57.890999999999998</v>
      </c>
      <c r="G16">
        <v>9.6840000000000011</v>
      </c>
      <c r="H16">
        <v>3.4050000000000002</v>
      </c>
      <c r="I16">
        <v>10.33</v>
      </c>
      <c r="J16">
        <v>41.575000000000003</v>
      </c>
      <c r="K16">
        <v>13.089000000000002</v>
      </c>
      <c r="L16">
        <v>0.35161090458488226</v>
      </c>
    </row>
    <row r="17" spans="2:12" ht="15" customHeight="1" x14ac:dyDescent="0.25">
      <c r="B17" s="542"/>
      <c r="C17" s="542" t="s">
        <v>220</v>
      </c>
      <c r="D17" t="s">
        <v>116</v>
      </c>
      <c r="E17">
        <f>MonthlyAvg!L59</f>
        <v>25</v>
      </c>
      <c r="F17">
        <f t="array" ref="F17:L17">MonthlyAvg!E59:K59</f>
        <v>60.7288</v>
      </c>
      <c r="G17">
        <v>6.8856000000000019</v>
      </c>
      <c r="H17">
        <v>2.4612000000000003</v>
      </c>
      <c r="I17">
        <v>17.491999999999997</v>
      </c>
      <c r="J17">
        <v>24.232000000000006</v>
      </c>
      <c r="K17">
        <v>9.3468000000000018</v>
      </c>
      <c r="L17">
        <v>0.35744161728825369</v>
      </c>
    </row>
    <row r="18" spans="2:12" ht="15" customHeight="1" x14ac:dyDescent="0.25">
      <c r="B18" s="542"/>
      <c r="C18" s="542"/>
      <c r="D18" t="s">
        <v>124</v>
      </c>
      <c r="E18">
        <f>MonthlyAvg!L113</f>
        <v>42</v>
      </c>
      <c r="F18">
        <f t="array" ref="F18:L18">MonthlyAvg!E113:K113</f>
        <v>59.806428571428555</v>
      </c>
      <c r="G18">
        <v>7.5530952380952368</v>
      </c>
      <c r="H18">
        <v>2.8571428571428572</v>
      </c>
      <c r="I18">
        <v>7.4838709677419351</v>
      </c>
      <c r="J18">
        <v>42.362903225806448</v>
      </c>
      <c r="K18">
        <v>10.410238095238094</v>
      </c>
      <c r="L18">
        <v>0.37827443810484512</v>
      </c>
    </row>
    <row r="19" spans="2:12" x14ac:dyDescent="0.25">
      <c r="B19" s="542"/>
      <c r="C19" s="542"/>
      <c r="D19" s="542"/>
      <c r="E19" s="542"/>
      <c r="F19" s="542"/>
      <c r="G19" s="542"/>
      <c r="H19" s="542"/>
      <c r="I19" s="542"/>
      <c r="J19" s="542"/>
      <c r="K19" s="542"/>
      <c r="L19" s="542"/>
    </row>
    <row r="20" spans="2:12" x14ac:dyDescent="0.25">
      <c r="E20" t="s">
        <v>210</v>
      </c>
      <c r="F20" t="s">
        <v>18</v>
      </c>
      <c r="G20" t="s">
        <v>19</v>
      </c>
      <c r="H20" t="s">
        <v>20</v>
      </c>
      <c r="I20" t="s">
        <v>35</v>
      </c>
      <c r="J20" t="s">
        <v>36</v>
      </c>
      <c r="K20" t="s">
        <v>114</v>
      </c>
      <c r="L20" t="s">
        <v>115</v>
      </c>
    </row>
    <row r="21" spans="2:12" x14ac:dyDescent="0.25">
      <c r="B21" s="542" t="s">
        <v>219</v>
      </c>
      <c r="C21" s="542" t="s">
        <v>37</v>
      </c>
      <c r="D21" t="s">
        <v>116</v>
      </c>
      <c r="F21">
        <f t="array" ref="F21:J21">Norm!B11:F11</f>
        <v>60.5</v>
      </c>
      <c r="G21">
        <v>5.5</v>
      </c>
      <c r="H21">
        <v>2.5</v>
      </c>
      <c r="I21">
        <v>10</v>
      </c>
      <c r="J21">
        <v>10</v>
      </c>
      <c r="K21">
        <f>G21+H21</f>
        <v>8</v>
      </c>
      <c r="L21">
        <f>H21/G21</f>
        <v>0.45454545454545453</v>
      </c>
    </row>
    <row r="22" spans="2:12" x14ac:dyDescent="0.25">
      <c r="B22" s="542"/>
      <c r="C22" s="542"/>
      <c r="D22" t="s">
        <v>124</v>
      </c>
      <c r="F22">
        <f t="array" ref="F22:J22">Norm!B21:F21</f>
        <v>59.6</v>
      </c>
      <c r="G22">
        <v>7</v>
      </c>
      <c r="H22">
        <v>3</v>
      </c>
      <c r="I22">
        <v>7</v>
      </c>
      <c r="J22">
        <v>40</v>
      </c>
      <c r="K22">
        <f>G22+H22</f>
        <v>10</v>
      </c>
      <c r="L22">
        <f>H22/G22</f>
        <v>0.42857142857142855</v>
      </c>
    </row>
    <row r="23" spans="2:12" ht="15" customHeight="1" x14ac:dyDescent="0.25">
      <c r="B23" s="542"/>
      <c r="C23" s="542" t="s">
        <v>3</v>
      </c>
      <c r="D23" t="s">
        <v>116</v>
      </c>
      <c r="E23">
        <f>MonthlyAvg!L15</f>
        <v>14</v>
      </c>
      <c r="F23">
        <f t="array" ref="F23:L23">MonthlyAvg!E15:K15</f>
        <v>61.344285714285711</v>
      </c>
      <c r="G23">
        <v>5.6949999999999994</v>
      </c>
      <c r="H23">
        <v>2.6485714285714286</v>
      </c>
      <c r="I23">
        <v>14.242857142857142</v>
      </c>
      <c r="J23">
        <v>28.307142857142857</v>
      </c>
      <c r="K23">
        <v>8.343571428571428</v>
      </c>
      <c r="L23">
        <v>0.4650696099335257</v>
      </c>
    </row>
    <row r="24" spans="2:12" ht="15" customHeight="1" x14ac:dyDescent="0.25">
      <c r="B24" s="542"/>
      <c r="C24" s="542"/>
      <c r="D24" t="s">
        <v>124</v>
      </c>
      <c r="E24">
        <f>MonthlyAvg!L69</f>
        <v>36</v>
      </c>
      <c r="F24">
        <f t="array" ref="F24:L24">MonthlyAvg!E69:K69</f>
        <v>60.853888888888882</v>
      </c>
      <c r="G24">
        <v>6.4233333333333356</v>
      </c>
      <c r="H24">
        <v>2.8255555555555554</v>
      </c>
      <c r="I24">
        <v>5.4533333333333331</v>
      </c>
      <c r="J24">
        <v>40.379999999999995</v>
      </c>
      <c r="K24">
        <v>9.2488888888888905</v>
      </c>
      <c r="L24">
        <v>0.43988929250994618</v>
      </c>
    </row>
    <row r="25" spans="2:12" ht="15" customHeight="1" x14ac:dyDescent="0.25">
      <c r="B25" s="542"/>
      <c r="C25" s="542" t="s">
        <v>4</v>
      </c>
      <c r="D25" t="s">
        <v>116</v>
      </c>
      <c r="E25">
        <f>MonthlyAvg!L24</f>
        <v>2</v>
      </c>
      <c r="F25">
        <f t="array" ref="F25:L25">MonthlyAvg!E24:K24</f>
        <v>59.8</v>
      </c>
      <c r="G25">
        <v>4.1500000000000004</v>
      </c>
      <c r="H25">
        <v>4.2</v>
      </c>
      <c r="I25">
        <v>15.3</v>
      </c>
      <c r="J25">
        <v>16.75</v>
      </c>
      <c r="K25">
        <v>8.3500000000000014</v>
      </c>
      <c r="L25">
        <v>1.0120481927710843</v>
      </c>
    </row>
    <row r="26" spans="2:12" ht="15" customHeight="1" x14ac:dyDescent="0.25">
      <c r="B26" s="542"/>
      <c r="C26" s="542"/>
      <c r="D26" t="s">
        <v>124</v>
      </c>
      <c r="E26">
        <f>MonthlyAvg!L78</f>
        <v>0</v>
      </c>
      <c r="F26">
        <f t="array" ref="F26:L26">MonthlyAvg!E78:K78</f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</row>
    <row r="27" spans="2:12" ht="15" customHeight="1" x14ac:dyDescent="0.25">
      <c r="B27" s="542"/>
      <c r="C27" s="542" t="s">
        <v>5</v>
      </c>
      <c r="D27" t="s">
        <v>116</v>
      </c>
      <c r="E27">
        <f>MonthlyAvg!L33</f>
        <v>0</v>
      </c>
      <c r="F27">
        <f t="array" ref="F27:L27">MonthlyAvg!E33:K33</f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</row>
    <row r="28" spans="2:12" ht="15" customHeight="1" x14ac:dyDescent="0.25">
      <c r="B28" s="542"/>
      <c r="C28" s="542"/>
      <c r="D28" t="s">
        <v>124</v>
      </c>
      <c r="E28">
        <f>MonthlyAvg!L87</f>
        <v>5</v>
      </c>
      <c r="F28">
        <f t="array" ref="F28:L28">MonthlyAvg!E87:K87</f>
        <v>59.54</v>
      </c>
      <c r="G28">
        <v>6.2200000000000006</v>
      </c>
      <c r="H28">
        <v>3.4200000000000004</v>
      </c>
      <c r="I28">
        <v>6.25</v>
      </c>
      <c r="J28">
        <v>39.5</v>
      </c>
      <c r="K28">
        <v>9.64</v>
      </c>
      <c r="L28">
        <v>0.54983922829581999</v>
      </c>
    </row>
    <row r="29" spans="2:12" ht="15" customHeight="1" x14ac:dyDescent="0.25">
      <c r="B29" s="542"/>
      <c r="C29" s="542" t="s">
        <v>30</v>
      </c>
      <c r="D29" t="s">
        <v>116</v>
      </c>
      <c r="E29">
        <f>MonthlyAvg!L42</f>
        <v>0</v>
      </c>
      <c r="F29">
        <f t="array" ref="F29:L29">MonthlyAvg!E42:K42</f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</row>
    <row r="30" spans="2:12" ht="15" customHeight="1" x14ac:dyDescent="0.25">
      <c r="B30" s="542"/>
      <c r="C30" s="542"/>
      <c r="D30" t="s">
        <v>124</v>
      </c>
      <c r="E30">
        <f>MonthlyAvg!L96</f>
        <v>1</v>
      </c>
      <c r="F30">
        <f t="array" ref="F30:L30">MonthlyAvg!E96:K96</f>
        <v>59.02</v>
      </c>
      <c r="G30">
        <v>8.77</v>
      </c>
      <c r="H30">
        <v>2.9</v>
      </c>
      <c r="I30">
        <v>6.1643835616438354</v>
      </c>
      <c r="J30">
        <v>46.575342465753415</v>
      </c>
      <c r="K30">
        <v>11.67</v>
      </c>
      <c r="L30">
        <v>0.33067274800456103</v>
      </c>
    </row>
    <row r="31" spans="2:12" ht="15.75" customHeight="1" x14ac:dyDescent="0.25">
      <c r="B31" s="542"/>
      <c r="C31" s="542" t="s">
        <v>60</v>
      </c>
      <c r="D31" t="s">
        <v>116</v>
      </c>
      <c r="E31">
        <f>MonthlyAvg!L51</f>
        <v>0</v>
      </c>
      <c r="F31">
        <f t="array" ref="F31:L31">MonthlyAvg!E51:K51</f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</row>
    <row r="32" spans="2:12" ht="15.75" customHeight="1" x14ac:dyDescent="0.25">
      <c r="B32" s="542"/>
      <c r="C32" s="542"/>
      <c r="D32" t="s">
        <v>124</v>
      </c>
      <c r="E32">
        <f>MonthlyAvg!L105</f>
        <v>0</v>
      </c>
      <c r="F32">
        <f t="array" ref="F32:L32">MonthlyAvg!E105:K105</f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</row>
    <row r="33" spans="2:12" ht="15.75" customHeight="1" x14ac:dyDescent="0.25">
      <c r="B33" s="542"/>
      <c r="C33" s="542" t="s">
        <v>220</v>
      </c>
      <c r="D33" t="s">
        <v>116</v>
      </c>
      <c r="E33">
        <f>MonthlyAvg!L60</f>
        <v>16</v>
      </c>
      <c r="F33">
        <f t="array" ref="F33:L33">MonthlyAvg!E60:K60</f>
        <v>61.15124999999999</v>
      </c>
      <c r="G33">
        <v>5.5018750000000001</v>
      </c>
      <c r="H33">
        <v>2.8425000000000002</v>
      </c>
      <c r="I33">
        <v>14.375</v>
      </c>
      <c r="J33">
        <v>26.862499999999997</v>
      </c>
      <c r="K33">
        <v>8.3443749999999994</v>
      </c>
      <c r="L33">
        <v>0.51664205384528006</v>
      </c>
    </row>
    <row r="34" spans="2:12" ht="15.75" customHeight="1" x14ac:dyDescent="0.25">
      <c r="B34" s="542"/>
      <c r="C34" s="542"/>
      <c r="D34" t="s">
        <v>124</v>
      </c>
      <c r="E34">
        <f>MonthlyAvg!L114</f>
        <v>42</v>
      </c>
      <c r="F34">
        <f t="array" ref="F34:L34">MonthlyAvg!E114:K114</f>
        <v>60.653809523809514</v>
      </c>
      <c r="G34">
        <v>6.4550000000000018</v>
      </c>
      <c r="H34">
        <v>2.8980952380952383</v>
      </c>
      <c r="I34">
        <v>5.6032455216016848</v>
      </c>
      <c r="J34">
        <v>40.482897787144353</v>
      </c>
      <c r="K34">
        <v>9.3530952380952392</v>
      </c>
      <c r="L34">
        <v>0.44896905315185709</v>
      </c>
    </row>
    <row r="35" spans="2:12" ht="15" customHeight="1" x14ac:dyDescent="0.25">
      <c r="B35" s="542"/>
      <c r="C35" s="542"/>
      <c r="D35" s="542"/>
      <c r="E35" s="542"/>
      <c r="F35" s="542"/>
      <c r="G35" s="542"/>
      <c r="H35" s="542"/>
      <c r="I35" s="542"/>
      <c r="J35" s="542"/>
      <c r="K35" s="542"/>
      <c r="L35" s="542"/>
    </row>
    <row r="36" spans="2:12" ht="15.75" customHeight="1" x14ac:dyDescent="0.25">
      <c r="E36" t="s">
        <v>210</v>
      </c>
      <c r="F36" t="s">
        <v>18</v>
      </c>
      <c r="G36" t="s">
        <v>19</v>
      </c>
      <c r="H36" t="s">
        <v>20</v>
      </c>
      <c r="I36" t="s">
        <v>35</v>
      </c>
      <c r="J36" t="s">
        <v>36</v>
      </c>
      <c r="K36" t="s">
        <v>114</v>
      </c>
      <c r="L36" t="s">
        <v>115</v>
      </c>
    </row>
    <row r="37" spans="2:12" ht="15.75" customHeight="1" x14ac:dyDescent="0.25">
      <c r="B37" s="542" t="s">
        <v>104</v>
      </c>
      <c r="C37" s="542" t="s">
        <v>37</v>
      </c>
      <c r="D37" t="s">
        <v>116</v>
      </c>
      <c r="F37">
        <f t="array" ref="F37:J37">Norm!B7:F7</f>
        <v>62.5</v>
      </c>
      <c r="G37">
        <v>3.3</v>
      </c>
      <c r="H37">
        <v>2.2000000000000002</v>
      </c>
      <c r="I37">
        <v>10</v>
      </c>
      <c r="J37">
        <v>10</v>
      </c>
      <c r="K37">
        <f>G37+H37</f>
        <v>5.5</v>
      </c>
      <c r="L37">
        <f>H37/G37</f>
        <v>0.66666666666666674</v>
      </c>
    </row>
    <row r="38" spans="2:12" ht="15.75" customHeight="1" x14ac:dyDescent="0.25">
      <c r="B38" s="542"/>
      <c r="C38" s="542"/>
      <c r="D38" t="s">
        <v>124</v>
      </c>
      <c r="F38">
        <f t="array" ref="F38:J38">Norm!B17:F17</f>
        <v>62.1</v>
      </c>
      <c r="G38">
        <v>3.7</v>
      </c>
      <c r="H38">
        <v>2.5</v>
      </c>
      <c r="I38">
        <v>7</v>
      </c>
      <c r="J38">
        <v>40</v>
      </c>
      <c r="K38">
        <f>G38+H38</f>
        <v>6.2</v>
      </c>
      <c r="L38">
        <f>H38/G38</f>
        <v>0.67567567567567566</v>
      </c>
    </row>
    <row r="39" spans="2:12" ht="16.5" customHeight="1" x14ac:dyDescent="0.25">
      <c r="B39" s="542"/>
      <c r="C39" s="542" t="s">
        <v>3</v>
      </c>
      <c r="D39" t="s">
        <v>116</v>
      </c>
      <c r="E39">
        <f>MonthlyAvg!L16</f>
        <v>16</v>
      </c>
      <c r="F39">
        <f t="array" ref="F39:L39">MonthlyAvg!E16:K16</f>
        <v>62.184375000000003</v>
      </c>
      <c r="G39">
        <v>4.4949999999999992</v>
      </c>
      <c r="H39">
        <v>2.6937500000000005</v>
      </c>
      <c r="I39">
        <v>15.949999999999998</v>
      </c>
      <c r="J39">
        <v>25.637499999999999</v>
      </c>
      <c r="K39">
        <v>7.1887499999999998</v>
      </c>
      <c r="L39">
        <v>0.59927697441601802</v>
      </c>
    </row>
    <row r="40" spans="2:12" ht="15.75" customHeight="1" x14ac:dyDescent="0.25">
      <c r="B40" s="542"/>
      <c r="C40" s="542"/>
      <c r="D40" t="s">
        <v>124</v>
      </c>
      <c r="E40">
        <f>MonthlyAvg!L70</f>
        <v>14</v>
      </c>
      <c r="F40">
        <f t="array" ref="F40:L40">MonthlyAvg!E70:K70</f>
        <v>61.571428571428577</v>
      </c>
      <c r="G40">
        <v>5.1778571428571434</v>
      </c>
      <c r="H40">
        <v>2.9707142857142856</v>
      </c>
      <c r="I40">
        <v>5.9444444444444455</v>
      </c>
      <c r="J40">
        <v>40.611111111111114</v>
      </c>
      <c r="K40">
        <v>8.1485714285714295</v>
      </c>
      <c r="L40">
        <v>0.57373430818043858</v>
      </c>
    </row>
    <row r="41" spans="2:12" ht="15" customHeight="1" x14ac:dyDescent="0.25">
      <c r="B41" s="542"/>
      <c r="C41" s="542" t="s">
        <v>4</v>
      </c>
      <c r="D41" t="s">
        <v>116</v>
      </c>
      <c r="E41">
        <f>MonthlyAvg!L25</f>
        <v>47</v>
      </c>
      <c r="F41">
        <f t="array" ref="F41:L41">MonthlyAvg!E25:K25</f>
        <v>62.106382978723403</v>
      </c>
      <c r="G41">
        <v>3.2765957446808516</v>
      </c>
      <c r="H41">
        <v>2.05531914893617</v>
      </c>
      <c r="I41">
        <v>14.48936170212766</v>
      </c>
      <c r="J41">
        <v>15.340425531914891</v>
      </c>
      <c r="K41">
        <v>5.3319148936170215</v>
      </c>
      <c r="L41">
        <v>0.62727272727272709</v>
      </c>
    </row>
    <row r="42" spans="2:12" ht="15" customHeight="1" x14ac:dyDescent="0.25">
      <c r="B42" s="542"/>
      <c r="C42" s="542"/>
      <c r="D42" t="s">
        <v>124</v>
      </c>
      <c r="E42">
        <f>MonthlyAvg!L79</f>
        <v>51</v>
      </c>
      <c r="F42">
        <f t="array" ref="F42:L42">MonthlyAvg!E79:K79</f>
        <v>61.849019607843125</v>
      </c>
      <c r="G42">
        <v>3.7803921568627454</v>
      </c>
      <c r="H42">
        <v>2.3568627450980388</v>
      </c>
      <c r="I42">
        <v>10.5</v>
      </c>
      <c r="J42">
        <v>38.954901960784319</v>
      </c>
      <c r="K42">
        <v>6.1372549019607838</v>
      </c>
      <c r="L42">
        <v>0.62344398340248952</v>
      </c>
    </row>
    <row r="43" spans="2:12" ht="15" customHeight="1" x14ac:dyDescent="0.25">
      <c r="B43" s="542"/>
      <c r="C43" s="542" t="s">
        <v>5</v>
      </c>
      <c r="D43" t="s">
        <v>116</v>
      </c>
      <c r="E43">
        <f>MonthlyAvg!L34</f>
        <v>0</v>
      </c>
      <c r="F43">
        <f t="array" ref="F43:L43">MonthlyAvg!E34:K34</f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</row>
    <row r="44" spans="2:12" ht="15" customHeight="1" x14ac:dyDescent="0.25">
      <c r="B44" s="542"/>
      <c r="C44" s="542"/>
      <c r="D44" t="s">
        <v>124</v>
      </c>
      <c r="E44">
        <f>MonthlyAvg!L88</f>
        <v>0</v>
      </c>
      <c r="F44">
        <f t="array" ref="F44:L44">MonthlyAvg!E88:K88</f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</row>
    <row r="45" spans="2:12" ht="15" customHeight="1" x14ac:dyDescent="0.25">
      <c r="B45" s="542"/>
      <c r="C45" s="542" t="s">
        <v>30</v>
      </c>
      <c r="D45" t="s">
        <v>116</v>
      </c>
      <c r="E45">
        <f>MonthlyAvg!L43</f>
        <v>9</v>
      </c>
      <c r="F45">
        <f t="array" ref="F45:L45">MonthlyAvg!E43:K43</f>
        <v>63.485444444444447</v>
      </c>
      <c r="G45">
        <v>2.5433333333333334</v>
      </c>
      <c r="H45">
        <v>2.201111111111111</v>
      </c>
      <c r="I45">
        <v>8.4457707574712391</v>
      </c>
      <c r="J45">
        <v>7.6297832020723586</v>
      </c>
      <c r="K45">
        <v>4.7444444444444445</v>
      </c>
      <c r="L45">
        <v>0.86544342507645255</v>
      </c>
    </row>
    <row r="46" spans="2:12" ht="15" customHeight="1" x14ac:dyDescent="0.25">
      <c r="B46" s="542"/>
      <c r="C46" s="542"/>
      <c r="D46" t="s">
        <v>124</v>
      </c>
      <c r="E46">
        <f>MonthlyAvg!L97</f>
        <v>7</v>
      </c>
      <c r="F46">
        <f t="array" ref="F46:L46">MonthlyAvg!E97:K97</f>
        <v>62.584428571428575</v>
      </c>
      <c r="G46">
        <v>4.0628571428571423</v>
      </c>
      <c r="H46">
        <v>1.9471428571428571</v>
      </c>
      <c r="I46">
        <v>8.6114006387819551</v>
      </c>
      <c r="J46">
        <v>39.636722239433176</v>
      </c>
      <c r="K46">
        <v>6.01</v>
      </c>
      <c r="L46">
        <v>0.47925457102672298</v>
      </c>
    </row>
    <row r="47" spans="2:12" ht="15" customHeight="1" x14ac:dyDescent="0.25">
      <c r="B47" s="542"/>
      <c r="C47" s="542" t="s">
        <v>60</v>
      </c>
      <c r="D47" t="s">
        <v>116</v>
      </c>
      <c r="E47">
        <f>MonthlyAvg!L52</f>
        <v>0</v>
      </c>
      <c r="F47">
        <f t="array" ref="F47:L47">MonthlyAvg!E52:K52</f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</row>
    <row r="48" spans="2:12" ht="15" customHeight="1" x14ac:dyDescent="0.25">
      <c r="B48" s="542"/>
      <c r="C48" s="542"/>
      <c r="D48" t="s">
        <v>124</v>
      </c>
      <c r="E48">
        <f>MonthlyAvg!L106</f>
        <v>1</v>
      </c>
      <c r="F48">
        <f t="array" ref="F48:L48">MonthlyAvg!E106:K106</f>
        <v>65.78</v>
      </c>
      <c r="G48">
        <v>1.99</v>
      </c>
      <c r="H48">
        <v>1.51</v>
      </c>
      <c r="I48">
        <v>0</v>
      </c>
      <c r="J48">
        <v>64.5</v>
      </c>
      <c r="K48">
        <v>3.5</v>
      </c>
      <c r="L48">
        <v>0.75879396984924619</v>
      </c>
    </row>
    <row r="49" spans="2:12" ht="15" customHeight="1" x14ac:dyDescent="0.25">
      <c r="B49" s="542"/>
      <c r="C49" s="542" t="s">
        <v>220</v>
      </c>
      <c r="D49" t="s">
        <v>116</v>
      </c>
      <c r="E49">
        <f>MonthlyAvg!L61</f>
        <v>72</v>
      </c>
      <c r="F49">
        <f t="array" ref="F49:L49">MonthlyAvg!E61:K61</f>
        <v>62.296097222222215</v>
      </c>
      <c r="G49">
        <v>3.4556944444444446</v>
      </c>
      <c r="H49">
        <v>2.2154166666666661</v>
      </c>
      <c r="I49">
        <v>14.058499122461681</v>
      </c>
      <c r="J49">
        <v>16.664834011370157</v>
      </c>
      <c r="K49">
        <v>5.6711111111111112</v>
      </c>
      <c r="L49">
        <v>0.64109159599694532</v>
      </c>
    </row>
    <row r="50" spans="2:12" ht="15" customHeight="1" x14ac:dyDescent="0.25">
      <c r="B50" s="542"/>
      <c r="C50" s="542"/>
      <c r="D50" t="s">
        <v>124</v>
      </c>
      <c r="E50">
        <f>MonthlyAvg!L115</f>
        <v>73</v>
      </c>
      <c r="F50">
        <f t="array" ref="F50:L50">MonthlyAvg!E115:K115</f>
        <v>61.920150684931471</v>
      </c>
      <c r="G50">
        <v>4.0509589041095877</v>
      </c>
      <c r="H50">
        <v>2.4236986301369869</v>
      </c>
      <c r="I50">
        <v>9.5482324186981433</v>
      </c>
      <c r="J50">
        <v>39.619956701118127</v>
      </c>
      <c r="K50">
        <v>6.4746575342465746</v>
      </c>
      <c r="L50">
        <v>0.59830244826186973</v>
      </c>
    </row>
    <row r="51" spans="2:12" ht="15.75" customHeight="1" x14ac:dyDescent="0.25">
      <c r="B51" s="542"/>
      <c r="C51" s="542"/>
      <c r="D51" s="542"/>
      <c r="E51" s="542"/>
      <c r="F51" s="542"/>
      <c r="G51" s="542"/>
      <c r="H51" s="542"/>
      <c r="I51" s="542"/>
      <c r="J51" s="542"/>
      <c r="K51" s="542"/>
      <c r="L51" s="542"/>
    </row>
    <row r="52" spans="2:12" ht="15" customHeight="1" x14ac:dyDescent="0.25">
      <c r="E52" t="s">
        <v>210</v>
      </c>
      <c r="F52" t="s">
        <v>18</v>
      </c>
      <c r="G52" t="s">
        <v>19</v>
      </c>
      <c r="H52" t="s">
        <v>20</v>
      </c>
      <c r="I52" t="s">
        <v>35</v>
      </c>
      <c r="J52" t="s">
        <v>36</v>
      </c>
      <c r="K52" t="s">
        <v>114</v>
      </c>
      <c r="L52" t="s">
        <v>115</v>
      </c>
    </row>
    <row r="53" spans="2:12" ht="15" customHeight="1" x14ac:dyDescent="0.25">
      <c r="B53" s="542" t="s">
        <v>113</v>
      </c>
      <c r="C53" s="542" t="s">
        <v>37</v>
      </c>
      <c r="D53" t="s">
        <v>116</v>
      </c>
      <c r="F53">
        <f t="array" ref="F53:J53">Norm!B8:F8</f>
        <v>62.4</v>
      </c>
      <c r="G53">
        <v>3.6</v>
      </c>
      <c r="H53">
        <v>2.2000000000000002</v>
      </c>
      <c r="I53">
        <v>10</v>
      </c>
      <c r="J53">
        <v>10</v>
      </c>
      <c r="K53">
        <f>G53+H53</f>
        <v>5.8000000000000007</v>
      </c>
      <c r="L53">
        <f>H53/G53</f>
        <v>0.61111111111111116</v>
      </c>
    </row>
    <row r="54" spans="2:12" ht="15" customHeight="1" x14ac:dyDescent="0.25">
      <c r="B54" s="542"/>
      <c r="C54" s="542"/>
      <c r="D54" t="s">
        <v>124</v>
      </c>
      <c r="F54">
        <f t="array" ref="F54:J54">Norm!B18:F18</f>
        <v>61.5</v>
      </c>
      <c r="G54">
        <v>3.8</v>
      </c>
      <c r="H54">
        <v>2.6</v>
      </c>
      <c r="I54">
        <v>7</v>
      </c>
      <c r="J54">
        <v>40</v>
      </c>
      <c r="K54">
        <f>G54+H54</f>
        <v>6.4</v>
      </c>
      <c r="L54">
        <f>H54/G54</f>
        <v>0.68421052631578949</v>
      </c>
    </row>
    <row r="55" spans="2:12" ht="15" customHeight="1" x14ac:dyDescent="0.25">
      <c r="B55" s="542"/>
      <c r="C55" s="542" t="s">
        <v>3</v>
      </c>
      <c r="D55" t="s">
        <v>116</v>
      </c>
      <c r="E55">
        <f>MonthlyAvg!L20</f>
        <v>1</v>
      </c>
      <c r="F55">
        <f t="array" ref="F55:L55">MonthlyAvg!E20:K20</f>
        <v>61.53</v>
      </c>
      <c r="G55">
        <v>5.55</v>
      </c>
      <c r="H55">
        <v>2.78</v>
      </c>
      <c r="I55">
        <v>10.3</v>
      </c>
      <c r="J55">
        <v>32.5</v>
      </c>
      <c r="K55">
        <v>8.33</v>
      </c>
      <c r="L55">
        <v>0.50090090090090089</v>
      </c>
    </row>
    <row r="56" spans="2:12" ht="15" customHeight="1" x14ac:dyDescent="0.25">
      <c r="B56" s="542"/>
      <c r="C56" s="542"/>
      <c r="D56" t="s">
        <v>124</v>
      </c>
      <c r="E56">
        <f>MonthlyAvg!L74</f>
        <v>11</v>
      </c>
      <c r="F56">
        <f t="array" ref="F56:L56">MonthlyAvg!E74:K74</f>
        <v>60.900909090909089</v>
      </c>
      <c r="G56">
        <v>6.0720000000000001</v>
      </c>
      <c r="H56">
        <v>2.9790909090909086</v>
      </c>
      <c r="I56">
        <v>3.5800000000000005</v>
      </c>
      <c r="J56">
        <v>45.400000000000006</v>
      </c>
      <c r="K56">
        <v>9.0510909090909095</v>
      </c>
      <c r="L56">
        <v>0.49062762007426031</v>
      </c>
    </row>
    <row r="57" spans="2:12" ht="15" customHeight="1" x14ac:dyDescent="0.25">
      <c r="B57" s="542"/>
      <c r="C57" s="542" t="s">
        <v>4</v>
      </c>
      <c r="D57" t="s">
        <v>116</v>
      </c>
      <c r="E57">
        <f>MonthlyAvg!L29</f>
        <v>2</v>
      </c>
      <c r="F57">
        <f t="array" ref="F57:L57">MonthlyAvg!E29:K29</f>
        <v>59.4</v>
      </c>
      <c r="G57">
        <v>8.5500000000000007</v>
      </c>
      <c r="H57">
        <v>1.8</v>
      </c>
      <c r="I57">
        <v>5.2</v>
      </c>
      <c r="J57">
        <v>14.85</v>
      </c>
      <c r="K57">
        <v>10.350000000000001</v>
      </c>
      <c r="L57">
        <v>0.21052631578947367</v>
      </c>
    </row>
    <row r="58" spans="2:12" ht="15" customHeight="1" x14ac:dyDescent="0.25">
      <c r="B58" s="542"/>
      <c r="C58" s="542"/>
      <c r="D58" t="s">
        <v>124</v>
      </c>
      <c r="E58">
        <f>MonthlyAvg!L83</f>
        <v>4</v>
      </c>
      <c r="F58">
        <f t="array" ref="F58:L58">MonthlyAvg!E83:K83</f>
        <v>62</v>
      </c>
      <c r="G58">
        <v>4.9000000000000004</v>
      </c>
      <c r="H58">
        <v>2.0499999999999998</v>
      </c>
      <c r="I58">
        <v>4.375</v>
      </c>
      <c r="J58">
        <v>53.724999999999994</v>
      </c>
      <c r="K58">
        <v>6.95</v>
      </c>
      <c r="L58">
        <v>0.41836734693877542</v>
      </c>
    </row>
    <row r="59" spans="2:12" ht="15" customHeight="1" x14ac:dyDescent="0.25">
      <c r="B59" s="542"/>
      <c r="C59" t="s">
        <v>5</v>
      </c>
      <c r="D59" t="s">
        <v>116</v>
      </c>
      <c r="E59">
        <f>MonthlyAvg!L38</f>
        <v>0</v>
      </c>
      <c r="F59">
        <f t="array" ref="F59:L59">MonthlyAvg!E38:K38</f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</row>
    <row r="60" spans="2:12" ht="15" customHeight="1" x14ac:dyDescent="0.25">
      <c r="B60" s="542"/>
      <c r="D60" t="s">
        <v>124</v>
      </c>
      <c r="E60">
        <f>MonthlyAvg!L92</f>
        <v>0</v>
      </c>
      <c r="F60">
        <f t="array" ref="F60:L60">MonthlyAvg!E92:K92</f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</row>
    <row r="61" spans="2:12" ht="15" customHeight="1" x14ac:dyDescent="0.25">
      <c r="B61" s="542"/>
      <c r="C61" s="542" t="s">
        <v>30</v>
      </c>
      <c r="D61" t="s">
        <v>116</v>
      </c>
      <c r="E61">
        <f>MonthlyAvg!L47</f>
        <v>27</v>
      </c>
      <c r="F61">
        <f t="array" ref="F61:L61">MonthlyAvg!E47:K47</f>
        <v>63.105777777777796</v>
      </c>
      <c r="G61">
        <v>3.6866666666666656</v>
      </c>
      <c r="H61">
        <v>1.6955555555555553</v>
      </c>
      <c r="I61">
        <v>2.3511520408535906</v>
      </c>
      <c r="J61">
        <v>7.5700841118260254</v>
      </c>
      <c r="K61">
        <v>5.3822222222222207</v>
      </c>
      <c r="L61">
        <v>0.45991561181434604</v>
      </c>
    </row>
    <row r="62" spans="2:12" ht="15" customHeight="1" x14ac:dyDescent="0.25">
      <c r="B62" s="542"/>
      <c r="C62" s="542"/>
      <c r="D62" t="s">
        <v>124</v>
      </c>
      <c r="E62">
        <f>MonthlyAvg!L101</f>
        <v>69</v>
      </c>
      <c r="F62">
        <f t="array" ref="F62:L62">MonthlyAvg!E101:K101</f>
        <v>61.738159420289854</v>
      </c>
      <c r="G62">
        <v>4.9388405797101456</v>
      </c>
      <c r="H62">
        <v>2.5240579710144928</v>
      </c>
      <c r="I62">
        <v>6.6093237567324072</v>
      </c>
      <c r="J62">
        <v>45.112185089480768</v>
      </c>
      <c r="K62">
        <v>7.4628985507246384</v>
      </c>
      <c r="L62">
        <v>0.51106285580139676</v>
      </c>
    </row>
    <row r="63" spans="2:12" ht="15.75" customHeight="1" x14ac:dyDescent="0.25">
      <c r="B63" s="542"/>
      <c r="C63" s="542" t="s">
        <v>60</v>
      </c>
      <c r="D63" t="s">
        <v>116</v>
      </c>
      <c r="E63">
        <f>MonthlyAvg!L56</f>
        <v>0</v>
      </c>
      <c r="F63">
        <f t="array" ref="F63:L63">MonthlyAvg!E56:K56</f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</row>
    <row r="64" spans="2:12" ht="15.75" customHeight="1" x14ac:dyDescent="0.25">
      <c r="B64" s="542"/>
      <c r="C64" s="542"/>
      <c r="D64" t="s">
        <v>124</v>
      </c>
      <c r="E64">
        <f>MonthlyAvg!L110</f>
        <v>0</v>
      </c>
      <c r="F64">
        <f t="array" ref="F64:L64">MonthlyAvg!E110:K110</f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</row>
    <row r="65" spans="2:12" ht="15.75" customHeight="1" x14ac:dyDescent="0.25">
      <c r="B65" s="542"/>
      <c r="C65" s="542" t="s">
        <v>220</v>
      </c>
      <c r="D65" t="s">
        <v>116</v>
      </c>
      <c r="E65">
        <f>MonthlyAvg!L65</f>
        <v>30</v>
      </c>
      <c r="F65">
        <f t="array" ref="F65:L65">MonthlyAvg!E65:K65</f>
        <v>62.806200000000004</v>
      </c>
      <c r="G65">
        <v>4.0729999999999995</v>
      </c>
      <c r="H65">
        <v>1.7386666666666664</v>
      </c>
      <c r="I65">
        <v>2.8060368367682318</v>
      </c>
      <c r="J65">
        <v>8.8864090339767561</v>
      </c>
      <c r="K65">
        <v>5.8116666666666656</v>
      </c>
      <c r="L65">
        <v>0.42687617644651771</v>
      </c>
    </row>
    <row r="66" spans="2:12" ht="15.75" customHeight="1" x14ac:dyDescent="0.25">
      <c r="B66" s="542"/>
      <c r="C66" s="542"/>
      <c r="D66" t="s">
        <v>124</v>
      </c>
      <c r="E66">
        <f>MonthlyAvg!L119</f>
        <v>84</v>
      </c>
      <c r="F66">
        <f t="array" ref="F66:L66">MonthlyAvg!E119:K119</f>
        <v>61.640988095238129</v>
      </c>
      <c r="G66">
        <v>5.0853809523809526</v>
      </c>
      <c r="H66">
        <v>2.5610714285714287</v>
      </c>
      <c r="I66">
        <v>6.1366667375245321</v>
      </c>
      <c r="J66">
        <v>45.561937002098475</v>
      </c>
      <c r="K66">
        <v>7.6464523809523808</v>
      </c>
      <c r="L66">
        <v>0.50361446911314411</v>
      </c>
    </row>
    <row r="67" spans="2:12" ht="15" customHeight="1" x14ac:dyDescent="0.25">
      <c r="C67" s="542"/>
      <c r="D67" s="542"/>
      <c r="E67" s="542"/>
      <c r="F67" s="542"/>
      <c r="G67" s="542"/>
      <c r="H67" s="542"/>
      <c r="I67" s="542"/>
      <c r="J67" s="542"/>
      <c r="K67" s="542"/>
      <c r="L67" s="542"/>
    </row>
    <row r="68" spans="2:12" x14ac:dyDescent="0.25">
      <c r="E68" t="s">
        <v>210</v>
      </c>
      <c r="F68" t="s">
        <v>18</v>
      </c>
      <c r="G68" t="s">
        <v>19</v>
      </c>
      <c r="H68" t="s">
        <v>20</v>
      </c>
      <c r="I68" t="s">
        <v>35</v>
      </c>
      <c r="J68" t="s">
        <v>36</v>
      </c>
      <c r="K68" t="s">
        <v>114</v>
      </c>
      <c r="L68" t="s">
        <v>115</v>
      </c>
    </row>
    <row r="69" spans="2:12" x14ac:dyDescent="0.25">
      <c r="B69" s="542" t="s">
        <v>105</v>
      </c>
      <c r="C69" s="542" t="s">
        <v>37</v>
      </c>
      <c r="D69" t="s">
        <v>116</v>
      </c>
      <c r="F69">
        <f t="array" ref="F69:J69">Norm!B6:F6</f>
        <v>62</v>
      </c>
      <c r="G69">
        <v>3.5</v>
      </c>
      <c r="H69">
        <v>3</v>
      </c>
      <c r="I69">
        <v>10</v>
      </c>
      <c r="J69">
        <v>10</v>
      </c>
      <c r="K69">
        <f>G69+H69</f>
        <v>6.5</v>
      </c>
      <c r="L69">
        <f>H69/G69</f>
        <v>0.8571428571428571</v>
      </c>
    </row>
    <row r="70" spans="2:12" x14ac:dyDescent="0.25">
      <c r="B70" s="542"/>
      <c r="C70" s="542"/>
      <c r="D70" t="s">
        <v>124</v>
      </c>
      <c r="F70">
        <f t="array" ref="F70:J70">Norm!B16:F16</f>
        <v>61</v>
      </c>
      <c r="G70">
        <v>3.9</v>
      </c>
      <c r="H70">
        <v>3.6</v>
      </c>
      <c r="I70">
        <v>7</v>
      </c>
      <c r="J70">
        <v>40</v>
      </c>
      <c r="K70">
        <f>G70+H70</f>
        <v>7.5</v>
      </c>
      <c r="L70">
        <f>H70/G70</f>
        <v>0.92307692307692313</v>
      </c>
    </row>
    <row r="71" spans="2:12" ht="15" customHeight="1" x14ac:dyDescent="0.25">
      <c r="B71" s="542"/>
      <c r="C71" s="542" t="s">
        <v>3</v>
      </c>
      <c r="D71" t="s">
        <v>116</v>
      </c>
      <c r="E71">
        <f>MonthlyAvg!L18</f>
        <v>0</v>
      </c>
      <c r="F71">
        <f t="array" ref="F71:L71">MonthlyAvg!E18:K18</f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</row>
    <row r="72" spans="2:12" ht="15" customHeight="1" x14ac:dyDescent="0.25">
      <c r="B72" s="542"/>
      <c r="C72" s="542"/>
      <c r="D72" t="s">
        <v>124</v>
      </c>
      <c r="E72">
        <f>MonthlyAvg!L72</f>
        <v>2</v>
      </c>
      <c r="F72">
        <f t="array" ref="F72:L72">MonthlyAvg!E117:K117</f>
        <v>59.684285714285707</v>
      </c>
      <c r="G72">
        <v>5.3457142857142861</v>
      </c>
      <c r="H72">
        <v>4.4514285714285711</v>
      </c>
      <c r="I72">
        <v>4.2</v>
      </c>
      <c r="J72">
        <v>41.550000000000004</v>
      </c>
      <c r="K72">
        <v>9.7971428571428572</v>
      </c>
      <c r="L72">
        <v>0.83270978086584702</v>
      </c>
    </row>
    <row r="73" spans="2:12" ht="15" customHeight="1" x14ac:dyDescent="0.25">
      <c r="B73" s="542"/>
      <c r="C73" s="542" t="s">
        <v>4</v>
      </c>
      <c r="D73" t="s">
        <v>116</v>
      </c>
      <c r="E73">
        <f>MonthlyAvg!L27</f>
        <v>0</v>
      </c>
      <c r="F73">
        <f t="array" ref="F73:L73">MonthlyAvg!E27:K27</f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</row>
    <row r="74" spans="2:12" ht="15" customHeight="1" x14ac:dyDescent="0.25">
      <c r="B74" s="542"/>
      <c r="C74" s="542"/>
      <c r="D74" t="s">
        <v>124</v>
      </c>
      <c r="E74">
        <f>MonthlyAvg!L81</f>
        <v>0</v>
      </c>
      <c r="F74">
        <f t="array" ref="F74:L74">MonthlyAvg!E81:K81</f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</row>
    <row r="75" spans="2:12" ht="15" customHeight="1" x14ac:dyDescent="0.25">
      <c r="B75" s="542"/>
      <c r="C75" s="542" t="s">
        <v>5</v>
      </c>
      <c r="D75" t="s">
        <v>116</v>
      </c>
      <c r="E75">
        <f>MonthlyAvg!L36</f>
        <v>25</v>
      </c>
      <c r="F75">
        <f t="array" ref="F75:L75">MonthlyAvg!E36:K36</f>
        <v>61.08</v>
      </c>
      <c r="G75">
        <v>4.0519999999999996</v>
      </c>
      <c r="H75">
        <v>3.5959999999999992</v>
      </c>
      <c r="I75">
        <v>9.24</v>
      </c>
      <c r="J75">
        <v>20.52</v>
      </c>
      <c r="K75">
        <v>7.6479999999999988</v>
      </c>
      <c r="L75">
        <v>0.88746298124383005</v>
      </c>
    </row>
    <row r="76" spans="2:12" ht="15" customHeight="1" x14ac:dyDescent="0.25">
      <c r="B76" s="542"/>
      <c r="C76" s="542"/>
      <c r="D76" t="s">
        <v>124</v>
      </c>
      <c r="E76">
        <f>MonthlyAvg!L90</f>
        <v>5</v>
      </c>
      <c r="F76">
        <f t="array" ref="F76:L76">MonthlyAvg!E90:K90</f>
        <v>59.48</v>
      </c>
      <c r="G76">
        <v>5.5000000000000009</v>
      </c>
      <c r="H76">
        <v>4.26</v>
      </c>
      <c r="I76">
        <v>4</v>
      </c>
      <c r="J76">
        <v>40.799999999999997</v>
      </c>
      <c r="K76">
        <v>9.7600000000000016</v>
      </c>
      <c r="L76">
        <v>0.77454545454545443</v>
      </c>
    </row>
    <row r="77" spans="2:12" ht="15" customHeight="1" x14ac:dyDescent="0.25">
      <c r="B77" s="542"/>
      <c r="C77" s="542" t="s">
        <v>30</v>
      </c>
      <c r="D77" t="s">
        <v>116</v>
      </c>
      <c r="E77">
        <f>MonthlyAvg!L45</f>
        <v>2</v>
      </c>
      <c r="F77">
        <f t="array" ref="F77:L77">MonthlyAvg!E45:K45</f>
        <v>59.814999999999998</v>
      </c>
      <c r="G77">
        <v>3.8600000000000003</v>
      </c>
      <c r="H77">
        <v>6.8550000000000004</v>
      </c>
      <c r="I77">
        <v>4.2261904761904754</v>
      </c>
      <c r="J77">
        <v>10.715</v>
      </c>
      <c r="K77">
        <v>10.715</v>
      </c>
      <c r="L77">
        <v>1.7759067357512952</v>
      </c>
    </row>
    <row r="78" spans="2:12" ht="15" customHeight="1" x14ac:dyDescent="0.25">
      <c r="B78" s="542"/>
      <c r="C78" s="542"/>
      <c r="D78" t="s">
        <v>124</v>
      </c>
      <c r="E78">
        <f>MonthlyAvg!L99</f>
        <v>0</v>
      </c>
      <c r="F78">
        <f t="array" ref="F78:L78">MonthlyAvg!E99:K99</f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</row>
    <row r="79" spans="2:12" ht="15" customHeight="1" x14ac:dyDescent="0.25">
      <c r="B79" s="542"/>
      <c r="C79" s="542" t="s">
        <v>60</v>
      </c>
      <c r="D79" t="s">
        <v>116</v>
      </c>
      <c r="E79">
        <f>MonthlyAvg!L54</f>
        <v>0</v>
      </c>
      <c r="F79">
        <f t="array" ref="F79:L79">MonthlyAvg!E54:K54</f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</row>
    <row r="80" spans="2:12" ht="15" customHeight="1" x14ac:dyDescent="0.25">
      <c r="B80" s="542"/>
      <c r="C80" s="542"/>
      <c r="D80" t="s">
        <v>124</v>
      </c>
      <c r="E80">
        <f>MonthlyAvg!L108</f>
        <v>0</v>
      </c>
      <c r="F80">
        <f t="array" ref="F80:L80">MonthlyAvg!E108:K108</f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</row>
    <row r="81" spans="2:12" ht="15" customHeight="1" x14ac:dyDescent="0.25">
      <c r="B81" s="542"/>
      <c r="C81" s="542" t="s">
        <v>220</v>
      </c>
      <c r="D81" t="s">
        <v>116</v>
      </c>
      <c r="E81">
        <f>MonthlyAvg!L63</f>
        <v>27</v>
      </c>
      <c r="F81">
        <f t="array" ref="F81:L81">MonthlyAvg!E63:K63</f>
        <v>60.986296296296302</v>
      </c>
      <c r="G81">
        <v>4.0377777777777775</v>
      </c>
      <c r="H81">
        <v>3.8374074074074076</v>
      </c>
      <c r="I81">
        <v>8.8686067019400365</v>
      </c>
      <c r="J81">
        <v>19.793703703703706</v>
      </c>
      <c r="K81">
        <v>7.8751851851851846</v>
      </c>
      <c r="L81">
        <v>0.95037607778389299</v>
      </c>
    </row>
    <row r="82" spans="2:12" ht="15" customHeight="1" x14ac:dyDescent="0.25">
      <c r="B82" s="542"/>
      <c r="C82" s="542"/>
      <c r="D82" t="s">
        <v>124</v>
      </c>
      <c r="E82">
        <f>MonthlyAvg!L117</f>
        <v>7</v>
      </c>
      <c r="F82">
        <f t="array" ref="F82:L82">MonthlyAvg!E117:K117</f>
        <v>59.684285714285707</v>
      </c>
      <c r="G82">
        <v>5.3457142857142861</v>
      </c>
      <c r="H82">
        <v>4.4514285714285711</v>
      </c>
      <c r="I82">
        <v>4.2</v>
      </c>
      <c r="J82">
        <v>41.550000000000004</v>
      </c>
      <c r="K82">
        <v>9.7971428571428572</v>
      </c>
      <c r="L82">
        <v>0.83270978086584702</v>
      </c>
    </row>
    <row r="83" spans="2:12" x14ac:dyDescent="0.25">
      <c r="B83" s="542"/>
      <c r="C83" s="542"/>
      <c r="D83" s="542"/>
      <c r="E83" s="542"/>
      <c r="F83" s="542"/>
      <c r="G83" s="542"/>
      <c r="H83" s="542"/>
      <c r="I83" s="542"/>
      <c r="J83" s="542"/>
      <c r="K83" s="542"/>
      <c r="L83" s="542"/>
    </row>
    <row r="84" spans="2:12" x14ac:dyDescent="0.25">
      <c r="E84" t="s">
        <v>210</v>
      </c>
      <c r="F84" t="s">
        <v>18</v>
      </c>
      <c r="G84" t="s">
        <v>19</v>
      </c>
      <c r="H84" t="s">
        <v>20</v>
      </c>
      <c r="I84" t="s">
        <v>35</v>
      </c>
      <c r="J84" t="s">
        <v>36</v>
      </c>
      <c r="K84" t="s">
        <v>114</v>
      </c>
      <c r="L84" t="s">
        <v>115</v>
      </c>
    </row>
    <row r="85" spans="2:12" x14ac:dyDescent="0.25">
      <c r="B85" s="542" t="s">
        <v>146</v>
      </c>
      <c r="C85" s="542" t="s">
        <v>37</v>
      </c>
      <c r="D85" t="s">
        <v>116</v>
      </c>
    </row>
    <row r="86" spans="2:12" x14ac:dyDescent="0.25">
      <c r="B86" s="542"/>
      <c r="C86" s="542"/>
      <c r="D86" t="s">
        <v>124</v>
      </c>
    </row>
    <row r="87" spans="2:12" ht="15" customHeight="1" x14ac:dyDescent="0.25">
      <c r="B87" s="542"/>
      <c r="C87" s="542" t="s">
        <v>3</v>
      </c>
      <c r="D87" t="s">
        <v>116</v>
      </c>
      <c r="E87">
        <f>MonthlyAvg!L17</f>
        <v>0</v>
      </c>
      <c r="F87">
        <f t="array" ref="F87:L87">MonthlyAvg!E17:K17</f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</row>
    <row r="88" spans="2:12" ht="15" customHeight="1" x14ac:dyDescent="0.25">
      <c r="B88" s="542"/>
      <c r="C88" s="542"/>
      <c r="D88" t="s">
        <v>124</v>
      </c>
      <c r="E88">
        <f>MonthlyAvg!L71</f>
        <v>0</v>
      </c>
      <c r="F88">
        <f t="array" ref="F88:L88">MonthlyAvg!E71:K71</f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</row>
    <row r="89" spans="2:12" ht="15" customHeight="1" x14ac:dyDescent="0.25">
      <c r="B89" s="542"/>
      <c r="C89" s="542" t="s">
        <v>4</v>
      </c>
      <c r="D89" t="s">
        <v>116</v>
      </c>
      <c r="E89">
        <f>MonthlyAvg!L26</f>
        <v>0</v>
      </c>
      <c r="F89">
        <f t="array" ref="F89:L89">MonthlyAvg!E26:K26</f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</row>
    <row r="90" spans="2:12" ht="15" customHeight="1" x14ac:dyDescent="0.25">
      <c r="B90" s="542"/>
      <c r="C90" s="542"/>
      <c r="D90" t="s">
        <v>124</v>
      </c>
      <c r="E90">
        <f>MonthlyAvg!L80</f>
        <v>0</v>
      </c>
      <c r="F90">
        <f t="array" ref="F90:L90">MonthlyAvg!E80:K80</f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</row>
    <row r="91" spans="2:12" ht="15" customHeight="1" x14ac:dyDescent="0.25">
      <c r="B91" s="542"/>
      <c r="C91" s="542" t="s">
        <v>5</v>
      </c>
      <c r="D91" t="s">
        <v>116</v>
      </c>
      <c r="E91">
        <f>MonthlyAvg!L35</f>
        <v>12</v>
      </c>
      <c r="F91">
        <f t="array" ref="F91:L91">MonthlyAvg!E35:K35</f>
        <v>62.625000000000007</v>
      </c>
      <c r="G91">
        <v>2.6416666666666666</v>
      </c>
      <c r="H91">
        <v>2.9416666666666669</v>
      </c>
      <c r="I91">
        <v>4.833333333333333</v>
      </c>
      <c r="J91">
        <v>14.75</v>
      </c>
      <c r="K91">
        <v>5.5833333333333339</v>
      </c>
      <c r="L91">
        <v>1.1135646687697163</v>
      </c>
    </row>
    <row r="92" spans="2:12" ht="15" customHeight="1" x14ac:dyDescent="0.25">
      <c r="B92" s="542"/>
      <c r="C92" s="542"/>
      <c r="D92" t="s">
        <v>124</v>
      </c>
      <c r="E92">
        <f>MonthlyAvg!L89</f>
        <v>26</v>
      </c>
      <c r="F92">
        <f t="array" ref="F92:L92">MonthlyAvg!E89:K89</f>
        <v>62.280769230769231</v>
      </c>
      <c r="G92">
        <v>2.815384615384616</v>
      </c>
      <c r="H92">
        <v>2.9576923076923078</v>
      </c>
      <c r="I92">
        <v>5.8</v>
      </c>
      <c r="J92">
        <v>38.08</v>
      </c>
      <c r="K92">
        <v>5.7730769230769239</v>
      </c>
      <c r="L92">
        <v>1.0505464480874316</v>
      </c>
    </row>
    <row r="93" spans="2:12" ht="15" customHeight="1" x14ac:dyDescent="0.25">
      <c r="B93" s="542"/>
      <c r="C93" s="542" t="s">
        <v>30</v>
      </c>
      <c r="D93" t="s">
        <v>116</v>
      </c>
      <c r="E93">
        <f>MonthlyAvg!L44</f>
        <v>0</v>
      </c>
      <c r="F93">
        <f t="array" ref="F93:L93">MonthlyAvg!E44:K44</f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</row>
    <row r="94" spans="2:12" ht="15" customHeight="1" x14ac:dyDescent="0.25">
      <c r="B94" s="542"/>
      <c r="C94" s="542"/>
      <c r="D94" t="s">
        <v>124</v>
      </c>
      <c r="E94">
        <f>MonthlyAvg!L98</f>
        <v>0</v>
      </c>
      <c r="F94">
        <f t="array" ref="F94:L94">MonthlyAvg!E98:K98</f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</row>
    <row r="95" spans="2:12" ht="15.75" customHeight="1" x14ac:dyDescent="0.25">
      <c r="B95" s="542"/>
      <c r="C95" s="542" t="s">
        <v>60</v>
      </c>
      <c r="D95" t="s">
        <v>116</v>
      </c>
      <c r="E95">
        <f>MonthlyAvg!L53</f>
        <v>0</v>
      </c>
      <c r="F95">
        <f t="array" ref="F95:L95">MonthlyAvg!E53:K53</f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</row>
    <row r="96" spans="2:12" ht="15.75" customHeight="1" x14ac:dyDescent="0.25">
      <c r="B96" s="542"/>
      <c r="C96" s="542"/>
      <c r="D96" t="s">
        <v>124</v>
      </c>
      <c r="E96">
        <f>MonthlyAvg!L107</f>
        <v>0</v>
      </c>
      <c r="F96">
        <f t="array" ref="F96:L96">MonthlyAvg!E107:K107</f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</row>
    <row r="97" spans="2:12" ht="15.75" customHeight="1" x14ac:dyDescent="0.25">
      <c r="B97" s="542"/>
      <c r="C97" s="542" t="s">
        <v>220</v>
      </c>
      <c r="D97" t="s">
        <v>116</v>
      </c>
      <c r="E97">
        <f>MonthlyAvg!L62</f>
        <v>12</v>
      </c>
      <c r="F97">
        <f t="array" ref="F97:L97">MonthlyAvg!E62:K62</f>
        <v>62.625000000000007</v>
      </c>
      <c r="G97">
        <v>2.6416666666666666</v>
      </c>
      <c r="H97">
        <v>2.9416666666666669</v>
      </c>
      <c r="I97">
        <v>4.833333333333333</v>
      </c>
      <c r="J97">
        <v>14.75</v>
      </c>
      <c r="K97">
        <v>5.5833333333333339</v>
      </c>
      <c r="L97">
        <v>1.1135646687697163</v>
      </c>
    </row>
    <row r="98" spans="2:12" ht="15.75" customHeight="1" x14ac:dyDescent="0.25">
      <c r="B98" s="542"/>
      <c r="C98" s="542"/>
      <c r="D98" t="s">
        <v>124</v>
      </c>
      <c r="E98">
        <f>MonthlyAvg!L116</f>
        <v>26</v>
      </c>
      <c r="F98">
        <f t="array" ref="F98:L98">MonthlyAvg!E116:K116</f>
        <v>62.280769230769231</v>
      </c>
      <c r="G98">
        <v>2.815384615384616</v>
      </c>
      <c r="H98">
        <v>2.9576923076923078</v>
      </c>
      <c r="I98">
        <v>5.8</v>
      </c>
      <c r="J98">
        <v>38.08</v>
      </c>
      <c r="K98">
        <v>5.7730769230769239</v>
      </c>
      <c r="L98">
        <v>1.0505464480874316</v>
      </c>
    </row>
    <row r="99" spans="2:12" ht="15" customHeight="1" x14ac:dyDescent="0.25">
      <c r="B99" s="542"/>
      <c r="C99" s="542"/>
      <c r="D99" s="542"/>
      <c r="E99" s="542"/>
      <c r="F99" s="542"/>
      <c r="G99" s="542"/>
      <c r="H99" s="542"/>
      <c r="I99" s="542"/>
      <c r="J99" s="542"/>
      <c r="K99" s="542"/>
      <c r="L99" s="542"/>
    </row>
    <row r="100" spans="2:12" ht="15.75" customHeight="1" x14ac:dyDescent="0.25">
      <c r="E100" t="s">
        <v>210</v>
      </c>
      <c r="F100" t="s">
        <v>18</v>
      </c>
      <c r="G100" t="s">
        <v>19</v>
      </c>
      <c r="H100" t="s">
        <v>20</v>
      </c>
      <c r="I100" t="s">
        <v>35</v>
      </c>
      <c r="J100" t="s">
        <v>36</v>
      </c>
      <c r="K100" t="s">
        <v>114</v>
      </c>
      <c r="L100" t="s">
        <v>115</v>
      </c>
    </row>
    <row r="101" spans="2:12" ht="15.75" customHeight="1" x14ac:dyDescent="0.25">
      <c r="B101" s="542" t="s">
        <v>106</v>
      </c>
      <c r="C101" s="542" t="s">
        <v>37</v>
      </c>
      <c r="D101" t="s">
        <v>116</v>
      </c>
      <c r="F101">
        <f t="array" ref="F101:J101">Norm!B9:F9</f>
        <v>63</v>
      </c>
      <c r="G101">
        <v>2.5</v>
      </c>
      <c r="H101">
        <v>2.2999999999999998</v>
      </c>
      <c r="I101">
        <v>5</v>
      </c>
      <c r="J101">
        <v>10</v>
      </c>
      <c r="K101">
        <f>G101+H101</f>
        <v>4.8</v>
      </c>
      <c r="L101">
        <f>H101/G101</f>
        <v>0.91999999999999993</v>
      </c>
    </row>
    <row r="102" spans="2:12" ht="15.75" customHeight="1" x14ac:dyDescent="0.25">
      <c r="B102" s="542"/>
      <c r="C102" s="542"/>
      <c r="D102" t="s">
        <v>124</v>
      </c>
      <c r="F102">
        <f t="array" ref="F102:J102">Norm!B19:F19</f>
        <v>62.8</v>
      </c>
      <c r="G102">
        <v>2.8</v>
      </c>
      <c r="H102">
        <v>2.4</v>
      </c>
      <c r="I102">
        <v>7</v>
      </c>
      <c r="J102">
        <v>40</v>
      </c>
      <c r="K102">
        <f>G102+H102</f>
        <v>5.1999999999999993</v>
      </c>
      <c r="L102">
        <f>H102/G102</f>
        <v>0.85714285714285721</v>
      </c>
    </row>
    <row r="103" spans="2:12" ht="16.5" customHeight="1" x14ac:dyDescent="0.25">
      <c r="B103" s="542"/>
      <c r="C103" s="542" t="s">
        <v>3</v>
      </c>
      <c r="D103" t="s">
        <v>116</v>
      </c>
      <c r="E103">
        <f>MonthlyAvg!L19</f>
        <v>0</v>
      </c>
      <c r="F103">
        <f t="array" ref="F103:L103">MonthlyAvg!E19:K19</f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</row>
    <row r="104" spans="2:12" ht="15.75" customHeight="1" x14ac:dyDescent="0.25">
      <c r="B104" s="542"/>
      <c r="C104" s="542"/>
      <c r="D104" t="s">
        <v>124</v>
      </c>
      <c r="E104">
        <f>MonthlyAvg!L73</f>
        <v>0</v>
      </c>
      <c r="F104">
        <f t="array" ref="F104:L104">MonthlyAvg!E73:K73</f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</row>
    <row r="105" spans="2:12" ht="15" customHeight="1" x14ac:dyDescent="0.25">
      <c r="B105" s="542"/>
      <c r="C105" s="542" t="s">
        <v>4</v>
      </c>
      <c r="D105" t="s">
        <v>116</v>
      </c>
      <c r="E105">
        <f>MonthlyAvg!L28</f>
        <v>0</v>
      </c>
      <c r="F105">
        <f t="array" ref="F105:L105">MonthlyAvg!E28:K28+MonthlyAvg!E28:K28</f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</row>
    <row r="106" spans="2:12" ht="15" customHeight="1" x14ac:dyDescent="0.25">
      <c r="B106" s="542"/>
      <c r="C106" s="542"/>
      <c r="D106" t="s">
        <v>124</v>
      </c>
      <c r="E106">
        <f>MonthlyAvg!L82</f>
        <v>0</v>
      </c>
      <c r="F106">
        <f t="array" ref="F106:L106">MonthlyAvg!E82:K82</f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</row>
    <row r="107" spans="2:12" ht="15" customHeight="1" x14ac:dyDescent="0.25">
      <c r="B107" s="542"/>
      <c r="C107" s="542" t="s">
        <v>5</v>
      </c>
      <c r="D107" t="s">
        <v>116</v>
      </c>
      <c r="E107">
        <f>MonthlyAvg!L37</f>
        <v>28</v>
      </c>
      <c r="F107">
        <f t="array" ref="F107:L107">MonthlyAvg!E37:K37</f>
        <v>63.153571428571425</v>
      </c>
      <c r="G107">
        <v>2.3142857142857141</v>
      </c>
      <c r="H107">
        <v>2.4142857142857141</v>
      </c>
      <c r="I107">
        <v>2.7142857142857144</v>
      </c>
      <c r="J107">
        <v>13.678571428571429</v>
      </c>
      <c r="K107">
        <v>4.7285714285714278</v>
      </c>
      <c r="L107">
        <v>1.0432098765432098</v>
      </c>
    </row>
    <row r="108" spans="2:12" ht="15" customHeight="1" x14ac:dyDescent="0.25">
      <c r="B108" s="542"/>
      <c r="C108" s="542"/>
      <c r="D108" t="s">
        <v>124</v>
      </c>
      <c r="E108">
        <f>MonthlyAvg!L91</f>
        <v>55</v>
      </c>
      <c r="F108">
        <f t="array" ref="F108:L108">MonthlyAvg!E91:K91</f>
        <v>62.860000000000028</v>
      </c>
      <c r="G108">
        <v>2.4563636363636361</v>
      </c>
      <c r="H108">
        <v>2.4763636363636361</v>
      </c>
      <c r="I108">
        <v>3.5961538461538463</v>
      </c>
      <c r="J108">
        <v>39.57692307692308</v>
      </c>
      <c r="K108">
        <v>4.9327272727272717</v>
      </c>
      <c r="L108">
        <v>1.008142116950407</v>
      </c>
    </row>
    <row r="109" spans="2:12" ht="15" customHeight="1" x14ac:dyDescent="0.25">
      <c r="B109" s="542"/>
      <c r="C109" s="542" t="s">
        <v>30</v>
      </c>
      <c r="D109" t="s">
        <v>116</v>
      </c>
      <c r="E109">
        <f>MonthlyAvg!L46</f>
        <v>0</v>
      </c>
      <c r="F109">
        <f t="array" ref="F109:L109">MonthlyAvg!E46:K46</f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</row>
    <row r="110" spans="2:12" ht="15" customHeight="1" x14ac:dyDescent="0.25">
      <c r="B110" s="542"/>
      <c r="C110" s="542"/>
      <c r="D110" t="s">
        <v>124</v>
      </c>
      <c r="E110">
        <f>MonthlyAvg!L100</f>
        <v>0</v>
      </c>
      <c r="F110">
        <f t="array" ref="F110:L110">MonthlyAvg!E100:K100</f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</row>
    <row r="111" spans="2:12" ht="15" customHeight="1" x14ac:dyDescent="0.25">
      <c r="B111" s="542"/>
      <c r="C111" s="542" t="s">
        <v>60</v>
      </c>
      <c r="D111" t="s">
        <v>116</v>
      </c>
      <c r="E111">
        <f>MonthlyAvg!L55</f>
        <v>0</v>
      </c>
      <c r="F111">
        <f t="array" ref="F111:L111">MonthlyAvg!E55:K55</f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</row>
    <row r="112" spans="2:12" ht="15" customHeight="1" x14ac:dyDescent="0.25">
      <c r="B112" s="542"/>
      <c r="C112" s="542"/>
      <c r="D112" t="s">
        <v>124</v>
      </c>
      <c r="E112">
        <f>MonthlyAvg!L109</f>
        <v>1</v>
      </c>
      <c r="F112">
        <f t="array" ref="F112:L112">MonthlyAvg!E109:K109</f>
        <v>61.26</v>
      </c>
      <c r="G112">
        <v>4.1399999999999997</v>
      </c>
      <c r="H112">
        <v>3.97</v>
      </c>
      <c r="I112">
        <v>0</v>
      </c>
      <c r="J112">
        <v>42.7</v>
      </c>
      <c r="K112">
        <v>8.11</v>
      </c>
      <c r="L112">
        <v>0.958937198067633</v>
      </c>
    </row>
    <row r="113" spans="2:12" ht="15" customHeight="1" x14ac:dyDescent="0.25">
      <c r="B113" s="542"/>
      <c r="C113" s="542" t="s">
        <v>220</v>
      </c>
      <c r="D113" t="s">
        <v>116</v>
      </c>
      <c r="E113">
        <f>MonthlyAvg!L64</f>
        <v>28</v>
      </c>
      <c r="F113">
        <f t="array" ref="F113:L113">MonthlyAvg!E64:K64</f>
        <v>63.153571428571425</v>
      </c>
      <c r="G113">
        <v>2.3142857142857141</v>
      </c>
      <c r="H113">
        <v>2.4142857142857141</v>
      </c>
      <c r="I113">
        <v>2.7142857142857144</v>
      </c>
      <c r="J113">
        <v>13.678571428571429</v>
      </c>
      <c r="K113">
        <v>4.7285714285714278</v>
      </c>
      <c r="L113">
        <v>1.0432098765432098</v>
      </c>
    </row>
    <row r="114" spans="2:12" ht="15" customHeight="1" x14ac:dyDescent="0.25">
      <c r="B114" s="542"/>
      <c r="C114" s="542"/>
      <c r="D114" t="s">
        <v>124</v>
      </c>
      <c r="E114">
        <f>MonthlyAvg!L118</f>
        <v>56</v>
      </c>
      <c r="F114">
        <f t="array" ref="F114:L114">MonthlyAvg!E118:K118</f>
        <v>62.831428571428603</v>
      </c>
      <c r="G114">
        <v>2.4864285714285712</v>
      </c>
      <c r="H114">
        <v>2.5030357142857147</v>
      </c>
      <c r="I114">
        <v>3.5283018867924527</v>
      </c>
      <c r="J114">
        <v>39.635849056603767</v>
      </c>
      <c r="K114">
        <v>4.9894642857142859</v>
      </c>
      <c r="L114">
        <v>1.0066791151967829</v>
      </c>
    </row>
    <row r="115" spans="2:12" ht="15.75" customHeight="1" x14ac:dyDescent="0.25">
      <c r="B115" s="542"/>
      <c r="C115" s="542"/>
      <c r="D115" s="542"/>
      <c r="E115" s="542"/>
      <c r="F115" s="542"/>
      <c r="G115" s="542"/>
      <c r="H115" s="542"/>
      <c r="I115" s="542"/>
      <c r="J115" s="542"/>
      <c r="K115" s="542"/>
      <c r="L115" s="542"/>
    </row>
    <row r="116" spans="2:12" ht="15" customHeight="1" x14ac:dyDescent="0.25">
      <c r="E116" t="s">
        <v>210</v>
      </c>
      <c r="F116" t="s">
        <v>18</v>
      </c>
      <c r="G116" t="s">
        <v>19</v>
      </c>
      <c r="H116" t="s">
        <v>20</v>
      </c>
      <c r="I116" t="s">
        <v>35</v>
      </c>
      <c r="J116" t="s">
        <v>36</v>
      </c>
      <c r="K116" t="s">
        <v>114</v>
      </c>
      <c r="L116" t="s">
        <v>115</v>
      </c>
    </row>
    <row r="117" spans="2:12" ht="15" customHeight="1" x14ac:dyDescent="0.25">
      <c r="B117" s="542" t="s">
        <v>112</v>
      </c>
      <c r="C117" s="542" t="s">
        <v>37</v>
      </c>
      <c r="D117" t="s">
        <v>116</v>
      </c>
      <c r="F117">
        <f t="array" ref="F117:J117">Norm!B15:F15</f>
        <v>62.8</v>
      </c>
      <c r="G117">
        <v>3</v>
      </c>
      <c r="H117">
        <v>2.75</v>
      </c>
      <c r="I117">
        <v>10</v>
      </c>
      <c r="J117">
        <v>10</v>
      </c>
    </row>
    <row r="118" spans="2:12" ht="15" customHeight="1" x14ac:dyDescent="0.25">
      <c r="B118" s="542"/>
      <c r="C118" s="542"/>
      <c r="D118" t="s">
        <v>124</v>
      </c>
      <c r="F118">
        <f t="array" ref="F118:J118">Norm!B25:F25</f>
        <v>62.2</v>
      </c>
      <c r="G118">
        <v>3.25</v>
      </c>
      <c r="H118">
        <v>3</v>
      </c>
      <c r="I118">
        <v>5</v>
      </c>
      <c r="J118">
        <v>40</v>
      </c>
    </row>
    <row r="119" spans="2:12" ht="15" customHeight="1" x14ac:dyDescent="0.25">
      <c r="B119" s="542"/>
      <c r="C119" s="542" t="s">
        <v>3</v>
      </c>
      <c r="D119" t="s">
        <v>116</v>
      </c>
      <c r="E119">
        <f>MonthlyAvg!L21</f>
        <v>1</v>
      </c>
      <c r="F119">
        <f t="array" ref="F119:L119">MonthlyAvg!E21:K21</f>
        <v>63.57</v>
      </c>
      <c r="G119">
        <v>2.96</v>
      </c>
      <c r="H119">
        <v>2.38</v>
      </c>
      <c r="I119">
        <v>7.3</v>
      </c>
      <c r="J119">
        <v>10.199999999999999</v>
      </c>
      <c r="K119">
        <v>5.34</v>
      </c>
      <c r="L119">
        <v>0.80405405405405406</v>
      </c>
    </row>
    <row r="120" spans="2:12" ht="15" customHeight="1" x14ac:dyDescent="0.25">
      <c r="B120" s="542"/>
      <c r="C120" s="542"/>
      <c r="D120" t="s">
        <v>124</v>
      </c>
      <c r="E120">
        <f>MonthlyAvg!L75</f>
        <v>5</v>
      </c>
      <c r="F120">
        <f t="array" ref="F120:L120">MonthlyAvg!E75:K75</f>
        <v>63.148000000000003</v>
      </c>
      <c r="G120">
        <v>3.2480000000000002</v>
      </c>
      <c r="H120">
        <v>2.3660000000000001</v>
      </c>
      <c r="I120">
        <v>3.85</v>
      </c>
      <c r="J120">
        <v>32.875</v>
      </c>
      <c r="K120">
        <v>5.6140000000000008</v>
      </c>
      <c r="L120">
        <v>0.72844827586206895</v>
      </c>
    </row>
    <row r="121" spans="2:12" ht="15" customHeight="1" x14ac:dyDescent="0.25">
      <c r="B121" s="542"/>
      <c r="C121" s="542" t="s">
        <v>4</v>
      </c>
      <c r="D121" t="s">
        <v>116</v>
      </c>
      <c r="E121">
        <f>MonthlyAvg!L30</f>
        <v>0</v>
      </c>
      <c r="F121">
        <f t="array" ref="F121:L121">MonthlyAvg!E30:K30</f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</row>
    <row r="122" spans="2:12" ht="15" customHeight="1" x14ac:dyDescent="0.25">
      <c r="B122" s="542"/>
      <c r="C122" s="542"/>
      <c r="D122" t="s">
        <v>124</v>
      </c>
      <c r="E122">
        <f>MonthlyAvg!L84</f>
        <v>0</v>
      </c>
      <c r="F122">
        <f t="array" ref="F122:L122">MonthlyAvg!E84:K84</f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</row>
    <row r="123" spans="2:12" ht="15" customHeight="1" x14ac:dyDescent="0.25">
      <c r="B123" s="542"/>
      <c r="C123" s="542" t="s">
        <v>5</v>
      </c>
      <c r="D123" t="s">
        <v>116</v>
      </c>
      <c r="E123">
        <f>MonthlyAvg!L39</f>
        <v>0</v>
      </c>
      <c r="F123">
        <f t="array" ref="F123:L123">MonthlyAvg!E39:K39</f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</row>
    <row r="124" spans="2:12" ht="15" customHeight="1" x14ac:dyDescent="0.25">
      <c r="B124" s="542"/>
      <c r="C124" s="542"/>
      <c r="D124" t="s">
        <v>124</v>
      </c>
      <c r="E124">
        <f>MonthlyAvg!L93</f>
        <v>0</v>
      </c>
      <c r="F124">
        <f t="array" ref="F124:L124">MonthlyAvg!E93:K93</f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</row>
    <row r="125" spans="2:12" ht="15" customHeight="1" x14ac:dyDescent="0.25">
      <c r="B125" s="542"/>
      <c r="C125" s="542" t="s">
        <v>30</v>
      </c>
      <c r="D125" t="s">
        <v>116</v>
      </c>
      <c r="E125">
        <f>MonthlyAvg!L48</f>
        <v>0</v>
      </c>
      <c r="F125">
        <f t="array" ref="F125:L125">MonthlyAvg!E48:K48</f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</row>
    <row r="126" spans="2:12" ht="15" customHeight="1" x14ac:dyDescent="0.25">
      <c r="B126" s="542"/>
      <c r="C126" s="542"/>
      <c r="D126" t="s">
        <v>124</v>
      </c>
      <c r="E126">
        <f>MonthlyAvg!L102</f>
        <v>0</v>
      </c>
      <c r="F126">
        <f t="array" ref="F126:L126">MonthlyAvg!E102:K102</f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</row>
    <row r="127" spans="2:12" ht="15.75" customHeight="1" x14ac:dyDescent="0.25">
      <c r="B127" s="542"/>
      <c r="C127" s="542" t="s">
        <v>60</v>
      </c>
      <c r="D127" t="s">
        <v>116</v>
      </c>
      <c r="E127">
        <f>MonthlyAvg!L57</f>
        <v>0</v>
      </c>
      <c r="F127">
        <f t="array" ref="F127:L127">MonthlyAvg!E57:K57</f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</row>
    <row r="128" spans="2:12" ht="15.75" customHeight="1" x14ac:dyDescent="0.25">
      <c r="B128" s="542"/>
      <c r="C128" s="542"/>
      <c r="D128" t="s">
        <v>124</v>
      </c>
      <c r="E128">
        <f>MonthlyAvg!L111</f>
        <v>0</v>
      </c>
      <c r="F128">
        <f t="array" ref="F128:L128">MonthlyAvg!E111:K111</f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</row>
    <row r="129" spans="2:12" ht="15.75" customHeight="1" x14ac:dyDescent="0.25">
      <c r="B129" s="542"/>
      <c r="C129" s="542" t="s">
        <v>220</v>
      </c>
      <c r="D129" t="s">
        <v>116</v>
      </c>
      <c r="E129">
        <f>MonthlyAvg!L66</f>
        <v>1</v>
      </c>
      <c r="F129">
        <f t="array" ref="F129:L129">MonthlyAvg!E66:K66</f>
        <v>63.57</v>
      </c>
      <c r="G129">
        <v>2.96</v>
      </c>
      <c r="H129">
        <v>2.38</v>
      </c>
      <c r="I129">
        <v>7.3</v>
      </c>
      <c r="J129">
        <v>10.199999999999999</v>
      </c>
      <c r="K129">
        <v>5.34</v>
      </c>
      <c r="L129">
        <v>0.80405405405405406</v>
      </c>
    </row>
    <row r="130" spans="2:12" ht="15.75" customHeight="1" x14ac:dyDescent="0.25">
      <c r="B130" s="542"/>
      <c r="C130" s="542"/>
      <c r="D130" t="s">
        <v>124</v>
      </c>
      <c r="E130">
        <f>MonthlyAvg!L120</f>
        <v>5</v>
      </c>
      <c r="F130">
        <f t="array" ref="F130:L130">MonthlyAvg!E120:K120</f>
        <v>63.148000000000003</v>
      </c>
      <c r="G130">
        <v>3.2480000000000002</v>
      </c>
      <c r="H130">
        <v>2.3660000000000001</v>
      </c>
      <c r="I130">
        <v>3.85</v>
      </c>
      <c r="J130">
        <v>32.875</v>
      </c>
      <c r="K130">
        <v>5.6140000000000008</v>
      </c>
      <c r="L130">
        <v>0.72844827586206895</v>
      </c>
    </row>
  </sheetData>
  <mergeCells count="74">
    <mergeCell ref="C121:C122"/>
    <mergeCell ref="C123:C124"/>
    <mergeCell ref="C125:C126"/>
    <mergeCell ref="C127:C128"/>
    <mergeCell ref="C5:C6"/>
    <mergeCell ref="C23:C24"/>
    <mergeCell ref="C25:C26"/>
    <mergeCell ref="C27:C28"/>
    <mergeCell ref="C39:C40"/>
    <mergeCell ref="B115:L115"/>
    <mergeCell ref="C119:C120"/>
    <mergeCell ref="C11:C12"/>
    <mergeCell ref="C13:C14"/>
    <mergeCell ref="C15:C16"/>
    <mergeCell ref="B51:L51"/>
    <mergeCell ref="B37:B50"/>
    <mergeCell ref="C21:C22"/>
    <mergeCell ref="B19:L19"/>
    <mergeCell ref="B2:E2"/>
    <mergeCell ref="D3:E3"/>
    <mergeCell ref="F3:L3"/>
    <mergeCell ref="C7:C8"/>
    <mergeCell ref="C9:C10"/>
    <mergeCell ref="B5:B18"/>
    <mergeCell ref="F2:L2"/>
    <mergeCell ref="C17:C18"/>
    <mergeCell ref="C93:C94"/>
    <mergeCell ref="B21:B34"/>
    <mergeCell ref="B35:L35"/>
    <mergeCell ref="C33:C34"/>
    <mergeCell ref="C49:C50"/>
    <mergeCell ref="C37:C38"/>
    <mergeCell ref="C43:C44"/>
    <mergeCell ref="C53:C54"/>
    <mergeCell ref="C55:C56"/>
    <mergeCell ref="C41:C42"/>
    <mergeCell ref="C45:C46"/>
    <mergeCell ref="C47:C48"/>
    <mergeCell ref="C57:C58"/>
    <mergeCell ref="C61:C62"/>
    <mergeCell ref="C31:C32"/>
    <mergeCell ref="C29:C30"/>
    <mergeCell ref="C129:C130"/>
    <mergeCell ref="B117:B130"/>
    <mergeCell ref="B53:B66"/>
    <mergeCell ref="B85:B98"/>
    <mergeCell ref="C111:C112"/>
    <mergeCell ref="C113:C114"/>
    <mergeCell ref="B101:B114"/>
    <mergeCell ref="B83:L83"/>
    <mergeCell ref="B99:L99"/>
    <mergeCell ref="C95:C96"/>
    <mergeCell ref="B69:B82"/>
    <mergeCell ref="C69:C70"/>
    <mergeCell ref="C65:C66"/>
    <mergeCell ref="C71:C72"/>
    <mergeCell ref="C73:C74"/>
    <mergeCell ref="C75:C76"/>
    <mergeCell ref="C63:C64"/>
    <mergeCell ref="C117:C118"/>
    <mergeCell ref="C97:C98"/>
    <mergeCell ref="C101:C102"/>
    <mergeCell ref="C103:C104"/>
    <mergeCell ref="C105:C106"/>
    <mergeCell ref="C107:C108"/>
    <mergeCell ref="C109:C110"/>
    <mergeCell ref="C77:C78"/>
    <mergeCell ref="C79:C80"/>
    <mergeCell ref="C81:C82"/>
    <mergeCell ref="C67:L67"/>
    <mergeCell ref="C85:C86"/>
    <mergeCell ref="C87:C88"/>
    <mergeCell ref="C89:C90"/>
    <mergeCell ref="C91:C92"/>
  </mergeCells>
  <printOptions horizontalCentered="1" verticalCentered="1"/>
  <pageMargins left="0" right="0" top="0" bottom="0" header="0" footer="0"/>
  <pageSetup paperSize="9" scale="3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1:L121"/>
  <sheetViews>
    <sheetView tabSelected="1" topLeftCell="A60" workbookViewId="0">
      <selection activeCell="P70" sqref="P70"/>
    </sheetView>
  </sheetViews>
  <sheetFormatPr defaultRowHeight="12.5" x14ac:dyDescent="0.25"/>
  <cols>
    <col min="1" max="1" width="8.7265625" style="75"/>
    <col min="2" max="2" width="6.453125" bestFit="1" customWidth="1"/>
    <col min="3" max="3" width="5.54296875" bestFit="1" customWidth="1"/>
    <col min="4" max="4" width="12.36328125" hidden="1" customWidth="1"/>
    <col min="5" max="6" width="8.36328125" style="427" bestFit="1" customWidth="1"/>
    <col min="7" max="7" width="8.7265625" style="427" bestFit="1" customWidth="1"/>
    <col min="8" max="9" width="8.36328125" style="427" bestFit="1" customWidth="1"/>
    <col min="10" max="10" width="10.7265625" customWidth="1"/>
    <col min="11" max="11" width="9.90625" customWidth="1"/>
  </cols>
  <sheetData>
    <row r="11" spans="1:12" x14ac:dyDescent="0.25">
      <c r="C11" s="542"/>
      <c r="D11" s="542"/>
      <c r="E11" s="542"/>
      <c r="F11" s="542"/>
      <c r="G11" s="542"/>
      <c r="H11" s="542"/>
      <c r="I11" s="542"/>
      <c r="J11" s="542"/>
    </row>
    <row r="13" spans="1:12" x14ac:dyDescent="0.25">
      <c r="A13" s="76" t="s">
        <v>8</v>
      </c>
      <c r="B13" s="74" t="s">
        <v>16</v>
      </c>
      <c r="C13" s="74" t="s">
        <v>7</v>
      </c>
      <c r="D13" s="74" t="s">
        <v>17</v>
      </c>
      <c r="E13" s="534" t="s">
        <v>18</v>
      </c>
      <c r="F13" s="534" t="s">
        <v>19</v>
      </c>
      <c r="G13" s="534" t="s">
        <v>20</v>
      </c>
      <c r="H13" s="534" t="s">
        <v>21</v>
      </c>
      <c r="I13" s="534" t="s">
        <v>22</v>
      </c>
      <c r="J13" t="s">
        <v>110</v>
      </c>
      <c r="K13" t="s">
        <v>111</v>
      </c>
      <c r="L13" t="s">
        <v>147</v>
      </c>
    </row>
    <row r="14" spans="1:12" x14ac:dyDescent="0.25">
      <c r="A14" s="76" t="s">
        <v>0</v>
      </c>
      <c r="B14" s="74" t="s">
        <v>3</v>
      </c>
      <c r="C14" s="74" t="s">
        <v>27</v>
      </c>
      <c r="D14" s="74"/>
      <c r="E14" s="534">
        <v>60.7288</v>
      </c>
      <c r="F14" s="534">
        <v>6.8856000000000019</v>
      </c>
      <c r="G14" s="534">
        <v>2.4612000000000003</v>
      </c>
      <c r="H14" s="534">
        <v>17.491999999999997</v>
      </c>
      <c r="I14" s="534">
        <v>24.232000000000006</v>
      </c>
      <c r="J14" s="427">
        <v>9.3468000000000018</v>
      </c>
      <c r="K14" s="427">
        <v>0.35744161728825369</v>
      </c>
      <c r="L14">
        <v>25</v>
      </c>
    </row>
    <row r="15" spans="1:12" x14ac:dyDescent="0.25">
      <c r="A15" s="76" t="s">
        <v>0</v>
      </c>
      <c r="B15" s="74" t="s">
        <v>3</v>
      </c>
      <c r="C15" s="74" t="s">
        <v>2</v>
      </c>
      <c r="D15" s="74"/>
      <c r="E15" s="534">
        <v>61.344285714285711</v>
      </c>
      <c r="F15" s="534">
        <v>5.6949999999999994</v>
      </c>
      <c r="G15" s="534">
        <v>2.6485714285714286</v>
      </c>
      <c r="H15" s="534">
        <v>14.242857142857142</v>
      </c>
      <c r="I15" s="534">
        <v>28.307142857142857</v>
      </c>
      <c r="J15" s="427">
        <v>8.343571428571428</v>
      </c>
      <c r="K15" s="427">
        <v>0.4650696099335257</v>
      </c>
      <c r="L15">
        <v>14</v>
      </c>
    </row>
    <row r="16" spans="1:12" x14ac:dyDescent="0.25">
      <c r="A16" t="s">
        <v>0</v>
      </c>
      <c r="B16" t="s">
        <v>3</v>
      </c>
      <c r="C16" t="s">
        <v>11</v>
      </c>
      <c r="E16" s="427">
        <v>62.184375000000003</v>
      </c>
      <c r="F16" s="427">
        <v>4.4949999999999992</v>
      </c>
      <c r="G16" s="427">
        <v>2.6937500000000005</v>
      </c>
      <c r="H16" s="427">
        <v>15.949999999999998</v>
      </c>
      <c r="I16" s="427">
        <v>25.637499999999999</v>
      </c>
      <c r="J16" s="427">
        <v>7.1887499999999998</v>
      </c>
      <c r="K16" s="427">
        <v>0.59927697441601802</v>
      </c>
      <c r="L16">
        <v>16</v>
      </c>
    </row>
    <row r="17" spans="1:12" hidden="1" x14ac:dyDescent="0.25">
      <c r="A17" t="s">
        <v>0</v>
      </c>
      <c r="B17" t="s">
        <v>3</v>
      </c>
      <c r="C17" t="s">
        <v>146</v>
      </c>
      <c r="E17" s="427">
        <v>0</v>
      </c>
      <c r="F17" s="427">
        <v>0</v>
      </c>
      <c r="G17" s="427">
        <v>0</v>
      </c>
      <c r="H17" s="427">
        <v>0</v>
      </c>
      <c r="I17" s="427">
        <v>0</v>
      </c>
      <c r="J17" s="427">
        <v>0</v>
      </c>
      <c r="K17" s="427">
        <v>0</v>
      </c>
      <c r="L17">
        <v>0</v>
      </c>
    </row>
    <row r="18" spans="1:12" hidden="1" x14ac:dyDescent="0.25">
      <c r="A18" t="s">
        <v>0</v>
      </c>
      <c r="B18" t="s">
        <v>3</v>
      </c>
      <c r="C18" t="s">
        <v>10</v>
      </c>
      <c r="E18" s="427">
        <v>0</v>
      </c>
      <c r="F18" s="427">
        <v>0</v>
      </c>
      <c r="G18" s="427">
        <v>0</v>
      </c>
      <c r="H18" s="427">
        <v>0</v>
      </c>
      <c r="I18" s="427">
        <v>0</v>
      </c>
      <c r="J18" s="427">
        <v>0</v>
      </c>
      <c r="K18" s="427">
        <v>0</v>
      </c>
      <c r="L18">
        <v>0</v>
      </c>
    </row>
    <row r="19" spans="1:12" hidden="1" x14ac:dyDescent="0.25">
      <c r="A19" t="s">
        <v>0</v>
      </c>
      <c r="B19" t="s">
        <v>3</v>
      </c>
      <c r="C19" t="s">
        <v>31</v>
      </c>
      <c r="E19" s="427">
        <v>0</v>
      </c>
      <c r="F19" s="427">
        <v>0</v>
      </c>
      <c r="G19" s="427">
        <v>0</v>
      </c>
      <c r="H19" s="427">
        <v>0</v>
      </c>
      <c r="I19" s="427">
        <v>0</v>
      </c>
      <c r="J19" s="427">
        <v>0</v>
      </c>
      <c r="K19" s="427">
        <v>0</v>
      </c>
      <c r="L19">
        <v>0</v>
      </c>
    </row>
    <row r="20" spans="1:12" x14ac:dyDescent="0.25">
      <c r="A20" s="76" t="s">
        <v>0</v>
      </c>
      <c r="B20" s="74" t="s">
        <v>3</v>
      </c>
      <c r="C20" s="74" t="s">
        <v>9</v>
      </c>
      <c r="D20" s="74"/>
      <c r="E20" s="534">
        <v>61.53</v>
      </c>
      <c r="F20" s="534">
        <v>5.55</v>
      </c>
      <c r="G20" s="534">
        <v>2.78</v>
      </c>
      <c r="H20" s="534">
        <v>10.3</v>
      </c>
      <c r="I20" s="534">
        <v>32.5</v>
      </c>
      <c r="J20" s="427">
        <v>8.33</v>
      </c>
      <c r="K20" s="427">
        <v>0.50090090090090089</v>
      </c>
      <c r="L20">
        <v>1</v>
      </c>
    </row>
    <row r="21" spans="1:12" x14ac:dyDescent="0.25">
      <c r="A21" s="76" t="s">
        <v>0</v>
      </c>
      <c r="B21" s="74" t="s">
        <v>3</v>
      </c>
      <c r="C21" s="74" t="s">
        <v>44</v>
      </c>
      <c r="D21" s="74"/>
      <c r="E21" s="534">
        <v>63.57</v>
      </c>
      <c r="F21" s="534">
        <v>2.96</v>
      </c>
      <c r="G21" s="534">
        <v>2.38</v>
      </c>
      <c r="H21" s="534">
        <v>7.3</v>
      </c>
      <c r="I21" s="534">
        <v>10.199999999999999</v>
      </c>
      <c r="J21" s="427">
        <v>5.34</v>
      </c>
      <c r="K21" s="427">
        <v>0.80405405405405406</v>
      </c>
      <c r="L21">
        <v>1</v>
      </c>
    </row>
    <row r="22" spans="1:12" x14ac:dyDescent="0.25">
      <c r="A22" t="s">
        <v>0</v>
      </c>
      <c r="B22" t="s">
        <v>3</v>
      </c>
      <c r="C22" t="s">
        <v>48</v>
      </c>
      <c r="E22" s="427">
        <v>61.352456140350874</v>
      </c>
      <c r="F22" s="427">
        <v>5.8298245614035098</v>
      </c>
      <c r="G22" s="427">
        <v>2.5766666666666658</v>
      </c>
      <c r="H22" s="427">
        <v>15.956140350877195</v>
      </c>
      <c r="I22" s="427">
        <v>25.526315789473685</v>
      </c>
      <c r="J22" s="427">
        <v>8.4064912280701751</v>
      </c>
      <c r="K22" s="427">
        <v>0.44198013842913009</v>
      </c>
      <c r="L22">
        <v>57</v>
      </c>
    </row>
    <row r="23" spans="1:12" hidden="1" x14ac:dyDescent="0.25">
      <c r="A23" t="s">
        <v>0</v>
      </c>
      <c r="B23" t="s">
        <v>4</v>
      </c>
      <c r="C23" t="s">
        <v>27</v>
      </c>
      <c r="E23" s="427">
        <v>0</v>
      </c>
      <c r="F23" s="427">
        <v>0</v>
      </c>
      <c r="G23" s="427">
        <v>0</v>
      </c>
      <c r="H23" s="427">
        <v>0</v>
      </c>
      <c r="I23" s="427">
        <v>0</v>
      </c>
      <c r="J23" s="427">
        <v>0</v>
      </c>
      <c r="K23" s="427">
        <v>0</v>
      </c>
      <c r="L23">
        <v>0</v>
      </c>
    </row>
    <row r="24" spans="1:12" x14ac:dyDescent="0.25">
      <c r="A24" t="s">
        <v>0</v>
      </c>
      <c r="B24" t="s">
        <v>4</v>
      </c>
      <c r="C24" t="s">
        <v>2</v>
      </c>
      <c r="E24" s="427">
        <v>59.8</v>
      </c>
      <c r="F24" s="427">
        <v>4.1500000000000004</v>
      </c>
      <c r="G24" s="427">
        <v>4.2</v>
      </c>
      <c r="H24" s="427">
        <v>15.3</v>
      </c>
      <c r="I24" s="427">
        <v>16.75</v>
      </c>
      <c r="J24" s="427">
        <v>8.3500000000000014</v>
      </c>
      <c r="K24" s="427">
        <v>1.0120481927710843</v>
      </c>
      <c r="L24">
        <v>2</v>
      </c>
    </row>
    <row r="25" spans="1:12" x14ac:dyDescent="0.25">
      <c r="A25" t="s">
        <v>0</v>
      </c>
      <c r="B25" t="s">
        <v>4</v>
      </c>
      <c r="C25" t="s">
        <v>11</v>
      </c>
      <c r="E25" s="427">
        <v>62.106382978723403</v>
      </c>
      <c r="F25" s="427">
        <v>3.2765957446808516</v>
      </c>
      <c r="G25" s="427">
        <v>2.05531914893617</v>
      </c>
      <c r="H25" s="427">
        <v>14.48936170212766</v>
      </c>
      <c r="I25" s="427">
        <v>15.340425531914891</v>
      </c>
      <c r="J25" s="427">
        <v>5.3319148936170215</v>
      </c>
      <c r="K25" s="427">
        <v>0.62727272727272709</v>
      </c>
      <c r="L25">
        <v>47</v>
      </c>
    </row>
    <row r="26" spans="1:12" hidden="1" x14ac:dyDescent="0.25">
      <c r="A26" t="s">
        <v>0</v>
      </c>
      <c r="B26" t="s">
        <v>4</v>
      </c>
      <c r="C26" t="s">
        <v>146</v>
      </c>
      <c r="E26" s="427">
        <v>0</v>
      </c>
      <c r="F26" s="427">
        <v>0</v>
      </c>
      <c r="G26" s="427">
        <v>0</v>
      </c>
      <c r="H26" s="427">
        <v>0</v>
      </c>
      <c r="I26" s="427">
        <v>0</v>
      </c>
      <c r="J26" s="427">
        <v>0</v>
      </c>
      <c r="K26" s="427">
        <v>0</v>
      </c>
      <c r="L26">
        <v>0</v>
      </c>
    </row>
    <row r="27" spans="1:12" hidden="1" x14ac:dyDescent="0.25">
      <c r="A27" t="s">
        <v>0</v>
      </c>
      <c r="B27" t="s">
        <v>4</v>
      </c>
      <c r="C27" t="s">
        <v>10</v>
      </c>
      <c r="E27" s="427">
        <v>0</v>
      </c>
      <c r="F27" s="427">
        <v>0</v>
      </c>
      <c r="G27" s="427">
        <v>0</v>
      </c>
      <c r="H27" s="427">
        <v>0</v>
      </c>
      <c r="I27" s="427">
        <v>0</v>
      </c>
      <c r="J27" s="427">
        <v>0</v>
      </c>
      <c r="K27" s="427">
        <v>0</v>
      </c>
      <c r="L27">
        <v>0</v>
      </c>
    </row>
    <row r="28" spans="1:12" hidden="1" x14ac:dyDescent="0.25">
      <c r="A28" t="s">
        <v>0</v>
      </c>
      <c r="B28" t="s">
        <v>4</v>
      </c>
      <c r="C28" t="s">
        <v>31</v>
      </c>
      <c r="E28" s="427">
        <v>0</v>
      </c>
      <c r="F28" s="427">
        <v>0</v>
      </c>
      <c r="G28" s="427">
        <v>0</v>
      </c>
      <c r="H28" s="427">
        <v>0</v>
      </c>
      <c r="I28" s="427">
        <v>0</v>
      </c>
      <c r="J28" s="427">
        <v>0</v>
      </c>
      <c r="K28" s="427">
        <v>0</v>
      </c>
      <c r="L28">
        <v>0</v>
      </c>
    </row>
    <row r="29" spans="1:12" x14ac:dyDescent="0.25">
      <c r="A29" s="76" t="s">
        <v>0</v>
      </c>
      <c r="B29" s="74" t="s">
        <v>4</v>
      </c>
      <c r="C29" s="74" t="s">
        <v>9</v>
      </c>
      <c r="D29" s="74"/>
      <c r="E29" s="534">
        <v>59.4</v>
      </c>
      <c r="F29" s="534">
        <v>8.5500000000000007</v>
      </c>
      <c r="G29" s="534">
        <v>1.8</v>
      </c>
      <c r="H29" s="534">
        <v>5.2</v>
      </c>
      <c r="I29" s="534">
        <v>14.85</v>
      </c>
      <c r="J29" s="427">
        <v>10.350000000000001</v>
      </c>
      <c r="K29" s="427">
        <v>0.21052631578947367</v>
      </c>
      <c r="L29">
        <v>2</v>
      </c>
    </row>
    <row r="30" spans="1:12" hidden="1" x14ac:dyDescent="0.25">
      <c r="A30" t="s">
        <v>0</v>
      </c>
      <c r="B30" t="s">
        <v>4</v>
      </c>
      <c r="C30" t="s">
        <v>44</v>
      </c>
      <c r="E30" s="427">
        <v>0</v>
      </c>
      <c r="F30" s="427">
        <v>0</v>
      </c>
      <c r="G30" s="427">
        <v>0</v>
      </c>
      <c r="H30" s="427">
        <v>0</v>
      </c>
      <c r="I30" s="427">
        <v>0</v>
      </c>
      <c r="J30" s="427">
        <v>0</v>
      </c>
      <c r="K30" s="427">
        <v>0</v>
      </c>
      <c r="L30">
        <v>0</v>
      </c>
    </row>
    <row r="31" spans="1:12" x14ac:dyDescent="0.25">
      <c r="A31" t="s">
        <v>0</v>
      </c>
      <c r="B31" t="s">
        <v>4</v>
      </c>
      <c r="C31" t="s">
        <v>48</v>
      </c>
      <c r="E31" s="427">
        <v>61.909803921568631</v>
      </c>
      <c r="F31" s="427">
        <v>3.5176470588235293</v>
      </c>
      <c r="G31" s="427">
        <v>2.1294117647058819</v>
      </c>
      <c r="H31" s="427">
        <v>14.156862745098039</v>
      </c>
      <c r="I31" s="427">
        <v>15.376470588235293</v>
      </c>
      <c r="J31" s="427">
        <v>5.6470588235294112</v>
      </c>
      <c r="K31" s="427">
        <v>0.6053511705685618</v>
      </c>
      <c r="L31">
        <v>51</v>
      </c>
    </row>
    <row r="32" spans="1:12" hidden="1" x14ac:dyDescent="0.25">
      <c r="A32" t="s">
        <v>0</v>
      </c>
      <c r="B32" t="s">
        <v>5</v>
      </c>
      <c r="C32" t="s">
        <v>27</v>
      </c>
      <c r="E32" s="427">
        <v>0</v>
      </c>
      <c r="F32" s="427">
        <v>0</v>
      </c>
      <c r="G32" s="427">
        <v>0</v>
      </c>
      <c r="H32" s="427">
        <v>0</v>
      </c>
      <c r="I32" s="427">
        <v>0</v>
      </c>
      <c r="J32" s="427">
        <v>0</v>
      </c>
      <c r="K32" s="427">
        <v>0</v>
      </c>
      <c r="L32">
        <v>0</v>
      </c>
    </row>
    <row r="33" spans="1:12" hidden="1" x14ac:dyDescent="0.25">
      <c r="A33" t="s">
        <v>0</v>
      </c>
      <c r="B33" t="s">
        <v>5</v>
      </c>
      <c r="C33" t="s">
        <v>2</v>
      </c>
      <c r="E33" s="427">
        <v>0</v>
      </c>
      <c r="F33" s="427">
        <v>0</v>
      </c>
      <c r="G33" s="427">
        <v>0</v>
      </c>
      <c r="H33" s="427">
        <v>0</v>
      </c>
      <c r="I33" s="427">
        <v>0</v>
      </c>
      <c r="J33" s="427">
        <v>0</v>
      </c>
      <c r="K33" s="427">
        <v>0</v>
      </c>
      <c r="L33">
        <v>0</v>
      </c>
    </row>
    <row r="34" spans="1:12" hidden="1" x14ac:dyDescent="0.25">
      <c r="A34" t="s">
        <v>0</v>
      </c>
      <c r="B34" t="s">
        <v>5</v>
      </c>
      <c r="C34" t="s">
        <v>11</v>
      </c>
      <c r="E34" s="427">
        <v>0</v>
      </c>
      <c r="F34" s="427">
        <v>0</v>
      </c>
      <c r="G34" s="427">
        <v>0</v>
      </c>
      <c r="H34" s="427">
        <v>0</v>
      </c>
      <c r="I34" s="427">
        <v>0</v>
      </c>
      <c r="J34" s="427">
        <v>0</v>
      </c>
      <c r="K34" s="427">
        <v>0</v>
      </c>
      <c r="L34">
        <v>0</v>
      </c>
    </row>
    <row r="35" spans="1:12" x14ac:dyDescent="0.25">
      <c r="A35" t="s">
        <v>0</v>
      </c>
      <c r="B35" t="s">
        <v>5</v>
      </c>
      <c r="C35" t="s">
        <v>146</v>
      </c>
      <c r="E35" s="427">
        <v>62.625000000000007</v>
      </c>
      <c r="F35" s="427">
        <v>2.6416666666666666</v>
      </c>
      <c r="G35" s="427">
        <v>2.9416666666666669</v>
      </c>
      <c r="H35" s="427">
        <v>4.833333333333333</v>
      </c>
      <c r="I35" s="427">
        <v>14.75</v>
      </c>
      <c r="J35" s="427">
        <v>5.5833333333333339</v>
      </c>
      <c r="K35" s="427">
        <v>1.1135646687697163</v>
      </c>
      <c r="L35">
        <v>12</v>
      </c>
    </row>
    <row r="36" spans="1:12" x14ac:dyDescent="0.25">
      <c r="A36" t="s">
        <v>0</v>
      </c>
      <c r="B36" t="s">
        <v>5</v>
      </c>
      <c r="C36" t="s">
        <v>10</v>
      </c>
      <c r="E36" s="427">
        <v>61.08</v>
      </c>
      <c r="F36" s="427">
        <v>4.0519999999999996</v>
      </c>
      <c r="G36" s="427">
        <v>3.5959999999999992</v>
      </c>
      <c r="H36" s="427">
        <v>9.24</v>
      </c>
      <c r="I36" s="427">
        <v>20.52</v>
      </c>
      <c r="J36" s="427">
        <v>7.6479999999999988</v>
      </c>
      <c r="K36" s="427">
        <v>0.88746298124383005</v>
      </c>
      <c r="L36">
        <v>25</v>
      </c>
    </row>
    <row r="37" spans="1:12" x14ac:dyDescent="0.25">
      <c r="A37" t="s">
        <v>0</v>
      </c>
      <c r="B37" t="s">
        <v>5</v>
      </c>
      <c r="C37" t="s">
        <v>31</v>
      </c>
      <c r="E37" s="427">
        <v>63.153571428571425</v>
      </c>
      <c r="F37" s="427">
        <v>2.3142857142857141</v>
      </c>
      <c r="G37" s="427">
        <v>2.4142857142857141</v>
      </c>
      <c r="H37" s="427">
        <v>2.7142857142857144</v>
      </c>
      <c r="I37" s="427">
        <v>13.678571428571429</v>
      </c>
      <c r="J37" s="427">
        <v>4.7285714285714278</v>
      </c>
      <c r="K37" s="427">
        <v>1.0432098765432098</v>
      </c>
      <c r="L37">
        <v>28</v>
      </c>
    </row>
    <row r="38" spans="1:12" hidden="1" x14ac:dyDescent="0.25">
      <c r="A38" t="s">
        <v>0</v>
      </c>
      <c r="B38" t="s">
        <v>5</v>
      </c>
      <c r="C38" t="s">
        <v>9</v>
      </c>
      <c r="E38" s="427">
        <v>0</v>
      </c>
      <c r="F38" s="427">
        <v>0</v>
      </c>
      <c r="G38" s="427">
        <v>0</v>
      </c>
      <c r="H38" s="427">
        <v>0</v>
      </c>
      <c r="I38" s="427">
        <v>0</v>
      </c>
      <c r="J38" s="427">
        <v>0</v>
      </c>
      <c r="K38" s="427">
        <v>0</v>
      </c>
      <c r="L38">
        <v>0</v>
      </c>
    </row>
    <row r="39" spans="1:12" hidden="1" x14ac:dyDescent="0.25">
      <c r="A39" t="s">
        <v>0</v>
      </c>
      <c r="B39" t="s">
        <v>5</v>
      </c>
      <c r="C39" t="s">
        <v>44</v>
      </c>
      <c r="E39" s="427">
        <v>0</v>
      </c>
      <c r="F39" s="427">
        <v>0</v>
      </c>
      <c r="G39" s="427">
        <v>0</v>
      </c>
      <c r="H39" s="427">
        <v>0</v>
      </c>
      <c r="I39" s="427">
        <v>0</v>
      </c>
      <c r="J39" s="427">
        <v>0</v>
      </c>
      <c r="K39" s="427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 s="427">
        <v>62.258461538461503</v>
      </c>
      <c r="F40" s="427">
        <v>3.0430769230769239</v>
      </c>
      <c r="G40" s="427">
        <v>2.9661538461538468</v>
      </c>
      <c r="H40" s="427">
        <v>5.615384615384615</v>
      </c>
      <c r="I40" s="427">
        <v>16.507692307692309</v>
      </c>
      <c r="J40" s="427">
        <v>6.0092307692307703</v>
      </c>
      <c r="K40" s="427">
        <v>0.97472194135490386</v>
      </c>
      <c r="L40">
        <v>65</v>
      </c>
    </row>
    <row r="41" spans="1:12" hidden="1" x14ac:dyDescent="0.25">
      <c r="A41" t="s">
        <v>0</v>
      </c>
      <c r="B41" t="s">
        <v>30</v>
      </c>
      <c r="C41" t="s">
        <v>27</v>
      </c>
      <c r="E41" s="427">
        <v>0</v>
      </c>
      <c r="F41" s="427">
        <v>0</v>
      </c>
      <c r="G41" s="427">
        <v>0</v>
      </c>
      <c r="H41" s="427">
        <v>0</v>
      </c>
      <c r="I41" s="427">
        <v>0</v>
      </c>
      <c r="J41" s="427">
        <v>0</v>
      </c>
      <c r="K41" s="427">
        <v>0</v>
      </c>
      <c r="L41">
        <v>0</v>
      </c>
    </row>
    <row r="42" spans="1:12" hidden="1" x14ac:dyDescent="0.25">
      <c r="A42" t="s">
        <v>0</v>
      </c>
      <c r="B42" t="s">
        <v>30</v>
      </c>
      <c r="C42" t="s">
        <v>2</v>
      </c>
      <c r="E42" s="427">
        <v>0</v>
      </c>
      <c r="F42" s="427">
        <v>0</v>
      </c>
      <c r="G42" s="427">
        <v>0</v>
      </c>
      <c r="H42" s="427">
        <v>0</v>
      </c>
      <c r="I42" s="427">
        <v>0</v>
      </c>
      <c r="J42" s="427">
        <v>0</v>
      </c>
      <c r="K42" s="427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 s="427">
        <v>63.485444444444447</v>
      </c>
      <c r="F43" s="427">
        <v>2.5433333333333334</v>
      </c>
      <c r="G43" s="427">
        <v>2.201111111111111</v>
      </c>
      <c r="H43" s="427">
        <v>8.4457707574712391</v>
      </c>
      <c r="I43" s="427">
        <v>7.6297832020723586</v>
      </c>
      <c r="J43" s="427">
        <v>4.7444444444444445</v>
      </c>
      <c r="K43" s="427">
        <v>0.86544342507645255</v>
      </c>
      <c r="L43">
        <v>9</v>
      </c>
    </row>
    <row r="44" spans="1:12" hidden="1" x14ac:dyDescent="0.25">
      <c r="A44" t="s">
        <v>0</v>
      </c>
      <c r="B44" t="s">
        <v>30</v>
      </c>
      <c r="C44" t="s">
        <v>146</v>
      </c>
      <c r="E44" s="427">
        <v>0</v>
      </c>
      <c r="F44" s="427">
        <v>0</v>
      </c>
      <c r="G44" s="427">
        <v>0</v>
      </c>
      <c r="H44" s="427">
        <v>0</v>
      </c>
      <c r="I44" s="427">
        <v>0</v>
      </c>
      <c r="J44" s="427">
        <v>0</v>
      </c>
      <c r="K44" s="427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 s="427">
        <v>59.814999999999998</v>
      </c>
      <c r="F45" s="427">
        <v>3.8600000000000003</v>
      </c>
      <c r="G45" s="427">
        <v>6.8550000000000004</v>
      </c>
      <c r="H45" s="427">
        <v>4.2261904761904754</v>
      </c>
      <c r="I45" s="427">
        <v>10.715</v>
      </c>
      <c r="J45" s="427">
        <v>10.715</v>
      </c>
      <c r="K45" s="427">
        <v>1.7759067357512952</v>
      </c>
      <c r="L45">
        <v>2</v>
      </c>
    </row>
    <row r="46" spans="1:12" hidden="1" x14ac:dyDescent="0.25">
      <c r="A46" t="s">
        <v>0</v>
      </c>
      <c r="B46" t="s">
        <v>30</v>
      </c>
      <c r="C46" t="s">
        <v>31</v>
      </c>
      <c r="E46" s="427">
        <v>0</v>
      </c>
      <c r="F46" s="427">
        <v>0</v>
      </c>
      <c r="G46" s="427">
        <v>0</v>
      </c>
      <c r="H46" s="427">
        <v>0</v>
      </c>
      <c r="I46" s="427">
        <v>0</v>
      </c>
      <c r="J46" s="427">
        <v>0</v>
      </c>
      <c r="K46" s="427">
        <v>0</v>
      </c>
      <c r="L46">
        <v>0</v>
      </c>
    </row>
    <row r="47" spans="1:12" x14ac:dyDescent="0.25">
      <c r="A47" s="76" t="s">
        <v>0</v>
      </c>
      <c r="B47" s="74" t="s">
        <v>30</v>
      </c>
      <c r="C47" s="74" t="s">
        <v>9</v>
      </c>
      <c r="D47" s="74"/>
      <c r="E47" s="534">
        <v>63.105777777777796</v>
      </c>
      <c r="F47" s="534">
        <v>3.6866666666666656</v>
      </c>
      <c r="G47" s="534">
        <v>1.6955555555555553</v>
      </c>
      <c r="H47" s="534">
        <v>2.3511520408535906</v>
      </c>
      <c r="I47" s="534">
        <v>7.5700841118260254</v>
      </c>
      <c r="J47" s="427">
        <v>5.3822222222222207</v>
      </c>
      <c r="K47" s="427">
        <v>0.45991561181434604</v>
      </c>
      <c r="L47">
        <v>27</v>
      </c>
    </row>
    <row r="48" spans="1:12" hidden="1" x14ac:dyDescent="0.25">
      <c r="A48" t="s">
        <v>0</v>
      </c>
      <c r="B48" t="s">
        <v>30</v>
      </c>
      <c r="C48" t="s">
        <v>44</v>
      </c>
      <c r="E48" s="427">
        <v>0</v>
      </c>
      <c r="F48" s="427">
        <v>0</v>
      </c>
      <c r="G48" s="427">
        <v>0</v>
      </c>
      <c r="H48" s="427">
        <v>0</v>
      </c>
      <c r="I48" s="427">
        <v>0</v>
      </c>
      <c r="J48" s="427">
        <v>0</v>
      </c>
      <c r="K48" s="427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 s="427">
        <v>63.022500000000015</v>
      </c>
      <c r="F49" s="427">
        <v>3.4249999999999985</v>
      </c>
      <c r="G49" s="427">
        <v>2.0868421052631576</v>
      </c>
      <c r="H49" s="427">
        <v>3.893300601912344</v>
      </c>
      <c r="I49" s="427">
        <v>7.7497452588935225</v>
      </c>
      <c r="J49" s="427">
        <v>5.5118421052631561</v>
      </c>
      <c r="K49" s="427">
        <v>0.60929696504033826</v>
      </c>
      <c r="L49">
        <v>38</v>
      </c>
    </row>
    <row r="50" spans="1:12" hidden="1" x14ac:dyDescent="0.25">
      <c r="A50" t="s">
        <v>0</v>
      </c>
      <c r="B50" t="s">
        <v>60</v>
      </c>
      <c r="C50" t="s">
        <v>27</v>
      </c>
      <c r="E50" s="427">
        <v>0</v>
      </c>
      <c r="F50" s="427">
        <v>0</v>
      </c>
      <c r="G50" s="427">
        <v>0</v>
      </c>
      <c r="H50" s="427">
        <v>0</v>
      </c>
      <c r="I50" s="427">
        <v>0</v>
      </c>
      <c r="J50" s="427">
        <v>0</v>
      </c>
      <c r="K50" s="427">
        <v>0</v>
      </c>
      <c r="L50">
        <v>0</v>
      </c>
    </row>
    <row r="51" spans="1:12" hidden="1" x14ac:dyDescent="0.25">
      <c r="A51" t="s">
        <v>0</v>
      </c>
      <c r="B51" t="s">
        <v>60</v>
      </c>
      <c r="C51" t="s">
        <v>2</v>
      </c>
      <c r="E51" s="427">
        <v>0</v>
      </c>
      <c r="F51" s="427">
        <v>0</v>
      </c>
      <c r="G51" s="427">
        <v>0</v>
      </c>
      <c r="H51" s="427">
        <v>0</v>
      </c>
      <c r="I51" s="427">
        <v>0</v>
      </c>
      <c r="J51" s="427">
        <v>0</v>
      </c>
      <c r="K51" s="427">
        <v>0</v>
      </c>
      <c r="L51">
        <v>0</v>
      </c>
    </row>
    <row r="52" spans="1:12" hidden="1" x14ac:dyDescent="0.25">
      <c r="A52" t="s">
        <v>0</v>
      </c>
      <c r="B52" t="s">
        <v>60</v>
      </c>
      <c r="C52" t="s">
        <v>11</v>
      </c>
      <c r="E52" s="427">
        <v>0</v>
      </c>
      <c r="F52" s="427">
        <v>0</v>
      </c>
      <c r="G52" s="427">
        <v>0</v>
      </c>
      <c r="H52" s="427">
        <v>0</v>
      </c>
      <c r="I52" s="427">
        <v>0</v>
      </c>
      <c r="J52" s="427">
        <v>0</v>
      </c>
      <c r="K52" s="427">
        <v>0</v>
      </c>
      <c r="L52">
        <v>0</v>
      </c>
    </row>
    <row r="53" spans="1:12" hidden="1" x14ac:dyDescent="0.25">
      <c r="A53" t="s">
        <v>0</v>
      </c>
      <c r="B53" t="s">
        <v>60</v>
      </c>
      <c r="C53" t="s">
        <v>146</v>
      </c>
      <c r="E53" s="427">
        <v>0</v>
      </c>
      <c r="F53" s="427">
        <v>0</v>
      </c>
      <c r="G53" s="427">
        <v>0</v>
      </c>
      <c r="H53" s="427">
        <v>0</v>
      </c>
      <c r="I53" s="427">
        <v>0</v>
      </c>
      <c r="J53" s="427">
        <v>0</v>
      </c>
      <c r="K53" s="427">
        <v>0</v>
      </c>
      <c r="L53">
        <v>0</v>
      </c>
    </row>
    <row r="54" spans="1:12" hidden="1" x14ac:dyDescent="0.25">
      <c r="A54" t="s">
        <v>0</v>
      </c>
      <c r="B54" t="s">
        <v>60</v>
      </c>
      <c r="C54" t="s">
        <v>10</v>
      </c>
      <c r="E54" s="427">
        <v>0</v>
      </c>
      <c r="F54" s="427">
        <v>0</v>
      </c>
      <c r="G54" s="427">
        <v>0</v>
      </c>
      <c r="H54" s="427">
        <v>0</v>
      </c>
      <c r="I54" s="427">
        <v>0</v>
      </c>
      <c r="J54" s="427">
        <v>0</v>
      </c>
      <c r="K54" s="427">
        <v>0</v>
      </c>
      <c r="L54">
        <v>0</v>
      </c>
    </row>
    <row r="55" spans="1:12" hidden="1" x14ac:dyDescent="0.25">
      <c r="A55" t="s">
        <v>0</v>
      </c>
      <c r="B55" t="s">
        <v>60</v>
      </c>
      <c r="C55" t="s">
        <v>31</v>
      </c>
      <c r="E55" s="427">
        <v>0</v>
      </c>
      <c r="F55" s="427">
        <v>0</v>
      </c>
      <c r="G55" s="427">
        <v>0</v>
      </c>
      <c r="H55" s="427">
        <v>0</v>
      </c>
      <c r="I55" s="427">
        <v>0</v>
      </c>
      <c r="J55" s="427">
        <v>0</v>
      </c>
      <c r="K55" s="427">
        <v>0</v>
      </c>
      <c r="L55">
        <v>0</v>
      </c>
    </row>
    <row r="56" spans="1:12" hidden="1" x14ac:dyDescent="0.25">
      <c r="A56" t="s">
        <v>0</v>
      </c>
      <c r="B56" t="s">
        <v>60</v>
      </c>
      <c r="C56" t="s">
        <v>9</v>
      </c>
      <c r="E56" s="427">
        <v>0</v>
      </c>
      <c r="F56" s="427">
        <v>0</v>
      </c>
      <c r="G56" s="427">
        <v>0</v>
      </c>
      <c r="H56" s="427">
        <v>0</v>
      </c>
      <c r="I56" s="427">
        <v>0</v>
      </c>
      <c r="J56" s="427">
        <v>0</v>
      </c>
      <c r="K56" s="427">
        <v>0</v>
      </c>
      <c r="L56">
        <v>0</v>
      </c>
    </row>
    <row r="57" spans="1:12" hidden="1" x14ac:dyDescent="0.25">
      <c r="A57" t="s">
        <v>0</v>
      </c>
      <c r="B57" t="s">
        <v>60</v>
      </c>
      <c r="C57" t="s">
        <v>44</v>
      </c>
      <c r="E57" s="427">
        <v>0</v>
      </c>
      <c r="F57" s="427">
        <v>0</v>
      </c>
      <c r="G57" s="427">
        <v>0</v>
      </c>
      <c r="H57" s="427">
        <v>0</v>
      </c>
      <c r="I57" s="427">
        <v>0</v>
      </c>
      <c r="J57" s="427">
        <v>0</v>
      </c>
      <c r="K57" s="427">
        <v>0</v>
      </c>
      <c r="L57">
        <v>0</v>
      </c>
    </row>
    <row r="58" spans="1:12" hidden="1" x14ac:dyDescent="0.25">
      <c r="A58" t="s">
        <v>0</v>
      </c>
      <c r="B58" t="s">
        <v>60</v>
      </c>
      <c r="C58" t="s">
        <v>48</v>
      </c>
      <c r="E58" s="427">
        <v>0</v>
      </c>
      <c r="F58" s="427">
        <v>0</v>
      </c>
      <c r="G58" s="427">
        <v>0</v>
      </c>
      <c r="H58" s="427">
        <v>0</v>
      </c>
      <c r="I58" s="427">
        <v>0</v>
      </c>
      <c r="J58" s="427">
        <v>0</v>
      </c>
      <c r="K58" s="427">
        <v>0</v>
      </c>
      <c r="L58">
        <v>0</v>
      </c>
    </row>
    <row r="59" spans="1:12" x14ac:dyDescent="0.25">
      <c r="A59" t="s">
        <v>0</v>
      </c>
      <c r="B59" t="s">
        <v>48</v>
      </c>
      <c r="C59" t="s">
        <v>27</v>
      </c>
      <c r="E59" s="427">
        <v>60.7288</v>
      </c>
      <c r="F59" s="427">
        <v>6.8856000000000019</v>
      </c>
      <c r="G59" s="427">
        <v>2.4612000000000003</v>
      </c>
      <c r="H59" s="427">
        <v>17.491999999999997</v>
      </c>
      <c r="I59" s="427">
        <v>24.232000000000006</v>
      </c>
      <c r="J59" s="427">
        <v>9.3468000000000018</v>
      </c>
      <c r="K59" s="427">
        <v>0.35744161728825369</v>
      </c>
      <c r="L59">
        <v>25</v>
      </c>
    </row>
    <row r="60" spans="1:12" x14ac:dyDescent="0.25">
      <c r="A60" t="s">
        <v>0</v>
      </c>
      <c r="B60" t="s">
        <v>48</v>
      </c>
      <c r="C60" t="s">
        <v>2</v>
      </c>
      <c r="E60" s="427">
        <v>61.15124999999999</v>
      </c>
      <c r="F60" s="427">
        <v>5.5018750000000001</v>
      </c>
      <c r="G60" s="427">
        <v>2.8425000000000002</v>
      </c>
      <c r="H60" s="427">
        <v>14.375</v>
      </c>
      <c r="I60" s="427">
        <v>26.862499999999997</v>
      </c>
      <c r="J60" s="427">
        <v>8.3443749999999994</v>
      </c>
      <c r="K60" s="427">
        <v>0.51664205384528006</v>
      </c>
      <c r="L60">
        <v>16</v>
      </c>
    </row>
    <row r="61" spans="1:12" x14ac:dyDescent="0.25">
      <c r="A61" t="s">
        <v>0</v>
      </c>
      <c r="B61" t="s">
        <v>48</v>
      </c>
      <c r="C61" t="s">
        <v>11</v>
      </c>
      <c r="E61" s="427">
        <v>62.296097222222215</v>
      </c>
      <c r="F61" s="427">
        <v>3.4556944444444446</v>
      </c>
      <c r="G61" s="427">
        <v>2.2154166666666661</v>
      </c>
      <c r="H61" s="427">
        <v>14.058499122461681</v>
      </c>
      <c r="I61" s="427">
        <v>16.664834011370157</v>
      </c>
      <c r="J61" s="427">
        <v>5.6711111111111112</v>
      </c>
      <c r="K61" s="427">
        <v>0.64109159599694532</v>
      </c>
      <c r="L61">
        <v>72</v>
      </c>
    </row>
    <row r="62" spans="1:12" x14ac:dyDescent="0.25">
      <c r="A62" t="s">
        <v>0</v>
      </c>
      <c r="B62" t="s">
        <v>48</v>
      </c>
      <c r="C62" t="s">
        <v>146</v>
      </c>
      <c r="E62" s="427">
        <v>62.625000000000007</v>
      </c>
      <c r="F62" s="427">
        <v>2.6416666666666666</v>
      </c>
      <c r="G62" s="427">
        <v>2.9416666666666669</v>
      </c>
      <c r="H62" s="427">
        <v>4.833333333333333</v>
      </c>
      <c r="I62" s="427">
        <v>14.75</v>
      </c>
      <c r="J62" s="427">
        <v>5.5833333333333339</v>
      </c>
      <c r="K62" s="427">
        <v>1.1135646687697163</v>
      </c>
      <c r="L62">
        <v>12</v>
      </c>
    </row>
    <row r="63" spans="1:12" x14ac:dyDescent="0.25">
      <c r="A63" t="s">
        <v>0</v>
      </c>
      <c r="B63" t="s">
        <v>48</v>
      </c>
      <c r="C63" t="s">
        <v>10</v>
      </c>
      <c r="E63" s="427">
        <v>60.986296296296302</v>
      </c>
      <c r="F63" s="427">
        <v>4.0377777777777775</v>
      </c>
      <c r="G63" s="427">
        <v>3.8374074074074076</v>
      </c>
      <c r="H63" s="427">
        <v>8.8686067019400365</v>
      </c>
      <c r="I63" s="427">
        <v>19.793703703703706</v>
      </c>
      <c r="J63" s="427">
        <v>7.8751851851851846</v>
      </c>
      <c r="K63" s="427">
        <v>0.95037607778389299</v>
      </c>
      <c r="L63">
        <v>27</v>
      </c>
    </row>
    <row r="64" spans="1:12" x14ac:dyDescent="0.25">
      <c r="A64" t="s">
        <v>0</v>
      </c>
      <c r="B64" t="s">
        <v>48</v>
      </c>
      <c r="C64" t="s">
        <v>31</v>
      </c>
      <c r="E64" s="427">
        <v>63.153571428571425</v>
      </c>
      <c r="F64" s="427">
        <v>2.3142857142857141</v>
      </c>
      <c r="G64" s="427">
        <v>2.4142857142857141</v>
      </c>
      <c r="H64" s="427">
        <v>2.7142857142857144</v>
      </c>
      <c r="I64" s="427">
        <v>13.678571428571429</v>
      </c>
      <c r="J64" s="427">
        <v>4.7285714285714278</v>
      </c>
      <c r="K64" s="427">
        <v>1.0432098765432098</v>
      </c>
      <c r="L64">
        <v>28</v>
      </c>
    </row>
    <row r="65" spans="1:12" x14ac:dyDescent="0.25">
      <c r="A65" t="s">
        <v>0</v>
      </c>
      <c r="B65" t="s">
        <v>48</v>
      </c>
      <c r="C65" t="s">
        <v>9</v>
      </c>
      <c r="E65" s="427">
        <v>62.806200000000004</v>
      </c>
      <c r="F65" s="427">
        <v>4.0729999999999995</v>
      </c>
      <c r="G65" s="427">
        <v>1.7386666666666664</v>
      </c>
      <c r="H65" s="427">
        <v>2.8060368367682318</v>
      </c>
      <c r="I65" s="427">
        <v>8.8864090339767561</v>
      </c>
      <c r="J65" s="427">
        <v>5.8116666666666656</v>
      </c>
      <c r="K65" s="427">
        <v>0.42687617644651771</v>
      </c>
      <c r="L65">
        <v>30</v>
      </c>
    </row>
    <row r="66" spans="1:12" x14ac:dyDescent="0.25">
      <c r="A66" t="s">
        <v>0</v>
      </c>
      <c r="B66" t="s">
        <v>48</v>
      </c>
      <c r="C66" t="s">
        <v>44</v>
      </c>
      <c r="E66" s="427">
        <v>63.57</v>
      </c>
      <c r="F66" s="427">
        <v>2.96</v>
      </c>
      <c r="G66" s="427">
        <v>2.38</v>
      </c>
      <c r="H66" s="427">
        <v>7.3</v>
      </c>
      <c r="I66" s="427">
        <v>10.199999999999999</v>
      </c>
      <c r="J66" s="427">
        <v>5.34</v>
      </c>
      <c r="K66" s="427">
        <v>0.80405405405405406</v>
      </c>
      <c r="L66">
        <v>1</v>
      </c>
    </row>
    <row r="67" spans="1:12" x14ac:dyDescent="0.25">
      <c r="A67" t="s">
        <v>0</v>
      </c>
      <c r="B67" t="s">
        <v>48</v>
      </c>
      <c r="C67" t="s">
        <v>48</v>
      </c>
      <c r="E67" s="427">
        <v>62.067037914691987</v>
      </c>
      <c r="F67" s="427">
        <v>3.979383886255925</v>
      </c>
      <c r="G67" s="427">
        <v>2.500331753554502</v>
      </c>
      <c r="H67" s="427">
        <v>10.163248449633503</v>
      </c>
      <c r="I67" s="427">
        <v>17.093319051364709</v>
      </c>
      <c r="J67" s="427">
        <v>6.4797156398104274</v>
      </c>
      <c r="K67" s="427">
        <v>0.6283213243613408</v>
      </c>
      <c r="L67">
        <v>211</v>
      </c>
    </row>
    <row r="68" spans="1:12" x14ac:dyDescent="0.25">
      <c r="A68" s="76" t="s">
        <v>1</v>
      </c>
      <c r="B68" s="74" t="s">
        <v>3</v>
      </c>
      <c r="C68" s="74" t="s">
        <v>27</v>
      </c>
      <c r="D68" s="74"/>
      <c r="E68" s="534">
        <v>60.778399999999984</v>
      </c>
      <c r="F68" s="534">
        <v>6.6996000000000002</v>
      </c>
      <c r="G68" s="534">
        <v>2.6539999999999999</v>
      </c>
      <c r="H68" s="534">
        <v>5.379999999999999</v>
      </c>
      <c r="I68" s="534">
        <v>42.9</v>
      </c>
      <c r="J68" s="427">
        <v>9.3536000000000001</v>
      </c>
      <c r="K68" s="427">
        <v>0.39614305331661587</v>
      </c>
      <c r="L68">
        <v>25</v>
      </c>
    </row>
    <row r="69" spans="1:12" x14ac:dyDescent="0.25">
      <c r="A69" s="76" t="s">
        <v>1</v>
      </c>
      <c r="B69" s="74" t="s">
        <v>3</v>
      </c>
      <c r="C69" s="74" t="s">
        <v>2</v>
      </c>
      <c r="D69" s="74"/>
      <c r="E69" s="534">
        <v>60.853888888888882</v>
      </c>
      <c r="F69" s="534">
        <v>6.4233333333333356</v>
      </c>
      <c r="G69" s="534">
        <v>2.8255555555555554</v>
      </c>
      <c r="H69" s="534">
        <v>5.4533333333333331</v>
      </c>
      <c r="I69" s="534">
        <v>40.379999999999995</v>
      </c>
      <c r="J69" s="427">
        <v>9.2488888888888905</v>
      </c>
      <c r="K69" s="427">
        <v>0.43988929250994618</v>
      </c>
      <c r="L69">
        <v>36</v>
      </c>
    </row>
    <row r="70" spans="1:12" x14ac:dyDescent="0.25">
      <c r="A70" t="s">
        <v>1</v>
      </c>
      <c r="B70" t="s">
        <v>3</v>
      </c>
      <c r="C70" t="s">
        <v>11</v>
      </c>
      <c r="E70" s="427">
        <v>61.571428571428577</v>
      </c>
      <c r="F70" s="427">
        <v>5.1778571428571434</v>
      </c>
      <c r="G70" s="427">
        <v>2.9707142857142856</v>
      </c>
      <c r="H70" s="427">
        <v>5.9444444444444455</v>
      </c>
      <c r="I70" s="427">
        <v>40.611111111111114</v>
      </c>
      <c r="J70" s="427">
        <v>8.1485714285714295</v>
      </c>
      <c r="K70" s="427">
        <v>0.57373430818043858</v>
      </c>
      <c r="L70">
        <v>14</v>
      </c>
    </row>
    <row r="71" spans="1:12" hidden="1" x14ac:dyDescent="0.25">
      <c r="A71" t="s">
        <v>1</v>
      </c>
      <c r="B71" t="s">
        <v>3</v>
      </c>
      <c r="C71" t="s">
        <v>146</v>
      </c>
      <c r="E71" s="427">
        <v>0</v>
      </c>
      <c r="F71" s="427">
        <v>0</v>
      </c>
      <c r="G71" s="427">
        <v>0</v>
      </c>
      <c r="H71" s="427">
        <v>0</v>
      </c>
      <c r="I71" s="427">
        <v>0</v>
      </c>
      <c r="J71" s="427">
        <v>0</v>
      </c>
      <c r="K71" s="427">
        <v>0</v>
      </c>
      <c r="L71">
        <v>0</v>
      </c>
    </row>
    <row r="72" spans="1:12" x14ac:dyDescent="0.25">
      <c r="A72" t="s">
        <v>1</v>
      </c>
      <c r="B72" t="s">
        <v>3</v>
      </c>
      <c r="C72" t="s">
        <v>10</v>
      </c>
      <c r="E72" s="427">
        <v>60.195</v>
      </c>
      <c r="F72" s="427">
        <v>4.96</v>
      </c>
      <c r="G72" s="427">
        <v>4.93</v>
      </c>
      <c r="H72" s="427">
        <v>5.2</v>
      </c>
      <c r="I72" s="427">
        <v>45.3</v>
      </c>
      <c r="J72" s="427">
        <v>9.89</v>
      </c>
      <c r="K72" s="427">
        <v>0.99395161290322576</v>
      </c>
      <c r="L72">
        <v>2</v>
      </c>
    </row>
    <row r="73" spans="1:12" hidden="1" x14ac:dyDescent="0.25">
      <c r="A73" t="s">
        <v>1</v>
      </c>
      <c r="B73" t="s">
        <v>3</v>
      </c>
      <c r="C73" t="s">
        <v>31</v>
      </c>
      <c r="E73" s="427">
        <v>0</v>
      </c>
      <c r="F73" s="427">
        <v>0</v>
      </c>
      <c r="G73" s="427">
        <v>0</v>
      </c>
      <c r="H73" s="427">
        <v>0</v>
      </c>
      <c r="I73" s="427">
        <v>0</v>
      </c>
      <c r="J73" s="427">
        <v>0</v>
      </c>
      <c r="K73" s="427">
        <v>0</v>
      </c>
      <c r="L73">
        <v>0</v>
      </c>
    </row>
    <row r="74" spans="1:12" x14ac:dyDescent="0.25">
      <c r="A74" s="76" t="s">
        <v>1</v>
      </c>
      <c r="B74" s="74" t="s">
        <v>3</v>
      </c>
      <c r="C74" s="74" t="s">
        <v>9</v>
      </c>
      <c r="D74" s="74"/>
      <c r="E74" s="534">
        <v>60.900909090909089</v>
      </c>
      <c r="F74" s="534">
        <v>6.0720000000000001</v>
      </c>
      <c r="G74" s="534">
        <v>2.9790909090909086</v>
      </c>
      <c r="H74" s="534">
        <v>3.5800000000000005</v>
      </c>
      <c r="I74" s="534">
        <v>45.400000000000006</v>
      </c>
      <c r="J74" s="427">
        <v>9.0510909090909095</v>
      </c>
      <c r="K74" s="427">
        <v>0.49062762007426031</v>
      </c>
      <c r="L74">
        <v>11</v>
      </c>
    </row>
    <row r="75" spans="1:12" x14ac:dyDescent="0.25">
      <c r="A75" t="s">
        <v>1</v>
      </c>
      <c r="B75" t="s">
        <v>3</v>
      </c>
      <c r="C75" t="s">
        <v>44</v>
      </c>
      <c r="E75" s="427">
        <v>63.148000000000003</v>
      </c>
      <c r="F75" s="427">
        <v>3.2480000000000002</v>
      </c>
      <c r="G75" s="427">
        <v>2.3660000000000001</v>
      </c>
      <c r="H75" s="427">
        <v>3.85</v>
      </c>
      <c r="I75" s="427">
        <v>32.875</v>
      </c>
      <c r="J75" s="427">
        <v>5.6140000000000008</v>
      </c>
      <c r="K75" s="427">
        <v>0.72844827586206895</v>
      </c>
      <c r="L75">
        <v>5</v>
      </c>
    </row>
    <row r="76" spans="1:12" x14ac:dyDescent="0.25">
      <c r="A76" t="s">
        <v>1</v>
      </c>
      <c r="B76" t="s">
        <v>3</v>
      </c>
      <c r="C76" t="s">
        <v>48</v>
      </c>
      <c r="E76" s="427">
        <v>61.056344086021497</v>
      </c>
      <c r="F76" s="427">
        <v>6.0663655913978483</v>
      </c>
      <c r="G76" s="427">
        <v>2.8399999999999994</v>
      </c>
      <c r="H76" s="427">
        <v>5.0853333333333328</v>
      </c>
      <c r="I76" s="427">
        <v>41.462999999999987</v>
      </c>
      <c r="J76" s="427">
        <v>8.9063655913978472</v>
      </c>
      <c r="K76" s="427">
        <v>0.46815510163567137</v>
      </c>
      <c r="L76">
        <v>93</v>
      </c>
    </row>
    <row r="77" spans="1:12" hidden="1" x14ac:dyDescent="0.25">
      <c r="A77" t="s">
        <v>1</v>
      </c>
      <c r="B77" t="s">
        <v>4</v>
      </c>
      <c r="C77" t="s">
        <v>27</v>
      </c>
      <c r="E77" s="427">
        <v>0</v>
      </c>
      <c r="F77" s="427">
        <v>0</v>
      </c>
      <c r="G77" s="427">
        <v>0</v>
      </c>
      <c r="H77" s="427">
        <v>0</v>
      </c>
      <c r="I77" s="427">
        <v>0</v>
      </c>
      <c r="J77" s="427">
        <v>0</v>
      </c>
      <c r="K77" s="427">
        <v>0</v>
      </c>
      <c r="L77">
        <v>0</v>
      </c>
    </row>
    <row r="78" spans="1:12" hidden="1" x14ac:dyDescent="0.25">
      <c r="A78" s="76" t="s">
        <v>1</v>
      </c>
      <c r="B78" s="74" t="s">
        <v>4</v>
      </c>
      <c r="C78" s="74" t="s">
        <v>2</v>
      </c>
      <c r="D78" s="74"/>
      <c r="E78" s="534">
        <v>0</v>
      </c>
      <c r="F78" s="534">
        <v>0</v>
      </c>
      <c r="G78" s="534">
        <v>0</v>
      </c>
      <c r="H78" s="534">
        <v>0</v>
      </c>
      <c r="I78" s="534">
        <v>0</v>
      </c>
      <c r="J78" s="427">
        <v>0</v>
      </c>
      <c r="K78" s="427">
        <v>0</v>
      </c>
      <c r="L78">
        <v>0</v>
      </c>
    </row>
    <row r="79" spans="1:12" x14ac:dyDescent="0.25">
      <c r="A79" t="s">
        <v>1</v>
      </c>
      <c r="B79" t="s">
        <v>4</v>
      </c>
      <c r="C79" t="s">
        <v>11</v>
      </c>
      <c r="E79" s="427">
        <v>61.849019607843125</v>
      </c>
      <c r="F79" s="427">
        <v>3.7803921568627454</v>
      </c>
      <c r="G79" s="427">
        <v>2.3568627450980388</v>
      </c>
      <c r="H79" s="427">
        <v>10.5</v>
      </c>
      <c r="I79" s="427">
        <v>38.954901960784319</v>
      </c>
      <c r="J79" s="427">
        <v>6.1372549019607838</v>
      </c>
      <c r="K79" s="427">
        <v>0.62344398340248952</v>
      </c>
      <c r="L79">
        <v>51</v>
      </c>
    </row>
    <row r="80" spans="1:12" hidden="1" x14ac:dyDescent="0.25">
      <c r="A80" t="s">
        <v>1</v>
      </c>
      <c r="B80" t="s">
        <v>4</v>
      </c>
      <c r="C80" t="s">
        <v>146</v>
      </c>
      <c r="E80" s="427">
        <v>0</v>
      </c>
      <c r="F80" s="427">
        <v>0</v>
      </c>
      <c r="G80" s="427">
        <v>0</v>
      </c>
      <c r="H80" s="427">
        <v>0</v>
      </c>
      <c r="I80" s="427">
        <v>0</v>
      </c>
      <c r="J80" s="427">
        <v>0</v>
      </c>
      <c r="K80" s="427">
        <v>0</v>
      </c>
      <c r="L80">
        <v>0</v>
      </c>
    </row>
    <row r="81" spans="1:12" hidden="1" x14ac:dyDescent="0.25">
      <c r="A81" t="s">
        <v>1</v>
      </c>
      <c r="B81" t="s">
        <v>4</v>
      </c>
      <c r="C81" t="s">
        <v>10</v>
      </c>
      <c r="E81" s="427">
        <v>0</v>
      </c>
      <c r="F81" s="427">
        <v>0</v>
      </c>
      <c r="G81" s="427">
        <v>0</v>
      </c>
      <c r="H81" s="427">
        <v>0</v>
      </c>
      <c r="I81" s="427">
        <v>0</v>
      </c>
      <c r="J81" s="427">
        <v>0</v>
      </c>
      <c r="K81" s="427">
        <v>0</v>
      </c>
      <c r="L81">
        <v>0</v>
      </c>
    </row>
    <row r="82" spans="1:12" hidden="1" x14ac:dyDescent="0.25">
      <c r="A82" t="s">
        <v>1</v>
      </c>
      <c r="B82" t="s">
        <v>4</v>
      </c>
      <c r="C82" t="s">
        <v>31</v>
      </c>
      <c r="E82" s="427">
        <v>0</v>
      </c>
      <c r="F82" s="427">
        <v>0</v>
      </c>
      <c r="G82" s="427">
        <v>0</v>
      </c>
      <c r="H82" s="427">
        <v>0</v>
      </c>
      <c r="I82" s="427">
        <v>0</v>
      </c>
      <c r="J82" s="427">
        <v>0</v>
      </c>
      <c r="K82" s="427">
        <v>0</v>
      </c>
      <c r="L82">
        <v>0</v>
      </c>
    </row>
    <row r="83" spans="1:12" x14ac:dyDescent="0.25">
      <c r="A83" s="76" t="s">
        <v>1</v>
      </c>
      <c r="B83" s="74" t="s">
        <v>4</v>
      </c>
      <c r="C83" s="74" t="s">
        <v>9</v>
      </c>
      <c r="D83" s="74"/>
      <c r="E83" s="534">
        <v>62</v>
      </c>
      <c r="F83" s="534">
        <v>4.9000000000000004</v>
      </c>
      <c r="G83" s="534">
        <v>2.0499999999999998</v>
      </c>
      <c r="H83" s="534">
        <v>4.375</v>
      </c>
      <c r="I83" s="534">
        <v>53.724999999999994</v>
      </c>
      <c r="J83" s="427">
        <v>6.95</v>
      </c>
      <c r="K83" s="427">
        <v>0.41836734693877542</v>
      </c>
      <c r="L83">
        <v>4</v>
      </c>
    </row>
    <row r="84" spans="1:12" hidden="1" x14ac:dyDescent="0.25">
      <c r="A84" t="s">
        <v>1</v>
      </c>
      <c r="B84" t="s">
        <v>4</v>
      </c>
      <c r="C84" t="s">
        <v>44</v>
      </c>
      <c r="E84" s="427">
        <v>0</v>
      </c>
      <c r="F84" s="427">
        <v>0</v>
      </c>
      <c r="G84" s="427">
        <v>0</v>
      </c>
      <c r="H84" s="427">
        <v>0</v>
      </c>
      <c r="I84" s="427">
        <v>0</v>
      </c>
      <c r="J84" s="427">
        <v>0</v>
      </c>
      <c r="K84" s="427">
        <v>0</v>
      </c>
      <c r="L84">
        <v>0</v>
      </c>
    </row>
    <row r="85" spans="1:12" x14ac:dyDescent="0.25">
      <c r="A85" t="s">
        <v>1</v>
      </c>
      <c r="B85" t="s">
        <v>4</v>
      </c>
      <c r="C85" t="s">
        <v>48</v>
      </c>
      <c r="E85" s="427">
        <v>61.859999999999985</v>
      </c>
      <c r="F85" s="427">
        <v>3.8618181818181818</v>
      </c>
      <c r="G85" s="427">
        <v>2.334545454545454</v>
      </c>
      <c r="H85" s="427">
        <v>10.054545454545456</v>
      </c>
      <c r="I85" s="427">
        <v>40.029090909090904</v>
      </c>
      <c r="J85" s="427">
        <v>6.1963636363636354</v>
      </c>
      <c r="K85" s="427">
        <v>0.6045197740112993</v>
      </c>
      <c r="L85">
        <v>55</v>
      </c>
    </row>
    <row r="86" spans="1:12" x14ac:dyDescent="0.25">
      <c r="A86" s="76" t="s">
        <v>1</v>
      </c>
      <c r="B86" s="74" t="s">
        <v>5</v>
      </c>
      <c r="C86" s="74" t="s">
        <v>27</v>
      </c>
      <c r="D86" s="74"/>
      <c r="E86" s="534">
        <v>59.071428571428569</v>
      </c>
      <c r="F86" s="534">
        <v>7.5571428571428578</v>
      </c>
      <c r="G86" s="534">
        <v>2.8000000000000003</v>
      </c>
      <c r="H86" s="534">
        <v>8</v>
      </c>
      <c r="I86" s="534">
        <v>42.333333333333336</v>
      </c>
      <c r="J86" s="427">
        <v>10.357142857142858</v>
      </c>
      <c r="K86" s="427">
        <v>0.37051039697542532</v>
      </c>
      <c r="L86">
        <v>7</v>
      </c>
    </row>
    <row r="87" spans="1:12" x14ac:dyDescent="0.25">
      <c r="A87" s="76" t="s">
        <v>1</v>
      </c>
      <c r="B87" s="74" t="s">
        <v>5</v>
      </c>
      <c r="C87" s="74" t="s">
        <v>2</v>
      </c>
      <c r="D87" s="74"/>
      <c r="E87" s="534">
        <v>59.54</v>
      </c>
      <c r="F87" s="534">
        <v>6.2200000000000006</v>
      </c>
      <c r="G87" s="534">
        <v>3.4200000000000004</v>
      </c>
      <c r="H87" s="534">
        <v>6.25</v>
      </c>
      <c r="I87" s="534">
        <v>39.5</v>
      </c>
      <c r="J87" s="427">
        <v>9.64</v>
      </c>
      <c r="K87" s="427">
        <v>0.54983922829581999</v>
      </c>
      <c r="L87">
        <v>5</v>
      </c>
    </row>
    <row r="88" spans="1:12" hidden="1" x14ac:dyDescent="0.25">
      <c r="A88" t="s">
        <v>1</v>
      </c>
      <c r="B88" t="s">
        <v>5</v>
      </c>
      <c r="C88" t="s">
        <v>11</v>
      </c>
      <c r="E88" s="427">
        <v>0</v>
      </c>
      <c r="F88" s="427">
        <v>0</v>
      </c>
      <c r="G88" s="427">
        <v>0</v>
      </c>
      <c r="H88" s="427">
        <v>0</v>
      </c>
      <c r="I88" s="427">
        <v>0</v>
      </c>
      <c r="J88" s="427">
        <v>0</v>
      </c>
      <c r="K88" s="427">
        <v>0</v>
      </c>
      <c r="L88">
        <v>0</v>
      </c>
    </row>
    <row r="89" spans="1:12" x14ac:dyDescent="0.25">
      <c r="A89" t="s">
        <v>1</v>
      </c>
      <c r="B89" t="s">
        <v>5</v>
      </c>
      <c r="C89" t="s">
        <v>146</v>
      </c>
      <c r="E89" s="427">
        <v>62.280769230769231</v>
      </c>
      <c r="F89" s="427">
        <v>2.815384615384616</v>
      </c>
      <c r="G89" s="427">
        <v>2.9576923076923078</v>
      </c>
      <c r="H89" s="427">
        <v>5.8</v>
      </c>
      <c r="I89" s="427">
        <v>38.08</v>
      </c>
      <c r="J89" s="427">
        <v>5.7730769230769239</v>
      </c>
      <c r="K89" s="427">
        <v>1.0505464480874316</v>
      </c>
      <c r="L89">
        <v>26</v>
      </c>
    </row>
    <row r="90" spans="1:12" x14ac:dyDescent="0.25">
      <c r="A90" t="s">
        <v>1</v>
      </c>
      <c r="B90" t="s">
        <v>5</v>
      </c>
      <c r="C90" t="s">
        <v>10</v>
      </c>
      <c r="E90" s="427">
        <v>59.48</v>
      </c>
      <c r="F90" s="427">
        <v>5.5000000000000009</v>
      </c>
      <c r="G90" s="427">
        <v>4.26</v>
      </c>
      <c r="H90" s="427">
        <v>4</v>
      </c>
      <c r="I90" s="427">
        <v>40.799999999999997</v>
      </c>
      <c r="J90" s="427">
        <v>9.7600000000000016</v>
      </c>
      <c r="K90" s="427">
        <v>0.77454545454545443</v>
      </c>
      <c r="L90">
        <v>5</v>
      </c>
    </row>
    <row r="91" spans="1:12" x14ac:dyDescent="0.25">
      <c r="A91" t="s">
        <v>1</v>
      </c>
      <c r="B91" t="s">
        <v>5</v>
      </c>
      <c r="C91" t="s">
        <v>31</v>
      </c>
      <c r="E91" s="427">
        <v>62.860000000000028</v>
      </c>
      <c r="F91" s="427">
        <v>2.4563636363636361</v>
      </c>
      <c r="G91" s="427">
        <v>2.4763636363636361</v>
      </c>
      <c r="H91" s="427">
        <v>3.5961538461538463</v>
      </c>
      <c r="I91" s="427">
        <v>39.57692307692308</v>
      </c>
      <c r="J91" s="427">
        <v>4.9327272727272717</v>
      </c>
      <c r="K91" s="427">
        <v>1.008142116950407</v>
      </c>
      <c r="L91">
        <v>55</v>
      </c>
    </row>
    <row r="92" spans="1:12" hidden="1" x14ac:dyDescent="0.25">
      <c r="A92" t="s">
        <v>1</v>
      </c>
      <c r="B92" t="s">
        <v>5</v>
      </c>
      <c r="C92" t="s">
        <v>9</v>
      </c>
      <c r="E92" s="427">
        <v>0</v>
      </c>
      <c r="F92" s="427">
        <v>0</v>
      </c>
      <c r="G92" s="427">
        <v>0</v>
      </c>
      <c r="H92" s="427">
        <v>0</v>
      </c>
      <c r="I92" s="427">
        <v>0</v>
      </c>
      <c r="J92" s="427">
        <v>0</v>
      </c>
      <c r="K92" s="427">
        <v>0</v>
      </c>
      <c r="L92">
        <v>0</v>
      </c>
    </row>
    <row r="93" spans="1:12" hidden="1" x14ac:dyDescent="0.25">
      <c r="A93" t="s">
        <v>1</v>
      </c>
      <c r="B93" t="s">
        <v>5</v>
      </c>
      <c r="C93" t="s">
        <v>44</v>
      </c>
      <c r="E93" s="427">
        <v>0</v>
      </c>
      <c r="F93" s="427">
        <v>0</v>
      </c>
      <c r="G93" s="427">
        <v>0</v>
      </c>
      <c r="H93" s="427">
        <v>0</v>
      </c>
      <c r="I93" s="427">
        <v>0</v>
      </c>
      <c r="J93" s="427">
        <v>0</v>
      </c>
      <c r="K93" s="427">
        <v>0</v>
      </c>
      <c r="L93">
        <v>0</v>
      </c>
    </row>
    <row r="94" spans="1:12" x14ac:dyDescent="0.25">
      <c r="A94" t="s">
        <v>1</v>
      </c>
      <c r="B94" t="s">
        <v>5</v>
      </c>
      <c r="C94" t="s">
        <v>48</v>
      </c>
      <c r="E94" s="427">
        <v>62.093877551020412</v>
      </c>
      <c r="F94" s="427">
        <v>3.2632653061224492</v>
      </c>
      <c r="G94" s="427">
        <v>2.7663265306122451</v>
      </c>
      <c r="H94" s="427">
        <v>4.6195652173913047</v>
      </c>
      <c r="I94" s="427">
        <v>39.413043478260867</v>
      </c>
      <c r="J94" s="427">
        <v>6.0295918367346939</v>
      </c>
      <c r="K94" s="427">
        <v>0.84771732332707939</v>
      </c>
      <c r="L94">
        <v>98</v>
      </c>
    </row>
    <row r="95" spans="1:12" hidden="1" x14ac:dyDescent="0.25">
      <c r="A95" t="s">
        <v>1</v>
      </c>
      <c r="B95" t="s">
        <v>30</v>
      </c>
      <c r="C95" t="s">
        <v>27</v>
      </c>
      <c r="E95" s="427">
        <v>0</v>
      </c>
      <c r="F95" s="427">
        <v>0</v>
      </c>
      <c r="G95" s="427">
        <v>0</v>
      </c>
      <c r="H95" s="427">
        <v>0</v>
      </c>
      <c r="I95" s="427">
        <v>0</v>
      </c>
      <c r="J95" s="427">
        <v>0</v>
      </c>
      <c r="K95" s="427">
        <v>0</v>
      </c>
      <c r="L95">
        <v>0</v>
      </c>
    </row>
    <row r="96" spans="1:12" x14ac:dyDescent="0.25">
      <c r="A96" s="76" t="s">
        <v>1</v>
      </c>
      <c r="B96" s="74" t="s">
        <v>30</v>
      </c>
      <c r="C96" s="74" t="s">
        <v>2</v>
      </c>
      <c r="D96" s="74"/>
      <c r="E96" s="534">
        <v>59.02</v>
      </c>
      <c r="F96" s="534">
        <v>8.77</v>
      </c>
      <c r="G96" s="534">
        <v>2.9</v>
      </c>
      <c r="H96" s="534">
        <v>6.1643835616438354</v>
      </c>
      <c r="I96" s="534">
        <v>46.575342465753415</v>
      </c>
      <c r="J96" s="427">
        <v>11.67</v>
      </c>
      <c r="K96" s="427">
        <v>0.33067274800456103</v>
      </c>
      <c r="L96">
        <v>1</v>
      </c>
    </row>
    <row r="97" spans="1:12" x14ac:dyDescent="0.25">
      <c r="A97" t="s">
        <v>1</v>
      </c>
      <c r="B97" t="s">
        <v>30</v>
      </c>
      <c r="C97" t="s">
        <v>11</v>
      </c>
      <c r="E97" s="427">
        <v>62.584428571428575</v>
      </c>
      <c r="F97" s="427">
        <v>4.0628571428571423</v>
      </c>
      <c r="G97" s="427">
        <v>1.9471428571428571</v>
      </c>
      <c r="H97" s="427">
        <v>8.6114006387819551</v>
      </c>
      <c r="I97" s="427">
        <v>39.636722239433176</v>
      </c>
      <c r="J97" s="427">
        <v>6.01</v>
      </c>
      <c r="K97" s="427">
        <v>0.47925457102672298</v>
      </c>
      <c r="L97">
        <v>7</v>
      </c>
    </row>
    <row r="98" spans="1:12" hidden="1" x14ac:dyDescent="0.25">
      <c r="A98" t="s">
        <v>1</v>
      </c>
      <c r="B98" t="s">
        <v>30</v>
      </c>
      <c r="C98" t="s">
        <v>146</v>
      </c>
      <c r="E98" s="427">
        <v>0</v>
      </c>
      <c r="F98" s="427">
        <v>0</v>
      </c>
      <c r="G98" s="427">
        <v>0</v>
      </c>
      <c r="H98" s="427">
        <v>0</v>
      </c>
      <c r="I98" s="427">
        <v>0</v>
      </c>
      <c r="J98" s="427">
        <v>0</v>
      </c>
      <c r="K98" s="427">
        <v>0</v>
      </c>
      <c r="L98">
        <v>0</v>
      </c>
    </row>
    <row r="99" spans="1:12" hidden="1" x14ac:dyDescent="0.25">
      <c r="A99" t="s">
        <v>1</v>
      </c>
      <c r="B99" t="s">
        <v>30</v>
      </c>
      <c r="C99" t="s">
        <v>10</v>
      </c>
      <c r="E99" s="427">
        <v>0</v>
      </c>
      <c r="F99" s="427">
        <v>0</v>
      </c>
      <c r="G99" s="427">
        <v>0</v>
      </c>
      <c r="H99" s="427">
        <v>0</v>
      </c>
      <c r="I99" s="427">
        <v>0</v>
      </c>
      <c r="J99" s="427">
        <v>0</v>
      </c>
      <c r="K99" s="427">
        <v>0</v>
      </c>
      <c r="L99">
        <v>0</v>
      </c>
    </row>
    <row r="100" spans="1:12" hidden="1" x14ac:dyDescent="0.25">
      <c r="A100" t="s">
        <v>1</v>
      </c>
      <c r="B100" t="s">
        <v>30</v>
      </c>
      <c r="C100" t="s">
        <v>31</v>
      </c>
      <c r="E100" s="427">
        <v>0</v>
      </c>
      <c r="F100" s="427">
        <v>0</v>
      </c>
      <c r="G100" s="427">
        <v>0</v>
      </c>
      <c r="H100" s="427">
        <v>0</v>
      </c>
      <c r="I100" s="427">
        <v>0</v>
      </c>
      <c r="J100" s="427">
        <v>0</v>
      </c>
      <c r="K100" s="427">
        <v>0</v>
      </c>
      <c r="L100">
        <v>0</v>
      </c>
    </row>
    <row r="101" spans="1:12" x14ac:dyDescent="0.25">
      <c r="A101" s="76" t="s">
        <v>1</v>
      </c>
      <c r="B101" s="74" t="s">
        <v>30</v>
      </c>
      <c r="C101" s="74" t="s">
        <v>9</v>
      </c>
      <c r="D101" s="74"/>
      <c r="E101" s="534">
        <v>61.738159420289854</v>
      </c>
      <c r="F101" s="534">
        <v>4.9388405797101456</v>
      </c>
      <c r="G101" s="534">
        <v>2.5240579710144928</v>
      </c>
      <c r="H101" s="534">
        <v>6.6093237567324072</v>
      </c>
      <c r="I101" s="534">
        <v>45.112185089480768</v>
      </c>
      <c r="J101" s="427">
        <v>7.4628985507246384</v>
      </c>
      <c r="K101" s="427">
        <v>0.51106285580139676</v>
      </c>
      <c r="L101">
        <v>69</v>
      </c>
    </row>
    <row r="102" spans="1:12" hidden="1" x14ac:dyDescent="0.25">
      <c r="A102" t="s">
        <v>1</v>
      </c>
      <c r="B102" t="s">
        <v>30</v>
      </c>
      <c r="C102" t="s">
        <v>44</v>
      </c>
      <c r="E102" s="427">
        <v>0</v>
      </c>
      <c r="F102" s="427">
        <v>0</v>
      </c>
      <c r="G102" s="427">
        <v>0</v>
      </c>
      <c r="H102" s="427">
        <v>0</v>
      </c>
      <c r="I102" s="427">
        <v>0</v>
      </c>
      <c r="J102" s="427">
        <v>0</v>
      </c>
      <c r="K102" s="427">
        <v>0</v>
      </c>
      <c r="L102">
        <v>0</v>
      </c>
    </row>
    <row r="103" spans="1:12" x14ac:dyDescent="0.25">
      <c r="A103" t="s">
        <v>1</v>
      </c>
      <c r="B103" t="s">
        <v>30</v>
      </c>
      <c r="C103" t="s">
        <v>48</v>
      </c>
      <c r="E103" s="427">
        <v>61.779792207792191</v>
      </c>
      <c r="F103" s="427">
        <v>4.9089610389610394</v>
      </c>
      <c r="G103" s="427">
        <v>2.4764935064935063</v>
      </c>
      <c r="H103" s="427">
        <v>6.7855523019175807</v>
      </c>
      <c r="I103" s="427">
        <v>44.633417783324134</v>
      </c>
      <c r="J103" s="427">
        <v>7.3854545454545457</v>
      </c>
      <c r="K103" s="427">
        <v>0.5044842456149633</v>
      </c>
      <c r="L103">
        <v>77</v>
      </c>
    </row>
    <row r="104" spans="1:12" x14ac:dyDescent="0.25">
      <c r="A104" s="76" t="s">
        <v>1</v>
      </c>
      <c r="B104" s="74" t="s">
        <v>60</v>
      </c>
      <c r="C104" s="74" t="s">
        <v>27</v>
      </c>
      <c r="D104" s="74"/>
      <c r="E104" s="534">
        <v>57.890999999999998</v>
      </c>
      <c r="F104" s="534">
        <v>9.6840000000000011</v>
      </c>
      <c r="G104" s="534">
        <v>3.4050000000000002</v>
      </c>
      <c r="H104" s="534">
        <v>10.33</v>
      </c>
      <c r="I104" s="534">
        <v>41.575000000000003</v>
      </c>
      <c r="J104" s="427">
        <v>13.089000000000002</v>
      </c>
      <c r="K104" s="427">
        <v>0.35161090458488226</v>
      </c>
      <c r="L104">
        <v>10</v>
      </c>
    </row>
    <row r="105" spans="1:12" hidden="1" x14ac:dyDescent="0.25">
      <c r="A105" t="s">
        <v>1</v>
      </c>
      <c r="B105" t="s">
        <v>60</v>
      </c>
      <c r="C105" t="s">
        <v>2</v>
      </c>
      <c r="E105" s="427">
        <v>0</v>
      </c>
      <c r="F105" s="427">
        <v>0</v>
      </c>
      <c r="G105" s="427">
        <v>0</v>
      </c>
      <c r="H105" s="427">
        <v>0</v>
      </c>
      <c r="I105" s="427">
        <v>0</v>
      </c>
      <c r="J105" s="427">
        <v>0</v>
      </c>
      <c r="K105" s="427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 s="427">
        <v>65.78</v>
      </c>
      <c r="F106" s="427">
        <v>1.99</v>
      </c>
      <c r="G106" s="427">
        <v>1.51</v>
      </c>
      <c r="H106" s="427">
        <v>0</v>
      </c>
      <c r="I106" s="427">
        <v>64.5</v>
      </c>
      <c r="J106" s="427">
        <v>3.5</v>
      </c>
      <c r="K106" s="427">
        <v>0.75879396984924619</v>
      </c>
      <c r="L106">
        <v>1</v>
      </c>
    </row>
    <row r="107" spans="1:12" hidden="1" x14ac:dyDescent="0.25">
      <c r="A107" t="s">
        <v>1</v>
      </c>
      <c r="B107" t="s">
        <v>60</v>
      </c>
      <c r="C107" t="s">
        <v>146</v>
      </c>
      <c r="E107" s="427">
        <v>0</v>
      </c>
      <c r="F107" s="427">
        <v>0</v>
      </c>
      <c r="G107" s="427">
        <v>0</v>
      </c>
      <c r="H107" s="427">
        <v>0</v>
      </c>
      <c r="I107" s="427">
        <v>0</v>
      </c>
      <c r="J107" s="427">
        <v>0</v>
      </c>
      <c r="K107" s="427">
        <v>0</v>
      </c>
      <c r="L107">
        <v>0</v>
      </c>
    </row>
    <row r="108" spans="1:12" hidden="1" x14ac:dyDescent="0.25">
      <c r="A108" t="s">
        <v>1</v>
      </c>
      <c r="B108" t="s">
        <v>60</v>
      </c>
      <c r="C108" t="s">
        <v>10</v>
      </c>
      <c r="E108" s="427">
        <v>0</v>
      </c>
      <c r="F108" s="427">
        <v>0</v>
      </c>
      <c r="G108" s="427">
        <v>0</v>
      </c>
      <c r="H108" s="427">
        <v>0</v>
      </c>
      <c r="I108" s="427">
        <v>0</v>
      </c>
      <c r="J108" s="427">
        <v>0</v>
      </c>
      <c r="K108" s="427">
        <v>0</v>
      </c>
      <c r="L108">
        <v>0</v>
      </c>
    </row>
    <row r="109" spans="1:12" x14ac:dyDescent="0.25">
      <c r="A109" t="s">
        <v>1</v>
      </c>
      <c r="B109" t="s">
        <v>60</v>
      </c>
      <c r="C109" t="s">
        <v>31</v>
      </c>
      <c r="E109" s="427">
        <v>61.26</v>
      </c>
      <c r="F109" s="427">
        <v>4.1399999999999997</v>
      </c>
      <c r="G109" s="427">
        <v>3.97</v>
      </c>
      <c r="H109" s="427">
        <v>0</v>
      </c>
      <c r="I109" s="427">
        <v>42.7</v>
      </c>
      <c r="J109" s="427">
        <v>8.11</v>
      </c>
      <c r="K109" s="427">
        <v>0.958937198067633</v>
      </c>
      <c r="L109">
        <v>1</v>
      </c>
    </row>
    <row r="110" spans="1:12" hidden="1" x14ac:dyDescent="0.25">
      <c r="A110" t="s">
        <v>1</v>
      </c>
      <c r="B110" t="s">
        <v>60</v>
      </c>
      <c r="C110" t="s">
        <v>9</v>
      </c>
      <c r="E110" s="427">
        <v>0</v>
      </c>
      <c r="F110" s="427">
        <v>0</v>
      </c>
      <c r="G110" s="427">
        <v>0</v>
      </c>
      <c r="H110" s="427">
        <v>0</v>
      </c>
      <c r="I110" s="427">
        <v>0</v>
      </c>
      <c r="J110" s="427">
        <v>0</v>
      </c>
      <c r="K110" s="427">
        <v>0</v>
      </c>
      <c r="L110">
        <v>0</v>
      </c>
    </row>
    <row r="111" spans="1:12" hidden="1" x14ac:dyDescent="0.25">
      <c r="A111" t="s">
        <v>1</v>
      </c>
      <c r="B111" t="s">
        <v>60</v>
      </c>
      <c r="C111" t="s">
        <v>44</v>
      </c>
      <c r="E111" s="427">
        <v>0</v>
      </c>
      <c r="F111" s="427">
        <v>0</v>
      </c>
      <c r="G111" s="427">
        <v>0</v>
      </c>
      <c r="H111" s="427">
        <v>0</v>
      </c>
      <c r="I111" s="427">
        <v>0</v>
      </c>
      <c r="J111" s="427">
        <v>0</v>
      </c>
      <c r="K111" s="427">
        <v>0</v>
      </c>
      <c r="L111">
        <v>0</v>
      </c>
    </row>
    <row r="112" spans="1:12" x14ac:dyDescent="0.25">
      <c r="A112" t="s">
        <v>1</v>
      </c>
      <c r="B112" t="s">
        <v>60</v>
      </c>
      <c r="C112" t="s">
        <v>48</v>
      </c>
      <c r="E112" s="427">
        <v>58.829166666666659</v>
      </c>
      <c r="F112" s="427">
        <v>8.5808333333333326</v>
      </c>
      <c r="G112" s="427">
        <v>3.2941666666666669</v>
      </c>
      <c r="H112" s="427">
        <v>8.6083333333333325</v>
      </c>
      <c r="I112" s="427">
        <v>43.579166666666673</v>
      </c>
      <c r="J112" s="427">
        <v>11.875</v>
      </c>
      <c r="K112" s="427">
        <v>0.38389822278333502</v>
      </c>
      <c r="L112">
        <v>12</v>
      </c>
    </row>
    <row r="113" spans="1:12" x14ac:dyDescent="0.25">
      <c r="A113" t="s">
        <v>1</v>
      </c>
      <c r="B113" t="s">
        <v>48</v>
      </c>
      <c r="C113" t="s">
        <v>27</v>
      </c>
      <c r="E113" s="427">
        <v>59.806428571428555</v>
      </c>
      <c r="F113" s="427">
        <v>7.5530952380952368</v>
      </c>
      <c r="G113" s="427">
        <v>2.8571428571428572</v>
      </c>
      <c r="H113" s="427">
        <v>7.4838709677419351</v>
      </c>
      <c r="I113" s="427">
        <v>42.362903225806448</v>
      </c>
      <c r="J113" s="427">
        <v>10.410238095238094</v>
      </c>
      <c r="K113" s="427">
        <v>0.37827443810484512</v>
      </c>
      <c r="L113">
        <v>42</v>
      </c>
    </row>
    <row r="114" spans="1:12" x14ac:dyDescent="0.25">
      <c r="A114" t="s">
        <v>1</v>
      </c>
      <c r="B114" t="s">
        <v>48</v>
      </c>
      <c r="C114" t="s">
        <v>2</v>
      </c>
      <c r="E114" s="427">
        <v>60.653809523809514</v>
      </c>
      <c r="F114" s="427">
        <v>6.4550000000000018</v>
      </c>
      <c r="G114" s="427">
        <v>2.8980952380952383</v>
      </c>
      <c r="H114" s="427">
        <v>5.6032455216016848</v>
      </c>
      <c r="I114" s="427">
        <v>40.482897787144353</v>
      </c>
      <c r="J114" s="427">
        <v>9.3530952380952392</v>
      </c>
      <c r="K114" s="427">
        <v>0.44896905315185709</v>
      </c>
      <c r="L114">
        <v>42</v>
      </c>
    </row>
    <row r="115" spans="1:12" x14ac:dyDescent="0.25">
      <c r="A115" t="s">
        <v>1</v>
      </c>
      <c r="B115" t="s">
        <v>48</v>
      </c>
      <c r="C115" t="s">
        <v>11</v>
      </c>
      <c r="E115" s="427">
        <v>61.920150684931471</v>
      </c>
      <c r="F115" s="427">
        <v>4.0509589041095877</v>
      </c>
      <c r="G115" s="427">
        <v>2.4236986301369869</v>
      </c>
      <c r="H115" s="427">
        <v>9.5482324186981433</v>
      </c>
      <c r="I115" s="427">
        <v>39.619956701118127</v>
      </c>
      <c r="J115" s="427">
        <v>6.4746575342465746</v>
      </c>
      <c r="K115" s="427">
        <v>0.59830244826186973</v>
      </c>
      <c r="L115">
        <v>73</v>
      </c>
    </row>
    <row r="116" spans="1:12" x14ac:dyDescent="0.25">
      <c r="A116" t="s">
        <v>1</v>
      </c>
      <c r="B116" t="s">
        <v>48</v>
      </c>
      <c r="C116" t="s">
        <v>146</v>
      </c>
      <c r="E116" s="427">
        <v>62.280769230769231</v>
      </c>
      <c r="F116" s="427">
        <v>2.815384615384616</v>
      </c>
      <c r="G116" s="427">
        <v>2.9576923076923078</v>
      </c>
      <c r="H116" s="427">
        <v>5.8</v>
      </c>
      <c r="I116" s="427">
        <v>38.08</v>
      </c>
      <c r="J116" s="427">
        <v>5.7730769230769239</v>
      </c>
      <c r="K116" s="427">
        <v>1.0505464480874316</v>
      </c>
      <c r="L116">
        <v>26</v>
      </c>
    </row>
    <row r="117" spans="1:12" x14ac:dyDescent="0.25">
      <c r="A117" t="s">
        <v>1</v>
      </c>
      <c r="B117" t="s">
        <v>48</v>
      </c>
      <c r="C117" t="s">
        <v>10</v>
      </c>
      <c r="E117" s="427">
        <v>59.684285714285707</v>
      </c>
      <c r="F117" s="427">
        <v>5.3457142857142861</v>
      </c>
      <c r="G117" s="427">
        <v>4.4514285714285711</v>
      </c>
      <c r="H117" s="427">
        <v>4.2</v>
      </c>
      <c r="I117" s="427">
        <v>41.550000000000004</v>
      </c>
      <c r="J117" s="427">
        <v>9.7971428571428572</v>
      </c>
      <c r="K117" s="427">
        <v>0.83270978086584702</v>
      </c>
      <c r="L117">
        <v>7</v>
      </c>
    </row>
    <row r="118" spans="1:12" x14ac:dyDescent="0.25">
      <c r="A118" t="s">
        <v>1</v>
      </c>
      <c r="B118" t="s">
        <v>48</v>
      </c>
      <c r="C118" t="s">
        <v>31</v>
      </c>
      <c r="E118" s="427">
        <v>62.831428571428603</v>
      </c>
      <c r="F118" s="427">
        <v>2.4864285714285712</v>
      </c>
      <c r="G118" s="427">
        <v>2.5030357142857147</v>
      </c>
      <c r="H118" s="427">
        <v>3.5283018867924527</v>
      </c>
      <c r="I118" s="427">
        <v>39.635849056603767</v>
      </c>
      <c r="J118" s="427">
        <v>4.9894642857142859</v>
      </c>
      <c r="K118" s="427">
        <v>1.0066791151967829</v>
      </c>
      <c r="L118">
        <v>56</v>
      </c>
    </row>
    <row r="119" spans="1:12" x14ac:dyDescent="0.25">
      <c r="A119" t="s">
        <v>1</v>
      </c>
      <c r="B119" t="s">
        <v>48</v>
      </c>
      <c r="C119" t="s">
        <v>9</v>
      </c>
      <c r="E119" s="427">
        <v>61.640988095238129</v>
      </c>
      <c r="F119" s="427">
        <v>5.0853809523809526</v>
      </c>
      <c r="G119" s="427">
        <v>2.5610714285714287</v>
      </c>
      <c r="H119" s="427">
        <v>6.1366667375245321</v>
      </c>
      <c r="I119" s="427">
        <v>45.561937002098475</v>
      </c>
      <c r="J119" s="427">
        <v>7.6464523809523808</v>
      </c>
      <c r="K119" s="427">
        <v>0.50361446911314411</v>
      </c>
      <c r="L119">
        <v>84</v>
      </c>
    </row>
    <row r="120" spans="1:12" x14ac:dyDescent="0.25">
      <c r="A120" t="s">
        <v>1</v>
      </c>
      <c r="B120" t="s">
        <v>48</v>
      </c>
      <c r="C120" t="s">
        <v>44</v>
      </c>
      <c r="E120" s="427">
        <v>63.148000000000003</v>
      </c>
      <c r="F120" s="427">
        <v>3.2480000000000002</v>
      </c>
      <c r="G120" s="427">
        <v>2.3660000000000001</v>
      </c>
      <c r="H120" s="427">
        <v>3.85</v>
      </c>
      <c r="I120" s="427">
        <v>32.875</v>
      </c>
      <c r="J120" s="427">
        <v>5.6140000000000008</v>
      </c>
      <c r="K120" s="427">
        <v>0.72844827586206895</v>
      </c>
      <c r="L120">
        <v>5</v>
      </c>
    </row>
    <row r="121" spans="1:12" x14ac:dyDescent="0.25">
      <c r="A121" t="s">
        <v>1</v>
      </c>
      <c r="B121" t="s">
        <v>48</v>
      </c>
      <c r="C121" t="s">
        <v>48</v>
      </c>
      <c r="E121" s="427">
        <v>61.57831044776124</v>
      </c>
      <c r="F121" s="427">
        <v>4.7084537313432868</v>
      </c>
      <c r="G121" s="427">
        <v>2.6681791044776109</v>
      </c>
      <c r="H121" s="427">
        <v>6.4490119163772057</v>
      </c>
      <c r="I121" s="427">
        <v>41.469943139580927</v>
      </c>
      <c r="J121" s="427">
        <v>7.3766328358208977</v>
      </c>
      <c r="K121" s="427">
        <v>0.56667841646527117</v>
      </c>
      <c r="L121">
        <v>335</v>
      </c>
    </row>
  </sheetData>
  <autoFilter ref="A13:L121"/>
  <mergeCells count="1">
    <mergeCell ref="C11:J11"/>
  </mergeCells>
  <pageMargins left="0.2" right="0.2" top="0.75" bottom="0.75" header="0.3" footer="0.3"/>
  <pageSetup paperSize="9" scale="81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AF96"/>
  <sheetViews>
    <sheetView topLeftCell="A10" zoomScale="70" zoomScaleNormal="70" workbookViewId="0">
      <selection activeCell="E23" sqref="E23"/>
    </sheetView>
  </sheetViews>
  <sheetFormatPr defaultColWidth="9.1796875" defaultRowHeight="14" x14ac:dyDescent="0.3"/>
  <cols>
    <col min="1" max="1" width="9.1796875" style="23"/>
    <col min="2" max="2" width="7.7265625" style="23" customWidth="1"/>
    <col min="3" max="3" width="3.453125" style="23" customWidth="1"/>
    <col min="4" max="4" width="13.1796875" style="27" customWidth="1"/>
    <col min="5" max="5" width="10.1796875" style="23" customWidth="1"/>
    <col min="6" max="6" width="10.54296875" style="23" customWidth="1"/>
    <col min="7" max="9" width="10.26953125" style="23" customWidth="1"/>
    <col min="10" max="10" width="12.81640625" style="23" hidden="1" customWidth="1"/>
    <col min="11" max="11" width="18.6328125" style="23" hidden="1" customWidth="1"/>
    <col min="12" max="12" width="11.26953125" style="23" customWidth="1"/>
    <col min="13" max="13" width="14.1796875" style="23" customWidth="1"/>
    <col min="14" max="14" width="3.7265625" style="23" customWidth="1"/>
    <col min="15" max="15" width="13.1796875" style="23" customWidth="1"/>
    <col min="16" max="16" width="22.26953125" style="23" customWidth="1"/>
    <col min="17" max="17" width="10.7265625" style="29" customWidth="1"/>
    <col min="18" max="18" width="16.26953125" style="29" bestFit="1" customWidth="1"/>
    <col min="19" max="19" width="10.7265625" style="23" customWidth="1"/>
    <col min="20" max="21" width="10.7265625" style="29" customWidth="1"/>
    <col min="22" max="22" width="12.453125" style="29" customWidth="1"/>
    <col min="23" max="23" width="13" style="29" customWidth="1"/>
    <col min="24" max="24" width="4.26953125" style="23" customWidth="1"/>
    <col min="25" max="25" width="21.26953125" style="23" customWidth="1"/>
    <col min="26" max="28" width="10.7265625" style="29" customWidth="1"/>
    <col min="29" max="29" width="13.7265625" style="29" customWidth="1"/>
    <col min="30" max="30" width="10.7265625" style="29" customWidth="1"/>
    <col min="31" max="31" width="11" style="29" customWidth="1"/>
    <col min="32" max="32" width="14" style="23" customWidth="1"/>
    <col min="33" max="16384" width="9.1796875" style="23"/>
  </cols>
  <sheetData>
    <row r="1" spans="3:18" ht="14.5" thickBot="1" x14ac:dyDescent="0.35"/>
    <row r="2" spans="3:18" ht="20" customHeight="1" x14ac:dyDescent="0.3">
      <c r="L2" s="550">
        <f ca="1">NOW()</f>
        <v>44777.676228587959</v>
      </c>
      <c r="M2" s="550"/>
      <c r="R2" s="33">
        <v>44743</v>
      </c>
    </row>
    <row r="3" spans="3:18" ht="20" customHeight="1" x14ac:dyDescent="0.4">
      <c r="C3" s="551" t="s">
        <v>217</v>
      </c>
      <c r="D3" s="551"/>
      <c r="E3" s="551"/>
      <c r="F3" s="551"/>
      <c r="G3" s="551"/>
      <c r="H3" s="551"/>
      <c r="I3" s="551"/>
      <c r="J3" s="551"/>
      <c r="K3" s="551"/>
      <c r="L3" s="551"/>
      <c r="M3" s="551"/>
      <c r="N3" s="551"/>
    </row>
    <row r="4" spans="3:18" ht="20" customHeight="1" thickBot="1" x14ac:dyDescent="0.4">
      <c r="C4" s="37"/>
      <c r="D4" s="38"/>
      <c r="E4" s="547">
        <f>$R$2</f>
        <v>44743</v>
      </c>
      <c r="F4" s="548"/>
      <c r="G4" s="548"/>
      <c r="H4" s="548"/>
      <c r="I4" s="548"/>
      <c r="J4" s="548"/>
      <c r="K4" s="549"/>
      <c r="L4" s="37"/>
      <c r="M4" s="37"/>
      <c r="N4" s="24"/>
      <c r="P4" s="543"/>
      <c r="Q4" s="543"/>
      <c r="R4" s="543"/>
    </row>
    <row r="5" spans="3:18" ht="20" customHeight="1" x14ac:dyDescent="0.35">
      <c r="C5" s="40"/>
      <c r="D5" s="41" t="s">
        <v>129</v>
      </c>
      <c r="E5" s="42" t="s">
        <v>130</v>
      </c>
      <c r="F5" s="42" t="s">
        <v>131</v>
      </c>
      <c r="G5" s="42" t="s">
        <v>132</v>
      </c>
      <c r="H5" s="42" t="s">
        <v>171</v>
      </c>
      <c r="I5" s="42" t="s">
        <v>172</v>
      </c>
      <c r="J5" s="42" t="s">
        <v>143</v>
      </c>
      <c r="K5" s="42" t="s">
        <v>133</v>
      </c>
      <c r="L5" s="42" t="s">
        <v>134</v>
      </c>
      <c r="M5" s="43" t="s">
        <v>111</v>
      </c>
      <c r="N5" s="36"/>
    </row>
    <row r="6" spans="3:18" ht="20" customHeight="1" x14ac:dyDescent="0.35">
      <c r="C6" s="44"/>
      <c r="D6" s="26" t="s">
        <v>108</v>
      </c>
      <c r="E6" s="25">
        <f t="array" ref="E6:I6">Norm!J6:N6</f>
        <v>61.72</v>
      </c>
      <c r="F6" s="25">
        <v>4.33</v>
      </c>
      <c r="G6" s="25">
        <v>2.4700000000000002</v>
      </c>
      <c r="H6" s="25">
        <v>10</v>
      </c>
      <c r="I6" s="25">
        <v>10</v>
      </c>
      <c r="J6" s="25">
        <v>0.65</v>
      </c>
      <c r="K6" s="25">
        <v>0.65</v>
      </c>
      <c r="L6" s="25">
        <f>F6+G6</f>
        <v>6.8000000000000007</v>
      </c>
      <c r="M6" s="45">
        <f>G6/F6</f>
        <v>0.57043879907621253</v>
      </c>
      <c r="N6" s="36"/>
    </row>
    <row r="7" spans="3:18" ht="20" customHeight="1" thickBot="1" x14ac:dyDescent="0.4">
      <c r="C7" s="46"/>
      <c r="D7" s="47">
        <f>$E$4</f>
        <v>44743</v>
      </c>
      <c r="E7" s="48">
        <f t="array" ref="E7:I7">MonthlyAvg!E22:I22</f>
        <v>61.352456140350874</v>
      </c>
      <c r="F7" s="48">
        <v>5.8298245614035098</v>
      </c>
      <c r="G7" s="48">
        <v>2.5766666666666658</v>
      </c>
      <c r="H7" s="48">
        <v>15.956140350877195</v>
      </c>
      <c r="I7" s="48">
        <v>25.526315789473685</v>
      </c>
      <c r="J7" s="48">
        <f>MonthlySD!F22</f>
        <v>2.0469013962119744</v>
      </c>
      <c r="K7" s="48">
        <f>MonthlySD!G22</f>
        <v>0.33450567651245183</v>
      </c>
      <c r="L7" s="48">
        <f>F7+G7</f>
        <v>8.4064912280701751</v>
      </c>
      <c r="M7" s="49">
        <f>G7/F7</f>
        <v>0.44198013842913009</v>
      </c>
      <c r="N7" s="36"/>
    </row>
    <row r="8" spans="3:18" ht="20" customHeight="1" thickBot="1" x14ac:dyDescent="0.35">
      <c r="C8" s="50"/>
      <c r="D8" s="552" t="str">
        <f>CONCATENATE(MonthlyAvg!L22, "  Rakes Analysis Report")</f>
        <v>57  Rakes Analysis Report</v>
      </c>
      <c r="E8" s="553"/>
      <c r="F8" s="553"/>
      <c r="G8" s="553"/>
      <c r="H8" s="553"/>
      <c r="I8" s="553"/>
      <c r="J8" s="553"/>
      <c r="K8" s="553"/>
      <c r="L8" s="553"/>
      <c r="M8" s="554"/>
      <c r="N8" s="24"/>
    </row>
    <row r="9" spans="3:18" ht="20" customHeight="1" x14ac:dyDescent="0.35">
      <c r="C9" s="40"/>
      <c r="D9" s="41" t="s">
        <v>135</v>
      </c>
      <c r="E9" s="42" t="s">
        <v>130</v>
      </c>
      <c r="F9" s="42" t="s">
        <v>131</v>
      </c>
      <c r="G9" s="42" t="s">
        <v>132</v>
      </c>
      <c r="H9" s="42" t="s">
        <v>171</v>
      </c>
      <c r="I9" s="42" t="s">
        <v>172</v>
      </c>
      <c r="J9" s="42" t="s">
        <v>143</v>
      </c>
      <c r="K9" s="42" t="s">
        <v>133</v>
      </c>
      <c r="L9" s="42" t="s">
        <v>134</v>
      </c>
      <c r="M9" s="43" t="s">
        <v>111</v>
      </c>
      <c r="N9" s="36"/>
    </row>
    <row r="10" spans="3:18" ht="20" customHeight="1" x14ac:dyDescent="0.35">
      <c r="C10" s="44"/>
      <c r="D10" s="26" t="s">
        <v>108</v>
      </c>
      <c r="E10" s="25">
        <f t="array" ref="E10:I10">Norm!J14:N14</f>
        <v>60.94</v>
      </c>
      <c r="F10" s="25">
        <v>5.15</v>
      </c>
      <c r="G10" s="25">
        <v>2.75</v>
      </c>
      <c r="H10" s="25">
        <v>6.82</v>
      </c>
      <c r="I10" s="25">
        <v>40</v>
      </c>
      <c r="J10" s="25">
        <v>0.65</v>
      </c>
      <c r="K10" s="25">
        <v>0.65</v>
      </c>
      <c r="L10" s="25">
        <f>F10+G10</f>
        <v>7.9</v>
      </c>
      <c r="M10" s="45">
        <f>G10/F10</f>
        <v>0.53398058252427183</v>
      </c>
      <c r="N10" s="36"/>
    </row>
    <row r="11" spans="3:18" ht="20" customHeight="1" thickBot="1" x14ac:dyDescent="0.4">
      <c r="C11" s="46"/>
      <c r="D11" s="47">
        <f>$E$4</f>
        <v>44743</v>
      </c>
      <c r="E11" s="48">
        <f t="array" ref="E11:I11">MonthlyAvg!E76:I76</f>
        <v>61.056344086021497</v>
      </c>
      <c r="F11" s="48">
        <v>6.0663655913978483</v>
      </c>
      <c r="G11" s="48">
        <v>2.8399999999999994</v>
      </c>
      <c r="H11" s="48">
        <v>5.0853333333333328</v>
      </c>
      <c r="I11" s="48">
        <v>41.462999999999987</v>
      </c>
      <c r="J11" s="48">
        <f>MonthlySD!F76</f>
        <v>1.1254669348372226</v>
      </c>
      <c r="K11" s="48">
        <f>MonthlySD!G76</f>
        <v>0.41163512758372789</v>
      </c>
      <c r="L11" s="48">
        <f>F11+G11</f>
        <v>8.9063655913978472</v>
      </c>
      <c r="M11" s="49">
        <f>G11/F11</f>
        <v>0.46815510163567137</v>
      </c>
      <c r="N11" s="36"/>
    </row>
    <row r="12" spans="3:18" ht="20" customHeight="1" thickBot="1" x14ac:dyDescent="0.35">
      <c r="C12" s="50"/>
      <c r="D12" s="552" t="str">
        <f>CONCATENATE(MonthlyAvg!L76, "  Rakes Analysis Report")</f>
        <v>93  Rakes Analysis Report</v>
      </c>
      <c r="E12" s="553"/>
      <c r="F12" s="553"/>
      <c r="G12" s="553"/>
      <c r="H12" s="553"/>
      <c r="I12" s="553"/>
      <c r="J12" s="553"/>
      <c r="K12" s="553"/>
      <c r="L12" s="553"/>
      <c r="M12" s="554"/>
      <c r="N12" s="24"/>
    </row>
    <row r="13" spans="3:18" ht="20" customHeight="1" x14ac:dyDescent="0.35">
      <c r="C13" s="40"/>
      <c r="D13" s="41" t="s">
        <v>136</v>
      </c>
      <c r="E13" s="42" t="s">
        <v>130</v>
      </c>
      <c r="F13" s="42" t="s">
        <v>131</v>
      </c>
      <c r="G13" s="42" t="s">
        <v>132</v>
      </c>
      <c r="H13" s="42" t="s">
        <v>171</v>
      </c>
      <c r="I13" s="42" t="s">
        <v>172</v>
      </c>
      <c r="J13" s="42" t="s">
        <v>143</v>
      </c>
      <c r="K13" s="42" t="s">
        <v>133</v>
      </c>
      <c r="L13" s="42" t="s">
        <v>134</v>
      </c>
      <c r="M13" s="43" t="s">
        <v>111</v>
      </c>
      <c r="N13" s="36"/>
    </row>
    <row r="14" spans="3:18" ht="20" customHeight="1" x14ac:dyDescent="0.35">
      <c r="C14" s="44"/>
      <c r="D14" s="26" t="s">
        <v>108</v>
      </c>
      <c r="E14" s="25">
        <f t="array" ref="E14:I14">Norm!J8:N8</f>
        <v>62.5</v>
      </c>
      <c r="F14" s="25">
        <v>3.3</v>
      </c>
      <c r="G14" s="25">
        <v>2.2000000000000002</v>
      </c>
      <c r="H14" s="25">
        <v>10</v>
      </c>
      <c r="I14" s="25">
        <v>10</v>
      </c>
      <c r="J14" s="25">
        <v>0.5</v>
      </c>
      <c r="K14" s="25">
        <v>0.5</v>
      </c>
      <c r="L14" s="25">
        <f>F14+G14</f>
        <v>5.5</v>
      </c>
      <c r="M14" s="45">
        <f>G14/F14</f>
        <v>0.66666666666666674</v>
      </c>
      <c r="N14" s="36"/>
    </row>
    <row r="15" spans="3:18" ht="20" customHeight="1" thickBot="1" x14ac:dyDescent="0.4">
      <c r="C15" s="46"/>
      <c r="D15" s="47">
        <f>$E$4</f>
        <v>44743</v>
      </c>
      <c r="E15" s="48">
        <f t="array" ref="E15:I15">MonthlyAvg!E31:I31</f>
        <v>61.909803921568631</v>
      </c>
      <c r="F15" s="48">
        <v>3.5176470588235293</v>
      </c>
      <c r="G15" s="48">
        <v>2.1294117647058819</v>
      </c>
      <c r="H15" s="48">
        <v>14.156862745098039</v>
      </c>
      <c r="I15" s="48">
        <v>15.376470588235293</v>
      </c>
      <c r="J15" s="48">
        <f>MonthlySD!F31</f>
        <v>2.0189805231703399</v>
      </c>
      <c r="K15" s="48">
        <f>MonthlySD!G31</f>
        <v>0.73383761627408106</v>
      </c>
      <c r="L15" s="48">
        <f>F15+G15</f>
        <v>5.6470588235294112</v>
      </c>
      <c r="M15" s="49">
        <f>G15/F15</f>
        <v>0.6053511705685618</v>
      </c>
      <c r="N15" s="36"/>
    </row>
    <row r="16" spans="3:18" ht="20" customHeight="1" thickBot="1" x14ac:dyDescent="0.35">
      <c r="C16" s="50"/>
      <c r="D16" s="552" t="str">
        <f>CONCATENATE(MonthlyAvg!L31, "  Rakes Analysis Report")</f>
        <v>51  Rakes Analysis Report</v>
      </c>
      <c r="E16" s="553"/>
      <c r="F16" s="553"/>
      <c r="G16" s="553"/>
      <c r="H16" s="553"/>
      <c r="I16" s="553"/>
      <c r="J16" s="553"/>
      <c r="K16" s="553"/>
      <c r="L16" s="553"/>
      <c r="M16" s="554"/>
      <c r="N16" s="24"/>
    </row>
    <row r="17" spans="3:14" ht="20" customHeight="1" x14ac:dyDescent="0.35">
      <c r="C17" s="40"/>
      <c r="D17" s="41" t="s">
        <v>137</v>
      </c>
      <c r="E17" s="42" t="s">
        <v>130</v>
      </c>
      <c r="F17" s="42" t="s">
        <v>131</v>
      </c>
      <c r="G17" s="42" t="s">
        <v>132</v>
      </c>
      <c r="H17" s="42" t="s">
        <v>171</v>
      </c>
      <c r="I17" s="42" t="s">
        <v>172</v>
      </c>
      <c r="J17" s="42" t="s">
        <v>143</v>
      </c>
      <c r="K17" s="42" t="s">
        <v>133</v>
      </c>
      <c r="L17" s="42" t="s">
        <v>134</v>
      </c>
      <c r="M17" s="43" t="s">
        <v>111</v>
      </c>
      <c r="N17" s="36"/>
    </row>
    <row r="18" spans="3:14" ht="20" customHeight="1" x14ac:dyDescent="0.35">
      <c r="C18" s="44"/>
      <c r="D18" s="26" t="s">
        <v>108</v>
      </c>
      <c r="E18" s="25">
        <f t="array" ref="E18:I18">Norm!J16:N16</f>
        <v>61.75</v>
      </c>
      <c r="F18" s="25">
        <v>4.08</v>
      </c>
      <c r="G18" s="25">
        <v>2.57</v>
      </c>
      <c r="H18" s="25">
        <v>7</v>
      </c>
      <c r="I18" s="25">
        <v>40</v>
      </c>
      <c r="J18" s="25">
        <v>0.5</v>
      </c>
      <c r="K18" s="25">
        <v>0.5</v>
      </c>
      <c r="L18" s="25">
        <f>F18+G18</f>
        <v>6.65</v>
      </c>
      <c r="M18" s="45">
        <f>G18/F18</f>
        <v>0.62990196078431371</v>
      </c>
      <c r="N18" s="36"/>
    </row>
    <row r="19" spans="3:14" ht="20" customHeight="1" thickBot="1" x14ac:dyDescent="0.4">
      <c r="C19" s="46"/>
      <c r="D19" s="47">
        <f>$E$4</f>
        <v>44743</v>
      </c>
      <c r="E19" s="48">
        <f t="array" ref="E19:I19">MonthlyAvg!E85:I85</f>
        <v>61.859999999999985</v>
      </c>
      <c r="F19" s="48">
        <v>3.8618181818181818</v>
      </c>
      <c r="G19" s="48">
        <v>2.334545454545454</v>
      </c>
      <c r="H19" s="48">
        <v>10.054545454545456</v>
      </c>
      <c r="I19" s="48">
        <v>40.029090909090904</v>
      </c>
      <c r="J19" s="48">
        <f>MonthlySD!F85</f>
        <v>1.1741807087072809</v>
      </c>
      <c r="K19" s="48">
        <f>MonthlySD!G85</f>
        <v>0.52536343040483557</v>
      </c>
      <c r="L19" s="48">
        <f>F19+G19</f>
        <v>6.1963636363636354</v>
      </c>
      <c r="M19" s="49">
        <f>G19/F19</f>
        <v>0.6045197740112993</v>
      </c>
      <c r="N19" s="36"/>
    </row>
    <row r="20" spans="3:14" ht="20" customHeight="1" thickBot="1" x14ac:dyDescent="0.35">
      <c r="C20" s="50"/>
      <c r="D20" s="552" t="str">
        <f>CONCATENATE(MonthlyAvg!L85, "  Rakes Analysis Report")</f>
        <v>55  Rakes Analysis Report</v>
      </c>
      <c r="E20" s="553"/>
      <c r="F20" s="553"/>
      <c r="G20" s="553"/>
      <c r="H20" s="553"/>
      <c r="I20" s="553"/>
      <c r="J20" s="553"/>
      <c r="K20" s="553"/>
      <c r="L20" s="553"/>
      <c r="M20" s="554"/>
      <c r="N20" s="24"/>
    </row>
    <row r="21" spans="3:14" ht="20" customHeight="1" x14ac:dyDescent="0.35">
      <c r="C21" s="40"/>
      <c r="D21" s="41" t="s">
        <v>142</v>
      </c>
      <c r="E21" s="42" t="s">
        <v>130</v>
      </c>
      <c r="F21" s="42" t="s">
        <v>131</v>
      </c>
      <c r="G21" s="42" t="s">
        <v>132</v>
      </c>
      <c r="H21" s="42" t="s">
        <v>171</v>
      </c>
      <c r="I21" s="42" t="s">
        <v>172</v>
      </c>
      <c r="J21" s="42" t="s">
        <v>143</v>
      </c>
      <c r="K21" s="42" t="s">
        <v>133</v>
      </c>
      <c r="L21" s="42" t="s">
        <v>134</v>
      </c>
      <c r="M21" s="43" t="s">
        <v>111</v>
      </c>
      <c r="N21" s="36"/>
    </row>
    <row r="22" spans="3:14" ht="20" customHeight="1" x14ac:dyDescent="0.35">
      <c r="C22" s="44"/>
      <c r="D22" s="26" t="s">
        <v>108</v>
      </c>
      <c r="E22" s="25">
        <f t="array" ref="E22:I22">Norm!J9:N9</f>
        <v>62.62</v>
      </c>
      <c r="F22" s="25">
        <v>2.96</v>
      </c>
      <c r="G22" s="25">
        <v>2.52</v>
      </c>
      <c r="H22" s="25">
        <v>6.54</v>
      </c>
      <c r="I22" s="25">
        <v>10</v>
      </c>
      <c r="J22" s="25">
        <v>0.5</v>
      </c>
      <c r="K22" s="25">
        <v>0.5</v>
      </c>
      <c r="L22" s="25">
        <f>F22+G22</f>
        <v>5.48</v>
      </c>
      <c r="M22" s="45">
        <f>G22/F22</f>
        <v>0.85135135135135132</v>
      </c>
      <c r="N22" s="36"/>
    </row>
    <row r="23" spans="3:14" ht="20" customHeight="1" thickBot="1" x14ac:dyDescent="0.4">
      <c r="C23" s="46"/>
      <c r="D23" s="47">
        <f>$E$4</f>
        <v>44743</v>
      </c>
      <c r="E23" s="48">
        <f t="array" ref="E23:I23">MonthlyAvg!E40:I40</f>
        <v>62.258461538461503</v>
      </c>
      <c r="F23" s="48">
        <v>3.0430769230769239</v>
      </c>
      <c r="G23" s="48">
        <v>2.9661538461538468</v>
      </c>
      <c r="H23" s="48">
        <v>5.615384615384615</v>
      </c>
      <c r="I23" s="48">
        <v>16.507692307692309</v>
      </c>
      <c r="J23" s="48">
        <f>MonthlySD!F40</f>
        <v>2.0012472072723497</v>
      </c>
      <c r="K23" s="48">
        <f>MonthlySD!G40</f>
        <v>0.78467288627907494</v>
      </c>
      <c r="L23" s="48">
        <f>F23+G23</f>
        <v>6.0092307692307703</v>
      </c>
      <c r="M23" s="49">
        <f>G23/F23</f>
        <v>0.97472194135490386</v>
      </c>
      <c r="N23" s="36"/>
    </row>
    <row r="24" spans="3:14" ht="20" customHeight="1" thickBot="1" x14ac:dyDescent="0.35">
      <c r="C24" s="50"/>
      <c r="D24" s="552" t="str">
        <f>CONCATENATE(MonthlyAvg!L40, "  Rakes Analysis Report")</f>
        <v>65  Rakes Analysis Report</v>
      </c>
      <c r="E24" s="553"/>
      <c r="F24" s="553"/>
      <c r="G24" s="553"/>
      <c r="H24" s="553"/>
      <c r="I24" s="553"/>
      <c r="J24" s="553"/>
      <c r="K24" s="553"/>
      <c r="L24" s="553"/>
      <c r="M24" s="554"/>
      <c r="N24" s="24"/>
    </row>
    <row r="25" spans="3:14" ht="20" customHeight="1" x14ac:dyDescent="0.35">
      <c r="C25" s="40"/>
      <c r="D25" s="41" t="s">
        <v>201</v>
      </c>
      <c r="E25" s="42" t="s">
        <v>130</v>
      </c>
      <c r="F25" s="42" t="s">
        <v>131</v>
      </c>
      <c r="G25" s="42" t="s">
        <v>132</v>
      </c>
      <c r="H25" s="42" t="s">
        <v>171</v>
      </c>
      <c r="I25" s="42" t="s">
        <v>172</v>
      </c>
      <c r="J25" s="42" t="s">
        <v>143</v>
      </c>
      <c r="K25" s="42" t="s">
        <v>133</v>
      </c>
      <c r="L25" s="42" t="s">
        <v>134</v>
      </c>
      <c r="M25" s="43" t="s">
        <v>111</v>
      </c>
      <c r="N25" s="36"/>
    </row>
    <row r="26" spans="3:14" ht="20" customHeight="1" x14ac:dyDescent="0.35">
      <c r="C26" s="44"/>
      <c r="D26" s="26" t="s">
        <v>108</v>
      </c>
      <c r="E26" s="25">
        <f t="array" ref="E26:I26">Norm!J17:N17</f>
        <v>62.07</v>
      </c>
      <c r="F26" s="25">
        <v>3.66</v>
      </c>
      <c r="G26" s="25">
        <v>2.6</v>
      </c>
      <c r="H26" s="25">
        <v>7</v>
      </c>
      <c r="I26" s="25">
        <v>40</v>
      </c>
      <c r="J26" s="25">
        <v>0.5</v>
      </c>
      <c r="K26" s="25">
        <v>0.5</v>
      </c>
      <c r="L26" s="25">
        <f>F26+G26</f>
        <v>6.26</v>
      </c>
      <c r="M26" s="45">
        <f>G26/F26</f>
        <v>0.7103825136612022</v>
      </c>
      <c r="N26" s="36"/>
    </row>
    <row r="27" spans="3:14" ht="20" customHeight="1" thickBot="1" x14ac:dyDescent="0.4">
      <c r="C27" s="46"/>
      <c r="D27" s="47">
        <f>$E$4</f>
        <v>44743</v>
      </c>
      <c r="E27" s="48">
        <f t="array" ref="E27:I27">MonthlyAvg!E94:J94</f>
        <v>62.093877551020412</v>
      </c>
      <c r="F27" s="48">
        <v>3.2632653061224492</v>
      </c>
      <c r="G27" s="48">
        <v>2.7663265306122451</v>
      </c>
      <c r="H27" s="48">
        <v>4.6195652173913047</v>
      </c>
      <c r="I27" s="48">
        <v>39.413043478260867</v>
      </c>
      <c r="J27" s="48">
        <f>MonthlySD!F126</f>
        <v>1.8165902124584929</v>
      </c>
      <c r="K27" s="48">
        <f>MonthlySD!G94</f>
        <v>0.58625913090306558</v>
      </c>
      <c r="L27" s="48">
        <f>F27+G27</f>
        <v>6.0295918367346939</v>
      </c>
      <c r="M27" s="49">
        <f>G27/F27</f>
        <v>0.84771732332707939</v>
      </c>
      <c r="N27" s="36"/>
    </row>
    <row r="28" spans="3:14" ht="20" customHeight="1" thickBot="1" x14ac:dyDescent="0.35">
      <c r="C28" s="50"/>
      <c r="D28" s="552" t="str">
        <f>CONCATENATE(MonthlyAvg!L94, "  Rakes Analysis Report")</f>
        <v>98  Rakes Analysis Report</v>
      </c>
      <c r="E28" s="553"/>
      <c r="F28" s="553"/>
      <c r="G28" s="553"/>
      <c r="H28" s="553"/>
      <c r="I28" s="553"/>
      <c r="J28" s="553"/>
      <c r="K28" s="553"/>
      <c r="L28" s="553"/>
      <c r="M28" s="554"/>
      <c r="N28" s="24"/>
    </row>
    <row r="29" spans="3:14" ht="20" customHeight="1" x14ac:dyDescent="0.35">
      <c r="C29" s="40"/>
      <c r="D29" s="41" t="s">
        <v>138</v>
      </c>
      <c r="E29" s="42" t="s">
        <v>130</v>
      </c>
      <c r="F29" s="42" t="s">
        <v>131</v>
      </c>
      <c r="G29" s="42" t="s">
        <v>132</v>
      </c>
      <c r="H29" s="42" t="s">
        <v>171</v>
      </c>
      <c r="I29" s="42" t="s">
        <v>172</v>
      </c>
      <c r="J29" s="42" t="s">
        <v>143</v>
      </c>
      <c r="K29" s="42" t="s">
        <v>133</v>
      </c>
      <c r="L29" s="42" t="s">
        <v>134</v>
      </c>
      <c r="M29" s="43" t="s">
        <v>111</v>
      </c>
      <c r="N29" s="36"/>
    </row>
    <row r="30" spans="3:14" ht="20" customHeight="1" x14ac:dyDescent="0.35">
      <c r="C30" s="44"/>
      <c r="D30" s="26" t="s">
        <v>108</v>
      </c>
      <c r="E30" s="25">
        <f t="array" ref="E30:I30">Norm!J10:N10</f>
        <v>62.43</v>
      </c>
      <c r="F30" s="25">
        <v>3.52</v>
      </c>
      <c r="G30" s="25">
        <v>2.2000000000000002</v>
      </c>
      <c r="H30" s="25">
        <v>10</v>
      </c>
      <c r="I30" s="25">
        <v>10</v>
      </c>
      <c r="J30" s="25">
        <v>0.5</v>
      </c>
      <c r="K30" s="25">
        <v>0.5</v>
      </c>
      <c r="L30" s="25">
        <f>F30+G30</f>
        <v>5.7200000000000006</v>
      </c>
      <c r="M30" s="45">
        <f>G30/F30</f>
        <v>0.625</v>
      </c>
      <c r="N30" s="36"/>
    </row>
    <row r="31" spans="3:14" ht="20" customHeight="1" thickBot="1" x14ac:dyDescent="0.4">
      <c r="C31" s="46"/>
      <c r="D31" s="47">
        <f>$E$4</f>
        <v>44743</v>
      </c>
      <c r="E31" s="48">
        <f t="array" ref="E31:I31">MonthlyAvg!E49:I49</f>
        <v>63.022500000000015</v>
      </c>
      <c r="F31" s="48">
        <v>3.4249999999999985</v>
      </c>
      <c r="G31" s="48">
        <v>2.0868421052631576</v>
      </c>
      <c r="H31" s="48">
        <v>3.893300601912344</v>
      </c>
      <c r="I31" s="48">
        <v>7.7497452588935225</v>
      </c>
      <c r="J31" s="48">
        <f>MonthlySD!F49</f>
        <v>2.0152402445473481</v>
      </c>
      <c r="K31" s="48">
        <f>MonthlySD!G49</f>
        <v>1.3686610250249978</v>
      </c>
      <c r="L31" s="48">
        <f>F31+G31</f>
        <v>5.5118421052631561</v>
      </c>
      <c r="M31" s="49">
        <f>+G31/F31</f>
        <v>0.60929696504033826</v>
      </c>
      <c r="N31" s="36"/>
    </row>
    <row r="32" spans="3:14" ht="20" customHeight="1" thickBot="1" x14ac:dyDescent="0.35">
      <c r="C32" s="50"/>
      <c r="D32" s="552" t="str">
        <f>CONCATENATE(MonthlyAvg!L49, "  Rakes Analysis Report")</f>
        <v>38  Rakes Analysis Report</v>
      </c>
      <c r="E32" s="553"/>
      <c r="F32" s="553"/>
      <c r="G32" s="553"/>
      <c r="H32" s="553"/>
      <c r="I32" s="553"/>
      <c r="J32" s="553"/>
      <c r="K32" s="553"/>
      <c r="L32" s="553"/>
      <c r="M32" s="554"/>
      <c r="N32" s="24"/>
    </row>
    <row r="33" spans="3:23" ht="20" customHeight="1" x14ac:dyDescent="0.35">
      <c r="C33" s="40"/>
      <c r="D33" s="41" t="s">
        <v>139</v>
      </c>
      <c r="E33" s="42" t="s">
        <v>130</v>
      </c>
      <c r="F33" s="42" t="s">
        <v>131</v>
      </c>
      <c r="G33" s="42" t="s">
        <v>132</v>
      </c>
      <c r="H33" s="42" t="s">
        <v>171</v>
      </c>
      <c r="I33" s="42" t="s">
        <v>172</v>
      </c>
      <c r="J33" s="42" t="s">
        <v>143</v>
      </c>
      <c r="K33" s="42" t="s">
        <v>133</v>
      </c>
      <c r="L33" s="42" t="s">
        <v>134</v>
      </c>
      <c r="M33" s="43" t="s">
        <v>111</v>
      </c>
      <c r="N33" s="36"/>
    </row>
    <row r="34" spans="3:23" ht="20" customHeight="1" x14ac:dyDescent="0.35">
      <c r="C34" s="44"/>
      <c r="D34" s="26" t="s">
        <v>108</v>
      </c>
      <c r="E34" s="25">
        <f t="array" ref="E34:I34">Norm!J18:N18</f>
        <v>61.36</v>
      </c>
      <c r="F34" s="25">
        <v>4.2300000000000004</v>
      </c>
      <c r="G34" s="25">
        <v>2.64</v>
      </c>
      <c r="H34" s="25">
        <v>7</v>
      </c>
      <c r="I34" s="25">
        <v>40</v>
      </c>
      <c r="J34" s="25">
        <v>0.5</v>
      </c>
      <c r="K34" s="25">
        <v>0.5</v>
      </c>
      <c r="L34" s="25">
        <f>F34+G34</f>
        <v>6.870000000000001</v>
      </c>
      <c r="M34" s="45">
        <f>G34/F34</f>
        <v>0.62411347517730498</v>
      </c>
      <c r="N34" s="36"/>
    </row>
    <row r="35" spans="3:23" ht="20" customHeight="1" thickBot="1" x14ac:dyDescent="0.4">
      <c r="C35" s="46"/>
      <c r="D35" s="47">
        <f>$E$4</f>
        <v>44743</v>
      </c>
      <c r="E35" s="48">
        <f t="array" ref="E35:I35">MonthlyAvg!E103:I103</f>
        <v>61.779792207792191</v>
      </c>
      <c r="F35" s="48">
        <v>4.9089610389610394</v>
      </c>
      <c r="G35" s="48">
        <v>2.4764935064935063</v>
      </c>
      <c r="H35" s="48">
        <v>6.7855523019175807</v>
      </c>
      <c r="I35" s="48">
        <v>44.633417783324134</v>
      </c>
      <c r="J35" s="48">
        <f>MonthlySD!F103</f>
        <v>1.6276400290763113</v>
      </c>
      <c r="K35" s="48">
        <f>MonthlySD!G103</f>
        <v>0.73501837827679306</v>
      </c>
      <c r="L35" s="48">
        <f>F35+G35</f>
        <v>7.3854545454545457</v>
      </c>
      <c r="M35" s="49">
        <f>G35/F35</f>
        <v>0.5044842456149633</v>
      </c>
      <c r="N35" s="36"/>
    </row>
    <row r="36" spans="3:23" ht="20" customHeight="1" thickBot="1" x14ac:dyDescent="0.35">
      <c r="C36" s="50"/>
      <c r="D36" s="552" t="str">
        <f>CONCATENATE(MonthlyAvg!L103, "  Rakes Analysis Report")</f>
        <v>77  Rakes Analysis Report</v>
      </c>
      <c r="E36" s="553"/>
      <c r="F36" s="553"/>
      <c r="G36" s="553"/>
      <c r="H36" s="553"/>
      <c r="I36" s="553"/>
      <c r="J36" s="553"/>
      <c r="K36" s="553"/>
      <c r="L36" s="553"/>
      <c r="M36" s="554"/>
      <c r="N36" s="24"/>
    </row>
    <row r="37" spans="3:23" ht="20" customHeight="1" x14ac:dyDescent="0.35">
      <c r="C37" s="40"/>
      <c r="D37" s="41" t="s">
        <v>140</v>
      </c>
      <c r="E37" s="42" t="s">
        <v>130</v>
      </c>
      <c r="F37" s="42" t="s">
        <v>131</v>
      </c>
      <c r="G37" s="42" t="s">
        <v>132</v>
      </c>
      <c r="H37" s="42" t="s">
        <v>171</v>
      </c>
      <c r="I37" s="42" t="s">
        <v>172</v>
      </c>
      <c r="J37" s="42" t="s">
        <v>143</v>
      </c>
      <c r="K37" s="42" t="s">
        <v>133</v>
      </c>
      <c r="L37" s="42" t="s">
        <v>134</v>
      </c>
      <c r="M37" s="43" t="s">
        <v>111</v>
      </c>
      <c r="N37" s="36"/>
    </row>
    <row r="38" spans="3:23" ht="20" customHeight="1" x14ac:dyDescent="0.35">
      <c r="C38" s="44"/>
      <c r="D38" s="26" t="s">
        <v>108</v>
      </c>
      <c r="E38" s="25">
        <f t="array" ref="E38:I38">Norm!J7:N7</f>
        <v>0</v>
      </c>
      <c r="F38" s="25">
        <v>0</v>
      </c>
      <c r="G38" s="25">
        <v>0</v>
      </c>
      <c r="H38" s="25">
        <v>0</v>
      </c>
      <c r="I38" s="25">
        <v>0</v>
      </c>
      <c r="J38" s="25">
        <v>0.5</v>
      </c>
      <c r="K38" s="25">
        <v>0.5</v>
      </c>
      <c r="L38" s="25">
        <f>F38+G38</f>
        <v>0</v>
      </c>
      <c r="M38" s="45" t="e">
        <f>G38/F38</f>
        <v>#DIV/0!</v>
      </c>
      <c r="N38" s="36"/>
    </row>
    <row r="39" spans="3:23" ht="20" customHeight="1" thickBot="1" x14ac:dyDescent="0.4">
      <c r="C39" s="46"/>
      <c r="D39" s="47">
        <f>$E$4</f>
        <v>44743</v>
      </c>
      <c r="E39" s="48">
        <f t="array" ref="E39:I39">MonthlyAvg!E58:I58</f>
        <v>0</v>
      </c>
      <c r="F39" s="48">
        <v>0</v>
      </c>
      <c r="G39" s="48">
        <v>0</v>
      </c>
      <c r="H39" s="48">
        <v>0</v>
      </c>
      <c r="I39" s="48">
        <v>0</v>
      </c>
      <c r="J39" s="48" t="str">
        <f>MonthlySD!F58</f>
        <v xml:space="preserve"> </v>
      </c>
      <c r="K39" s="48" t="str">
        <f>MonthlySD!G58</f>
        <v xml:space="preserve"> </v>
      </c>
      <c r="L39" s="48">
        <f>F39+G39</f>
        <v>0</v>
      </c>
      <c r="M39" s="49" t="e">
        <f>G39/F39</f>
        <v>#DIV/0!</v>
      </c>
      <c r="N39" s="36"/>
    </row>
    <row r="40" spans="3:23" ht="20" customHeight="1" thickBot="1" x14ac:dyDescent="0.35">
      <c r="C40" s="50"/>
      <c r="D40" s="552" t="str">
        <f>CONCATENATE(MonthlyAvg!L58, "  Rakes Analysis Report")</f>
        <v>0  Rakes Analysis Report</v>
      </c>
      <c r="E40" s="553"/>
      <c r="F40" s="553"/>
      <c r="G40" s="553"/>
      <c r="H40" s="553"/>
      <c r="I40" s="553"/>
      <c r="J40" s="553"/>
      <c r="K40" s="553"/>
      <c r="L40" s="553"/>
      <c r="M40" s="554"/>
      <c r="N40" s="24"/>
    </row>
    <row r="41" spans="3:23" ht="20" customHeight="1" x14ac:dyDescent="0.35">
      <c r="C41" s="40"/>
      <c r="D41" s="41" t="s">
        <v>141</v>
      </c>
      <c r="E41" s="42" t="s">
        <v>130</v>
      </c>
      <c r="F41" s="42" t="s">
        <v>131</v>
      </c>
      <c r="G41" s="42" t="s">
        <v>132</v>
      </c>
      <c r="H41" s="42" t="s">
        <v>171</v>
      </c>
      <c r="I41" s="42" t="s">
        <v>172</v>
      </c>
      <c r="J41" s="42" t="s">
        <v>143</v>
      </c>
      <c r="K41" s="42" t="s">
        <v>133</v>
      </c>
      <c r="L41" s="42" t="s">
        <v>134</v>
      </c>
      <c r="M41" s="43" t="s">
        <v>111</v>
      </c>
      <c r="N41" s="36"/>
    </row>
    <row r="42" spans="3:23" ht="20" customHeight="1" x14ac:dyDescent="0.35">
      <c r="C42" s="44"/>
      <c r="D42" s="26" t="s">
        <v>108</v>
      </c>
      <c r="E42" s="25">
        <f t="array" ref="E42:I42">Norm!J15:N15</f>
        <v>60.53</v>
      </c>
      <c r="F42" s="25">
        <v>5.83</v>
      </c>
      <c r="G42" s="25">
        <v>2.77</v>
      </c>
      <c r="H42" s="25">
        <v>7</v>
      </c>
      <c r="I42" s="25">
        <v>40</v>
      </c>
      <c r="J42" s="25">
        <v>0.5</v>
      </c>
      <c r="K42" s="25">
        <v>0.5</v>
      </c>
      <c r="L42" s="25">
        <f>F42+G42</f>
        <v>8.6</v>
      </c>
      <c r="M42" s="45">
        <f>G42/F42</f>
        <v>0.47512864493996571</v>
      </c>
      <c r="N42" s="36"/>
    </row>
    <row r="43" spans="3:23" ht="20" customHeight="1" thickBot="1" x14ac:dyDescent="0.4">
      <c r="C43" s="46"/>
      <c r="D43" s="47">
        <f>$E$4</f>
        <v>44743</v>
      </c>
      <c r="E43" s="48">
        <f t="array" ref="E43:I43">MonthlyAvg!E112:I112</f>
        <v>58.829166666666659</v>
      </c>
      <c r="F43" s="48">
        <v>8.5808333333333326</v>
      </c>
      <c r="G43" s="48">
        <v>3.2941666666666669</v>
      </c>
      <c r="H43" s="48">
        <v>8.6083333333333325</v>
      </c>
      <c r="I43" s="48">
        <v>43.579166666666673</v>
      </c>
      <c r="J43" s="48">
        <f>MonthlySD!E112</f>
        <v>3.3524711600232853</v>
      </c>
      <c r="K43" s="48">
        <f>MonthlySD!F112</f>
        <v>4.2070232584298459</v>
      </c>
      <c r="L43" s="48">
        <f>G43+F43</f>
        <v>11.875</v>
      </c>
      <c r="M43" s="49">
        <f>G43/F43</f>
        <v>0.38389822278333502</v>
      </c>
      <c r="N43" s="36"/>
    </row>
    <row r="44" spans="3:23" ht="20" customHeight="1" x14ac:dyDescent="0.3">
      <c r="C44" s="39"/>
      <c r="D44" s="555" t="str">
        <f>CONCATENATE(MonthlyAvg!L112, "  Rakes Analysis Report")</f>
        <v>12  Rakes Analysis Report</v>
      </c>
      <c r="E44" s="556"/>
      <c r="F44" s="556"/>
      <c r="G44" s="556"/>
      <c r="H44" s="556"/>
      <c r="I44" s="556"/>
      <c r="J44" s="556"/>
      <c r="K44" s="556"/>
      <c r="L44" s="556"/>
      <c r="M44" s="557"/>
      <c r="N44" s="24"/>
    </row>
    <row r="45" spans="3:23" ht="12.5" hidden="1" customHeight="1" x14ac:dyDescent="0.3">
      <c r="D45" s="27" t="s">
        <v>148</v>
      </c>
      <c r="F45" s="23">
        <f>MonthlyAvg!L121+MonthlyAvg!L67</f>
        <v>546</v>
      </c>
      <c r="L45" s="543"/>
      <c r="M45" s="543"/>
    </row>
    <row r="46" spans="3:23" ht="14.5" thickBot="1" x14ac:dyDescent="0.35">
      <c r="C46" s="543"/>
      <c r="D46" s="543"/>
      <c r="E46" s="543"/>
      <c r="F46" s="543"/>
      <c r="G46" s="543"/>
      <c r="H46" s="543"/>
      <c r="I46" s="543"/>
      <c r="J46" s="543"/>
      <c r="K46" s="543"/>
      <c r="L46" s="543"/>
      <c r="M46" s="543"/>
      <c r="N46" s="543"/>
    </row>
    <row r="47" spans="3:23" x14ac:dyDescent="0.3">
      <c r="C47" s="543"/>
      <c r="D47" s="543"/>
      <c r="E47" s="543"/>
      <c r="F47" s="543"/>
      <c r="G47" s="543"/>
      <c r="H47" s="543"/>
      <c r="I47" s="543"/>
      <c r="J47" s="543"/>
      <c r="K47" s="543"/>
      <c r="L47" s="543"/>
      <c r="M47" s="543"/>
      <c r="N47" s="543"/>
      <c r="P47" s="40"/>
      <c r="Q47" s="52"/>
      <c r="R47" s="52"/>
      <c r="S47" s="53"/>
      <c r="T47" s="52"/>
      <c r="U47" s="52"/>
      <c r="V47" s="52"/>
      <c r="W47" s="54"/>
    </row>
    <row r="48" spans="3:23" x14ac:dyDescent="0.3">
      <c r="P48" s="44"/>
      <c r="Q48" s="51"/>
      <c r="R48" s="51"/>
      <c r="S48" s="24"/>
      <c r="T48" s="51"/>
      <c r="U48" s="51"/>
      <c r="V48" s="51"/>
      <c r="W48" s="55"/>
    </row>
    <row r="49" spans="2:32" ht="16" thickBot="1" x14ac:dyDescent="0.4">
      <c r="P49" s="56"/>
      <c r="Q49" s="57"/>
      <c r="R49" s="57"/>
      <c r="S49" s="58"/>
      <c r="T49" s="57"/>
      <c r="U49" s="57"/>
      <c r="V49" s="57"/>
      <c r="W49" s="59"/>
    </row>
    <row r="50" spans="2:32" x14ac:dyDescent="0.3">
      <c r="P50" s="543"/>
      <c r="Q50" s="543"/>
      <c r="R50" s="543"/>
      <c r="S50" s="543"/>
      <c r="T50" s="543"/>
      <c r="U50" s="543"/>
      <c r="V50" s="543"/>
      <c r="W50" s="543"/>
    </row>
    <row r="52" spans="2:32" ht="14.5" thickBot="1" x14ac:dyDescent="0.35"/>
    <row r="53" spans="2:32" ht="21" x14ac:dyDescent="0.5">
      <c r="B53" s="426"/>
    </row>
    <row r="60" spans="2:32" ht="19" thickBot="1" x14ac:dyDescent="0.5">
      <c r="P60" s="544" t="s">
        <v>225</v>
      </c>
      <c r="Q60" s="544"/>
      <c r="R60" s="544"/>
      <c r="S60" s="544"/>
      <c r="T60" s="544"/>
      <c r="U60" s="544"/>
      <c r="V60" s="544"/>
      <c r="W60" s="544"/>
      <c r="X60" s="544"/>
      <c r="Y60" s="544"/>
      <c r="Z60" s="544"/>
      <c r="AA60" s="544"/>
      <c r="AB60" s="544"/>
      <c r="AC60" s="544"/>
      <c r="AD60" s="544"/>
      <c r="AE60" s="546">
        <f ca="1">NOW()</f>
        <v>44777.676228587959</v>
      </c>
      <c r="AF60" s="546"/>
    </row>
    <row r="61" spans="2:32" ht="21" x14ac:dyDescent="0.5">
      <c r="L61" s="426"/>
      <c r="P61" s="426" t="s">
        <v>155</v>
      </c>
      <c r="Q61" s="61" t="s">
        <v>130</v>
      </c>
      <c r="R61" s="61" t="s">
        <v>131</v>
      </c>
      <c r="S61" s="62" t="s">
        <v>132</v>
      </c>
      <c r="T61" s="61" t="s">
        <v>171</v>
      </c>
      <c r="U61" s="61" t="s">
        <v>172</v>
      </c>
      <c r="V61" s="61" t="s">
        <v>134</v>
      </c>
      <c r="W61" s="63" t="s">
        <v>111</v>
      </c>
      <c r="X61" s="64"/>
      <c r="Y61" s="426" t="s">
        <v>161</v>
      </c>
      <c r="Z61" s="61" t="s">
        <v>130</v>
      </c>
      <c r="AA61" s="61" t="s">
        <v>131</v>
      </c>
      <c r="AB61" s="62" t="s">
        <v>132</v>
      </c>
      <c r="AC61" s="61" t="s">
        <v>171</v>
      </c>
      <c r="AD61" s="61" t="s">
        <v>172</v>
      </c>
      <c r="AE61" s="61" t="s">
        <v>134</v>
      </c>
      <c r="AF61" s="63" t="s">
        <v>111</v>
      </c>
    </row>
    <row r="62" spans="2:32" ht="18.5" x14ac:dyDescent="0.45">
      <c r="P62" s="65" t="s">
        <v>108</v>
      </c>
      <c r="Q62" s="66">
        <f t="array" ref="Q62:S62">Norm!B10:D10</f>
        <v>61.5</v>
      </c>
      <c r="R62" s="66">
        <v>5</v>
      </c>
      <c r="S62" s="67">
        <v>2.5</v>
      </c>
      <c r="T62" s="66">
        <f>Norm!E10</f>
        <v>10</v>
      </c>
      <c r="U62" s="66">
        <f>Norm!F10</f>
        <v>10</v>
      </c>
      <c r="V62" s="66">
        <f>R62+S62</f>
        <v>7.5</v>
      </c>
      <c r="W62" s="68">
        <f>S62/R62</f>
        <v>0.5</v>
      </c>
      <c r="X62" s="64"/>
      <c r="Y62" s="65" t="s">
        <v>108</v>
      </c>
      <c r="Z62" s="66">
        <f t="array" ref="Z62:AB62">Norm!B22:D22</f>
        <v>62.8</v>
      </c>
      <c r="AA62" s="66">
        <v>2.7</v>
      </c>
      <c r="AB62" s="67">
        <v>2.5</v>
      </c>
      <c r="AC62" s="66">
        <f>Norm!E22</f>
        <v>5</v>
      </c>
      <c r="AD62" s="66">
        <f>Norm!F22</f>
        <v>10</v>
      </c>
      <c r="AE62" s="66">
        <f>AA62+AB62</f>
        <v>5.2</v>
      </c>
      <c r="AF62" s="68">
        <f>AB62/AA62</f>
        <v>0.92592592592592582</v>
      </c>
    </row>
    <row r="63" spans="2:32" ht="19" thickBot="1" x14ac:dyDescent="0.5">
      <c r="P63" s="69">
        <f>$E$4</f>
        <v>44743</v>
      </c>
      <c r="Q63" s="70">
        <f t="array" ref="Q63:S63">MonthlyAvg!E59:G59</f>
        <v>60.7288</v>
      </c>
      <c r="R63" s="70">
        <v>6.8856000000000019</v>
      </c>
      <c r="S63" s="71">
        <v>2.4612000000000003</v>
      </c>
      <c r="T63" s="70">
        <f>MonthlyAvg!H59</f>
        <v>17.491999999999997</v>
      </c>
      <c r="U63" s="70">
        <f>MonthlyAvg!I59</f>
        <v>24.232000000000006</v>
      </c>
      <c r="V63" s="70">
        <f>R63+S63</f>
        <v>9.3468000000000018</v>
      </c>
      <c r="W63" s="72">
        <f>S63/R63</f>
        <v>0.35744161728825369</v>
      </c>
      <c r="X63" s="64"/>
      <c r="Y63" s="69">
        <f>$E$4</f>
        <v>44743</v>
      </c>
      <c r="Z63" s="70">
        <f t="array" ref="Z63:AB63">MonthlyAvg!E62:G62</f>
        <v>62.625000000000007</v>
      </c>
      <c r="AA63" s="70">
        <v>2.6416666666666666</v>
      </c>
      <c r="AB63" s="71">
        <v>2.9416666666666669</v>
      </c>
      <c r="AC63" s="70">
        <f>MonthlyAvg!H62</f>
        <v>4.833333333333333</v>
      </c>
      <c r="AD63" s="70">
        <f>MonthlyAvg!I62</f>
        <v>14.75</v>
      </c>
      <c r="AE63" s="70">
        <f>AA63+AB63</f>
        <v>5.5833333333333339</v>
      </c>
      <c r="AF63" s="72">
        <f>AB63/AA63</f>
        <v>1.1135646687697163</v>
      </c>
    </row>
    <row r="64" spans="2:32" ht="19" thickBot="1" x14ac:dyDescent="0.5">
      <c r="P64" s="544" t="str">
        <f>+CONCATENATE("BSL-",MonthlyAvg!L14,"; DSP-",MonthlyAvg!L23,"; RSP-",MonthlyAvg!L32, "; ISP-",MonthlyAvg!L41, "; BSP-",MonthlyAvg!L50, ";   TOTAL-",MonthlyAvg!L59)</f>
        <v>BSL-25; DSP-0; RSP-0; ISP-0; BSP-0;   TOTAL-25</v>
      </c>
      <c r="Q64" s="544"/>
      <c r="R64" s="544"/>
      <c r="S64" s="544"/>
      <c r="T64" s="544"/>
      <c r="U64" s="544"/>
      <c r="V64" s="544"/>
      <c r="W64" s="544"/>
      <c r="X64" s="64"/>
      <c r="Y64" s="544" t="str">
        <f>+CONCATENATE("BSL-",MonthlyAvg!L17,"; DSP-",MonthlyAvg!L26,"; RSP-",MonthlyAvg!L35, "; ISP-",MonthlyAvg!L44, "; BSP-",MonthlyAvg!L53, ";   TOTAL-",MonthlyAvg!L62)</f>
        <v>BSL-0; DSP-0; RSP-12; ISP-0; BSP-0;   TOTAL-12</v>
      </c>
      <c r="Z64" s="544"/>
      <c r="AA64" s="544"/>
      <c r="AB64" s="544"/>
      <c r="AC64" s="544"/>
      <c r="AD64" s="544"/>
      <c r="AE64" s="544"/>
      <c r="AF64" s="544"/>
    </row>
    <row r="65" spans="16:32" ht="21" x14ac:dyDescent="0.5">
      <c r="P65" s="426" t="s">
        <v>156</v>
      </c>
      <c r="Q65" s="61" t="s">
        <v>130</v>
      </c>
      <c r="R65" s="61" t="s">
        <v>131</v>
      </c>
      <c r="S65" s="62" t="s">
        <v>132</v>
      </c>
      <c r="T65" s="61" t="s">
        <v>171</v>
      </c>
      <c r="U65" s="61" t="s">
        <v>172</v>
      </c>
      <c r="V65" s="61" t="s">
        <v>134</v>
      </c>
      <c r="W65" s="63" t="s">
        <v>111</v>
      </c>
      <c r="X65" s="64"/>
      <c r="Y65" s="426" t="s">
        <v>164</v>
      </c>
      <c r="Z65" s="61" t="s">
        <v>130</v>
      </c>
      <c r="AA65" s="61" t="s">
        <v>131</v>
      </c>
      <c r="AB65" s="62" t="s">
        <v>132</v>
      </c>
      <c r="AC65" s="61" t="s">
        <v>171</v>
      </c>
      <c r="AD65" s="61" t="s">
        <v>172</v>
      </c>
      <c r="AE65" s="61" t="s">
        <v>134</v>
      </c>
      <c r="AF65" s="63" t="s">
        <v>111</v>
      </c>
    </row>
    <row r="66" spans="16:32" ht="18.5" x14ac:dyDescent="0.45">
      <c r="P66" s="65" t="s">
        <v>108</v>
      </c>
      <c r="Q66" s="66">
        <f t="array" ref="Q66:S66">Norm!B20:D20</f>
        <v>60.8</v>
      </c>
      <c r="R66" s="66">
        <v>5.5</v>
      </c>
      <c r="S66" s="67">
        <v>2.7</v>
      </c>
      <c r="T66" s="66">
        <f>Norm!E20</f>
        <v>7</v>
      </c>
      <c r="U66" s="66">
        <f>Norm!F20</f>
        <v>40</v>
      </c>
      <c r="V66" s="66">
        <f>R66+S66</f>
        <v>8.1999999999999993</v>
      </c>
      <c r="W66" s="68">
        <f>S66/R66</f>
        <v>0.49090909090909096</v>
      </c>
      <c r="X66" s="64"/>
      <c r="Y66" s="65" t="s">
        <v>108</v>
      </c>
      <c r="Z66" s="66">
        <f t="array" ref="Z66:AB66">Norm!B23:D23</f>
        <v>62.5</v>
      </c>
      <c r="AA66" s="66">
        <v>3</v>
      </c>
      <c r="AB66" s="67">
        <v>2.6</v>
      </c>
      <c r="AC66" s="66">
        <f>Norm!E23</f>
        <v>7</v>
      </c>
      <c r="AD66" s="66">
        <f>Norm!F23</f>
        <v>40</v>
      </c>
      <c r="AE66" s="66">
        <f>AA66+AB66</f>
        <v>5.6</v>
      </c>
      <c r="AF66" s="68">
        <f>AB66/AA66</f>
        <v>0.8666666666666667</v>
      </c>
    </row>
    <row r="67" spans="16:32" ht="19" thickBot="1" x14ac:dyDescent="0.5">
      <c r="P67" s="69">
        <f>$E$4</f>
        <v>44743</v>
      </c>
      <c r="Q67" s="70">
        <f t="array" ref="Q67:S67">MonthlyAvg!E113:G113</f>
        <v>59.806428571428555</v>
      </c>
      <c r="R67" s="70">
        <v>7.5530952380952368</v>
      </c>
      <c r="S67" s="71">
        <v>2.8571428571428572</v>
      </c>
      <c r="T67" s="70">
        <f>MonthlyAvg!H113</f>
        <v>7.4838709677419351</v>
      </c>
      <c r="U67" s="70">
        <f>MonthlyAvg!I113</f>
        <v>42.362903225806448</v>
      </c>
      <c r="V67" s="70">
        <f>S67+R67</f>
        <v>10.410238095238094</v>
      </c>
      <c r="W67" s="72">
        <f>S67/R67</f>
        <v>0.37827443810484512</v>
      </c>
      <c r="X67" s="64"/>
      <c r="Y67" s="69">
        <f>$E$4</f>
        <v>44743</v>
      </c>
      <c r="Z67" s="70">
        <f t="array" ref="Z67:AB67">MonthlyAvg!E116:G116</f>
        <v>62.280769230769231</v>
      </c>
      <c r="AA67" s="70">
        <v>2.815384615384616</v>
      </c>
      <c r="AB67" s="71">
        <v>2.9576923076923078</v>
      </c>
      <c r="AC67" s="70">
        <f>MonthlyAvg!H116</f>
        <v>5.8</v>
      </c>
      <c r="AD67" s="70">
        <f>MonthlyAvg!I116</f>
        <v>38.08</v>
      </c>
      <c r="AE67" s="70">
        <f>AB67+AA67</f>
        <v>5.7730769230769239</v>
      </c>
      <c r="AF67" s="72">
        <f>AB67/AA67</f>
        <v>1.0505464480874316</v>
      </c>
    </row>
    <row r="68" spans="16:32" ht="19" thickBot="1" x14ac:dyDescent="0.5">
      <c r="P68" s="544" t="str">
        <f>+CONCATENATE("BSL-",MonthlyAvg!L68,"; DSP-",MonthlyAvg!L77,"; RSP-",MonthlyAvg!L86, "; ISP-",MonthlyAvg!L95, "; BSP-",MonthlyAvg!L104, ";   TOTAL-",MonthlyAvg!L113)</f>
        <v>BSL-25; DSP-0; RSP-7; ISP-0; BSP-10;   TOTAL-42</v>
      </c>
      <c r="Q68" s="544"/>
      <c r="R68" s="544"/>
      <c r="S68" s="544"/>
      <c r="T68" s="544"/>
      <c r="U68" s="544"/>
      <c r="V68" s="544"/>
      <c r="W68" s="544"/>
      <c r="X68" s="64"/>
      <c r="Y68" s="544" t="str">
        <f>+CONCATENATE("BSL-",MonthlyAvg!L71,"; DSP-",MonthlyAvg!L80,"; RSP-",MonthlyAvg!L89, "; ISP-",MonthlyAvg!L98, "; BSP-",MonthlyAvg!L107, ";   TOTAL-",MonthlyAvg!L116)</f>
        <v>BSL-0; DSP-0; RSP-26; ISP-0; BSP-0;   TOTAL-26</v>
      </c>
      <c r="Z68" s="544"/>
      <c r="AA68" s="544"/>
      <c r="AB68" s="544"/>
      <c r="AC68" s="544"/>
      <c r="AD68" s="544"/>
      <c r="AE68" s="544"/>
      <c r="AF68" s="544"/>
    </row>
    <row r="69" spans="16:32" ht="21" x14ac:dyDescent="0.5">
      <c r="P69" s="426" t="s">
        <v>157</v>
      </c>
      <c r="Q69" s="61" t="s">
        <v>130</v>
      </c>
      <c r="R69" s="61" t="s">
        <v>131</v>
      </c>
      <c r="S69" s="62" t="s">
        <v>132</v>
      </c>
      <c r="T69" s="61" t="s">
        <v>171</v>
      </c>
      <c r="U69" s="61" t="s">
        <v>172</v>
      </c>
      <c r="V69" s="61" t="s">
        <v>134</v>
      </c>
      <c r="W69" s="63" t="s">
        <v>111</v>
      </c>
      <c r="X69" s="64"/>
      <c r="Y69" s="426" t="s">
        <v>165</v>
      </c>
      <c r="Z69" s="61" t="s">
        <v>130</v>
      </c>
      <c r="AA69" s="61" t="s">
        <v>131</v>
      </c>
      <c r="AB69" s="62" t="s">
        <v>132</v>
      </c>
      <c r="AC69" s="61" t="s">
        <v>171</v>
      </c>
      <c r="AD69" s="61" t="s">
        <v>172</v>
      </c>
      <c r="AE69" s="61" t="s">
        <v>134</v>
      </c>
      <c r="AF69" s="63" t="s">
        <v>111</v>
      </c>
    </row>
    <row r="70" spans="16:32" ht="18.5" x14ac:dyDescent="0.45">
      <c r="P70" s="65" t="s">
        <v>108</v>
      </c>
      <c r="Q70" s="66">
        <f t="array" ref="Q70:S70">Norm!B11:D11</f>
        <v>60.5</v>
      </c>
      <c r="R70" s="66">
        <v>5.5</v>
      </c>
      <c r="S70" s="67">
        <v>2.5</v>
      </c>
      <c r="T70" s="66">
        <f>Norm!E11</f>
        <v>10</v>
      </c>
      <c r="U70" s="66">
        <f>Norm!F11</f>
        <v>10</v>
      </c>
      <c r="V70" s="66">
        <f>R70+S70</f>
        <v>8</v>
      </c>
      <c r="W70" s="68">
        <f>S70/R70</f>
        <v>0.45454545454545453</v>
      </c>
      <c r="X70" s="64"/>
      <c r="Y70" s="65" t="s">
        <v>108</v>
      </c>
      <c r="Z70" s="66">
        <f t="array" ref="Z70:AB70">Norm!B9:D9</f>
        <v>63</v>
      </c>
      <c r="AA70" s="66">
        <v>2.5</v>
      </c>
      <c r="AB70" s="67">
        <v>2.2999999999999998</v>
      </c>
      <c r="AC70" s="66">
        <f>Norm!E9</f>
        <v>5</v>
      </c>
      <c r="AD70" s="66">
        <f>Norm!F9</f>
        <v>10</v>
      </c>
      <c r="AE70" s="66">
        <f>AA70+AB70</f>
        <v>4.8</v>
      </c>
      <c r="AF70" s="68">
        <f>AB70/AA70</f>
        <v>0.91999999999999993</v>
      </c>
    </row>
    <row r="71" spans="16:32" ht="19" thickBot="1" x14ac:dyDescent="0.5">
      <c r="P71" s="69">
        <f>$E$4</f>
        <v>44743</v>
      </c>
      <c r="Q71" s="70">
        <f t="array" ref="Q71:S71">MonthlyAvg!E60:G60</f>
        <v>61.15124999999999</v>
      </c>
      <c r="R71" s="70">
        <v>5.5018750000000001</v>
      </c>
      <c r="S71" s="71">
        <v>2.8425000000000002</v>
      </c>
      <c r="T71" s="70">
        <f>MonthlyAvg!H60</f>
        <v>14.375</v>
      </c>
      <c r="U71" s="70">
        <f>MonthlyAvg!I60</f>
        <v>26.862499999999997</v>
      </c>
      <c r="V71" s="70">
        <f>R71+S71</f>
        <v>8.3443749999999994</v>
      </c>
      <c r="W71" s="72">
        <f>S71/R71</f>
        <v>0.51664205384528006</v>
      </c>
      <c r="X71" s="64"/>
      <c r="Y71" s="69">
        <f>$E$4</f>
        <v>44743</v>
      </c>
      <c r="Z71" s="70">
        <f t="array" ref="Z71:AB71">MonthlyAvg!E64:G64</f>
        <v>63.153571428571425</v>
      </c>
      <c r="AA71" s="70">
        <v>2.3142857142857141</v>
      </c>
      <c r="AB71" s="71">
        <v>2.4142857142857141</v>
      </c>
      <c r="AC71" s="70">
        <f>MonthlyAvg!H64</f>
        <v>2.7142857142857144</v>
      </c>
      <c r="AD71" s="70">
        <f>MonthlyAvg!I64</f>
        <v>13.678571428571429</v>
      </c>
      <c r="AE71" s="70">
        <f>AA71+AB71</f>
        <v>4.7285714285714278</v>
      </c>
      <c r="AF71" s="72">
        <f>AB71/AA71</f>
        <v>1.0432098765432098</v>
      </c>
    </row>
    <row r="72" spans="16:32" ht="19" thickBot="1" x14ac:dyDescent="0.5">
      <c r="P72" s="544" t="str">
        <f>+CONCATENATE("BSL-",MonthlyAvg!L15,"; DSP-",MonthlyAvg!L24,"; RSP-",MonthlyAvg!L33, "; ISP-",MonthlyAvg!L42, "; BSP-",MonthlyAvg!L51, ";   TOTAL-",MonthlyAvg!L60)</f>
        <v>BSL-14; DSP-2; RSP-0; ISP-0; BSP-0;   TOTAL-16</v>
      </c>
      <c r="Q72" s="544"/>
      <c r="R72" s="544"/>
      <c r="S72" s="544"/>
      <c r="T72" s="544"/>
      <c r="U72" s="544"/>
      <c r="V72" s="544"/>
      <c r="W72" s="544"/>
      <c r="X72" s="64"/>
      <c r="Y72" s="544" t="str">
        <f>+CONCATENATE("BSL-",MonthlyAvg!L19,"; DSP-",MonthlyAvg!L28,"; RSP-",MonthlyAvg!L37, "; ISP-",MonthlyAvg!L46, "; BSP-",MonthlyAvg!L55, ";   TOTAL-",MonthlyAvg!L64)</f>
        <v>BSL-0; DSP-0; RSP-28; ISP-0; BSP-0;   TOTAL-28</v>
      </c>
      <c r="Z72" s="544"/>
      <c r="AA72" s="544"/>
      <c r="AB72" s="544"/>
      <c r="AC72" s="544"/>
      <c r="AD72" s="544"/>
      <c r="AE72" s="544"/>
      <c r="AF72" s="544"/>
    </row>
    <row r="73" spans="16:32" ht="21" x14ac:dyDescent="0.5">
      <c r="P73" s="426" t="s">
        <v>158</v>
      </c>
      <c r="Q73" s="61" t="s">
        <v>130</v>
      </c>
      <c r="R73" s="61" t="s">
        <v>131</v>
      </c>
      <c r="S73" s="62" t="s">
        <v>132</v>
      </c>
      <c r="T73" s="61" t="s">
        <v>171</v>
      </c>
      <c r="U73" s="61" t="s">
        <v>172</v>
      </c>
      <c r="V73" s="61" t="s">
        <v>134</v>
      </c>
      <c r="W73" s="63" t="s">
        <v>111</v>
      </c>
      <c r="X73" s="64"/>
      <c r="Y73" s="426" t="s">
        <v>166</v>
      </c>
      <c r="Z73" s="61" t="s">
        <v>130</v>
      </c>
      <c r="AA73" s="61" t="s">
        <v>131</v>
      </c>
      <c r="AB73" s="62" t="s">
        <v>132</v>
      </c>
      <c r="AC73" s="61" t="s">
        <v>171</v>
      </c>
      <c r="AD73" s="61" t="s">
        <v>172</v>
      </c>
      <c r="AE73" s="61" t="s">
        <v>134</v>
      </c>
      <c r="AF73" s="63" t="s">
        <v>111</v>
      </c>
    </row>
    <row r="74" spans="16:32" ht="18.5" x14ac:dyDescent="0.45">
      <c r="P74" s="65" t="s">
        <v>108</v>
      </c>
      <c r="Q74" s="66">
        <f t="array" ref="Q74:S74">Norm!B21:D21</f>
        <v>59.6</v>
      </c>
      <c r="R74" s="66">
        <v>7</v>
      </c>
      <c r="S74" s="67">
        <v>3</v>
      </c>
      <c r="T74" s="66">
        <f>Norm!E21</f>
        <v>7</v>
      </c>
      <c r="U74" s="66">
        <f>Norm!F21</f>
        <v>40</v>
      </c>
      <c r="V74" s="66">
        <f>R74+S74</f>
        <v>10</v>
      </c>
      <c r="W74" s="68">
        <f>S74/R74</f>
        <v>0.42857142857142855</v>
      </c>
      <c r="X74" s="64"/>
      <c r="Y74" s="65" t="s">
        <v>108</v>
      </c>
      <c r="Z74" s="66">
        <f t="array" ref="Z74:AB74">Norm!B19:D19</f>
        <v>62.8</v>
      </c>
      <c r="AA74" s="66">
        <v>2.8</v>
      </c>
      <c r="AB74" s="67">
        <v>2.4</v>
      </c>
      <c r="AC74" s="66">
        <f>Norm!E19</f>
        <v>7</v>
      </c>
      <c r="AD74" s="66">
        <f>Norm!F19</f>
        <v>40</v>
      </c>
      <c r="AE74" s="66">
        <f>AA74+AB74</f>
        <v>5.1999999999999993</v>
      </c>
      <c r="AF74" s="68">
        <f>AB74/AA74</f>
        <v>0.85714285714285721</v>
      </c>
    </row>
    <row r="75" spans="16:32" ht="19" thickBot="1" x14ac:dyDescent="0.5">
      <c r="P75" s="69">
        <f>$E$4</f>
        <v>44743</v>
      </c>
      <c r="Q75" s="70">
        <f t="array" ref="Q75:S75">MonthlyAvg!E114:G114</f>
        <v>60.653809523809514</v>
      </c>
      <c r="R75" s="70">
        <v>6.4550000000000018</v>
      </c>
      <c r="S75" s="71">
        <v>2.8980952380952383</v>
      </c>
      <c r="T75" s="70">
        <f>MonthlyAvg!H114</f>
        <v>5.6032455216016848</v>
      </c>
      <c r="U75" s="70">
        <f>MonthlyAvg!I114</f>
        <v>40.482897787144353</v>
      </c>
      <c r="V75" s="70">
        <f>S75+R75</f>
        <v>9.3530952380952392</v>
      </c>
      <c r="W75" s="72">
        <f>S75/R75</f>
        <v>0.44896905315185709</v>
      </c>
      <c r="X75" s="64"/>
      <c r="Y75" s="69">
        <f>$E$4</f>
        <v>44743</v>
      </c>
      <c r="Z75" s="70">
        <f t="array" ref="Z75:AB75">MonthlyAvg!E118:G118</f>
        <v>62.831428571428603</v>
      </c>
      <c r="AA75" s="70">
        <v>2.4864285714285712</v>
      </c>
      <c r="AB75" s="71">
        <v>2.5030357142857147</v>
      </c>
      <c r="AC75" s="70">
        <f>MonthlyAvg!H118</f>
        <v>3.5283018867924527</v>
      </c>
      <c r="AD75" s="70">
        <f>MonthlyAvg!I118</f>
        <v>39.635849056603767</v>
      </c>
      <c r="AE75" s="70">
        <f>AB75+AA75</f>
        <v>4.9894642857142859</v>
      </c>
      <c r="AF75" s="72">
        <f>AB75/AA75</f>
        <v>1.0066791151967829</v>
      </c>
    </row>
    <row r="76" spans="16:32" ht="19" thickBot="1" x14ac:dyDescent="0.5">
      <c r="P76" s="544" t="str">
        <f>+CONCATENATE("BSL-",MonthlyAvg!L69,"; DSP-",MonthlyAvg!L78,"; RSP-",MonthlyAvg!L87, "; ISP-",MonthlyAvg!L96, "; BSP-",MonthlyAvg!L105, ";   TOTAL-",MonthlyAvg!L114)</f>
        <v>BSL-36; DSP-0; RSP-5; ISP-1; BSP-0;   TOTAL-42</v>
      </c>
      <c r="Q76" s="544"/>
      <c r="R76" s="544"/>
      <c r="S76" s="544"/>
      <c r="T76" s="544"/>
      <c r="U76" s="544"/>
      <c r="V76" s="544"/>
      <c r="W76" s="544"/>
      <c r="X76" s="64"/>
      <c r="Y76" s="544" t="str">
        <f>+CONCATENATE("BSL-",MonthlyAvg!L73,"; DSP-",MonthlyAvg!L82,"; RSP-",MonthlyAvg!L91, "; ISP-",MonthlyAvg!L100, "; BSP-",MonthlyAvg!L109, ";   TOTAL-",MonthlyAvg!L118)</f>
        <v>BSL-0; DSP-0; RSP-55; ISP-0; BSP-1;   TOTAL-56</v>
      </c>
      <c r="Z76" s="544"/>
      <c r="AA76" s="544"/>
      <c r="AB76" s="544"/>
      <c r="AC76" s="544"/>
      <c r="AD76" s="544"/>
      <c r="AE76" s="544"/>
      <c r="AF76" s="544"/>
    </row>
    <row r="77" spans="16:32" ht="21" x14ac:dyDescent="0.5">
      <c r="P77" s="426" t="s">
        <v>159</v>
      </c>
      <c r="Q77" s="61" t="s">
        <v>130</v>
      </c>
      <c r="R77" s="61" t="s">
        <v>131</v>
      </c>
      <c r="S77" s="62" t="s">
        <v>132</v>
      </c>
      <c r="T77" s="61" t="s">
        <v>171</v>
      </c>
      <c r="U77" s="61" t="s">
        <v>172</v>
      </c>
      <c r="V77" s="61" t="s">
        <v>134</v>
      </c>
      <c r="W77" s="63" t="s">
        <v>111</v>
      </c>
      <c r="X77" s="64"/>
      <c r="Y77" s="426" t="s">
        <v>167</v>
      </c>
      <c r="Z77" s="61" t="s">
        <v>130</v>
      </c>
      <c r="AA77" s="61" t="s">
        <v>131</v>
      </c>
      <c r="AB77" s="62" t="s">
        <v>132</v>
      </c>
      <c r="AC77" s="61" t="s">
        <v>171</v>
      </c>
      <c r="AD77" s="61" t="s">
        <v>172</v>
      </c>
      <c r="AE77" s="61" t="s">
        <v>134</v>
      </c>
      <c r="AF77" s="63" t="s">
        <v>111</v>
      </c>
    </row>
    <row r="78" spans="16:32" ht="18.5" x14ac:dyDescent="0.45">
      <c r="P78" s="65" t="s">
        <v>108</v>
      </c>
      <c r="Q78" s="66">
        <f t="array" ref="Q78:S78">Norm!B7:D7</f>
        <v>62.5</v>
      </c>
      <c r="R78" s="66">
        <v>3.3</v>
      </c>
      <c r="S78" s="67">
        <v>2.2000000000000002</v>
      </c>
      <c r="T78" s="66">
        <f>Norm!E7</f>
        <v>10</v>
      </c>
      <c r="U78" s="66">
        <f>Norm!F7</f>
        <v>10</v>
      </c>
      <c r="V78" s="66">
        <f>R78+S78</f>
        <v>5.5</v>
      </c>
      <c r="W78" s="68">
        <f>S78/R78</f>
        <v>0.66666666666666674</v>
      </c>
      <c r="X78" s="64"/>
      <c r="Y78" s="65" t="s">
        <v>108</v>
      </c>
      <c r="Z78" s="66">
        <f t="array" ref="Z78:AB78">Norm!B8:D8</f>
        <v>62.4</v>
      </c>
      <c r="AA78" s="66">
        <v>3.6</v>
      </c>
      <c r="AB78" s="67">
        <v>2.2000000000000002</v>
      </c>
      <c r="AC78" s="66">
        <f>Norm!E8</f>
        <v>10</v>
      </c>
      <c r="AD78" s="66">
        <f>Norm!F8</f>
        <v>10</v>
      </c>
      <c r="AE78" s="66">
        <f>AA78+AB78</f>
        <v>5.8000000000000007</v>
      </c>
      <c r="AF78" s="68">
        <f>AB78/AA78</f>
        <v>0.61111111111111116</v>
      </c>
    </row>
    <row r="79" spans="16:32" ht="19" thickBot="1" x14ac:dyDescent="0.5">
      <c r="P79" s="69">
        <f>$E$4</f>
        <v>44743</v>
      </c>
      <c r="Q79" s="70">
        <f t="array" ref="Q79:S79">MonthlyAvg!E61:G61</f>
        <v>62.296097222222215</v>
      </c>
      <c r="R79" s="70">
        <v>3.4556944444444446</v>
      </c>
      <c r="S79" s="71">
        <v>2.2154166666666661</v>
      </c>
      <c r="T79" s="70">
        <f>MonthlyAvg!H61</f>
        <v>14.058499122461681</v>
      </c>
      <c r="U79" s="70">
        <f>MonthlyAvg!I61</f>
        <v>16.664834011370157</v>
      </c>
      <c r="V79" s="70">
        <f>R79+S79</f>
        <v>5.6711111111111112</v>
      </c>
      <c r="W79" s="72">
        <f>S79/R79</f>
        <v>0.64109159599694532</v>
      </c>
      <c r="X79" s="64"/>
      <c r="Y79" s="69">
        <f>$E$4</f>
        <v>44743</v>
      </c>
      <c r="Z79" s="70">
        <f t="array" ref="Z79:AB79">MonthlyAvg!E65:G65</f>
        <v>62.806200000000004</v>
      </c>
      <c r="AA79" s="70">
        <v>4.0729999999999995</v>
      </c>
      <c r="AB79" s="71">
        <v>1.7386666666666664</v>
      </c>
      <c r="AC79" s="70">
        <f>MonthlyAvg!H65</f>
        <v>2.8060368367682318</v>
      </c>
      <c r="AD79" s="70">
        <f>MonthlyAvg!I65</f>
        <v>8.8864090339767561</v>
      </c>
      <c r="AE79" s="70">
        <f>AA79+AB79</f>
        <v>5.8116666666666656</v>
      </c>
      <c r="AF79" s="72">
        <f>AB79/AA79</f>
        <v>0.42687617644651771</v>
      </c>
    </row>
    <row r="80" spans="16:32" ht="19" thickBot="1" x14ac:dyDescent="0.5">
      <c r="P80" s="544" t="str">
        <f>+CONCATENATE("BSL-",MonthlyAvg!L16,"; DSP-",MonthlyAvg!L25,"; RSP-",MonthlyAvg!L34, "; ISP-",MonthlyAvg!L43, "; BSP-",MonthlyAvg!L52, ";   TOTAL-",MonthlyAvg!L61)</f>
        <v>BSL-16; DSP-47; RSP-0; ISP-9; BSP-0;   TOTAL-72</v>
      </c>
      <c r="Q80" s="544"/>
      <c r="R80" s="544"/>
      <c r="S80" s="544"/>
      <c r="T80" s="544"/>
      <c r="U80" s="544"/>
      <c r="V80" s="544"/>
      <c r="W80" s="544"/>
      <c r="X80" s="64"/>
      <c r="Y80" s="544" t="str">
        <f>+CONCATENATE("BSL-",MonthlyAvg!L20,"; DSP-",MonthlyAvg!L29,"; RSP-",MonthlyAvg!L38, "; ISP-",MonthlyAvg!L47, "; BSP-",MonthlyAvg!L56, ";   TOTAL-",MonthlyAvg!L65)</f>
        <v>BSL-1; DSP-2; RSP-0; ISP-27; BSP-0;   TOTAL-30</v>
      </c>
      <c r="Z80" s="544"/>
      <c r="AA80" s="544"/>
      <c r="AB80" s="544"/>
      <c r="AC80" s="544"/>
      <c r="AD80" s="544"/>
      <c r="AE80" s="544"/>
      <c r="AF80" s="544"/>
    </row>
    <row r="81" spans="16:32" ht="21" x14ac:dyDescent="0.5">
      <c r="P81" s="426" t="s">
        <v>160</v>
      </c>
      <c r="Q81" s="61" t="s">
        <v>130</v>
      </c>
      <c r="R81" s="61" t="s">
        <v>131</v>
      </c>
      <c r="S81" s="62" t="s">
        <v>132</v>
      </c>
      <c r="T81" s="61" t="s">
        <v>171</v>
      </c>
      <c r="U81" s="61" t="s">
        <v>172</v>
      </c>
      <c r="V81" s="61" t="s">
        <v>134</v>
      </c>
      <c r="W81" s="63" t="s">
        <v>111</v>
      </c>
      <c r="X81" s="64"/>
      <c r="Y81" s="426" t="s">
        <v>168</v>
      </c>
      <c r="Z81" s="61" t="s">
        <v>130</v>
      </c>
      <c r="AA81" s="61" t="s">
        <v>131</v>
      </c>
      <c r="AB81" s="62" t="s">
        <v>132</v>
      </c>
      <c r="AC81" s="61" t="s">
        <v>171</v>
      </c>
      <c r="AD81" s="61" t="s">
        <v>172</v>
      </c>
      <c r="AE81" s="61" t="s">
        <v>134</v>
      </c>
      <c r="AF81" s="63" t="s">
        <v>111</v>
      </c>
    </row>
    <row r="82" spans="16:32" ht="18.5" x14ac:dyDescent="0.45">
      <c r="P82" s="65" t="s">
        <v>108</v>
      </c>
      <c r="Q82" s="66">
        <f t="array" ref="Q82:S82">Norm!B17:D17</f>
        <v>62.1</v>
      </c>
      <c r="R82" s="66">
        <v>3.7</v>
      </c>
      <c r="S82" s="67">
        <v>2.5</v>
      </c>
      <c r="T82" s="66">
        <f>Norm!E17</f>
        <v>7</v>
      </c>
      <c r="U82" s="66">
        <f>Norm!F17</f>
        <v>40</v>
      </c>
      <c r="V82" s="66">
        <f>R82+S82</f>
        <v>6.2</v>
      </c>
      <c r="W82" s="68">
        <f>S82/R82</f>
        <v>0.67567567567567566</v>
      </c>
      <c r="X82" s="64"/>
      <c r="Y82" s="65" t="s">
        <v>108</v>
      </c>
      <c r="Z82" s="66">
        <f t="array" ref="Z82:AB82">Norm!B18:D18</f>
        <v>61.5</v>
      </c>
      <c r="AA82" s="66">
        <v>3.8</v>
      </c>
      <c r="AB82" s="67">
        <v>2.6</v>
      </c>
      <c r="AC82" s="66">
        <f>Norm!E18</f>
        <v>7</v>
      </c>
      <c r="AD82" s="66">
        <f>Norm!F18</f>
        <v>40</v>
      </c>
      <c r="AE82" s="66">
        <f>AA82+AB82</f>
        <v>6.4</v>
      </c>
      <c r="AF82" s="68">
        <f>AB82/AA82</f>
        <v>0.68421052631578949</v>
      </c>
    </row>
    <row r="83" spans="16:32" ht="19" thickBot="1" x14ac:dyDescent="0.5">
      <c r="P83" s="69">
        <f>$E$4</f>
        <v>44743</v>
      </c>
      <c r="Q83" s="70">
        <f t="array" ref="Q83:S83">MonthlyAvg!E115:G115</f>
        <v>61.920150684931471</v>
      </c>
      <c r="R83" s="70">
        <v>4.0509589041095877</v>
      </c>
      <c r="S83" s="71">
        <v>2.4236986301369869</v>
      </c>
      <c r="T83" s="70">
        <f>MonthlyAvg!H115</f>
        <v>9.5482324186981433</v>
      </c>
      <c r="U83" s="70">
        <f>MonthlyAvg!I115</f>
        <v>39.619956701118127</v>
      </c>
      <c r="V83" s="70">
        <f>S83+R83</f>
        <v>6.4746575342465746</v>
      </c>
      <c r="W83" s="72">
        <f>S83/R83</f>
        <v>0.59830244826186973</v>
      </c>
      <c r="X83" s="64"/>
      <c r="Y83" s="69">
        <f>$E$4</f>
        <v>44743</v>
      </c>
      <c r="Z83" s="70">
        <f t="array" ref="Z83:AB83">MonthlyAvg!E119:G119</f>
        <v>61.640988095238129</v>
      </c>
      <c r="AA83" s="70">
        <v>5.0853809523809526</v>
      </c>
      <c r="AB83" s="71">
        <v>2.5610714285714287</v>
      </c>
      <c r="AC83" s="70">
        <f>MonthlyAvg!H119</f>
        <v>6.1366667375245321</v>
      </c>
      <c r="AD83" s="70">
        <f>MonthlyAvg!I119</f>
        <v>45.561937002098475</v>
      </c>
      <c r="AE83" s="70">
        <f>AB83+AA83</f>
        <v>7.6464523809523808</v>
      </c>
      <c r="AF83" s="72">
        <f>AB83/AA83</f>
        <v>0.50361446911314411</v>
      </c>
    </row>
    <row r="84" spans="16:32" ht="19" thickBot="1" x14ac:dyDescent="0.5">
      <c r="P84" s="544" t="str">
        <f>+CONCATENATE("BSL-",MonthlyAvg!L70,"; DSP-",MonthlyAvg!L79,"; RSP-",MonthlyAvg!L88, "; ISP-",MonthlyAvg!L97, "; BSP-",MonthlyAvg!L106, ";   TOTAL-",MonthlyAvg!L115)</f>
        <v>BSL-14; DSP-51; RSP-0; ISP-7; BSP-1;   TOTAL-73</v>
      </c>
      <c r="Q84" s="544"/>
      <c r="R84" s="544"/>
      <c r="S84" s="544"/>
      <c r="T84" s="544"/>
      <c r="U84" s="544"/>
      <c r="V84" s="544"/>
      <c r="W84" s="544"/>
      <c r="X84" s="64"/>
      <c r="Y84" s="545" t="str">
        <f>+CONCATENATE("BSL-",MonthlyAvg!L74,"; DSP-",MonthlyAvg!L83,"; RSP-",MonthlyAvg!L92, "; ISP-",MonthlyAvg!L101, "; BSP-",MonthlyAvg!L110, ";   TOTAL-",MonthlyAvg!L119)</f>
        <v>BSL-11; DSP-4; RSP-0; ISP-69; BSP-0;   TOTAL-84</v>
      </c>
      <c r="Z84" s="545"/>
      <c r="AA84" s="545"/>
      <c r="AB84" s="545"/>
      <c r="AC84" s="545"/>
      <c r="AD84" s="545"/>
      <c r="AE84" s="545"/>
      <c r="AF84" s="545"/>
    </row>
    <row r="85" spans="16:32" ht="21" x14ac:dyDescent="0.5">
      <c r="P85" s="426" t="s">
        <v>162</v>
      </c>
      <c r="Q85" s="61" t="s">
        <v>130</v>
      </c>
      <c r="R85" s="61" t="s">
        <v>131</v>
      </c>
      <c r="S85" s="62" t="s">
        <v>132</v>
      </c>
      <c r="T85" s="61" t="s">
        <v>171</v>
      </c>
      <c r="U85" s="61" t="s">
        <v>172</v>
      </c>
      <c r="V85" s="61" t="s">
        <v>134</v>
      </c>
      <c r="W85" s="63" t="s">
        <v>111</v>
      </c>
      <c r="X85" s="64"/>
      <c r="Y85" s="426" t="s">
        <v>169</v>
      </c>
      <c r="Z85" s="61" t="s">
        <v>130</v>
      </c>
      <c r="AA85" s="61" t="s">
        <v>131</v>
      </c>
      <c r="AB85" s="62" t="s">
        <v>132</v>
      </c>
      <c r="AC85" s="61" t="s">
        <v>171</v>
      </c>
      <c r="AD85" s="61" t="s">
        <v>172</v>
      </c>
      <c r="AE85" s="61" t="s">
        <v>134</v>
      </c>
      <c r="AF85" s="63" t="s">
        <v>111</v>
      </c>
    </row>
    <row r="86" spans="16:32" ht="18.5" x14ac:dyDescent="0.45">
      <c r="P86" s="65" t="s">
        <v>108</v>
      </c>
      <c r="Q86" s="66">
        <f t="array" ref="Q86:S86">Norm!B6:D6</f>
        <v>62</v>
      </c>
      <c r="R86" s="66">
        <v>3.5</v>
      </c>
      <c r="S86" s="67">
        <v>3</v>
      </c>
      <c r="T86" s="66">
        <f>Norm!E6</f>
        <v>10</v>
      </c>
      <c r="U86" s="66">
        <f>Norm!F6</f>
        <v>10</v>
      </c>
      <c r="V86" s="66">
        <f>R86+S86</f>
        <v>6.5</v>
      </c>
      <c r="W86" s="68">
        <f>S86/R86</f>
        <v>0.8571428571428571</v>
      </c>
      <c r="X86" s="64"/>
      <c r="Y86" s="65" t="s">
        <v>108</v>
      </c>
      <c r="Z86" s="66">
        <f t="array" ref="Z86:AB86">Norm!B15:D15</f>
        <v>62.8</v>
      </c>
      <c r="AA86" s="66">
        <v>3</v>
      </c>
      <c r="AB86" s="67">
        <v>2.75</v>
      </c>
      <c r="AC86" s="66">
        <f>Norm!E15</f>
        <v>10</v>
      </c>
      <c r="AD86" s="66">
        <f>Norm!F15</f>
        <v>10</v>
      </c>
      <c r="AE86" s="66">
        <f>AA86+AB86</f>
        <v>5.75</v>
      </c>
      <c r="AF86" s="68">
        <f>AB86/AA86</f>
        <v>0.91666666666666663</v>
      </c>
    </row>
    <row r="87" spans="16:32" ht="19" thickBot="1" x14ac:dyDescent="0.5">
      <c r="P87" s="69">
        <f>$E$4</f>
        <v>44743</v>
      </c>
      <c r="Q87" s="70">
        <f t="array" ref="Q87:S87">MonthlyAvg!E63:G63</f>
        <v>60.986296296296302</v>
      </c>
      <c r="R87" s="70">
        <v>4.0377777777777775</v>
      </c>
      <c r="S87" s="71">
        <v>3.8374074074074076</v>
      </c>
      <c r="T87" s="70">
        <f>MonthlyAvg!H63</f>
        <v>8.8686067019400365</v>
      </c>
      <c r="U87" s="70">
        <f>MonthlyAvg!I63</f>
        <v>19.793703703703706</v>
      </c>
      <c r="V87" s="70">
        <f>R87+S87</f>
        <v>7.8751851851851846</v>
      </c>
      <c r="W87" s="72">
        <f>S87/R87</f>
        <v>0.95037607778389299</v>
      </c>
      <c r="X87" s="64"/>
      <c r="Y87" s="69">
        <f>$E$4</f>
        <v>44743</v>
      </c>
      <c r="Z87" s="70">
        <f t="array" ref="Z87:AB87">MonthlyAvg!E66:G66</f>
        <v>63.57</v>
      </c>
      <c r="AA87" s="70">
        <v>2.96</v>
      </c>
      <c r="AB87" s="71">
        <v>2.38</v>
      </c>
      <c r="AC87" s="70">
        <f>MonthlyAvg!H66</f>
        <v>7.3</v>
      </c>
      <c r="AD87" s="70">
        <f>MonthlyAvg!I66</f>
        <v>10.199999999999999</v>
      </c>
      <c r="AE87" s="70">
        <f>AA87+AB87</f>
        <v>5.34</v>
      </c>
      <c r="AF87" s="72">
        <f>AB87/AA87</f>
        <v>0.80405405405405406</v>
      </c>
    </row>
    <row r="88" spans="16:32" ht="19" thickBot="1" x14ac:dyDescent="0.5">
      <c r="P88" s="544" t="str">
        <f>+CONCATENATE("BSL-",MonthlyAvg!L18,"; DSP-",MonthlyAvg!L27,"; RSP-",MonthlyAvg!L36, "; ISP-",MonthlyAvg!L45, "; BSP-",MonthlyAvg!L54, ";   TOTAL-",MonthlyAvg!L63)</f>
        <v>BSL-0; DSP-0; RSP-25; ISP-2; BSP-0;   TOTAL-27</v>
      </c>
      <c r="Q88" s="544"/>
      <c r="R88" s="544"/>
      <c r="S88" s="544"/>
      <c r="T88" s="544"/>
      <c r="U88" s="544"/>
      <c r="V88" s="544"/>
      <c r="W88" s="544"/>
      <c r="X88" s="64"/>
      <c r="Y88" s="60" t="str">
        <f>+CONCATENATE("BSL-",MonthlyAvg!L21,"; DSP-",MonthlyAvg!L30,"; RSP-",MonthlyAvg!L39, "; ISP-",MonthlyAvg!L48, "; BSP-",MonthlyAvg!L57, ";   TOTAL-",MonthlyAvg!L66)</f>
        <v>BSL-1; DSP-0; RSP-0; ISP-0; BSP-0;   TOTAL-1</v>
      </c>
      <c r="Z88" s="61"/>
      <c r="AA88" s="61"/>
      <c r="AB88" s="62"/>
      <c r="AC88" s="61"/>
      <c r="AD88" s="61"/>
      <c r="AE88" s="61"/>
      <c r="AF88" s="63"/>
    </row>
    <row r="89" spans="16:32" ht="21" x14ac:dyDescent="0.5">
      <c r="P89" s="426" t="s">
        <v>163</v>
      </c>
      <c r="Q89" s="61" t="s">
        <v>130</v>
      </c>
      <c r="R89" s="61" t="s">
        <v>131</v>
      </c>
      <c r="S89" s="62" t="s">
        <v>132</v>
      </c>
      <c r="T89" s="61" t="s">
        <v>171</v>
      </c>
      <c r="U89" s="61" t="s">
        <v>172</v>
      </c>
      <c r="V89" s="61" t="s">
        <v>134</v>
      </c>
      <c r="W89" s="63" t="s">
        <v>111</v>
      </c>
      <c r="X89" s="64"/>
      <c r="Y89" s="426" t="s">
        <v>170</v>
      </c>
      <c r="Z89" s="66" t="s">
        <v>130</v>
      </c>
      <c r="AA89" s="66" t="s">
        <v>131</v>
      </c>
      <c r="AB89" s="67" t="s">
        <v>132</v>
      </c>
      <c r="AC89" s="66" t="s">
        <v>171</v>
      </c>
      <c r="AD89" s="66" t="s">
        <v>172</v>
      </c>
      <c r="AE89" s="66" t="s">
        <v>134</v>
      </c>
      <c r="AF89" s="68" t="s">
        <v>111</v>
      </c>
    </row>
    <row r="90" spans="16:32" ht="19" thickBot="1" x14ac:dyDescent="0.5">
      <c r="P90" s="65" t="s">
        <v>108</v>
      </c>
      <c r="Q90" s="66">
        <f t="array" ref="Q90:S90">Norm!B16:D16</f>
        <v>61</v>
      </c>
      <c r="R90" s="66">
        <v>3.9</v>
      </c>
      <c r="S90" s="67">
        <v>3.6</v>
      </c>
      <c r="T90" s="66">
        <f>Norm!E16</f>
        <v>7</v>
      </c>
      <c r="U90" s="66">
        <f>Norm!F16</f>
        <v>40</v>
      </c>
      <c r="V90" s="66">
        <f>R90+S90</f>
        <v>7.5</v>
      </c>
      <c r="W90" s="68">
        <f>S90/R90</f>
        <v>0.92307692307692313</v>
      </c>
      <c r="X90" s="64"/>
      <c r="Y90" s="69" t="s">
        <v>108</v>
      </c>
      <c r="Z90" s="70">
        <f t="array" ref="Z90:AB90">Norm!B25:D25</f>
        <v>62.2</v>
      </c>
      <c r="AA90" s="70">
        <v>3.25</v>
      </c>
      <c r="AB90" s="71">
        <v>3</v>
      </c>
      <c r="AC90" s="70">
        <f>Norm!E25</f>
        <v>5</v>
      </c>
      <c r="AD90" s="70">
        <f>Norm!F25</f>
        <v>40</v>
      </c>
      <c r="AE90" s="70">
        <f>AA90+AB90</f>
        <v>6.25</v>
      </c>
      <c r="AF90" s="72">
        <f>AB90/AA90</f>
        <v>0.92307692307692313</v>
      </c>
    </row>
    <row r="91" spans="16:32" ht="19" thickBot="1" x14ac:dyDescent="0.5">
      <c r="P91" s="69">
        <f>$E$4</f>
        <v>44743</v>
      </c>
      <c r="Q91" s="70">
        <f t="array" ref="Q91:S91">MonthlyAvg!E117:G117</f>
        <v>59.684285714285707</v>
      </c>
      <c r="R91" s="70">
        <v>5.3457142857142861</v>
      </c>
      <c r="S91" s="71">
        <v>4.4514285714285711</v>
      </c>
      <c r="T91" s="70">
        <f>MonthlyAvg!H117</f>
        <v>4.2</v>
      </c>
      <c r="U91" s="70">
        <f>MonthlyAvg!I117</f>
        <v>41.550000000000004</v>
      </c>
      <c r="V91" s="70">
        <f>S91+R91</f>
        <v>9.7971428571428572</v>
      </c>
      <c r="W91" s="72">
        <f>S91/R91</f>
        <v>0.83270978086584702</v>
      </c>
      <c r="X91" s="64"/>
      <c r="Y91" s="69">
        <f>$E$4</f>
        <v>44743</v>
      </c>
      <c r="Z91" s="61">
        <f t="array" ref="Z91:AB91">MonthlyAvg!E120:G120</f>
        <v>63.148000000000003</v>
      </c>
      <c r="AA91" s="61">
        <v>3.2480000000000002</v>
      </c>
      <c r="AB91" s="62">
        <v>2.3660000000000001</v>
      </c>
      <c r="AC91" s="61">
        <f>MonthlyAvg!H120</f>
        <v>3.85</v>
      </c>
      <c r="AD91" s="61">
        <f>MonthlyAvg!I120</f>
        <v>32.875</v>
      </c>
      <c r="AE91" s="61">
        <f>AB91+AA91</f>
        <v>5.6140000000000008</v>
      </c>
      <c r="AF91" s="63">
        <f>AB91/AA91</f>
        <v>0.72844827586206895</v>
      </c>
    </row>
    <row r="92" spans="16:32" ht="18.5" x14ac:dyDescent="0.45">
      <c r="P92" s="544" t="str">
        <f>+CONCATENATE("BSL-",MonthlyAvg!L72,"; DSP-",MonthlyAvg!L81,"; RSP-",MonthlyAvg!L90, "; ISP-",MonthlyAvg!L99, "; BSP-",MonthlyAvg!L108, ";   TOTAL-",MonthlyAvg!L117)</f>
        <v>BSL-2; DSP-0; RSP-5; ISP-0; BSP-0;   TOTAL-7</v>
      </c>
      <c r="Q92" s="544"/>
      <c r="R92" s="544"/>
      <c r="S92" s="544"/>
      <c r="T92" s="544"/>
      <c r="U92" s="544"/>
      <c r="V92" s="544"/>
      <c r="W92" s="544"/>
      <c r="X92" s="64"/>
      <c r="Y92" s="544" t="str">
        <f>+CONCATENATE("BSL-",MonthlyAvg!L75,"; DSP-",MonthlyAvg!L84,"; RSP-",MonthlyAvg!L93, "; ISP-",MonthlyAvg!L102, "; BSP-",MonthlyAvg!L111, ";   TOTAL-",MonthlyAvg!L120)</f>
        <v>BSL-5; DSP-0; RSP-0; ISP-0; BSP-0;   TOTAL-5</v>
      </c>
      <c r="Z92" s="544"/>
      <c r="AA92" s="544"/>
      <c r="AB92" s="544"/>
      <c r="AC92" s="544"/>
      <c r="AD92" s="544"/>
      <c r="AE92" s="544"/>
      <c r="AF92" s="544"/>
    </row>
    <row r="96" spans="16:32" x14ac:dyDescent="0.3">
      <c r="P96" s="543"/>
      <c r="Q96" s="543"/>
      <c r="R96" s="543"/>
      <c r="S96" s="543"/>
      <c r="T96" s="543"/>
      <c r="U96" s="543"/>
      <c r="V96" s="543"/>
      <c r="W96" s="543"/>
      <c r="X96" s="543"/>
      <c r="Y96" s="543"/>
      <c r="Z96" s="543"/>
      <c r="AA96" s="543"/>
      <c r="AB96" s="543"/>
      <c r="AC96" s="543"/>
      <c r="AD96" s="543"/>
      <c r="AE96" s="543"/>
      <c r="AF96" s="543"/>
    </row>
  </sheetData>
  <mergeCells count="36">
    <mergeCell ref="D44:M44"/>
    <mergeCell ref="D40:M40"/>
    <mergeCell ref="D20:M20"/>
    <mergeCell ref="D16:M16"/>
    <mergeCell ref="D12:M12"/>
    <mergeCell ref="E4:K4"/>
    <mergeCell ref="P4:R4"/>
    <mergeCell ref="L2:M2"/>
    <mergeCell ref="C3:N3"/>
    <mergeCell ref="D36:M36"/>
    <mergeCell ref="D32:M32"/>
    <mergeCell ref="D28:M28"/>
    <mergeCell ref="D24:M24"/>
    <mergeCell ref="D8:M8"/>
    <mergeCell ref="L45:M45"/>
    <mergeCell ref="C46:N46"/>
    <mergeCell ref="Y84:AF84"/>
    <mergeCell ref="P96:AF96"/>
    <mergeCell ref="C47:N47"/>
    <mergeCell ref="AE60:AF60"/>
    <mergeCell ref="P68:W68"/>
    <mergeCell ref="P72:W72"/>
    <mergeCell ref="P92:W92"/>
    <mergeCell ref="P64:W64"/>
    <mergeCell ref="P88:W88"/>
    <mergeCell ref="P76:W76"/>
    <mergeCell ref="P84:W84"/>
    <mergeCell ref="Y92:AF92"/>
    <mergeCell ref="P60:AD60"/>
    <mergeCell ref="Y64:AF64"/>
    <mergeCell ref="P50:W50"/>
    <mergeCell ref="Y72:AF72"/>
    <mergeCell ref="Y80:AF80"/>
    <mergeCell ref="Y68:AF68"/>
    <mergeCell ref="P80:W80"/>
    <mergeCell ref="Y76:AF76"/>
  </mergeCells>
  <conditionalFormatting sqref="R63:W63">
    <cfRule type="cellIs" dxfId="22" priority="99" stopIfTrue="1" operator="greaterThan">
      <formula>R62</formula>
    </cfRule>
  </conditionalFormatting>
  <conditionalFormatting sqref="Q63">
    <cfRule type="cellIs" dxfId="21" priority="98" stopIfTrue="1" operator="lessThan">
      <formula>Q62</formula>
    </cfRule>
  </conditionalFormatting>
  <conditionalFormatting sqref="E7">
    <cfRule type="cellIs" dxfId="20" priority="55" stopIfTrue="1" operator="lessThan">
      <formula>E6</formula>
    </cfRule>
  </conditionalFormatting>
  <conditionalFormatting sqref="F7">
    <cfRule type="cellIs" dxfId="19" priority="54" stopIfTrue="1" operator="greaterThan">
      <formula>F6</formula>
    </cfRule>
  </conditionalFormatting>
  <conditionalFormatting sqref="G7:K7">
    <cfRule type="cellIs" dxfId="18" priority="53" stopIfTrue="1" operator="greaterThan">
      <formula>G6</formula>
    </cfRule>
  </conditionalFormatting>
  <conditionalFormatting sqref="L7">
    <cfRule type="cellIs" dxfId="17" priority="25" stopIfTrue="1" operator="greaterThan">
      <formula>L6</formula>
    </cfRule>
  </conditionalFormatting>
  <conditionalFormatting sqref="M7">
    <cfRule type="cellIs" dxfId="16" priority="24" stopIfTrue="1" operator="greaterThan">
      <formula>M6</formula>
    </cfRule>
  </conditionalFormatting>
  <conditionalFormatting sqref="E11 E15 E19 E23 E27 E31 E35 E39 E43">
    <cfRule type="cellIs" dxfId="15" priority="16" stopIfTrue="1" operator="lessThan">
      <formula>E10</formula>
    </cfRule>
  </conditionalFormatting>
  <conditionalFormatting sqref="F11 F15 F19 F23 F27 F31 F35 F39 F43">
    <cfRule type="cellIs" dxfId="14" priority="15" stopIfTrue="1" operator="greaterThan">
      <formula>F10</formula>
    </cfRule>
  </conditionalFormatting>
  <conditionalFormatting sqref="G11:K11 G15:K15 G19:K19 G23:K23 G27:K27 G31:K31 G35:K35 G39:K39 G43:K43">
    <cfRule type="cellIs" dxfId="13" priority="14" stopIfTrue="1" operator="greaterThan">
      <formula>G10</formula>
    </cfRule>
  </conditionalFormatting>
  <conditionalFormatting sqref="L11 L15 L19 L23 L27 L31 L35 L39 L43">
    <cfRule type="cellIs" dxfId="12" priority="13" stopIfTrue="1" operator="greaterThan">
      <formula>L10</formula>
    </cfRule>
  </conditionalFormatting>
  <conditionalFormatting sqref="M11 M15 M19 M23 M27 M31 M35 M39 M43">
    <cfRule type="cellIs" dxfId="11" priority="12" stopIfTrue="1" operator="greaterThan">
      <formula>M10</formula>
    </cfRule>
  </conditionalFormatting>
  <conditionalFormatting sqref="R49:W49">
    <cfRule type="cellIs" dxfId="10" priority="8" stopIfTrue="1" operator="greaterThan">
      <formula>R48</formula>
    </cfRule>
  </conditionalFormatting>
  <conditionalFormatting sqref="Q49">
    <cfRule type="cellIs" dxfId="9" priority="7" stopIfTrue="1" operator="lessThan">
      <formula>Q48</formula>
    </cfRule>
  </conditionalFormatting>
  <conditionalFormatting sqref="R67:W67 R71:W71 R75:W75 R79:W79 R83:W83 R87:W87 R91:W91">
    <cfRule type="cellIs" dxfId="8" priority="6" stopIfTrue="1" operator="greaterThan">
      <formula>R66</formula>
    </cfRule>
  </conditionalFormatting>
  <conditionalFormatting sqref="Q67 Q71 Q75 Q79 Q83 Q87 Q91">
    <cfRule type="cellIs" dxfId="7" priority="5" stopIfTrue="1" operator="lessThan">
      <formula>Q66</formula>
    </cfRule>
  </conditionalFormatting>
  <conditionalFormatting sqref="AA63:AF63 AA67:AF67 AA71:AF71 AA75:AF75 AA79:AF79 AA83:AF83">
    <cfRule type="cellIs" dxfId="6" priority="4" stopIfTrue="1" operator="greaterThan">
      <formula>AA62</formula>
    </cfRule>
  </conditionalFormatting>
  <conditionalFormatting sqref="Z63 Z67 Z71 Z75 Z79 Z83">
    <cfRule type="cellIs" dxfId="5" priority="3" stopIfTrue="1" operator="lessThan">
      <formula>Z62</formula>
    </cfRule>
  </conditionalFormatting>
  <conditionalFormatting sqref="AA87:AF87 AA90:AF90">
    <cfRule type="cellIs" dxfId="4" priority="2" stopIfTrue="1" operator="greaterThan">
      <formula>AA86</formula>
    </cfRule>
  </conditionalFormatting>
  <conditionalFormatting sqref="Z87 Z90">
    <cfRule type="cellIs" dxfId="3" priority="1" stopIfTrue="1" operator="lessThan">
      <formula>Z86</formula>
    </cfRule>
  </conditionalFormatting>
  <printOptions horizontalCentered="1" verticalCentered="1"/>
  <pageMargins left="0.23622047244094491" right="0.19685039370078741" top="0.23622047244094491" bottom="0.27559055118110237" header="0.19685039370078741" footer="0.19685039370078741"/>
  <pageSetup paperSize="9" scale="68" orientation="landscape" blackAndWhite="1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2:P136"/>
  <sheetViews>
    <sheetView topLeftCell="A99" workbookViewId="0">
      <selection activeCell="J118" sqref="J118"/>
    </sheetView>
  </sheetViews>
  <sheetFormatPr defaultRowHeight="12.5" x14ac:dyDescent="0.25"/>
  <cols>
    <col min="4" max="4" width="11" hidden="1" customWidth="1"/>
    <col min="7" max="7" width="9.1796875" customWidth="1"/>
    <col min="9" max="9" width="9.7265625" customWidth="1"/>
    <col min="10" max="10" width="13.7265625" customWidth="1"/>
    <col min="11" max="11" width="12.54296875" customWidth="1"/>
  </cols>
  <sheetData>
    <row r="12" spans="1:16" ht="13" thickBot="1" x14ac:dyDescent="0.3"/>
    <row r="13" spans="1:16" x14ac:dyDescent="0.25">
      <c r="A13" t="s">
        <v>8</v>
      </c>
      <c r="B13" t="s">
        <v>16</v>
      </c>
      <c r="C13" t="s">
        <v>7</v>
      </c>
      <c r="D13" t="s">
        <v>17</v>
      </c>
      <c r="E13" t="s">
        <v>18</v>
      </c>
      <c r="F13" t="s">
        <v>19</v>
      </c>
      <c r="G13" t="s">
        <v>20</v>
      </c>
      <c r="H13" t="s">
        <v>21</v>
      </c>
      <c r="I13" t="s">
        <v>22</v>
      </c>
      <c r="J13" t="s">
        <v>110</v>
      </c>
      <c r="K13" t="s">
        <v>111</v>
      </c>
      <c r="O13">
        <f>MAX(E14:L14)</f>
        <v>7.0059450944656163</v>
      </c>
      <c r="P13">
        <f>MIN(E14:L14)</f>
        <v>3.6956637505748853E-2</v>
      </c>
    </row>
    <row r="14" spans="1:16" x14ac:dyDescent="0.25">
      <c r="A14" t="s">
        <v>0</v>
      </c>
      <c r="B14" t="s">
        <v>3</v>
      </c>
      <c r="C14" t="s">
        <v>27</v>
      </c>
      <c r="E14">
        <v>1.3261671588956403</v>
      </c>
      <c r="F14">
        <v>2.16085260950394</v>
      </c>
      <c r="G14">
        <v>0.35756491252172062</v>
      </c>
      <c r="H14">
        <v>7.0059450944656163</v>
      </c>
      <c r="I14">
        <v>5.6439288915907628</v>
      </c>
      <c r="J14">
        <v>1.8860114881233743</v>
      </c>
      <c r="K14">
        <v>3.6956637505748853E-2</v>
      </c>
      <c r="L14">
        <v>0.12948389965940485</v>
      </c>
    </row>
    <row r="15" spans="1:16" x14ac:dyDescent="0.25">
      <c r="A15" t="s">
        <v>0</v>
      </c>
      <c r="B15" t="s">
        <v>3</v>
      </c>
      <c r="C15" t="s">
        <v>2</v>
      </c>
      <c r="E15">
        <v>1.1326056702999527</v>
      </c>
      <c r="F15">
        <v>1.7457189394013657</v>
      </c>
      <c r="G15">
        <v>0.34202692523018868</v>
      </c>
      <c r="H15">
        <v>4.083308290272317</v>
      </c>
      <c r="I15">
        <v>4.6801486310576967</v>
      </c>
      <c r="J15">
        <v>1.5223039580383917</v>
      </c>
      <c r="K15">
        <v>3.2818906972241706E-2</v>
      </c>
      <c r="L15">
        <v>9.4715589163823805E-2</v>
      </c>
    </row>
    <row r="16" spans="1:16" x14ac:dyDescent="0.25">
      <c r="A16" t="s">
        <v>0</v>
      </c>
      <c r="B16" t="s">
        <v>3</v>
      </c>
      <c r="C16" t="s">
        <v>11</v>
      </c>
      <c r="E16">
        <v>0.77937555132298042</v>
      </c>
      <c r="F16">
        <v>1.0955972496010296</v>
      </c>
      <c r="G16">
        <v>0.25452897673938812</v>
      </c>
      <c r="H16">
        <v>3.5875711375060919</v>
      </c>
      <c r="I16">
        <v>3.1140274030051014</v>
      </c>
      <c r="J16">
        <v>1.0569255729078892</v>
      </c>
      <c r="K16">
        <v>4.3886956934423384E-2</v>
      </c>
      <c r="L16">
        <v>0.28700453948297766</v>
      </c>
    </row>
    <row r="17" spans="1:12" x14ac:dyDescent="0.25">
      <c r="A17" t="s">
        <v>0</v>
      </c>
      <c r="B17" t="s">
        <v>3</v>
      </c>
      <c r="C17" t="s">
        <v>146</v>
      </c>
      <c r="E17" t="s">
        <v>173</v>
      </c>
      <c r="F17" t="s">
        <v>173</v>
      </c>
      <c r="G17" t="s">
        <v>173</v>
      </c>
      <c r="H17" t="s">
        <v>173</v>
      </c>
      <c r="I17" t="s">
        <v>173</v>
      </c>
      <c r="J17" t="e">
        <v>#DIV/0!</v>
      </c>
      <c r="K17">
        <v>0</v>
      </c>
      <c r="L17">
        <v>0</v>
      </c>
    </row>
    <row r="18" spans="1:12" x14ac:dyDescent="0.25">
      <c r="A18" t="s">
        <v>0</v>
      </c>
      <c r="B18" t="s">
        <v>3</v>
      </c>
      <c r="C18" t="s">
        <v>10</v>
      </c>
      <c r="E18" t="s">
        <v>173</v>
      </c>
      <c r="F18" t="s">
        <v>173</v>
      </c>
      <c r="G18" t="s">
        <v>173</v>
      </c>
      <c r="H18" t="s">
        <v>173</v>
      </c>
      <c r="I18" t="s">
        <v>173</v>
      </c>
      <c r="J18" t="e">
        <v>#DIV/0!</v>
      </c>
      <c r="K18">
        <v>0</v>
      </c>
      <c r="L18">
        <v>0</v>
      </c>
    </row>
    <row r="19" spans="1:12" x14ac:dyDescent="0.25">
      <c r="A19" t="s">
        <v>0</v>
      </c>
      <c r="B19" t="s">
        <v>3</v>
      </c>
      <c r="C19" t="s">
        <v>31</v>
      </c>
      <c r="E19" t="s">
        <v>173</v>
      </c>
      <c r="F19" t="s">
        <v>173</v>
      </c>
      <c r="G19" t="s">
        <v>173</v>
      </c>
      <c r="H19" t="s">
        <v>173</v>
      </c>
      <c r="I19" t="s">
        <v>173</v>
      </c>
      <c r="J19" t="e">
        <v>#DIV/0!</v>
      </c>
      <c r="K19">
        <v>0</v>
      </c>
      <c r="L19">
        <v>7.8660437260865981E-2</v>
      </c>
    </row>
    <row r="20" spans="1:12" x14ac:dyDescent="0.25">
      <c r="A20" t="s">
        <v>0</v>
      </c>
      <c r="B20" t="s">
        <v>3</v>
      </c>
      <c r="C20" t="s">
        <v>9</v>
      </c>
      <c r="E20" t="s">
        <v>173</v>
      </c>
      <c r="F20" t="s">
        <v>173</v>
      </c>
      <c r="G20" t="s">
        <v>173</v>
      </c>
      <c r="H20" t="s">
        <v>173</v>
      </c>
      <c r="I20" t="s">
        <v>173</v>
      </c>
      <c r="J20" t="e">
        <v>#DIV/0!</v>
      </c>
      <c r="K20">
        <v>8.546502856103427E-3</v>
      </c>
      <c r="L20">
        <v>0.17801733444025933</v>
      </c>
    </row>
    <row r="21" spans="1:12" x14ac:dyDescent="0.25">
      <c r="A21" t="s">
        <v>0</v>
      </c>
      <c r="B21" t="s">
        <v>3</v>
      </c>
      <c r="C21" t="s">
        <v>44</v>
      </c>
      <c r="E21" t="s">
        <v>173</v>
      </c>
      <c r="F21" t="s">
        <v>173</v>
      </c>
      <c r="G21" t="s">
        <v>173</v>
      </c>
      <c r="H21" t="s">
        <v>173</v>
      </c>
      <c r="I21" t="s">
        <v>173</v>
      </c>
      <c r="J21" t="e">
        <v>#DIV/0!</v>
      </c>
      <c r="K21">
        <v>1.3718981653007748E-2</v>
      </c>
      <c r="L21">
        <v>0.3581175175454735</v>
      </c>
    </row>
    <row r="22" spans="1:12" x14ac:dyDescent="0.25">
      <c r="A22" t="s">
        <v>0</v>
      </c>
      <c r="B22" t="s">
        <v>3</v>
      </c>
      <c r="C22" t="s">
        <v>48</v>
      </c>
      <c r="E22">
        <v>1.2938319065884356</v>
      </c>
      <c r="F22">
        <v>2.0469013962119744</v>
      </c>
      <c r="G22">
        <v>0.33450567651245183</v>
      </c>
      <c r="H22">
        <v>5.6612724952667799</v>
      </c>
      <c r="I22">
        <v>5.3927373885025656</v>
      </c>
      <c r="J22">
        <v>1.8300424382550697</v>
      </c>
      <c r="K22">
        <v>6.7698918273587247E-2</v>
      </c>
      <c r="L22">
        <v>0</v>
      </c>
    </row>
    <row r="23" spans="1:12" x14ac:dyDescent="0.25">
      <c r="A23" t="s">
        <v>0</v>
      </c>
      <c r="B23" t="s">
        <v>4</v>
      </c>
      <c r="C23" t="s">
        <v>27</v>
      </c>
      <c r="E23" t="s">
        <v>173</v>
      </c>
      <c r="F23" t="s">
        <v>173</v>
      </c>
      <c r="G23" t="s">
        <v>173</v>
      </c>
      <c r="H23" t="s">
        <v>173</v>
      </c>
      <c r="I23" t="s">
        <v>173</v>
      </c>
      <c r="J23" t="e">
        <v>#DIV/0!</v>
      </c>
      <c r="K23">
        <v>0</v>
      </c>
      <c r="L23">
        <v>3.3914206876847465E-2</v>
      </c>
    </row>
    <row r="24" spans="1:12" x14ac:dyDescent="0.25">
      <c r="A24" t="s">
        <v>0</v>
      </c>
      <c r="B24" t="s">
        <v>4</v>
      </c>
      <c r="C24" t="s">
        <v>2</v>
      </c>
      <c r="E24">
        <v>0.28284271247461801</v>
      </c>
      <c r="F24">
        <v>0.4949747468305834</v>
      </c>
      <c r="G24">
        <v>0.98994949366116858</v>
      </c>
      <c r="H24">
        <v>4.2426406871192848</v>
      </c>
      <c r="I24">
        <v>1.7677669529663689</v>
      </c>
      <c r="J24">
        <v>0.49497474683058273</v>
      </c>
      <c r="K24">
        <v>2.569044555171324E-2</v>
      </c>
      <c r="L24">
        <v>0.17637825149812078</v>
      </c>
    </row>
    <row r="25" spans="1:12" x14ac:dyDescent="0.25">
      <c r="A25" t="s">
        <v>0</v>
      </c>
      <c r="B25" t="s">
        <v>4</v>
      </c>
      <c r="C25" t="s">
        <v>11</v>
      </c>
      <c r="E25">
        <v>1.0837543952709927</v>
      </c>
      <c r="F25">
        <v>1.3814316401846434</v>
      </c>
      <c r="G25">
        <v>0.60462295496352658</v>
      </c>
      <c r="H25">
        <v>5.7349513489674102</v>
      </c>
      <c r="I25">
        <v>4.6677738653949854</v>
      </c>
      <c r="J25">
        <v>1.5383653638194832</v>
      </c>
      <c r="K25">
        <v>9.2970069435686836E-2</v>
      </c>
      <c r="L25">
        <v>0</v>
      </c>
    </row>
    <row r="26" spans="1:12" x14ac:dyDescent="0.25">
      <c r="A26" t="s">
        <v>0</v>
      </c>
      <c r="B26" t="s">
        <v>4</v>
      </c>
      <c r="C26" t="s">
        <v>146</v>
      </c>
      <c r="E26" t="s">
        <v>173</v>
      </c>
      <c r="F26" t="s">
        <v>173</v>
      </c>
      <c r="G26" t="s">
        <v>173</v>
      </c>
      <c r="H26" t="s">
        <v>173</v>
      </c>
      <c r="I26" t="s">
        <v>173</v>
      </c>
      <c r="J26" t="e">
        <v>#DIV/0!</v>
      </c>
      <c r="K26">
        <v>0</v>
      </c>
      <c r="L26">
        <v>0</v>
      </c>
    </row>
    <row r="27" spans="1:12" x14ac:dyDescent="0.25">
      <c r="A27" t="s">
        <v>0</v>
      </c>
      <c r="B27" t="s">
        <v>4</v>
      </c>
      <c r="C27" t="s">
        <v>10</v>
      </c>
      <c r="E27" t="s">
        <v>173</v>
      </c>
      <c r="F27" t="s">
        <v>173</v>
      </c>
      <c r="G27" t="s">
        <v>173</v>
      </c>
      <c r="H27" t="s">
        <v>173</v>
      </c>
      <c r="I27" t="s">
        <v>173</v>
      </c>
      <c r="J27" t="e">
        <v>#DIV/0!</v>
      </c>
      <c r="K27">
        <v>0</v>
      </c>
      <c r="L27">
        <v>7.0460520823006592E-2</v>
      </c>
    </row>
    <row r="28" spans="1:12" x14ac:dyDescent="0.25">
      <c r="A28" t="s">
        <v>0</v>
      </c>
      <c r="B28" t="s">
        <v>4</v>
      </c>
      <c r="C28" t="s">
        <v>31</v>
      </c>
      <c r="E28" t="s">
        <v>173</v>
      </c>
      <c r="F28" t="s">
        <v>173</v>
      </c>
      <c r="G28" t="s">
        <v>173</v>
      </c>
      <c r="H28" t="s">
        <v>173</v>
      </c>
      <c r="I28" t="s">
        <v>173</v>
      </c>
      <c r="J28" t="e">
        <v>#DIV/0!</v>
      </c>
      <c r="K28">
        <v>0</v>
      </c>
      <c r="L28">
        <v>0</v>
      </c>
    </row>
    <row r="29" spans="1:12" x14ac:dyDescent="0.25">
      <c r="A29" t="s">
        <v>0</v>
      </c>
      <c r="B29" t="s">
        <v>4</v>
      </c>
      <c r="C29" t="s">
        <v>9</v>
      </c>
      <c r="E29">
        <v>6.2225396744416166</v>
      </c>
      <c r="F29">
        <v>7.8488852711706771</v>
      </c>
      <c r="G29">
        <v>0.28284271247461912</v>
      </c>
      <c r="H29">
        <v>0.98994949366116491</v>
      </c>
      <c r="I29">
        <v>3.3234018715767757</v>
      </c>
      <c r="J29">
        <v>8.1317279836452929</v>
      </c>
      <c r="K29">
        <v>9.4155264823414173E-3</v>
      </c>
      <c r="L29">
        <v>0.19037092539492978</v>
      </c>
    </row>
    <row r="30" spans="1:12" x14ac:dyDescent="0.25">
      <c r="A30" t="s">
        <v>0</v>
      </c>
      <c r="B30" t="s">
        <v>4</v>
      </c>
      <c r="C30" t="s">
        <v>44</v>
      </c>
      <c r="E30" t="s">
        <v>173</v>
      </c>
      <c r="F30" t="s">
        <v>173</v>
      </c>
      <c r="G30" t="s">
        <v>173</v>
      </c>
      <c r="H30" t="s">
        <v>173</v>
      </c>
      <c r="I30" t="s">
        <v>173</v>
      </c>
      <c r="J30" t="e">
        <v>#DIV/0!</v>
      </c>
      <c r="K30">
        <v>0</v>
      </c>
      <c r="L30">
        <v>8.9382297443625927E-2</v>
      </c>
    </row>
    <row r="31" spans="1:12" x14ac:dyDescent="0.25">
      <c r="A31" t="s">
        <v>0</v>
      </c>
      <c r="B31" t="s">
        <v>4</v>
      </c>
      <c r="C31" t="s">
        <v>48</v>
      </c>
      <c r="E31">
        <v>1.5241069387626029</v>
      </c>
      <c r="F31">
        <v>2.0189805231703399</v>
      </c>
      <c r="G31">
        <v>0.73383761627408106</v>
      </c>
      <c r="H31">
        <v>5.8312350287725794</v>
      </c>
      <c r="I31">
        <v>4.5184328360746555</v>
      </c>
      <c r="J31">
        <v>2.1851638786302967</v>
      </c>
      <c r="K31">
        <v>9.6830138095514176E-2</v>
      </c>
      <c r="L31">
        <v>6.4872676954008612E-2</v>
      </c>
    </row>
    <row r="32" spans="1:12" x14ac:dyDescent="0.25">
      <c r="A32" t="s">
        <v>0</v>
      </c>
      <c r="B32" t="s">
        <v>5</v>
      </c>
      <c r="C32" t="s">
        <v>27</v>
      </c>
      <c r="E32" t="s">
        <v>173</v>
      </c>
      <c r="F32" t="s">
        <v>173</v>
      </c>
      <c r="G32" t="s">
        <v>173</v>
      </c>
      <c r="H32" t="s">
        <v>173</v>
      </c>
      <c r="I32" t="s">
        <v>173</v>
      </c>
      <c r="J32" t="e">
        <v>#DIV/0!</v>
      </c>
      <c r="K32">
        <v>0</v>
      </c>
      <c r="L32">
        <v>0</v>
      </c>
    </row>
    <row r="33" spans="1:12" x14ac:dyDescent="0.25">
      <c r="A33" t="s">
        <v>0</v>
      </c>
      <c r="B33" t="s">
        <v>5</v>
      </c>
      <c r="C33" t="s">
        <v>2</v>
      </c>
      <c r="E33" t="s">
        <v>173</v>
      </c>
      <c r="F33" t="s">
        <v>173</v>
      </c>
      <c r="G33" t="s">
        <v>173</v>
      </c>
      <c r="H33" t="s">
        <v>173</v>
      </c>
      <c r="I33" t="s">
        <v>173</v>
      </c>
      <c r="J33" t="e">
        <v>#DIV/0!</v>
      </c>
      <c r="K33">
        <v>0</v>
      </c>
      <c r="L33">
        <v>0</v>
      </c>
    </row>
    <row r="34" spans="1:12" x14ac:dyDescent="0.25">
      <c r="A34" t="s">
        <v>0</v>
      </c>
      <c r="B34" t="s">
        <v>5</v>
      </c>
      <c r="C34" t="s">
        <v>11</v>
      </c>
      <c r="E34" t="s">
        <v>173</v>
      </c>
      <c r="F34" t="s">
        <v>173</v>
      </c>
      <c r="G34" t="s">
        <v>173</v>
      </c>
      <c r="H34" t="s">
        <v>173</v>
      </c>
      <c r="I34" t="s">
        <v>173</v>
      </c>
      <c r="J34" t="e">
        <v>#DIV/0!</v>
      </c>
      <c r="K34">
        <v>0</v>
      </c>
      <c r="L34">
        <v>7.7614835792671269E-2</v>
      </c>
    </row>
    <row r="35" spans="1:12" x14ac:dyDescent="0.25">
      <c r="A35" t="s">
        <v>0</v>
      </c>
      <c r="B35" t="s">
        <v>5</v>
      </c>
      <c r="C35" t="s">
        <v>146</v>
      </c>
      <c r="E35">
        <v>0.14847711791873655</v>
      </c>
      <c r="F35">
        <v>0.20652243256245834</v>
      </c>
      <c r="G35">
        <v>0.62298158929944336</v>
      </c>
      <c r="H35">
        <v>2.0375267241229387</v>
      </c>
      <c r="I35">
        <v>3.8876260575878905</v>
      </c>
      <c r="J35">
        <v>0.58904133723339125</v>
      </c>
      <c r="K35">
        <v>6.8316511117563677E-2</v>
      </c>
      <c r="L35">
        <v>0.10534079827721315</v>
      </c>
    </row>
    <row r="36" spans="1:12" x14ac:dyDescent="0.25">
      <c r="A36" t="s">
        <v>0</v>
      </c>
      <c r="B36" t="s">
        <v>5</v>
      </c>
      <c r="C36" t="s">
        <v>10</v>
      </c>
      <c r="E36">
        <v>2.067607312813533</v>
      </c>
      <c r="F36">
        <v>2.9785511019062061</v>
      </c>
      <c r="G36">
        <v>0.82435833632387878</v>
      </c>
      <c r="H36">
        <v>3.491418050019218</v>
      </c>
      <c r="I36">
        <v>4.5011109739707589</v>
      </c>
      <c r="J36">
        <v>3.0363245325008803</v>
      </c>
      <c r="K36">
        <v>0.10708828215261258</v>
      </c>
      <c r="L36">
        <v>9.9619161788856311E-2</v>
      </c>
    </row>
    <row r="37" spans="1:12" x14ac:dyDescent="0.25">
      <c r="A37" t="s">
        <v>0</v>
      </c>
      <c r="B37" t="s">
        <v>5</v>
      </c>
      <c r="C37" t="s">
        <v>31</v>
      </c>
      <c r="E37">
        <v>6.9293486718358194E-2</v>
      </c>
      <c r="F37">
        <v>0.15803020272576049</v>
      </c>
      <c r="G37">
        <v>0.11773883752795369</v>
      </c>
      <c r="H37">
        <v>1.1818736805705579</v>
      </c>
      <c r="I37">
        <v>3.5491634009384319</v>
      </c>
      <c r="J37">
        <v>0.16068635853769866</v>
      </c>
      <c r="K37">
        <v>9.471265759019809E-2</v>
      </c>
      <c r="L37">
        <v>0.19160257908162356</v>
      </c>
    </row>
    <row r="38" spans="1:12" x14ac:dyDescent="0.25">
      <c r="A38" t="s">
        <v>0</v>
      </c>
      <c r="B38" t="s">
        <v>5</v>
      </c>
      <c r="C38" t="s">
        <v>9</v>
      </c>
      <c r="E38" t="s">
        <v>173</v>
      </c>
      <c r="F38" t="s">
        <v>173</v>
      </c>
      <c r="G38" t="s">
        <v>173</v>
      </c>
      <c r="H38" t="s">
        <v>173</v>
      </c>
      <c r="I38" t="s">
        <v>173</v>
      </c>
      <c r="J38" t="e">
        <v>#DIV/0!</v>
      </c>
      <c r="K38">
        <v>0</v>
      </c>
      <c r="L38">
        <v>0</v>
      </c>
    </row>
    <row r="39" spans="1:12" x14ac:dyDescent="0.25">
      <c r="A39" t="s">
        <v>0</v>
      </c>
      <c r="B39" t="s">
        <v>5</v>
      </c>
      <c r="C39" t="s">
        <v>44</v>
      </c>
      <c r="E39" t="s">
        <v>173</v>
      </c>
      <c r="F39" t="s">
        <v>173</v>
      </c>
      <c r="G39" t="s">
        <v>173</v>
      </c>
      <c r="H39" t="s">
        <v>173</v>
      </c>
      <c r="I39" t="s">
        <v>173</v>
      </c>
      <c r="J39" t="e">
        <v>#DIV/0!</v>
      </c>
      <c r="K39">
        <v>0</v>
      </c>
      <c r="L39">
        <v>0</v>
      </c>
    </row>
    <row r="40" spans="1:12" x14ac:dyDescent="0.25">
      <c r="A40" t="s">
        <v>0</v>
      </c>
      <c r="B40" t="s">
        <v>5</v>
      </c>
      <c r="C40" t="s">
        <v>48</v>
      </c>
      <c r="E40">
        <v>1.5897024395005015</v>
      </c>
      <c r="F40">
        <v>2.0012472072723497</v>
      </c>
      <c r="G40">
        <v>0.78467288627907494</v>
      </c>
      <c r="H40">
        <v>3.8474517041003402</v>
      </c>
      <c r="I40">
        <v>5.0871255295939131</v>
      </c>
      <c r="J40">
        <v>2.3083221095719022</v>
      </c>
      <c r="K40">
        <v>0.15757233440456797</v>
      </c>
      <c r="L40">
        <v>0</v>
      </c>
    </row>
    <row r="41" spans="1:12" x14ac:dyDescent="0.25">
      <c r="A41" t="s">
        <v>0</v>
      </c>
      <c r="B41" t="s">
        <v>30</v>
      </c>
      <c r="C41" t="s">
        <v>27</v>
      </c>
      <c r="E41" t="s">
        <v>173</v>
      </c>
      <c r="F41" t="s">
        <v>173</v>
      </c>
      <c r="G41" t="s">
        <v>173</v>
      </c>
      <c r="H41" t="s">
        <v>173</v>
      </c>
      <c r="I41" t="s">
        <v>173</v>
      </c>
      <c r="J41" t="e">
        <v>#DIV/0!</v>
      </c>
      <c r="K41">
        <v>0</v>
      </c>
      <c r="L41">
        <v>0</v>
      </c>
    </row>
    <row r="42" spans="1:12" x14ac:dyDescent="0.25">
      <c r="A42" t="s">
        <v>0</v>
      </c>
      <c r="B42" t="s">
        <v>30</v>
      </c>
      <c r="C42" t="s">
        <v>2</v>
      </c>
      <c r="E42" t="s">
        <v>173</v>
      </c>
      <c r="F42" t="s">
        <v>173</v>
      </c>
      <c r="G42" t="s">
        <v>173</v>
      </c>
      <c r="H42" t="s">
        <v>173</v>
      </c>
      <c r="I42" t="s">
        <v>173</v>
      </c>
      <c r="J42" t="e">
        <v>#DIV/0!</v>
      </c>
      <c r="K42">
        <v>0</v>
      </c>
      <c r="L42">
        <v>0</v>
      </c>
    </row>
    <row r="43" spans="1:12" x14ac:dyDescent="0.25">
      <c r="A43" t="s">
        <v>0</v>
      </c>
      <c r="B43" t="s">
        <v>30</v>
      </c>
      <c r="C43" t="s">
        <v>11</v>
      </c>
      <c r="E43">
        <v>1.1944169195794985</v>
      </c>
      <c r="F43">
        <v>1.6381315575984736</v>
      </c>
      <c r="G43">
        <v>0.96825157428795905</v>
      </c>
      <c r="H43">
        <v>7.2871464171046281</v>
      </c>
      <c r="I43">
        <v>3.7882139064305482</v>
      </c>
      <c r="J43">
        <v>1.8786438666702603</v>
      </c>
      <c r="K43">
        <v>5.6726163541839472E-2</v>
      </c>
      <c r="L43">
        <v>0</v>
      </c>
    </row>
    <row r="44" spans="1:12" x14ac:dyDescent="0.25">
      <c r="A44" t="s">
        <v>0</v>
      </c>
      <c r="B44" t="s">
        <v>30</v>
      </c>
      <c r="C44" t="s">
        <v>146</v>
      </c>
      <c r="E44" t="s">
        <v>173</v>
      </c>
      <c r="F44" t="s">
        <v>173</v>
      </c>
      <c r="G44" t="s">
        <v>173</v>
      </c>
      <c r="H44" t="s">
        <v>173</v>
      </c>
      <c r="I44" t="s">
        <v>173</v>
      </c>
      <c r="J44" t="e">
        <v>#DIV/0!</v>
      </c>
      <c r="K44">
        <v>0</v>
      </c>
      <c r="L44">
        <v>0</v>
      </c>
    </row>
    <row r="45" spans="1:12" x14ac:dyDescent="0.25">
      <c r="A45" t="s">
        <v>0</v>
      </c>
      <c r="B45" t="s">
        <v>30</v>
      </c>
      <c r="C45" t="s">
        <v>10</v>
      </c>
      <c r="E45">
        <v>0.23334523779155947</v>
      </c>
      <c r="F45">
        <v>0.90509667991877807</v>
      </c>
      <c r="G45">
        <v>0.1343502884254443</v>
      </c>
      <c r="H45">
        <v>5.9767358886005786</v>
      </c>
      <c r="I45">
        <v>1.039446968344224</v>
      </c>
      <c r="J45">
        <v>1.039446968344224</v>
      </c>
      <c r="K45">
        <v>4.446286885267578E-2</v>
      </c>
      <c r="L45">
        <v>0</v>
      </c>
    </row>
    <row r="46" spans="1:12" x14ac:dyDescent="0.25">
      <c r="A46" t="s">
        <v>0</v>
      </c>
      <c r="B46" t="s">
        <v>30</v>
      </c>
      <c r="C46" t="s">
        <v>31</v>
      </c>
      <c r="E46" t="s">
        <v>173</v>
      </c>
      <c r="F46" t="s">
        <v>173</v>
      </c>
      <c r="G46" t="s">
        <v>173</v>
      </c>
      <c r="H46" t="s">
        <v>173</v>
      </c>
      <c r="I46" t="s">
        <v>173</v>
      </c>
      <c r="J46" t="e">
        <v>#DIV/0!</v>
      </c>
      <c r="K46">
        <v>0</v>
      </c>
      <c r="L46">
        <v>0</v>
      </c>
    </row>
    <row r="47" spans="1:12" x14ac:dyDescent="0.25">
      <c r="A47" t="s">
        <v>0</v>
      </c>
      <c r="B47" t="s">
        <v>30</v>
      </c>
      <c r="C47" t="s">
        <v>9</v>
      </c>
      <c r="E47">
        <v>1.4532471686995747</v>
      </c>
      <c r="F47">
        <v>2.1371620290613316</v>
      </c>
      <c r="G47">
        <v>0.68132977067662071</v>
      </c>
      <c r="H47">
        <v>4.6228707050315201</v>
      </c>
      <c r="I47">
        <v>4.7799348378477564</v>
      </c>
      <c r="J47">
        <v>2.3931188747569436</v>
      </c>
      <c r="K47">
        <v>5.4609049974913719E-2</v>
      </c>
      <c r="L47">
        <v>0</v>
      </c>
    </row>
    <row r="48" spans="1:12" x14ac:dyDescent="0.25">
      <c r="A48" t="s">
        <v>0</v>
      </c>
      <c r="B48" t="s">
        <v>30</v>
      </c>
      <c r="C48" t="s">
        <v>44</v>
      </c>
      <c r="E48" t="s">
        <v>173</v>
      </c>
      <c r="F48" t="s">
        <v>173</v>
      </c>
      <c r="G48" t="s">
        <v>173</v>
      </c>
      <c r="H48" t="s">
        <v>173</v>
      </c>
      <c r="I48" t="s">
        <v>173</v>
      </c>
      <c r="J48" t="e">
        <v>#DIV/0!</v>
      </c>
      <c r="K48">
        <v>0</v>
      </c>
      <c r="L48">
        <v>0</v>
      </c>
    </row>
    <row r="49" spans="1:12" x14ac:dyDescent="0.25">
      <c r="A49" t="s">
        <v>0</v>
      </c>
      <c r="B49" t="s">
        <v>30</v>
      </c>
      <c r="C49" t="s">
        <v>48</v>
      </c>
      <c r="E49">
        <v>1.551545310763224</v>
      </c>
      <c r="F49">
        <v>2.0152402445473481</v>
      </c>
      <c r="G49">
        <v>1.3686610250249978</v>
      </c>
      <c r="H49">
        <v>5.8521055543866671</v>
      </c>
      <c r="I49">
        <v>4.4372918118731155</v>
      </c>
      <c r="J49">
        <v>2.5368461535591598</v>
      </c>
      <c r="K49">
        <v>9.0212576974195963E-2</v>
      </c>
      <c r="L49">
        <v>0</v>
      </c>
    </row>
    <row r="50" spans="1:12" x14ac:dyDescent="0.25">
      <c r="A50" t="s">
        <v>0</v>
      </c>
      <c r="B50" t="s">
        <v>60</v>
      </c>
      <c r="C50" t="s">
        <v>27</v>
      </c>
      <c r="E50" t="s">
        <v>173</v>
      </c>
      <c r="F50" t="s">
        <v>173</v>
      </c>
      <c r="G50" t="s">
        <v>173</v>
      </c>
      <c r="H50" t="s">
        <v>173</v>
      </c>
      <c r="I50" t="s">
        <v>173</v>
      </c>
      <c r="J50" t="e">
        <v>#DIV/0!</v>
      </c>
      <c r="K50">
        <v>0</v>
      </c>
      <c r="L50">
        <v>0</v>
      </c>
    </row>
    <row r="51" spans="1:12" x14ac:dyDescent="0.25">
      <c r="A51" t="s">
        <v>0</v>
      </c>
      <c r="B51" t="s">
        <v>60</v>
      </c>
      <c r="C51" t="s">
        <v>2</v>
      </c>
      <c r="E51" t="s">
        <v>173</v>
      </c>
      <c r="F51" t="s">
        <v>173</v>
      </c>
      <c r="G51" t="s">
        <v>173</v>
      </c>
      <c r="H51" t="s">
        <v>173</v>
      </c>
      <c r="I51" t="s">
        <v>173</v>
      </c>
      <c r="J51" t="e">
        <v>#DIV/0!</v>
      </c>
      <c r="K51">
        <v>0</v>
      </c>
      <c r="L51">
        <v>0</v>
      </c>
    </row>
    <row r="52" spans="1:12" x14ac:dyDescent="0.25">
      <c r="A52" t="s">
        <v>0</v>
      </c>
      <c r="B52" t="s">
        <v>60</v>
      </c>
      <c r="C52" t="s">
        <v>11</v>
      </c>
      <c r="E52" t="s">
        <v>173</v>
      </c>
      <c r="F52" t="s">
        <v>173</v>
      </c>
      <c r="G52" t="s">
        <v>173</v>
      </c>
      <c r="H52" t="s">
        <v>173</v>
      </c>
      <c r="I52" t="s">
        <v>173</v>
      </c>
      <c r="J52" t="e">
        <v>#DIV/0!</v>
      </c>
      <c r="K52">
        <v>0</v>
      </c>
      <c r="L52">
        <v>0</v>
      </c>
    </row>
    <row r="53" spans="1:12" x14ac:dyDescent="0.25">
      <c r="A53" t="s">
        <v>0</v>
      </c>
      <c r="B53" t="s">
        <v>60</v>
      </c>
      <c r="C53" t="s">
        <v>146</v>
      </c>
      <c r="E53" t="s">
        <v>173</v>
      </c>
      <c r="F53" t="s">
        <v>173</v>
      </c>
      <c r="G53" t="s">
        <v>173</v>
      </c>
      <c r="H53" t="s">
        <v>173</v>
      </c>
      <c r="I53" t="s">
        <v>173</v>
      </c>
      <c r="J53" t="e">
        <v>#DIV/0!</v>
      </c>
      <c r="K53">
        <v>0</v>
      </c>
      <c r="L53">
        <v>0</v>
      </c>
    </row>
    <row r="54" spans="1:12" x14ac:dyDescent="0.25">
      <c r="A54" t="s">
        <v>0</v>
      </c>
      <c r="B54" t="s">
        <v>60</v>
      </c>
      <c r="C54" t="s">
        <v>10</v>
      </c>
      <c r="E54" t="s">
        <v>173</v>
      </c>
      <c r="F54" t="s">
        <v>173</v>
      </c>
      <c r="G54" t="s">
        <v>173</v>
      </c>
      <c r="H54" t="s">
        <v>173</v>
      </c>
      <c r="I54" t="s">
        <v>173</v>
      </c>
      <c r="J54" t="e">
        <v>#DIV/0!</v>
      </c>
      <c r="K54">
        <v>0</v>
      </c>
      <c r="L54">
        <v>0.15553944887413296</v>
      </c>
    </row>
    <row r="55" spans="1:12" x14ac:dyDescent="0.25">
      <c r="A55" t="s">
        <v>0</v>
      </c>
      <c r="B55" t="s">
        <v>60</v>
      </c>
      <c r="C55" t="s">
        <v>31</v>
      </c>
      <c r="E55" t="s">
        <v>173</v>
      </c>
      <c r="F55" t="s">
        <v>173</v>
      </c>
      <c r="G55" t="s">
        <v>173</v>
      </c>
      <c r="H55" t="s">
        <v>173</v>
      </c>
      <c r="I55" t="s">
        <v>173</v>
      </c>
      <c r="J55" t="e">
        <v>#DIV/0!</v>
      </c>
      <c r="K55">
        <v>0</v>
      </c>
      <c r="L55">
        <v>0.11828149327935913</v>
      </c>
    </row>
    <row r="56" spans="1:12" x14ac:dyDescent="0.25">
      <c r="A56" t="s">
        <v>0</v>
      </c>
      <c r="B56" t="s">
        <v>60</v>
      </c>
      <c r="C56" t="s">
        <v>9</v>
      </c>
      <c r="E56" t="s">
        <v>173</v>
      </c>
      <c r="F56" t="s">
        <v>173</v>
      </c>
      <c r="G56" t="s">
        <v>173</v>
      </c>
      <c r="H56" t="s">
        <v>173</v>
      </c>
      <c r="I56" t="s">
        <v>173</v>
      </c>
      <c r="J56" t="e">
        <v>#DIV/0!</v>
      </c>
      <c r="K56">
        <v>0</v>
      </c>
      <c r="L56">
        <v>0.3261986018106241</v>
      </c>
    </row>
    <row r="57" spans="1:12" x14ac:dyDescent="0.25">
      <c r="A57" t="s">
        <v>0</v>
      </c>
      <c r="B57" t="s">
        <v>60</v>
      </c>
      <c r="C57" t="s">
        <v>44</v>
      </c>
      <c r="E57" t="s">
        <v>173</v>
      </c>
      <c r="F57" t="s">
        <v>173</v>
      </c>
      <c r="G57" t="s">
        <v>173</v>
      </c>
      <c r="H57" t="s">
        <v>173</v>
      </c>
      <c r="I57" t="s">
        <v>173</v>
      </c>
      <c r="J57" t="e">
        <v>#DIV/0!</v>
      </c>
      <c r="K57">
        <v>0</v>
      </c>
      <c r="L57">
        <v>0</v>
      </c>
    </row>
    <row r="58" spans="1:12" x14ac:dyDescent="0.25">
      <c r="A58" t="s">
        <v>0</v>
      </c>
      <c r="B58" t="s">
        <v>60</v>
      </c>
      <c r="C58" t="s">
        <v>48</v>
      </c>
      <c r="E58" t="s">
        <v>173</v>
      </c>
      <c r="F58" t="s">
        <v>173</v>
      </c>
      <c r="G58" t="s">
        <v>173</v>
      </c>
      <c r="H58" t="s">
        <v>173</v>
      </c>
      <c r="I58" t="s">
        <v>173</v>
      </c>
      <c r="J58" t="e">
        <v>#DIV/0!</v>
      </c>
      <c r="K58">
        <v>0</v>
      </c>
      <c r="L58">
        <v>7.7614835792671269E-2</v>
      </c>
    </row>
    <row r="59" spans="1:12" x14ac:dyDescent="0.25">
      <c r="A59" t="s">
        <v>0</v>
      </c>
      <c r="B59" t="s">
        <v>48</v>
      </c>
      <c r="C59" t="s">
        <v>27</v>
      </c>
      <c r="E59">
        <v>1.3261671588956403</v>
      </c>
      <c r="F59">
        <v>2.16085260950394</v>
      </c>
      <c r="G59">
        <v>0.35756491252172062</v>
      </c>
      <c r="H59">
        <v>7.0059450944656163</v>
      </c>
      <c r="I59">
        <v>5.6439288915907628</v>
      </c>
      <c r="J59">
        <v>1.8860114881233743</v>
      </c>
      <c r="K59">
        <v>3.6956637505748853E-2</v>
      </c>
      <c r="L59">
        <v>0.14636195524905715</v>
      </c>
    </row>
    <row r="60" spans="1:12" x14ac:dyDescent="0.25">
      <c r="A60" t="s">
        <v>0</v>
      </c>
      <c r="B60" t="s">
        <v>48</v>
      </c>
      <c r="C60" t="s">
        <v>2</v>
      </c>
      <c r="E60">
        <v>1.181235934660529</v>
      </c>
      <c r="F60">
        <v>1.7134807410648059</v>
      </c>
      <c r="G60">
        <v>0.66897433931853167</v>
      </c>
      <c r="H60">
        <v>3.9724887245487102</v>
      </c>
      <c r="I60">
        <v>5.8969907580053285</v>
      </c>
      <c r="J60">
        <v>1.4229404707623325</v>
      </c>
      <c r="K60">
        <v>4.1648864089770761E-2</v>
      </c>
      <c r="L60">
        <v>0.20249467997232579</v>
      </c>
    </row>
    <row r="61" spans="1:12" x14ac:dyDescent="0.25">
      <c r="A61" t="s">
        <v>0</v>
      </c>
      <c r="B61" t="s">
        <v>48</v>
      </c>
      <c r="C61" t="s">
        <v>11</v>
      </c>
      <c r="E61">
        <v>1.1207062933920342</v>
      </c>
      <c r="F61">
        <v>1.4705501762312558</v>
      </c>
      <c r="G61">
        <v>0.65170834550866175</v>
      </c>
      <c r="H61">
        <v>5.910481011542311</v>
      </c>
      <c r="I61">
        <v>6.8872048880752024</v>
      </c>
      <c r="J61">
        <v>1.6944005176583861</v>
      </c>
      <c r="K61">
        <v>0.11688209205546327</v>
      </c>
      <c r="L61">
        <v>0.39964197656049139</v>
      </c>
    </row>
    <row r="62" spans="1:12" x14ac:dyDescent="0.25">
      <c r="A62" t="s">
        <v>1</v>
      </c>
      <c r="B62" t="s">
        <v>48</v>
      </c>
      <c r="C62" t="s">
        <v>146</v>
      </c>
      <c r="E62">
        <v>0.14847711791873655</v>
      </c>
      <c r="F62">
        <v>0.20652243256245834</v>
      </c>
      <c r="G62">
        <v>0.62298158929944336</v>
      </c>
      <c r="H62">
        <v>2.0375267241229387</v>
      </c>
      <c r="I62">
        <v>3.8876260575878905</v>
      </c>
      <c r="J62">
        <v>0.58904133723339125</v>
      </c>
      <c r="K62">
        <v>6.8316511117563677E-2</v>
      </c>
      <c r="L62">
        <v>0.19952273505022197</v>
      </c>
    </row>
    <row r="63" spans="1:12" x14ac:dyDescent="0.25">
      <c r="A63" t="s">
        <v>1</v>
      </c>
      <c r="B63" t="s">
        <v>48</v>
      </c>
      <c r="C63" t="s">
        <v>10</v>
      </c>
      <c r="E63">
        <v>2.0154960224530871</v>
      </c>
      <c r="F63">
        <v>2.86765695477273</v>
      </c>
      <c r="G63">
        <v>1.1766366427975086</v>
      </c>
      <c r="H63">
        <v>3.7969307101231742</v>
      </c>
      <c r="I63">
        <v>5.0587085218296437</v>
      </c>
      <c r="J63">
        <v>3.0367130134284896</v>
      </c>
      <c r="K63">
        <v>0.11587517801344224</v>
      </c>
      <c r="L63">
        <v>0.13865422937554467</v>
      </c>
    </row>
    <row r="64" spans="1:12" x14ac:dyDescent="0.25">
      <c r="A64" t="s">
        <v>1</v>
      </c>
      <c r="B64" t="s">
        <v>48</v>
      </c>
      <c r="C64" t="s">
        <v>31</v>
      </c>
      <c r="E64">
        <v>6.9293486718358194E-2</v>
      </c>
      <c r="F64">
        <v>0.15803020272576049</v>
      </c>
      <c r="G64">
        <v>0.11773883752795369</v>
      </c>
      <c r="H64">
        <v>1.1818736805705579</v>
      </c>
      <c r="I64">
        <v>3.5491634009384319</v>
      </c>
      <c r="J64">
        <v>0.16068635853769866</v>
      </c>
      <c r="K64">
        <v>9.471265759019809E-2</v>
      </c>
      <c r="L64">
        <v>0.2790906472749376</v>
      </c>
    </row>
    <row r="65" spans="1:12" x14ac:dyDescent="0.25">
      <c r="A65" t="s">
        <v>1</v>
      </c>
      <c r="B65" t="s">
        <v>48</v>
      </c>
      <c r="C65" t="s">
        <v>9</v>
      </c>
      <c r="E65">
        <v>2.0416892836654843</v>
      </c>
      <c r="F65">
        <v>2.7956704827779455</v>
      </c>
      <c r="G65">
        <v>0.67700014431482924</v>
      </c>
      <c r="H65">
        <v>4.6602971652366376</v>
      </c>
      <c r="I65">
        <v>6.6451976988695858</v>
      </c>
      <c r="J65">
        <v>3.0373639698030086</v>
      </c>
      <c r="K65">
        <v>5.6042344244569435E-2</v>
      </c>
      <c r="L65">
        <v>0</v>
      </c>
    </row>
    <row r="66" spans="1:12" x14ac:dyDescent="0.25">
      <c r="A66" t="s">
        <v>1</v>
      </c>
      <c r="B66" t="s">
        <v>48</v>
      </c>
      <c r="C66" t="s">
        <v>44</v>
      </c>
      <c r="E66" t="s">
        <v>173</v>
      </c>
      <c r="F66" t="s">
        <v>173</v>
      </c>
      <c r="G66" t="s">
        <v>173</v>
      </c>
      <c r="H66" t="s">
        <v>173</v>
      </c>
      <c r="I66" t="s">
        <v>173</v>
      </c>
      <c r="J66" t="e">
        <v>#DIV/0!</v>
      </c>
      <c r="K66">
        <v>1.3718981653007748E-2</v>
      </c>
      <c r="L66">
        <v>0</v>
      </c>
    </row>
    <row r="67" spans="1:12" x14ac:dyDescent="0.25">
      <c r="A67" t="s">
        <v>1</v>
      </c>
      <c r="B67" t="s">
        <v>48</v>
      </c>
      <c r="C67" t="s">
        <v>48</v>
      </c>
      <c r="E67">
        <v>1.5858537158513206</v>
      </c>
      <c r="F67">
        <v>2.3091309640365685</v>
      </c>
      <c r="G67">
        <v>0.89935764583938815</v>
      </c>
      <c r="H67">
        <v>7.3270336176298274</v>
      </c>
      <c r="I67">
        <v>7.7391491696048336</v>
      </c>
      <c r="J67">
        <v>2.4903440027609727</v>
      </c>
      <c r="K67">
        <v>0.21286117012347291</v>
      </c>
      <c r="L67">
        <v>0.14557286601542183</v>
      </c>
    </row>
    <row r="68" spans="1:12" x14ac:dyDescent="0.25">
      <c r="A68" t="s">
        <v>1</v>
      </c>
      <c r="B68" t="s">
        <v>3</v>
      </c>
      <c r="C68" t="s">
        <v>27</v>
      </c>
      <c r="E68">
        <v>0.70722273719104978</v>
      </c>
      <c r="F68">
        <v>1.0297025460458573</v>
      </c>
      <c r="G68">
        <v>0.21404828115793564</v>
      </c>
      <c r="H68">
        <v>1.0916566702559445</v>
      </c>
      <c r="I68">
        <v>2.3126978679826355</v>
      </c>
      <c r="J68">
        <v>0.99946602410152019</v>
      </c>
      <c r="K68">
        <v>3.5143388469607767E-2</v>
      </c>
      <c r="L68">
        <v>8.9756448037003472E-2</v>
      </c>
    </row>
    <row r="69" spans="1:12" x14ac:dyDescent="0.25">
      <c r="A69" t="s">
        <v>1</v>
      </c>
      <c r="B69" t="s">
        <v>3</v>
      </c>
      <c r="C69" t="s">
        <v>2</v>
      </c>
      <c r="E69">
        <v>0.52985322915355015</v>
      </c>
      <c r="F69">
        <v>0.71439484880560167</v>
      </c>
      <c r="G69">
        <v>0.26374711312645627</v>
      </c>
      <c r="H69">
        <v>1.0492537030353222</v>
      </c>
      <c r="I69">
        <v>9.3755213188387803</v>
      </c>
      <c r="J69">
        <v>0.67405713101562537</v>
      </c>
      <c r="K69">
        <v>4.6060717429586215E-2</v>
      </c>
      <c r="L69">
        <v>0.36007038749073578</v>
      </c>
    </row>
    <row r="70" spans="1:12" x14ac:dyDescent="0.25">
      <c r="A70" t="s">
        <v>1</v>
      </c>
      <c r="B70" t="s">
        <v>3</v>
      </c>
      <c r="C70" t="s">
        <v>11</v>
      </c>
      <c r="E70">
        <v>0.40401555839914244</v>
      </c>
      <c r="F70">
        <v>0.47704504821031102</v>
      </c>
      <c r="G70">
        <v>0.17224599071874305</v>
      </c>
      <c r="H70">
        <v>1.1695203195232513</v>
      </c>
      <c r="I70">
        <v>2.1670512479198814</v>
      </c>
      <c r="J70">
        <v>0.48099027885358364</v>
      </c>
      <c r="K70">
        <v>3.7050866947447636E-2</v>
      </c>
      <c r="L70">
        <v>0</v>
      </c>
    </row>
    <row r="71" spans="1:12" x14ac:dyDescent="0.25">
      <c r="A71" t="s">
        <v>1</v>
      </c>
      <c r="B71" t="s">
        <v>3</v>
      </c>
      <c r="C71" t="s">
        <v>146</v>
      </c>
      <c r="E71" t="s">
        <v>173</v>
      </c>
      <c r="F71" t="s">
        <v>173</v>
      </c>
      <c r="G71" t="s">
        <v>173</v>
      </c>
      <c r="H71" t="s">
        <v>173</v>
      </c>
      <c r="I71" t="s">
        <v>173</v>
      </c>
      <c r="J71" t="e">
        <v>#DIV/0!</v>
      </c>
      <c r="K71">
        <v>0</v>
      </c>
      <c r="L71">
        <v>3.8048255814400314E-2</v>
      </c>
    </row>
    <row r="72" spans="1:12" x14ac:dyDescent="0.25">
      <c r="A72" t="s">
        <v>1</v>
      </c>
      <c r="B72" t="s">
        <v>3</v>
      </c>
      <c r="C72" t="s">
        <v>10</v>
      </c>
      <c r="E72">
        <v>0.45961940777125992</v>
      </c>
      <c r="F72">
        <v>0.53740115370177599</v>
      </c>
      <c r="G72">
        <v>0.21213203435596412</v>
      </c>
      <c r="H72" t="s">
        <v>173</v>
      </c>
      <c r="I72" t="s">
        <v>173</v>
      </c>
      <c r="J72">
        <v>0.32526911934581249</v>
      </c>
      <c r="K72">
        <v>2.4315611459248872E-2</v>
      </c>
      <c r="L72">
        <v>0.17403976698496365</v>
      </c>
    </row>
    <row r="73" spans="1:12" x14ac:dyDescent="0.25">
      <c r="A73" t="s">
        <v>1</v>
      </c>
      <c r="B73" t="s">
        <v>3</v>
      </c>
      <c r="C73" t="s">
        <v>31</v>
      </c>
      <c r="E73" t="s">
        <v>173</v>
      </c>
      <c r="F73" t="s">
        <v>173</v>
      </c>
      <c r="G73" t="s">
        <v>173</v>
      </c>
      <c r="H73" t="s">
        <v>173</v>
      </c>
      <c r="I73" t="s">
        <v>173</v>
      </c>
      <c r="J73" t="e">
        <v>#DIV/0!</v>
      </c>
      <c r="K73">
        <v>0</v>
      </c>
      <c r="L73">
        <v>0</v>
      </c>
    </row>
    <row r="74" spans="1:12" x14ac:dyDescent="0.25">
      <c r="A74" t="s">
        <v>1</v>
      </c>
      <c r="B74" t="s">
        <v>3</v>
      </c>
      <c r="C74" t="s">
        <v>9</v>
      </c>
      <c r="E74">
        <v>0.4911507822543823</v>
      </c>
      <c r="F74">
        <v>0.45873303783355301</v>
      </c>
      <c r="G74">
        <v>0.19091645007460969</v>
      </c>
      <c r="H74">
        <v>1.3579396157414354</v>
      </c>
      <c r="I74">
        <v>2.0864643139371752</v>
      </c>
      <c r="J74">
        <v>0.58799752627803714</v>
      </c>
      <c r="K74">
        <v>2.7858047327644717E-2</v>
      </c>
      <c r="L74">
        <v>0</v>
      </c>
    </row>
    <row r="75" spans="1:12" x14ac:dyDescent="0.25">
      <c r="A75" t="s">
        <v>1</v>
      </c>
      <c r="B75" t="s">
        <v>3</v>
      </c>
      <c r="C75" t="s">
        <v>44</v>
      </c>
      <c r="E75">
        <v>4.764451699828548E-2</v>
      </c>
      <c r="F75">
        <v>0.10545141061171241</v>
      </c>
      <c r="G75">
        <v>0.13722244714331541</v>
      </c>
      <c r="H75">
        <v>0.58022983951764184</v>
      </c>
      <c r="I75">
        <v>1.4361406616345067</v>
      </c>
      <c r="J75">
        <v>5.9413803110051532E-2</v>
      </c>
      <c r="K75">
        <v>2.7928925557930789E-2</v>
      </c>
      <c r="L75">
        <v>0.16375997681524407</v>
      </c>
    </row>
    <row r="76" spans="1:12" x14ac:dyDescent="0.25">
      <c r="A76" t="s">
        <v>1</v>
      </c>
      <c r="B76" t="s">
        <v>3</v>
      </c>
      <c r="C76" t="s">
        <v>48</v>
      </c>
      <c r="E76">
        <v>0.78940371682935018</v>
      </c>
      <c r="F76">
        <v>1.1254669348372226</v>
      </c>
      <c r="G76">
        <v>0.41163512758372789</v>
      </c>
      <c r="H76">
        <v>1.3455355768988686</v>
      </c>
      <c r="I76">
        <v>6.4344125935263028</v>
      </c>
      <c r="J76">
        <v>1.1425041887940428</v>
      </c>
      <c r="K76">
        <v>8.2111163836034534E-2</v>
      </c>
      <c r="L76">
        <v>0</v>
      </c>
    </row>
    <row r="77" spans="1:12" x14ac:dyDescent="0.25">
      <c r="A77" t="s">
        <v>1</v>
      </c>
      <c r="B77" t="s">
        <v>4</v>
      </c>
      <c r="C77" t="s">
        <v>27</v>
      </c>
      <c r="E77" t="s">
        <v>173</v>
      </c>
      <c r="F77" t="s">
        <v>173</v>
      </c>
      <c r="G77" t="s">
        <v>173</v>
      </c>
      <c r="H77" t="s">
        <v>173</v>
      </c>
      <c r="I77" t="s">
        <v>173</v>
      </c>
      <c r="J77" t="e">
        <v>#DIV/0!</v>
      </c>
      <c r="K77">
        <v>0</v>
      </c>
      <c r="L77">
        <v>0.23401778322934144</v>
      </c>
    </row>
    <row r="78" spans="1:12" x14ac:dyDescent="0.25">
      <c r="A78" t="s">
        <v>1</v>
      </c>
      <c r="B78" t="s">
        <v>4</v>
      </c>
      <c r="C78" t="s">
        <v>2</v>
      </c>
      <c r="E78" t="s">
        <v>173</v>
      </c>
      <c r="F78" t="s">
        <v>173</v>
      </c>
      <c r="G78" t="s">
        <v>173</v>
      </c>
      <c r="H78" t="s">
        <v>173</v>
      </c>
      <c r="I78" t="s">
        <v>173</v>
      </c>
      <c r="J78" t="e">
        <v>#DIV/0!</v>
      </c>
      <c r="K78">
        <v>0</v>
      </c>
      <c r="L78">
        <v>0.18973533138365506</v>
      </c>
    </row>
    <row r="79" spans="1:12" x14ac:dyDescent="0.25">
      <c r="A79" t="s">
        <v>1</v>
      </c>
      <c r="B79" t="s">
        <v>4</v>
      </c>
      <c r="C79" t="s">
        <v>11</v>
      </c>
      <c r="E79">
        <v>0.99224443541288909</v>
      </c>
      <c r="F79">
        <v>1.0945354462680721</v>
      </c>
      <c r="G79">
        <v>0.53749601001711245</v>
      </c>
      <c r="H79">
        <v>4.9344097924675854</v>
      </c>
      <c r="I79">
        <v>9.0793681217469899</v>
      </c>
      <c r="J79">
        <v>1.345207907249097</v>
      </c>
      <c r="K79">
        <v>8.1948487126540237E-2</v>
      </c>
      <c r="L79">
        <v>9.4802180007702949E-2</v>
      </c>
    </row>
    <row r="80" spans="1:12" x14ac:dyDescent="0.25">
      <c r="A80" t="s">
        <v>1</v>
      </c>
      <c r="B80" t="s">
        <v>4</v>
      </c>
      <c r="C80" t="s">
        <v>146</v>
      </c>
      <c r="E80" t="s">
        <v>173</v>
      </c>
      <c r="F80" t="s">
        <v>173</v>
      </c>
      <c r="G80" t="s">
        <v>173</v>
      </c>
      <c r="H80" t="s">
        <v>173</v>
      </c>
      <c r="I80" t="s">
        <v>173</v>
      </c>
      <c r="J80" t="e">
        <v>#DIV/0!</v>
      </c>
      <c r="K80">
        <v>0</v>
      </c>
      <c r="L80">
        <v>0</v>
      </c>
    </row>
    <row r="81" spans="1:12" x14ac:dyDescent="0.25">
      <c r="A81" t="s">
        <v>1</v>
      </c>
      <c r="B81" t="s">
        <v>4</v>
      </c>
      <c r="C81" t="s">
        <v>10</v>
      </c>
      <c r="E81" t="s">
        <v>173</v>
      </c>
      <c r="F81" t="s">
        <v>173</v>
      </c>
      <c r="G81" t="s">
        <v>173</v>
      </c>
      <c r="H81" t="s">
        <v>173</v>
      </c>
      <c r="I81" t="s">
        <v>173</v>
      </c>
      <c r="J81" t="e">
        <v>#DIV/0!</v>
      </c>
      <c r="K81">
        <v>0</v>
      </c>
      <c r="L81">
        <v>0</v>
      </c>
    </row>
    <row r="82" spans="1:12" x14ac:dyDescent="0.25">
      <c r="A82" t="s">
        <v>1</v>
      </c>
      <c r="B82" t="s">
        <v>4</v>
      </c>
      <c r="C82" t="s">
        <v>31</v>
      </c>
      <c r="E82" t="s">
        <v>173</v>
      </c>
      <c r="F82" t="s">
        <v>173</v>
      </c>
      <c r="G82" t="s">
        <v>173</v>
      </c>
      <c r="H82" t="s">
        <v>173</v>
      </c>
      <c r="I82" t="s">
        <v>173</v>
      </c>
      <c r="J82" t="e">
        <v>#DIV/0!</v>
      </c>
      <c r="K82">
        <v>0</v>
      </c>
      <c r="L82">
        <v>5.8186648568754051E-2</v>
      </c>
    </row>
    <row r="83" spans="1:12" x14ac:dyDescent="0.25">
      <c r="A83" t="s">
        <v>1</v>
      </c>
      <c r="B83" t="s">
        <v>4</v>
      </c>
      <c r="C83" t="s">
        <v>9</v>
      </c>
      <c r="E83">
        <v>1.4375905768565196</v>
      </c>
      <c r="F83">
        <v>1.8165902124584929</v>
      </c>
      <c r="G83">
        <v>0.19148542155126769</v>
      </c>
      <c r="H83">
        <v>1.2175795661885909</v>
      </c>
      <c r="I83">
        <v>5.5602008357012913</v>
      </c>
      <c r="J83">
        <v>1.8806027402582028</v>
      </c>
      <c r="K83">
        <v>1.6693742284736263E-2</v>
      </c>
      <c r="L83">
        <v>0.11216299890388919</v>
      </c>
    </row>
    <row r="84" spans="1:12" x14ac:dyDescent="0.25">
      <c r="A84" t="s">
        <v>1</v>
      </c>
      <c r="B84" t="s">
        <v>4</v>
      </c>
      <c r="C84" t="s">
        <v>44</v>
      </c>
      <c r="E84" t="s">
        <v>173</v>
      </c>
      <c r="F84" t="s">
        <v>173</v>
      </c>
      <c r="G84" t="s">
        <v>173</v>
      </c>
      <c r="H84" t="s">
        <v>173</v>
      </c>
      <c r="I84" t="s">
        <v>173</v>
      </c>
      <c r="J84" t="e">
        <v>#DIV/0!</v>
      </c>
      <c r="K84">
        <v>0</v>
      </c>
      <c r="L84">
        <v>5.9029933330620066E-2</v>
      </c>
    </row>
    <row r="85" spans="1:12" x14ac:dyDescent="0.25">
      <c r="A85" t="s">
        <v>1</v>
      </c>
      <c r="B85" t="s">
        <v>4</v>
      </c>
      <c r="C85" t="s">
        <v>48</v>
      </c>
      <c r="E85">
        <v>1.0139033484509261</v>
      </c>
      <c r="F85">
        <v>1.1741807087072809</v>
      </c>
      <c r="G85">
        <v>0.52536343040483557</v>
      </c>
      <c r="H85">
        <v>5.0203592236021031</v>
      </c>
      <c r="I85">
        <v>9.6452381789471335</v>
      </c>
      <c r="J85">
        <v>1.3846999456178013</v>
      </c>
      <c r="K85">
        <v>8.356873102355325E-2</v>
      </c>
      <c r="L85">
        <v>0.24163467400664423</v>
      </c>
    </row>
    <row r="86" spans="1:12" x14ac:dyDescent="0.25">
      <c r="A86" t="s">
        <v>1</v>
      </c>
      <c r="B86" t="s">
        <v>5</v>
      </c>
      <c r="C86" t="s">
        <v>27</v>
      </c>
      <c r="E86">
        <v>1.0078265156832722</v>
      </c>
      <c r="F86">
        <v>1.7367183065167635</v>
      </c>
      <c r="G86">
        <v>0.52281290471193642</v>
      </c>
      <c r="H86">
        <v>1.8973665961010275</v>
      </c>
      <c r="I86">
        <v>4.1793141383086612</v>
      </c>
      <c r="J86">
        <v>1.47066554418643</v>
      </c>
      <c r="K86">
        <v>1.8924376365176968E-2</v>
      </c>
      <c r="L86">
        <v>5.8751989698345837E-2</v>
      </c>
    </row>
    <row r="87" spans="1:12" x14ac:dyDescent="0.25">
      <c r="A87" t="s">
        <v>1</v>
      </c>
      <c r="B87" t="s">
        <v>5</v>
      </c>
      <c r="C87" t="s">
        <v>2</v>
      </c>
      <c r="E87">
        <v>1.0406728592598142</v>
      </c>
      <c r="F87">
        <v>1.6813684902483448</v>
      </c>
      <c r="G87">
        <v>0.44944410108488264</v>
      </c>
      <c r="H87">
        <v>2.0615528128088303</v>
      </c>
      <c r="I87">
        <v>3.5118845842842465</v>
      </c>
      <c r="J87">
        <v>1.5388307249337059</v>
      </c>
      <c r="K87">
        <v>2.5635279487626346E-2</v>
      </c>
      <c r="L87">
        <v>0</v>
      </c>
    </row>
    <row r="88" spans="1:12" x14ac:dyDescent="0.25">
      <c r="A88" t="s">
        <v>1</v>
      </c>
      <c r="B88" t="s">
        <v>5</v>
      </c>
      <c r="C88" t="s">
        <v>11</v>
      </c>
      <c r="E88" t="s">
        <v>173</v>
      </c>
      <c r="F88" t="s">
        <v>173</v>
      </c>
      <c r="G88" t="s">
        <v>173</v>
      </c>
      <c r="H88" t="s">
        <v>173</v>
      </c>
      <c r="I88" t="s">
        <v>173</v>
      </c>
      <c r="J88" t="e">
        <v>#DIV/0!</v>
      </c>
      <c r="K88">
        <v>0</v>
      </c>
      <c r="L88">
        <v>0.33610959684881536</v>
      </c>
    </row>
    <row r="89" spans="1:12" x14ac:dyDescent="0.25">
      <c r="A89" t="s">
        <v>1</v>
      </c>
      <c r="B89" t="s">
        <v>5</v>
      </c>
      <c r="C89" t="s">
        <v>146</v>
      </c>
      <c r="E89">
        <v>0.12335065713397848</v>
      </c>
      <c r="F89">
        <v>0.23098451496549754</v>
      </c>
      <c r="G89">
        <v>0.17475257233718061</v>
      </c>
      <c r="H89">
        <v>2.3094010767585029</v>
      </c>
      <c r="I89">
        <v>2.3965252624024922</v>
      </c>
      <c r="J89">
        <v>0.17333826422966697</v>
      </c>
      <c r="K89">
        <v>9.2611722350935621E-2</v>
      </c>
      <c r="L89">
        <v>0</v>
      </c>
    </row>
    <row r="90" spans="1:12" x14ac:dyDescent="0.25">
      <c r="A90" t="s">
        <v>1</v>
      </c>
      <c r="B90" t="s">
        <v>5</v>
      </c>
      <c r="C90" t="s">
        <v>10</v>
      </c>
      <c r="E90">
        <v>1.2988456413292526</v>
      </c>
      <c r="F90">
        <v>1.6970562748477107</v>
      </c>
      <c r="G90">
        <v>1.5175638372075173</v>
      </c>
      <c r="H90">
        <v>1.5811388300841898</v>
      </c>
      <c r="I90">
        <v>2.9495762407505248</v>
      </c>
      <c r="J90">
        <v>1.8392933425639379</v>
      </c>
      <c r="K90">
        <v>3.6991001076136523E-2</v>
      </c>
      <c r="L90">
        <v>0</v>
      </c>
    </row>
    <row r="91" spans="1:12" x14ac:dyDescent="0.25">
      <c r="A91" t="s">
        <v>1</v>
      </c>
      <c r="B91" t="s">
        <v>5</v>
      </c>
      <c r="C91" t="s">
        <v>31</v>
      </c>
      <c r="E91">
        <v>0.11482676162456722</v>
      </c>
      <c r="F91">
        <v>0.2291398055883144</v>
      </c>
      <c r="G91">
        <v>0.19433041389424816</v>
      </c>
      <c r="H91">
        <v>1.1591006551669469</v>
      </c>
      <c r="I91">
        <v>2.7677849418195226</v>
      </c>
      <c r="J91">
        <v>0.16449084794370483</v>
      </c>
      <c r="K91">
        <v>0.12966478006696619</v>
      </c>
      <c r="L91">
        <v>0.2578106155055917</v>
      </c>
    </row>
    <row r="92" spans="1:12" x14ac:dyDescent="0.25">
      <c r="A92" t="s">
        <v>1</v>
      </c>
      <c r="B92" t="s">
        <v>5</v>
      </c>
      <c r="C92" t="s">
        <v>9</v>
      </c>
      <c r="E92" t="s">
        <v>173</v>
      </c>
      <c r="F92" t="s">
        <v>173</v>
      </c>
      <c r="G92" t="s">
        <v>173</v>
      </c>
      <c r="H92" t="s">
        <v>173</v>
      </c>
      <c r="I92" t="s">
        <v>173</v>
      </c>
      <c r="J92" t="e">
        <v>#DIV/0!</v>
      </c>
      <c r="K92">
        <v>0</v>
      </c>
      <c r="L92">
        <v>0</v>
      </c>
    </row>
    <row r="93" spans="1:12" x14ac:dyDescent="0.25">
      <c r="A93" t="s">
        <v>1</v>
      </c>
      <c r="B93" t="s">
        <v>5</v>
      </c>
      <c r="C93" t="s">
        <v>44</v>
      </c>
      <c r="E93" t="s">
        <v>173</v>
      </c>
      <c r="F93" t="s">
        <v>173</v>
      </c>
      <c r="G93" t="s">
        <v>173</v>
      </c>
      <c r="H93" t="s">
        <v>173</v>
      </c>
      <c r="I93" t="s">
        <v>173</v>
      </c>
      <c r="J93" t="e">
        <v>#DIV/0!</v>
      </c>
      <c r="K93">
        <v>0</v>
      </c>
      <c r="L93">
        <v>0.41606277807035197</v>
      </c>
    </row>
    <row r="94" spans="1:12" x14ac:dyDescent="0.25">
      <c r="A94" t="s">
        <v>1</v>
      </c>
      <c r="B94" t="s">
        <v>5</v>
      </c>
      <c r="C94" t="s">
        <v>48</v>
      </c>
      <c r="E94">
        <v>1.3704402427973561</v>
      </c>
      <c r="F94">
        <v>1.7108138628199467</v>
      </c>
      <c r="G94">
        <v>0.58625913090306558</v>
      </c>
      <c r="H94">
        <v>2.1166134640362451</v>
      </c>
      <c r="I94">
        <v>2.9544236674654636</v>
      </c>
      <c r="J94">
        <v>1.9581291925657189</v>
      </c>
      <c r="K94">
        <v>0.16541080200359179</v>
      </c>
      <c r="L94">
        <v>0</v>
      </c>
    </row>
    <row r="95" spans="1:12" x14ac:dyDescent="0.25">
      <c r="A95" t="s">
        <v>1</v>
      </c>
      <c r="B95" t="s">
        <v>30</v>
      </c>
      <c r="C95" t="s">
        <v>27</v>
      </c>
      <c r="E95" t="s">
        <v>173</v>
      </c>
      <c r="F95" t="s">
        <v>173</v>
      </c>
      <c r="G95" t="s">
        <v>173</v>
      </c>
      <c r="H95" t="s">
        <v>173</v>
      </c>
      <c r="I95" t="s">
        <v>173</v>
      </c>
      <c r="J95" t="e">
        <v>#DIV/0!</v>
      </c>
      <c r="K95">
        <v>0</v>
      </c>
      <c r="L95">
        <v>0</v>
      </c>
    </row>
    <row r="96" spans="1:12" x14ac:dyDescent="0.25">
      <c r="A96" t="s">
        <v>1</v>
      </c>
      <c r="B96" t="s">
        <v>30</v>
      </c>
      <c r="C96" t="s">
        <v>2</v>
      </c>
      <c r="E96" t="s">
        <v>173</v>
      </c>
      <c r="F96" t="s">
        <v>173</v>
      </c>
      <c r="G96" t="s">
        <v>173</v>
      </c>
      <c r="H96" t="s">
        <v>173</v>
      </c>
      <c r="I96" t="s">
        <v>173</v>
      </c>
      <c r="J96" t="e">
        <v>#DIV/0!</v>
      </c>
      <c r="K96">
        <v>5.642025359055342E-3</v>
      </c>
      <c r="L96">
        <v>0</v>
      </c>
    </row>
    <row r="97" spans="1:12" x14ac:dyDescent="0.25">
      <c r="A97" t="s">
        <v>1</v>
      </c>
      <c r="B97" t="s">
        <v>30</v>
      </c>
      <c r="C97" t="s">
        <v>11</v>
      </c>
      <c r="E97">
        <v>0.73941460114130197</v>
      </c>
      <c r="F97">
        <v>1.0100777904979126</v>
      </c>
      <c r="G97">
        <v>0.68373275202411976</v>
      </c>
      <c r="H97">
        <v>1.9122625850219057</v>
      </c>
      <c r="I97">
        <v>5.1900546722567285</v>
      </c>
      <c r="J97">
        <v>1.1651466288268877</v>
      </c>
      <c r="K97">
        <v>2.4039810524346991E-2</v>
      </c>
      <c r="L97">
        <v>0</v>
      </c>
    </row>
    <row r="98" spans="1:12" x14ac:dyDescent="0.25">
      <c r="A98" t="s">
        <v>1</v>
      </c>
      <c r="B98" t="s">
        <v>30</v>
      </c>
      <c r="C98" t="s">
        <v>146</v>
      </c>
      <c r="E98" t="s">
        <v>173</v>
      </c>
      <c r="F98" t="s">
        <v>173</v>
      </c>
      <c r="G98" t="s">
        <v>173</v>
      </c>
      <c r="H98" t="s">
        <v>173</v>
      </c>
      <c r="I98" t="s">
        <v>173</v>
      </c>
      <c r="J98" t="e">
        <v>#DIV/0!</v>
      </c>
      <c r="K98">
        <v>0</v>
      </c>
      <c r="L98">
        <v>0</v>
      </c>
    </row>
    <row r="99" spans="1:12" x14ac:dyDescent="0.25">
      <c r="A99" t="s">
        <v>1</v>
      </c>
      <c r="B99" t="s">
        <v>30</v>
      </c>
      <c r="C99" t="s">
        <v>10</v>
      </c>
      <c r="E99" t="s">
        <v>173</v>
      </c>
      <c r="F99" t="s">
        <v>173</v>
      </c>
      <c r="G99" t="s">
        <v>173</v>
      </c>
      <c r="H99" t="s">
        <v>173</v>
      </c>
      <c r="I99" t="s">
        <v>173</v>
      </c>
      <c r="J99" t="e">
        <v>#DIV/0!</v>
      </c>
      <c r="K99">
        <v>0</v>
      </c>
      <c r="L99">
        <v>0</v>
      </c>
    </row>
    <row r="100" spans="1:12" x14ac:dyDescent="0.25">
      <c r="A100" t="s">
        <v>1</v>
      </c>
      <c r="B100" t="s">
        <v>30</v>
      </c>
      <c r="C100" t="s">
        <v>31</v>
      </c>
      <c r="E100" t="s">
        <v>173</v>
      </c>
      <c r="F100" t="s">
        <v>173</v>
      </c>
      <c r="G100" t="s">
        <v>173</v>
      </c>
      <c r="H100" t="s">
        <v>173</v>
      </c>
      <c r="I100" t="s">
        <v>173</v>
      </c>
      <c r="J100" t="e">
        <v>#DIV/0!</v>
      </c>
      <c r="K100">
        <v>0</v>
      </c>
      <c r="L100">
        <v>0</v>
      </c>
    </row>
    <row r="101" spans="1:12" x14ac:dyDescent="0.25">
      <c r="A101" t="s">
        <v>1</v>
      </c>
      <c r="B101" t="s">
        <v>30</v>
      </c>
      <c r="C101" t="s">
        <v>9</v>
      </c>
      <c r="E101">
        <v>1.3434063883320728</v>
      </c>
      <c r="F101">
        <v>1.6053133615955792</v>
      </c>
      <c r="G101">
        <v>0.72717486941421883</v>
      </c>
      <c r="H101">
        <v>0.99563143907681517</v>
      </c>
      <c r="I101">
        <v>3.2655494106525342</v>
      </c>
      <c r="J101">
        <v>2.1107324498502398</v>
      </c>
      <c r="K101">
        <v>7.8279265230223063E-2</v>
      </c>
      <c r="L101">
        <v>0</v>
      </c>
    </row>
    <row r="102" spans="1:12" x14ac:dyDescent="0.25">
      <c r="A102" t="s">
        <v>1</v>
      </c>
      <c r="B102" t="s">
        <v>30</v>
      </c>
      <c r="C102" t="s">
        <v>44</v>
      </c>
      <c r="E102" t="s">
        <v>173</v>
      </c>
      <c r="F102" t="s">
        <v>173</v>
      </c>
      <c r="G102" t="s">
        <v>173</v>
      </c>
      <c r="H102" t="s">
        <v>173</v>
      </c>
      <c r="I102" t="s">
        <v>173</v>
      </c>
      <c r="J102" t="e">
        <v>#DIV/0!</v>
      </c>
      <c r="K102">
        <v>0</v>
      </c>
      <c r="L102">
        <v>0.2668296463819203</v>
      </c>
    </row>
    <row r="103" spans="1:12" x14ac:dyDescent="0.25">
      <c r="A103" t="s">
        <v>1</v>
      </c>
      <c r="B103" t="s">
        <v>30</v>
      </c>
      <c r="C103" t="s">
        <v>48</v>
      </c>
      <c r="E103">
        <v>1.348834295328478</v>
      </c>
      <c r="F103">
        <v>1.6276400290763113</v>
      </c>
      <c r="G103">
        <v>0.73501837827679306</v>
      </c>
      <c r="H103">
        <v>1.2312406386018488</v>
      </c>
      <c r="I103">
        <v>3.7716308999005856</v>
      </c>
      <c r="J103">
        <v>2.124768436581014</v>
      </c>
      <c r="K103">
        <v>8.1931599046981218E-2</v>
      </c>
      <c r="L103">
        <v>0.16767230801378397</v>
      </c>
    </row>
    <row r="104" spans="1:12" x14ac:dyDescent="0.25">
      <c r="A104" t="s">
        <v>1</v>
      </c>
      <c r="B104" t="s">
        <v>60</v>
      </c>
      <c r="C104" t="s">
        <v>27</v>
      </c>
      <c r="E104">
        <v>2.594975701020894</v>
      </c>
      <c r="F104">
        <v>3.6417279171050398</v>
      </c>
      <c r="G104">
        <v>0.91848002458167222</v>
      </c>
      <c r="H104">
        <v>3.0459627195500745</v>
      </c>
      <c r="I104">
        <v>8.5493095887588737</v>
      </c>
      <c r="J104">
        <v>4.0084423408601015</v>
      </c>
      <c r="K104">
        <v>2.2394343732952123E-2</v>
      </c>
      <c r="L104">
        <v>0.44119253836629679</v>
      </c>
    </row>
    <row r="105" spans="1:12" x14ac:dyDescent="0.25">
      <c r="A105" t="s">
        <v>1</v>
      </c>
      <c r="B105" t="s">
        <v>60</v>
      </c>
      <c r="C105" t="s">
        <v>2</v>
      </c>
      <c r="E105" t="s">
        <v>173</v>
      </c>
      <c r="F105" t="s">
        <v>173</v>
      </c>
      <c r="G105" t="s">
        <v>173</v>
      </c>
      <c r="H105" t="s">
        <v>173</v>
      </c>
      <c r="I105" t="s">
        <v>173</v>
      </c>
      <c r="J105" t="e">
        <v>#DIV/0!</v>
      </c>
      <c r="K105">
        <v>0</v>
      </c>
      <c r="L105">
        <v>0</v>
      </c>
    </row>
    <row r="106" spans="1:12" x14ac:dyDescent="0.25">
      <c r="A106" t="s">
        <v>1</v>
      </c>
      <c r="B106" t="s">
        <v>60</v>
      </c>
      <c r="C106" t="s">
        <v>11</v>
      </c>
      <c r="E106" t="s">
        <v>173</v>
      </c>
      <c r="F106" t="s">
        <v>173</v>
      </c>
      <c r="G106" t="s">
        <v>173</v>
      </c>
      <c r="H106" t="s">
        <v>173</v>
      </c>
      <c r="I106" t="s">
        <v>173</v>
      </c>
      <c r="J106" t="e">
        <v>#DIV/0!</v>
      </c>
      <c r="K106">
        <v>1.2946742197602177E-2</v>
      </c>
      <c r="L106">
        <v>5.8186648568754051E-2</v>
      </c>
    </row>
    <row r="107" spans="1:12" x14ac:dyDescent="0.25">
      <c r="A107" t="s">
        <v>1</v>
      </c>
      <c r="B107" t="s">
        <v>60</v>
      </c>
      <c r="C107" t="s">
        <v>146</v>
      </c>
      <c r="E107" t="s">
        <v>173</v>
      </c>
      <c r="F107" t="s">
        <v>173</v>
      </c>
      <c r="G107" t="s">
        <v>173</v>
      </c>
      <c r="H107" t="s">
        <v>173</v>
      </c>
      <c r="I107" t="s">
        <v>173</v>
      </c>
      <c r="J107" t="e">
        <v>#DIV/0!</v>
      </c>
      <c r="K107">
        <v>0</v>
      </c>
      <c r="L107">
        <v>0.33499293126153035</v>
      </c>
    </row>
    <row r="108" spans="1:12" x14ac:dyDescent="0.25">
      <c r="A108" t="s">
        <v>1</v>
      </c>
      <c r="B108" t="s">
        <v>60</v>
      </c>
      <c r="C108" t="s">
        <v>10</v>
      </c>
      <c r="E108" t="s">
        <v>173</v>
      </c>
      <c r="F108" t="s">
        <v>173</v>
      </c>
      <c r="G108" t="s">
        <v>173</v>
      </c>
      <c r="H108" t="s">
        <v>173</v>
      </c>
      <c r="I108" t="s">
        <v>173</v>
      </c>
      <c r="J108" t="e">
        <v>#DIV/0!</v>
      </c>
      <c r="K108">
        <v>0</v>
      </c>
      <c r="L108">
        <v>0.10711896745290063</v>
      </c>
    </row>
    <row r="109" spans="1:12" x14ac:dyDescent="0.25">
      <c r="A109" t="s">
        <v>1</v>
      </c>
      <c r="B109" t="s">
        <v>60</v>
      </c>
      <c r="C109" t="s">
        <v>31</v>
      </c>
      <c r="E109" t="s">
        <v>173</v>
      </c>
      <c r="F109" t="s">
        <v>173</v>
      </c>
      <c r="G109" t="s">
        <v>173</v>
      </c>
      <c r="H109" t="s">
        <v>173</v>
      </c>
      <c r="I109" t="s">
        <v>173</v>
      </c>
      <c r="J109" t="e">
        <v>#DIV/0!</v>
      </c>
      <c r="K109">
        <v>1.6361638574353986E-2</v>
      </c>
      <c r="L109">
        <v>0.45186674239832725</v>
      </c>
    </row>
    <row r="110" spans="1:12" x14ac:dyDescent="0.25">
      <c r="A110" t="s">
        <v>1</v>
      </c>
      <c r="B110" t="s">
        <v>60</v>
      </c>
      <c r="C110" t="s">
        <v>9</v>
      </c>
      <c r="E110" t="s">
        <v>173</v>
      </c>
      <c r="F110" t="s">
        <v>173</v>
      </c>
      <c r="G110" t="s">
        <v>173</v>
      </c>
      <c r="H110" t="s">
        <v>173</v>
      </c>
      <c r="I110" t="s">
        <v>173</v>
      </c>
      <c r="J110" t="e">
        <v>#DIV/0!</v>
      </c>
      <c r="K110">
        <v>0</v>
      </c>
    </row>
    <row r="111" spans="1:12" x14ac:dyDescent="0.25">
      <c r="A111" t="s">
        <v>1</v>
      </c>
      <c r="B111" t="s">
        <v>60</v>
      </c>
      <c r="C111" t="s">
        <v>44</v>
      </c>
      <c r="E111" t="s">
        <v>173</v>
      </c>
      <c r="F111" t="s">
        <v>173</v>
      </c>
      <c r="G111" t="s">
        <v>173</v>
      </c>
      <c r="H111" t="s">
        <v>173</v>
      </c>
      <c r="I111" t="s">
        <v>173</v>
      </c>
      <c r="J111" t="e">
        <v>#DIV/0!</v>
      </c>
      <c r="K111">
        <v>0</v>
      </c>
    </row>
    <row r="112" spans="1:12" x14ac:dyDescent="0.25">
      <c r="A112" t="s">
        <v>1</v>
      </c>
      <c r="B112" t="s">
        <v>60</v>
      </c>
      <c r="C112" t="s">
        <v>48</v>
      </c>
      <c r="E112">
        <v>3.3524711600232853</v>
      </c>
      <c r="F112">
        <v>4.2070232584298459</v>
      </c>
      <c r="G112">
        <v>1.0160212804977262</v>
      </c>
      <c r="H112">
        <v>4.8743220196777264</v>
      </c>
      <c r="I112">
        <v>10.164274743463285</v>
      </c>
      <c r="J112">
        <v>4.706497443090579</v>
      </c>
      <c r="K112">
        <v>3.0587021220206172E-2</v>
      </c>
    </row>
    <row r="113" spans="1:12" x14ac:dyDescent="0.25">
      <c r="A113" t="s">
        <v>1</v>
      </c>
      <c r="B113" t="s">
        <v>48</v>
      </c>
      <c r="C113" t="s">
        <v>27</v>
      </c>
      <c r="E113">
        <v>1.866206301079318</v>
      </c>
      <c r="F113">
        <v>2.3505199093747371</v>
      </c>
      <c r="G113">
        <v>0.59239195048254945</v>
      </c>
      <c r="H113">
        <v>2.9843030201588152</v>
      </c>
      <c r="I113">
        <v>5.2617165725951649</v>
      </c>
      <c r="J113">
        <v>2.6191112699476871</v>
      </c>
      <c r="K113">
        <v>4.5621591270360973E-2</v>
      </c>
    </row>
    <row r="114" spans="1:12" x14ac:dyDescent="0.25">
      <c r="A114" t="s">
        <v>1</v>
      </c>
      <c r="B114" t="s">
        <v>48</v>
      </c>
      <c r="C114" t="s">
        <v>2</v>
      </c>
      <c r="E114">
        <v>0.7725692087742746</v>
      </c>
      <c r="F114">
        <v>0.92184928136923194</v>
      </c>
      <c r="G114">
        <v>0.34194735078441463</v>
      </c>
      <c r="H114">
        <v>1.2203057803023294</v>
      </c>
      <c r="I114">
        <v>8.570210222505402</v>
      </c>
      <c r="J114">
        <v>0.87714750572867695</v>
      </c>
      <c r="K114">
        <v>5.29258986386675E-2</v>
      </c>
    </row>
    <row r="115" spans="1:12" x14ac:dyDescent="0.25">
      <c r="A115" t="s">
        <v>1</v>
      </c>
      <c r="B115" t="s">
        <v>48</v>
      </c>
      <c r="C115" t="s">
        <v>11</v>
      </c>
      <c r="E115">
        <v>1.0177430049874638</v>
      </c>
      <c r="F115">
        <v>1.1471040401128558</v>
      </c>
      <c r="G115">
        <v>0.58306304892856531</v>
      </c>
      <c r="H115">
        <v>4.7484475986937857</v>
      </c>
      <c r="I115">
        <v>8.6139009159453881</v>
      </c>
      <c r="J115">
        <v>1.4767918327236913</v>
      </c>
      <c r="K115">
        <v>9.3580708052857675E-2</v>
      </c>
    </row>
    <row r="116" spans="1:12" x14ac:dyDescent="0.25">
      <c r="A116" t="s">
        <v>1</v>
      </c>
      <c r="B116" t="s">
        <v>48</v>
      </c>
      <c r="C116" t="s">
        <v>146</v>
      </c>
      <c r="E116">
        <v>0.12335065713397848</v>
      </c>
      <c r="F116">
        <v>0.23098451496549754</v>
      </c>
      <c r="G116">
        <v>0.17475257233718061</v>
      </c>
      <c r="H116">
        <v>2.3094010767585029</v>
      </c>
      <c r="I116">
        <v>2.3965252624024922</v>
      </c>
      <c r="J116">
        <v>0.17333826422966697</v>
      </c>
      <c r="K116">
        <v>9.2611722350935621E-2</v>
      </c>
    </row>
    <row r="117" spans="1:12" x14ac:dyDescent="0.25">
      <c r="A117" t="s">
        <v>1</v>
      </c>
      <c r="B117" t="s">
        <v>48</v>
      </c>
      <c r="C117" t="s">
        <v>10</v>
      </c>
      <c r="E117">
        <v>1.1320756326744417</v>
      </c>
      <c r="F117">
        <v>1.4274319264896316</v>
      </c>
      <c r="G117">
        <v>1.2844120389167515</v>
      </c>
      <c r="H117">
        <v>1.4966629547095776</v>
      </c>
      <c r="I117">
        <v>3.2148094811357013</v>
      </c>
      <c r="J117">
        <v>1.5089700050665105</v>
      </c>
      <c r="K117">
        <v>4.4250573320004566E-2</v>
      </c>
    </row>
    <row r="118" spans="1:12" x14ac:dyDescent="0.25">
      <c r="A118" t="s">
        <v>1</v>
      </c>
      <c r="B118" t="s">
        <v>48</v>
      </c>
      <c r="C118" t="s">
        <v>31</v>
      </c>
      <c r="E118">
        <v>0.24219772967503286</v>
      </c>
      <c r="F118">
        <v>0.31963859461715799</v>
      </c>
      <c r="G118">
        <v>0.27733746849022817</v>
      </c>
      <c r="H118">
        <v>1.2496733970999974</v>
      </c>
      <c r="I118">
        <v>2.7744087616603896</v>
      </c>
      <c r="J118">
        <v>0.4547903398784468</v>
      </c>
      <c r="K118">
        <v>0.13065804828232513</v>
      </c>
    </row>
    <row r="119" spans="1:12" x14ac:dyDescent="0.25">
      <c r="A119" t="s">
        <v>1</v>
      </c>
      <c r="B119" t="s">
        <v>48</v>
      </c>
      <c r="C119" t="s">
        <v>9</v>
      </c>
      <c r="E119">
        <v>1.2918960614505752</v>
      </c>
      <c r="F119">
        <v>1.5506284455079384</v>
      </c>
      <c r="G119">
        <v>0.68979832543740593</v>
      </c>
      <c r="H119">
        <v>1.4883487399537854</v>
      </c>
      <c r="I119">
        <v>3.7250446139245832</v>
      </c>
      <c r="J119">
        <v>2.0328283661883133</v>
      </c>
      <c r="K119">
        <v>8.4467985829129247E-2</v>
      </c>
    </row>
    <row r="120" spans="1:12" x14ac:dyDescent="0.25">
      <c r="A120" t="s">
        <v>1</v>
      </c>
      <c r="B120" t="s">
        <v>48</v>
      </c>
      <c r="C120" t="s">
        <v>44</v>
      </c>
      <c r="E120">
        <v>4.764451699828548E-2</v>
      </c>
      <c r="F120">
        <v>0.10545141061171241</v>
      </c>
      <c r="G120">
        <v>0.13722244714331541</v>
      </c>
      <c r="H120">
        <v>0.58022983951764184</v>
      </c>
      <c r="I120">
        <v>1.4361406616345067</v>
      </c>
      <c r="J120">
        <v>5.9413803110051532E-2</v>
      </c>
      <c r="K120">
        <v>2.7928925557930789E-2</v>
      </c>
    </row>
    <row r="121" spans="1:12" x14ac:dyDescent="0.25">
      <c r="A121" t="s">
        <v>1</v>
      </c>
      <c r="B121" t="s">
        <v>48</v>
      </c>
      <c r="C121" t="s">
        <v>48</v>
      </c>
      <c r="E121">
        <v>1.4543863530068863</v>
      </c>
      <c r="F121">
        <v>2.0975814723229309</v>
      </c>
      <c r="G121">
        <v>0.63243136299790781</v>
      </c>
      <c r="H121">
        <v>3.4203954174856577</v>
      </c>
      <c r="I121">
        <v>6.3260559650723964</v>
      </c>
      <c r="J121">
        <v>2.3833408255084736</v>
      </c>
      <c r="K121">
        <v>0.21391194564727428</v>
      </c>
    </row>
    <row r="126" spans="1:12" x14ac:dyDescent="0.25">
      <c r="B126" t="s">
        <v>128</v>
      </c>
      <c r="E126">
        <f>AVERAGE(E80,E83,E82,E78,E84)</f>
        <v>1.4375905768565196</v>
      </c>
      <c r="F126">
        <f t="shared" ref="F126:L126" si="0">AVERAGE(F80,F83,F82,F78,F84)</f>
        <v>1.8165902124584929</v>
      </c>
      <c r="G126">
        <f t="shared" si="0"/>
        <v>0.19148542155126769</v>
      </c>
      <c r="H126">
        <f t="shared" si="0"/>
        <v>1.2175795661885909</v>
      </c>
      <c r="I126">
        <f t="shared" si="0"/>
        <v>5.5602008357012913</v>
      </c>
      <c r="J126" t="e">
        <f t="shared" si="0"/>
        <v>#DIV/0!</v>
      </c>
      <c r="K126">
        <f t="shared" si="0"/>
        <v>3.3387484569472525E-3</v>
      </c>
      <c r="L126">
        <f t="shared" si="0"/>
        <v>8.3822982437383675E-2</v>
      </c>
    </row>
    <row r="131" spans="2:12" x14ac:dyDescent="0.25">
      <c r="B131" t="s">
        <v>109</v>
      </c>
      <c r="E131">
        <f>AVERAGE(E79,E81)</f>
        <v>0.99224443541288909</v>
      </c>
      <c r="F131">
        <f t="shared" ref="F131:L131" si="1">AVERAGE(F79,F81)</f>
        <v>1.0945354462680721</v>
      </c>
      <c r="G131">
        <f t="shared" si="1"/>
        <v>0.53749601001711245</v>
      </c>
      <c r="H131">
        <f t="shared" si="1"/>
        <v>4.9344097924675854</v>
      </c>
      <c r="I131">
        <f t="shared" si="1"/>
        <v>9.0793681217469899</v>
      </c>
      <c r="J131" t="e">
        <f t="shared" si="1"/>
        <v>#DIV/0!</v>
      </c>
      <c r="K131">
        <f t="shared" si="1"/>
        <v>4.0974243563270119E-2</v>
      </c>
      <c r="L131">
        <f t="shared" si="1"/>
        <v>4.7401090003851475E-2</v>
      </c>
    </row>
    <row r="136" spans="2:12" x14ac:dyDescent="0.25">
      <c r="C136" t="s">
        <v>226</v>
      </c>
      <c r="E136">
        <f>MAX(E14:E131)</f>
        <v>6.2225396744416166</v>
      </c>
      <c r="F136">
        <f t="shared" ref="F136:L136" si="2">MAX(F14:F131)</f>
        <v>7.8488852711706771</v>
      </c>
      <c r="G136">
        <f t="shared" si="2"/>
        <v>1.5175638372075173</v>
      </c>
      <c r="H136">
        <f t="shared" si="2"/>
        <v>7.3270336176298274</v>
      </c>
      <c r="I136">
        <f t="shared" si="2"/>
        <v>10.164274743463285</v>
      </c>
      <c r="J136" t="e">
        <f t="shared" si="2"/>
        <v>#DIV/0!</v>
      </c>
      <c r="K136">
        <f t="shared" si="2"/>
        <v>0.21391194564727428</v>
      </c>
      <c r="L136">
        <f t="shared" si="2"/>
        <v>0.45186674239832725</v>
      </c>
    </row>
  </sheetData>
  <conditionalFormatting sqref="E14:E121">
    <cfRule type="top10" dxfId="2" priority="3" stopIfTrue="1" rank="10"/>
  </conditionalFormatting>
  <conditionalFormatting sqref="F14:F121">
    <cfRule type="top10" dxfId="1" priority="2" stopIfTrue="1" rank="10"/>
  </conditionalFormatting>
  <conditionalFormatting sqref="G14:L131">
    <cfRule type="top10" dxfId="0" priority="1" stopIfTrue="1" rank="10"/>
  </conditionalFormatting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B7:O28"/>
  <sheetViews>
    <sheetView topLeftCell="A2" workbookViewId="0">
      <selection activeCell="E121" sqref="E121:K121"/>
    </sheetView>
  </sheetViews>
  <sheetFormatPr defaultRowHeight="12.5" x14ac:dyDescent="0.25"/>
  <sheetData>
    <row r="7" spans="2:15" x14ac:dyDescent="0.25">
      <c r="B7" t="s">
        <v>215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62.3</v>
      </c>
      <c r="D9">
        <v>3</v>
      </c>
      <c r="E9">
        <v>2.95</v>
      </c>
      <c r="F9">
        <v>10</v>
      </c>
      <c r="G9">
        <v>10</v>
      </c>
      <c r="J9" t="s">
        <v>90</v>
      </c>
      <c r="K9">
        <v>62.358211330362828</v>
      </c>
      <c r="L9">
        <v>3.5397835773392745</v>
      </c>
      <c r="M9">
        <v>2.2667568427753024</v>
      </c>
      <c r="N9">
        <v>10</v>
      </c>
      <c r="O9">
        <v>10</v>
      </c>
    </row>
    <row r="10" spans="2:15" ht="13" thickBot="1" x14ac:dyDescent="0.3">
      <c r="B10" t="s">
        <v>69</v>
      </c>
      <c r="C10">
        <v>62.5</v>
      </c>
      <c r="D10">
        <v>3</v>
      </c>
      <c r="E10">
        <v>2.2000000000000002</v>
      </c>
      <c r="F10">
        <v>10</v>
      </c>
      <c r="G10">
        <v>10</v>
      </c>
      <c r="J10" t="s">
        <v>91</v>
      </c>
    </row>
    <row r="11" spans="2:15" ht="13" thickBot="1" x14ac:dyDescent="0.3">
      <c r="B11" t="s">
        <v>72</v>
      </c>
      <c r="C11">
        <v>62.5</v>
      </c>
      <c r="D11">
        <v>3.6</v>
      </c>
      <c r="E11">
        <v>2.2000000000000002</v>
      </c>
      <c r="F11">
        <v>10</v>
      </c>
      <c r="G11">
        <v>10</v>
      </c>
      <c r="J11" t="s">
        <v>92</v>
      </c>
      <c r="K11">
        <v>62.5</v>
      </c>
      <c r="L11">
        <v>3</v>
      </c>
      <c r="M11">
        <v>2.2000000000000002</v>
      </c>
      <c r="N11">
        <v>10</v>
      </c>
      <c r="O11">
        <v>10</v>
      </c>
    </row>
    <row r="12" spans="2:15" ht="13" thickBot="1" x14ac:dyDescent="0.3">
      <c r="B12" t="s">
        <v>71</v>
      </c>
      <c r="C12">
        <v>63</v>
      </c>
      <c r="D12">
        <v>2.6</v>
      </c>
      <c r="E12">
        <v>2.2000000000000002</v>
      </c>
      <c r="F12">
        <v>5</v>
      </c>
      <c r="G12">
        <v>5</v>
      </c>
      <c r="J12" t="s">
        <v>93</v>
      </c>
      <c r="K12">
        <v>62.697014925373132</v>
      </c>
      <c r="L12">
        <v>2.6779850746268656</v>
      </c>
      <c r="M12">
        <v>2.4588619402985072</v>
      </c>
      <c r="N12">
        <v>10</v>
      </c>
      <c r="O12">
        <v>10</v>
      </c>
    </row>
    <row r="13" spans="2:15" ht="13" thickBot="1" x14ac:dyDescent="0.3">
      <c r="B13" t="s">
        <v>66</v>
      </c>
      <c r="C13">
        <v>62.3</v>
      </c>
      <c r="D13">
        <v>3.9</v>
      </c>
      <c r="E13">
        <v>2.2000000000000002</v>
      </c>
      <c r="F13">
        <v>10</v>
      </c>
      <c r="G13">
        <v>10</v>
      </c>
      <c r="J13" t="s">
        <v>94</v>
      </c>
      <c r="K13">
        <v>62.5</v>
      </c>
      <c r="L13">
        <v>3.4793028322440089</v>
      </c>
      <c r="M13">
        <v>2.2000000000000002</v>
      </c>
      <c r="N13">
        <v>10</v>
      </c>
      <c r="O13">
        <v>10</v>
      </c>
    </row>
    <row r="14" spans="2:15" ht="13" thickBot="1" x14ac:dyDescent="0.3">
      <c r="B14" t="s">
        <v>68</v>
      </c>
      <c r="C14">
        <v>62</v>
      </c>
      <c r="D14">
        <v>4.2</v>
      </c>
      <c r="E14">
        <v>2.4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61.62531919497944</v>
      </c>
      <c r="L17">
        <v>4.433888768664791</v>
      </c>
      <c r="M17">
        <v>2.8563081584072711</v>
      </c>
      <c r="N17">
        <v>5</v>
      </c>
      <c r="O17">
        <v>40</v>
      </c>
    </row>
    <row r="18" spans="2:15" ht="13" thickBot="1" x14ac:dyDescent="0.3">
      <c r="B18" t="s">
        <v>73</v>
      </c>
      <c r="C18">
        <v>63</v>
      </c>
      <c r="D18">
        <v>2.5</v>
      </c>
      <c r="E18">
        <v>2.2000000000000002</v>
      </c>
      <c r="F18">
        <v>10</v>
      </c>
      <c r="G18">
        <v>10</v>
      </c>
      <c r="J18" t="s">
        <v>99</v>
      </c>
      <c r="K18">
        <v>61.5</v>
      </c>
      <c r="L18">
        <v>4.8</v>
      </c>
      <c r="M18">
        <v>3</v>
      </c>
      <c r="N18">
        <v>5</v>
      </c>
      <c r="O18">
        <v>40</v>
      </c>
    </row>
    <row r="19" spans="2:15" ht="13" thickBot="1" x14ac:dyDescent="0.3">
      <c r="B19" t="s">
        <v>76</v>
      </c>
      <c r="C19">
        <v>61.3</v>
      </c>
      <c r="D19">
        <v>3.6</v>
      </c>
      <c r="E19">
        <v>3.6</v>
      </c>
      <c r="F19">
        <v>7</v>
      </c>
      <c r="G19">
        <v>40</v>
      </c>
      <c r="J19" t="s">
        <v>100</v>
      </c>
      <c r="K19">
        <v>62.016855631141347</v>
      </c>
      <c r="L19">
        <v>3.6133786848072562</v>
      </c>
      <c r="M19">
        <v>2.5377928949357522</v>
      </c>
      <c r="N19">
        <v>5</v>
      </c>
      <c r="O19">
        <v>40</v>
      </c>
    </row>
    <row r="20" spans="2:15" ht="13" thickBot="1" x14ac:dyDescent="0.3">
      <c r="B20" t="s">
        <v>75</v>
      </c>
      <c r="C20">
        <v>62.1</v>
      </c>
      <c r="D20">
        <v>3.5</v>
      </c>
      <c r="E20">
        <v>2.5</v>
      </c>
      <c r="F20">
        <v>7</v>
      </c>
      <c r="G20">
        <v>40</v>
      </c>
      <c r="J20" t="s">
        <v>101</v>
      </c>
      <c r="K20">
        <v>62.18045064377683</v>
      </c>
      <c r="L20">
        <v>3.3954506437768237</v>
      </c>
      <c r="M20">
        <v>2.8984549356223175</v>
      </c>
      <c r="N20">
        <v>5</v>
      </c>
      <c r="O20">
        <v>40</v>
      </c>
    </row>
    <row r="21" spans="2:15" ht="13" thickBot="1" x14ac:dyDescent="0.3">
      <c r="B21" t="s">
        <v>78</v>
      </c>
      <c r="C21">
        <v>62</v>
      </c>
      <c r="D21">
        <v>3.8</v>
      </c>
      <c r="E21">
        <v>2.7</v>
      </c>
      <c r="F21">
        <v>7</v>
      </c>
      <c r="G21">
        <v>40</v>
      </c>
      <c r="J21" t="s">
        <v>102</v>
      </c>
      <c r="K21">
        <v>61.908062645011604</v>
      </c>
      <c r="L21">
        <v>3.8837006960556844</v>
      </c>
      <c r="M21">
        <v>2.7024361948955917</v>
      </c>
      <c r="N21">
        <v>5</v>
      </c>
      <c r="O21">
        <v>40</v>
      </c>
    </row>
    <row r="22" spans="2:15" ht="13" thickBot="1" x14ac:dyDescent="0.3">
      <c r="B22" t="s">
        <v>77</v>
      </c>
      <c r="C22">
        <v>63</v>
      </c>
      <c r="D22">
        <v>2.9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61.5</v>
      </c>
      <c r="D23">
        <v>4.8</v>
      </c>
      <c r="E23">
        <v>3</v>
      </c>
      <c r="F23">
        <v>7</v>
      </c>
      <c r="G23">
        <v>40</v>
      </c>
    </row>
    <row r="24" spans="2:15" x14ac:dyDescent="0.25">
      <c r="B24" t="s">
        <v>74</v>
      </c>
      <c r="C24">
        <v>61</v>
      </c>
      <c r="D24">
        <v>5</v>
      </c>
      <c r="E24">
        <v>3</v>
      </c>
      <c r="F24">
        <v>7</v>
      </c>
      <c r="G24">
        <v>40</v>
      </c>
    </row>
    <row r="25" spans="2:15" x14ac:dyDescent="0.25">
      <c r="B25" t="s">
        <v>153</v>
      </c>
      <c r="C25">
        <v>62.5</v>
      </c>
      <c r="D25">
        <v>2.4</v>
      </c>
      <c r="E25">
        <v>2.4</v>
      </c>
      <c r="F25">
        <v>5</v>
      </c>
      <c r="G25">
        <v>10</v>
      </c>
    </row>
    <row r="26" spans="2:15" x14ac:dyDescent="0.25">
      <c r="B26" t="s">
        <v>154</v>
      </c>
      <c r="C26">
        <v>62.2</v>
      </c>
      <c r="D26">
        <v>3</v>
      </c>
      <c r="E26">
        <v>3</v>
      </c>
      <c r="F26">
        <v>5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2.8</v>
      </c>
      <c r="E28">
        <v>2.4</v>
      </c>
      <c r="F28">
        <v>5</v>
      </c>
      <c r="G28">
        <v>40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C7:O16"/>
  <sheetViews>
    <sheetView topLeftCell="A16" workbookViewId="0">
      <selection activeCell="E121" sqref="E121:K121"/>
    </sheetView>
  </sheetViews>
  <sheetFormatPr defaultRowHeight="12.5" x14ac:dyDescent="0.25"/>
  <sheetData>
    <row r="7" spans="3:15" ht="13" thickBot="1" x14ac:dyDescent="0.3"/>
    <row r="8" spans="3:15" x14ac:dyDescent="0.25">
      <c r="D8" s="542" t="s">
        <v>3</v>
      </c>
      <c r="E8" s="542"/>
      <c r="F8" s="542" t="s">
        <v>4</v>
      </c>
      <c r="G8" s="542"/>
      <c r="H8" s="542" t="s">
        <v>5</v>
      </c>
      <c r="I8" s="542"/>
      <c r="J8" s="542" t="s">
        <v>30</v>
      </c>
      <c r="K8" s="542"/>
      <c r="L8" s="542" t="s">
        <v>60</v>
      </c>
      <c r="M8" s="542"/>
      <c r="N8" s="542" t="s">
        <v>48</v>
      </c>
      <c r="O8" s="542"/>
    </row>
    <row r="9" spans="3:15" x14ac:dyDescent="0.25">
      <c r="D9" t="s">
        <v>116</v>
      </c>
      <c r="E9" t="s">
        <v>124</v>
      </c>
      <c r="F9" t="s">
        <v>116</v>
      </c>
      <c r="G9" t="s">
        <v>124</v>
      </c>
      <c r="H9" t="s">
        <v>116</v>
      </c>
      <c r="I9" t="s">
        <v>124</v>
      </c>
      <c r="J9" t="s">
        <v>116</v>
      </c>
      <c r="K9" t="s">
        <v>124</v>
      </c>
      <c r="L9" t="s">
        <v>116</v>
      </c>
      <c r="M9" t="s">
        <v>124</v>
      </c>
      <c r="N9" t="s">
        <v>116</v>
      </c>
      <c r="O9" t="s">
        <v>124</v>
      </c>
    </row>
    <row r="10" spans="3:15" x14ac:dyDescent="0.25">
      <c r="C10" t="s">
        <v>27</v>
      </c>
      <c r="D10" t="e">
        <f>COUNTIFS(Data!#REF!,"BSL",Data!#REF!,C10,Data!#REF!,"L")</f>
        <v>#REF!</v>
      </c>
      <c r="E10" t="e">
        <f>COUNTIFS(Data!#REF!,D$8,Data!#REF!,C10,Data!#REF!,"F")</f>
        <v>#REF!</v>
      </c>
      <c r="F10" t="e">
        <f>COUNTIFS(Data!#REF!,F$8,Data!#REF!,C10,Data!#REF!,"L")</f>
        <v>#REF!</v>
      </c>
      <c r="G10" t="e">
        <f>COUNTIFS(Data!#REF!,F$8,Data!#REF!,C10,Data!#REF!,"F")</f>
        <v>#REF!</v>
      </c>
      <c r="H10" t="e">
        <f>COUNTIFS(Data!#REF!,H$8,Data!#REF!,C10,Data!#REF!,"L")</f>
        <v>#REF!</v>
      </c>
      <c r="I10" t="e">
        <f>COUNTIFS(Data!#REF!,H$8,Data!#REF!,C10,Data!#REF!,"F")</f>
        <v>#REF!</v>
      </c>
      <c r="J10" t="e">
        <f>COUNTIFS(Data!#REF!,C10,Data!#REF!,J$8,Data!#REF!,"L")</f>
        <v>#REF!</v>
      </c>
      <c r="K10" t="e">
        <f>COUNTIFS(Data!#REF!,J$8,Data!#REF!,I10,Data!#REF!,"F")</f>
        <v>#REF!</v>
      </c>
      <c r="L10" t="e">
        <f>COUNTIFS(Data!#REF!,K$8,Data!#REF!,J10,Data!#REF!,"F")</f>
        <v>#REF!</v>
      </c>
      <c r="M10" t="e">
        <f>COUNTIFS(Data!#REF!,L$8,Data!#REF!,K10,Data!#REF!,"F")</f>
        <v>#REF!</v>
      </c>
    </row>
    <row r="11" spans="3:15" x14ac:dyDescent="0.25">
      <c r="C11" t="s">
        <v>2</v>
      </c>
      <c r="D11" t="e">
        <f>COUNTIFS(Data!#REF!,D$8,Data!#REF!,C11,Data!#REF!,"L")</f>
        <v>#REF!</v>
      </c>
      <c r="E11" t="e">
        <f>COUNTIFS(Data!#REF!,D$8,Data!#REF!,C11,Data!#REF!,"F")</f>
        <v>#REF!</v>
      </c>
      <c r="F11" t="e">
        <f>COUNTIFS(Data!#REF!,F$8,Data!#REF!,C11,Data!#REF!,"L")</f>
        <v>#REF!</v>
      </c>
      <c r="G11" t="e">
        <f>COUNTIFS(Data!#REF!,F$8,Data!#REF!,C11,Data!#REF!,"F")</f>
        <v>#REF!</v>
      </c>
      <c r="H11" t="e">
        <f>COUNTIFS(Data!#REF!,F$8,Data!#REF!,C11,Data!#REF!,"L")</f>
        <v>#REF!</v>
      </c>
      <c r="I11" t="e">
        <f>COUNTIFS(Data!#REF!,H$8,Data!#REF!,C11,Data!#REF!,"F")</f>
        <v>#REF!</v>
      </c>
      <c r="J11" t="e">
        <f>COUNTIFS(Data!#REF!,C11,Data!#REF!,J$8,Data!#REF!,"L")</f>
        <v>#REF!</v>
      </c>
    </row>
    <row r="12" spans="3:15" x14ac:dyDescent="0.25">
      <c r="C12" t="s">
        <v>11</v>
      </c>
      <c r="D12" t="e">
        <f>COUNTIFS(Data!#REF!,D$8,Data!#REF!,C12,Data!#REF!,"L")</f>
        <v>#REF!</v>
      </c>
      <c r="E12" t="e">
        <f>COUNTIFS(Data!#REF!,D$8,Data!#REF!,C12,Data!#REF!,"F")</f>
        <v>#REF!</v>
      </c>
      <c r="F12" t="e">
        <f>COUNTIFS(Data!#REF!,F$8,Data!#REF!,C12,Data!#REF!,"L")</f>
        <v>#REF!</v>
      </c>
      <c r="G12" t="e">
        <f>COUNTIFS(Data!#REF!,F$8,Data!#REF!,C12,Data!#REF!,"F")</f>
        <v>#REF!</v>
      </c>
      <c r="H12" t="e">
        <f>COUNTIFS(Data!#REF!,F$8,Data!#REF!,C12,Data!#REF!,"L")</f>
        <v>#REF!</v>
      </c>
      <c r="I12" t="e">
        <f>COUNTIFS(Data!#REF!,H$8,Data!#REF!,C12,Data!#REF!,"F")</f>
        <v>#REF!</v>
      </c>
      <c r="J12" t="e">
        <f>COUNTIFS(Data!#REF!,"BOL",Data!#REF!,"ISP",Data!#REF!,"L")</f>
        <v>#REF!</v>
      </c>
    </row>
    <row r="13" spans="3:15" x14ac:dyDescent="0.25">
      <c r="C13" t="s">
        <v>10</v>
      </c>
      <c r="D13" t="e">
        <f>COUNTIFS(Data!#REF!,D$8,Data!#REF!,C13,Data!#REF!,"L")</f>
        <v>#REF!</v>
      </c>
      <c r="E13" t="e">
        <f>COUNTIFS(Data!#REF!,D$8,Data!#REF!,C13,Data!#REF!,"F")</f>
        <v>#REF!</v>
      </c>
      <c r="F13" t="e">
        <f>COUNTIFS(Data!#REF!,F$8,Data!#REF!,C13,Data!#REF!,"L")</f>
        <v>#REF!</v>
      </c>
      <c r="G13" t="e">
        <f>COUNTIFS(Data!#REF!,F$8,Data!#REF!,C13,Data!#REF!,"F")</f>
        <v>#REF!</v>
      </c>
      <c r="H13" t="e">
        <f>COUNTIFS(Data!#REF!,F$8,Data!#REF!,C13,Data!#REF!,"L")</f>
        <v>#REF!</v>
      </c>
      <c r="I13" t="e">
        <f>COUNTIFS(Data!#REF!,H$8,Data!#REF!,C13,Data!#REF!,"F")</f>
        <v>#REF!</v>
      </c>
      <c r="J13" t="e">
        <f>COUNTIFS(Data!#REF!,C13,Data!#REF!,J$8,Data!#REF!,"L")</f>
        <v>#REF!</v>
      </c>
    </row>
    <row r="14" spans="3:15" x14ac:dyDescent="0.25">
      <c r="C14" t="s">
        <v>31</v>
      </c>
      <c r="D14" t="e">
        <f>COUNTIFS(Data!#REF!,D$8,Data!#REF!,C14,Data!#REF!,"L")</f>
        <v>#REF!</v>
      </c>
      <c r="E14" t="e">
        <f>COUNTIFS(Data!#REF!,D$8,Data!#REF!,C14,Data!#REF!,"F")</f>
        <v>#REF!</v>
      </c>
      <c r="F14" t="e">
        <f>COUNTIFS(Data!#REF!,F$8,Data!#REF!,C14,Data!#REF!,"L")</f>
        <v>#REF!</v>
      </c>
      <c r="G14" t="e">
        <f>COUNTIFS(Data!#REF!,F$8,Data!#REF!,C14,Data!#REF!,"F")</f>
        <v>#REF!</v>
      </c>
      <c r="H14" t="e">
        <f>COUNTIFS(Data!#REF!,F$8,Data!#REF!,C14,Data!#REF!,"L")</f>
        <v>#REF!</v>
      </c>
      <c r="I14" t="e">
        <f>COUNTIFS(Data!#REF!,H$8,Data!#REF!,C14,Data!#REF!,"F")</f>
        <v>#REF!</v>
      </c>
      <c r="J14" t="e">
        <f>COUNTIFS(Data!#REF!,C14,Data!#REF!,J$8,Data!#REF!,"L")</f>
        <v>#REF!</v>
      </c>
    </row>
    <row r="15" spans="3:15" x14ac:dyDescent="0.25">
      <c r="C15" t="s">
        <v>9</v>
      </c>
      <c r="D15" t="e">
        <f>COUNTIFS(Data!#REF!,D$8,Data!#REF!,C15,Data!#REF!,"L")</f>
        <v>#REF!</v>
      </c>
      <c r="E15" t="e">
        <f>COUNTIFS(Data!#REF!,D$8,Data!#REF!,C15,Data!#REF!,"F")</f>
        <v>#REF!</v>
      </c>
      <c r="F15" t="e">
        <f>COUNTIFS(Data!#REF!,F$8,Data!#REF!,C15,Data!#REF!,"L")</f>
        <v>#REF!</v>
      </c>
      <c r="G15" t="e">
        <f>COUNTIFS(Data!#REF!,F$8,Data!#REF!,C15,Data!#REF!,"F")</f>
        <v>#REF!</v>
      </c>
      <c r="H15" t="e">
        <f>COUNTIFS(Data!#REF!,F$8,Data!#REF!,C15,Data!#REF!,"L")</f>
        <v>#REF!</v>
      </c>
      <c r="I15" t="e">
        <f>COUNTIFS(Data!#REF!,H$8,Data!#REF!,C15,Data!#REF!,"F")</f>
        <v>#REF!</v>
      </c>
      <c r="J15" t="e">
        <f>COUNTIFS(Data!#REF!,C15,Data!#REF!,J$8,Data!#REF!,"L")</f>
        <v>#REF!</v>
      </c>
    </row>
    <row r="16" spans="3:15" ht="13" thickBot="1" x14ac:dyDescent="0.3">
      <c r="C16" t="s">
        <v>44</v>
      </c>
      <c r="D16" t="e">
        <f>COUNTIFS(Data!#REF!,D$8,Data!#REF!,C16,Data!#REF!,"L")</f>
        <v>#REF!</v>
      </c>
      <c r="E16" t="e">
        <f>COUNTIFS(Data!#REF!,D$8,Data!#REF!,C16,Data!#REF!,"F")</f>
        <v>#REF!</v>
      </c>
      <c r="F16" t="e">
        <f>COUNTIFS(Data!#REF!,F$8,Data!#REF!,C16,Data!#REF!,"L")</f>
        <v>#REF!</v>
      </c>
      <c r="G16" t="e">
        <f>COUNTIFS(Data!#REF!,F$8,Data!#REF!,C16,Data!#REF!,"F")</f>
        <v>#REF!</v>
      </c>
      <c r="H16" t="e">
        <f>COUNTIFS(Data!#REF!,F$8,Data!#REF!,C16,Data!#REF!,"L")</f>
        <v>#REF!</v>
      </c>
      <c r="I16" t="e">
        <f>COUNTIFS(Data!#REF!,H$8,Data!#REF!,C16,Data!#REF!,"F")</f>
        <v>#REF!</v>
      </c>
      <c r="J16" t="e">
        <f>COUNTIFS(Data!#REF!,C16,Data!#REF!,J$8,Data!#REF!,"L")</f>
        <v>#REF!</v>
      </c>
    </row>
  </sheetData>
  <mergeCells count="6">
    <mergeCell ref="N8:O8"/>
    <mergeCell ref="D8:E8"/>
    <mergeCell ref="F8:G8"/>
    <mergeCell ref="H8:I8"/>
    <mergeCell ref="J8:K8"/>
    <mergeCell ref="L8:M8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3:AC57"/>
  <sheetViews>
    <sheetView workbookViewId="0">
      <selection activeCell="E121" sqref="E121:K121"/>
    </sheetView>
  </sheetViews>
  <sheetFormatPr defaultRowHeight="12.5" x14ac:dyDescent="0.25"/>
  <cols>
    <col min="3" max="3" width="10.1796875" bestFit="1" customWidth="1"/>
    <col min="14" max="14" width="15.453125" bestFit="1" customWidth="1"/>
    <col min="16" max="16" width="15.453125" bestFit="1" customWidth="1"/>
    <col min="17" max="18" width="10.1796875" bestFit="1" customWidth="1"/>
  </cols>
  <sheetData>
    <row r="3" spans="2:29" x14ac:dyDescent="0.25">
      <c r="B3" t="s">
        <v>15</v>
      </c>
      <c r="C3" t="s">
        <v>6</v>
      </c>
      <c r="D3" t="s">
        <v>16</v>
      </c>
      <c r="E3" t="s">
        <v>7</v>
      </c>
      <c r="F3" t="s">
        <v>17</v>
      </c>
      <c r="G3" t="s">
        <v>8</v>
      </c>
      <c r="H3" t="s">
        <v>18</v>
      </c>
      <c r="I3" t="s">
        <v>19</v>
      </c>
      <c r="J3" t="s">
        <v>20</v>
      </c>
      <c r="K3" t="s">
        <v>21</v>
      </c>
      <c r="L3" t="s">
        <v>22</v>
      </c>
      <c r="M3" t="s">
        <v>23</v>
      </c>
      <c r="N3" t="s">
        <v>24</v>
      </c>
    </row>
    <row r="4" spans="2:29" x14ac:dyDescent="0.25">
      <c r="C4">
        <v>43350</v>
      </c>
      <c r="D4" t="s">
        <v>3</v>
      </c>
      <c r="E4" t="s">
        <v>11</v>
      </c>
      <c r="F4" t="s">
        <v>26</v>
      </c>
      <c r="G4" t="s">
        <v>175</v>
      </c>
      <c r="H4">
        <v>62.17</v>
      </c>
      <c r="I4">
        <v>4.24</v>
      </c>
      <c r="J4">
        <v>1.81</v>
      </c>
      <c r="K4">
        <v>5.0999999999999996</v>
      </c>
      <c r="L4">
        <v>36.799999999999997</v>
      </c>
      <c r="M4" t="s">
        <v>176</v>
      </c>
      <c r="P4">
        <v>43473</v>
      </c>
      <c r="R4">
        <v>43678</v>
      </c>
      <c r="S4">
        <v>43678</v>
      </c>
      <c r="T4" t="s">
        <v>195</v>
      </c>
      <c r="U4">
        <v>0</v>
      </c>
      <c r="V4">
        <v>6.82</v>
      </c>
      <c r="W4">
        <v>2.62</v>
      </c>
      <c r="X4">
        <v>25.72</v>
      </c>
      <c r="Y4">
        <v>23.88</v>
      </c>
      <c r="Z4">
        <v>40.94</v>
      </c>
      <c r="AA4">
        <v>6.05</v>
      </c>
      <c r="AB4">
        <v>4.6500000000000004</v>
      </c>
      <c r="AC4">
        <v>59.58</v>
      </c>
    </row>
    <row r="5" spans="2:29" x14ac:dyDescent="0.25">
      <c r="P5">
        <v>43474</v>
      </c>
      <c r="R5">
        <v>43709</v>
      </c>
      <c r="S5">
        <v>43709</v>
      </c>
      <c r="T5" t="s">
        <v>195</v>
      </c>
      <c r="U5">
        <v>2.79</v>
      </c>
      <c r="V5">
        <v>6.41</v>
      </c>
      <c r="W5">
        <v>3.06</v>
      </c>
      <c r="X5">
        <v>20.059999999999999</v>
      </c>
      <c r="Y5">
        <v>26.46</v>
      </c>
      <c r="Z5">
        <v>41.23</v>
      </c>
      <c r="AA5">
        <v>5.65</v>
      </c>
      <c r="AB5">
        <v>3.19</v>
      </c>
      <c r="AC5">
        <v>60.99</v>
      </c>
    </row>
    <row r="6" spans="2:29" x14ac:dyDescent="0.25">
      <c r="C6">
        <v>43473</v>
      </c>
      <c r="D6" t="s">
        <v>30</v>
      </c>
      <c r="E6" t="s">
        <v>11</v>
      </c>
      <c r="F6" t="s">
        <v>26</v>
      </c>
      <c r="G6" t="s">
        <v>1</v>
      </c>
      <c r="H6">
        <v>59.58</v>
      </c>
      <c r="I6">
        <v>6.05</v>
      </c>
      <c r="J6">
        <v>4.6500000000000004</v>
      </c>
      <c r="K6">
        <v>0</v>
      </c>
      <c r="L6">
        <v>40.94</v>
      </c>
      <c r="N6">
        <v>43495</v>
      </c>
      <c r="P6">
        <v>43475</v>
      </c>
      <c r="R6">
        <v>43739</v>
      </c>
      <c r="S6">
        <v>43739</v>
      </c>
      <c r="T6" t="s">
        <v>195</v>
      </c>
      <c r="U6">
        <v>5.34</v>
      </c>
      <c r="V6">
        <v>7.3</v>
      </c>
      <c r="W6">
        <v>3.93</v>
      </c>
      <c r="X6">
        <v>15.45</v>
      </c>
      <c r="Y6">
        <v>22.19</v>
      </c>
      <c r="Z6">
        <v>45.79</v>
      </c>
      <c r="AA6">
        <v>4.59</v>
      </c>
      <c r="AB6">
        <v>3.09</v>
      </c>
      <c r="AC6">
        <v>61.24</v>
      </c>
    </row>
    <row r="7" spans="2:29" x14ac:dyDescent="0.25">
      <c r="C7">
        <v>43474</v>
      </c>
      <c r="D7" t="s">
        <v>30</v>
      </c>
      <c r="E7" t="s">
        <v>11</v>
      </c>
      <c r="F7" t="s">
        <v>26</v>
      </c>
      <c r="G7" t="s">
        <v>1</v>
      </c>
      <c r="H7">
        <v>60.99</v>
      </c>
      <c r="I7">
        <v>5.65</v>
      </c>
      <c r="J7">
        <v>3.19</v>
      </c>
      <c r="K7">
        <v>2.79</v>
      </c>
      <c r="L7">
        <v>41.23</v>
      </c>
      <c r="N7">
        <v>43495</v>
      </c>
      <c r="P7">
        <v>43476</v>
      </c>
      <c r="R7">
        <v>43770</v>
      </c>
      <c r="S7">
        <v>43770</v>
      </c>
      <c r="T7" t="s">
        <v>195</v>
      </c>
      <c r="U7">
        <v>6.46</v>
      </c>
      <c r="V7">
        <v>12.31</v>
      </c>
      <c r="W7">
        <v>8.92</v>
      </c>
      <c r="X7">
        <v>22.77</v>
      </c>
      <c r="Y7">
        <v>16</v>
      </c>
      <c r="Z7">
        <v>33.54</v>
      </c>
      <c r="AA7">
        <v>4.46</v>
      </c>
      <c r="AB7">
        <v>4.47</v>
      </c>
      <c r="AC7">
        <v>60.76</v>
      </c>
    </row>
    <row r="8" spans="2:29" x14ac:dyDescent="0.25">
      <c r="C8">
        <v>43475</v>
      </c>
      <c r="D8" t="s">
        <v>30</v>
      </c>
      <c r="E8" t="s">
        <v>11</v>
      </c>
      <c r="F8" t="s">
        <v>26</v>
      </c>
      <c r="G8" t="s">
        <v>1</v>
      </c>
      <c r="H8">
        <v>61.24</v>
      </c>
      <c r="I8">
        <v>4.59</v>
      </c>
      <c r="J8">
        <v>3.09</v>
      </c>
      <c r="K8">
        <v>5.34</v>
      </c>
      <c r="L8">
        <v>45.79</v>
      </c>
      <c r="N8">
        <v>43495</v>
      </c>
      <c r="P8">
        <v>43477</v>
      </c>
      <c r="R8">
        <v>43800</v>
      </c>
      <c r="S8">
        <v>43800</v>
      </c>
      <c r="T8" t="s">
        <v>196</v>
      </c>
      <c r="U8">
        <v>0.89</v>
      </c>
      <c r="V8">
        <v>5.62</v>
      </c>
      <c r="W8">
        <v>4.7300000000000004</v>
      </c>
      <c r="X8">
        <v>18.05</v>
      </c>
      <c r="Y8">
        <v>23.37</v>
      </c>
      <c r="Z8">
        <v>47.34</v>
      </c>
      <c r="AA8">
        <v>5.86</v>
      </c>
      <c r="AB8">
        <v>4.26</v>
      </c>
      <c r="AC8">
        <v>59.49</v>
      </c>
    </row>
    <row r="9" spans="2:29" x14ac:dyDescent="0.25">
      <c r="C9">
        <v>43476</v>
      </c>
      <c r="D9" t="s">
        <v>30</v>
      </c>
      <c r="E9" t="s">
        <v>11</v>
      </c>
      <c r="F9" t="s">
        <v>26</v>
      </c>
      <c r="G9" t="s">
        <v>1</v>
      </c>
      <c r="H9">
        <v>60.76</v>
      </c>
      <c r="I9">
        <v>4.46</v>
      </c>
      <c r="J9">
        <v>4.47</v>
      </c>
      <c r="K9">
        <v>6.46</v>
      </c>
      <c r="L9">
        <v>33.54</v>
      </c>
      <c r="N9">
        <v>43495</v>
      </c>
      <c r="P9">
        <v>43477</v>
      </c>
      <c r="R9">
        <v>43800</v>
      </c>
      <c r="S9">
        <v>43800</v>
      </c>
      <c r="T9" t="s">
        <v>197</v>
      </c>
      <c r="U9">
        <v>3.22</v>
      </c>
      <c r="V9">
        <v>5.56</v>
      </c>
      <c r="W9">
        <v>4.3899999999999997</v>
      </c>
      <c r="X9">
        <v>18.420000000000002</v>
      </c>
      <c r="Y9">
        <v>24.27</v>
      </c>
      <c r="Z9">
        <v>44.15</v>
      </c>
      <c r="AA9">
        <v>5.84</v>
      </c>
      <c r="AB9">
        <v>4.3099999999999996</v>
      </c>
      <c r="AC9">
        <v>59.73</v>
      </c>
    </row>
    <row r="10" spans="2:29" x14ac:dyDescent="0.25">
      <c r="C10">
        <v>43477</v>
      </c>
      <c r="D10" t="s">
        <v>30</v>
      </c>
      <c r="E10" t="s">
        <v>11</v>
      </c>
      <c r="F10" t="s">
        <v>26</v>
      </c>
      <c r="G10" t="s">
        <v>1</v>
      </c>
      <c r="H10">
        <v>59.49</v>
      </c>
      <c r="I10">
        <v>5.86</v>
      </c>
      <c r="J10">
        <v>4.26</v>
      </c>
      <c r="K10">
        <v>0.89</v>
      </c>
      <c r="L10">
        <v>47.34</v>
      </c>
      <c r="N10">
        <v>43495</v>
      </c>
      <c r="P10">
        <v>43478</v>
      </c>
      <c r="R10" t="s">
        <v>177</v>
      </c>
      <c r="S10" t="s">
        <v>177</v>
      </c>
      <c r="T10" t="s">
        <v>195</v>
      </c>
      <c r="U10">
        <v>1.49</v>
      </c>
      <c r="V10">
        <v>5.97</v>
      </c>
      <c r="W10">
        <v>5.07</v>
      </c>
      <c r="X10">
        <v>17.91</v>
      </c>
      <c r="Y10">
        <v>24.18</v>
      </c>
      <c r="Z10">
        <v>45.37</v>
      </c>
      <c r="AA10">
        <v>1.41</v>
      </c>
      <c r="AB10">
        <v>1.61</v>
      </c>
      <c r="AC10">
        <v>64.91</v>
      </c>
    </row>
    <row r="11" spans="2:29" x14ac:dyDescent="0.25">
      <c r="C11">
        <v>43477</v>
      </c>
      <c r="D11" t="s">
        <v>30</v>
      </c>
      <c r="E11" t="s">
        <v>11</v>
      </c>
      <c r="F11" t="s">
        <v>26</v>
      </c>
      <c r="G11" t="s">
        <v>1</v>
      </c>
      <c r="H11">
        <v>59.73</v>
      </c>
      <c r="I11">
        <v>5.84</v>
      </c>
      <c r="J11">
        <v>4.3099999999999996</v>
      </c>
      <c r="K11">
        <v>3.22</v>
      </c>
      <c r="L11">
        <v>44.15</v>
      </c>
      <c r="N11">
        <v>43495</v>
      </c>
      <c r="P11">
        <v>43479</v>
      </c>
      <c r="R11" t="s">
        <v>178</v>
      </c>
      <c r="S11" t="s">
        <v>178</v>
      </c>
      <c r="T11" t="s">
        <v>195</v>
      </c>
      <c r="U11">
        <v>1.65</v>
      </c>
      <c r="V11">
        <v>5.77</v>
      </c>
      <c r="W11">
        <v>5.22</v>
      </c>
      <c r="X11">
        <v>17.86</v>
      </c>
      <c r="Y11">
        <v>24.73</v>
      </c>
      <c r="Z11">
        <v>44.78</v>
      </c>
      <c r="AA11">
        <v>2.16</v>
      </c>
      <c r="AB11">
        <v>2.2799999999999998</v>
      </c>
      <c r="AC11">
        <v>63.94</v>
      </c>
    </row>
    <row r="12" spans="2:29" x14ac:dyDescent="0.25">
      <c r="C12">
        <v>43478</v>
      </c>
      <c r="D12" t="s">
        <v>30</v>
      </c>
      <c r="E12" t="s">
        <v>11</v>
      </c>
      <c r="F12" t="s">
        <v>26</v>
      </c>
      <c r="G12" t="s">
        <v>1</v>
      </c>
      <c r="H12">
        <v>64.91</v>
      </c>
      <c r="I12">
        <v>1.41</v>
      </c>
      <c r="J12">
        <v>1.61</v>
      </c>
      <c r="K12">
        <v>1.49</v>
      </c>
      <c r="L12">
        <v>45.37</v>
      </c>
      <c r="N12">
        <v>43495</v>
      </c>
      <c r="P12">
        <v>43480</v>
      </c>
      <c r="R12" t="s">
        <v>180</v>
      </c>
      <c r="S12" t="s">
        <v>180</v>
      </c>
      <c r="T12" t="s">
        <v>195</v>
      </c>
      <c r="U12">
        <v>3.56</v>
      </c>
      <c r="V12">
        <v>4.04</v>
      </c>
      <c r="W12">
        <v>4.75</v>
      </c>
      <c r="X12">
        <v>19.239999999999998</v>
      </c>
      <c r="Y12">
        <v>17.809999999999999</v>
      </c>
      <c r="Z12">
        <v>50.59</v>
      </c>
      <c r="AA12">
        <v>1.47</v>
      </c>
      <c r="AB12">
        <v>2.2200000000000002</v>
      </c>
      <c r="AC12">
        <v>63.49</v>
      </c>
    </row>
    <row r="13" spans="2:29" x14ac:dyDescent="0.25">
      <c r="C13">
        <v>43479</v>
      </c>
      <c r="D13" t="s">
        <v>30</v>
      </c>
      <c r="E13" t="s">
        <v>11</v>
      </c>
      <c r="F13" t="s">
        <v>26</v>
      </c>
      <c r="G13" t="s">
        <v>1</v>
      </c>
      <c r="H13">
        <v>63.94</v>
      </c>
      <c r="I13">
        <v>2.16</v>
      </c>
      <c r="J13">
        <v>2.2799999999999998</v>
      </c>
      <c r="K13">
        <v>1.65</v>
      </c>
      <c r="L13">
        <v>44.78</v>
      </c>
      <c r="N13">
        <v>43495</v>
      </c>
      <c r="P13">
        <v>43483</v>
      </c>
      <c r="R13" t="s">
        <v>183</v>
      </c>
      <c r="S13" t="s">
        <v>183</v>
      </c>
      <c r="T13" t="s">
        <v>195</v>
      </c>
      <c r="U13">
        <v>1.28</v>
      </c>
      <c r="V13">
        <v>5.9</v>
      </c>
      <c r="W13">
        <v>4.87</v>
      </c>
      <c r="X13">
        <v>17.95</v>
      </c>
      <c r="Y13">
        <v>26.15</v>
      </c>
      <c r="Z13">
        <v>43.85</v>
      </c>
      <c r="AA13">
        <v>3.72</v>
      </c>
      <c r="AB13">
        <v>3.49</v>
      </c>
      <c r="AC13">
        <v>61.56</v>
      </c>
    </row>
    <row r="14" spans="2:29" x14ac:dyDescent="0.25">
      <c r="C14">
        <v>43480</v>
      </c>
      <c r="D14" t="s">
        <v>30</v>
      </c>
      <c r="E14" t="s">
        <v>11</v>
      </c>
      <c r="F14" t="s">
        <v>26</v>
      </c>
      <c r="G14" t="s">
        <v>1</v>
      </c>
      <c r="H14">
        <v>63.49</v>
      </c>
      <c r="I14">
        <v>1.47</v>
      </c>
      <c r="J14">
        <v>2.2200000000000002</v>
      </c>
      <c r="K14">
        <v>3.56</v>
      </c>
      <c r="L14">
        <v>50.59</v>
      </c>
      <c r="N14">
        <v>43495</v>
      </c>
      <c r="P14">
        <v>43484</v>
      </c>
      <c r="R14" t="s">
        <v>184</v>
      </c>
      <c r="S14" t="s">
        <v>184</v>
      </c>
      <c r="T14" t="s">
        <v>195</v>
      </c>
      <c r="U14">
        <v>15.84</v>
      </c>
      <c r="V14">
        <v>7.33</v>
      </c>
      <c r="W14">
        <v>4.7300000000000004</v>
      </c>
      <c r="X14">
        <v>14.18</v>
      </c>
      <c r="Y14">
        <v>20.57</v>
      </c>
      <c r="Z14">
        <v>37.35</v>
      </c>
      <c r="AA14">
        <v>6.16</v>
      </c>
      <c r="AB14">
        <v>2.8</v>
      </c>
      <c r="AC14">
        <v>60.77</v>
      </c>
    </row>
    <row r="15" spans="2:29" x14ac:dyDescent="0.25">
      <c r="C15">
        <v>43483</v>
      </c>
      <c r="D15" t="s">
        <v>30</v>
      </c>
      <c r="E15" t="s">
        <v>11</v>
      </c>
      <c r="F15" t="s">
        <v>26</v>
      </c>
      <c r="G15" t="s">
        <v>1</v>
      </c>
      <c r="H15">
        <v>61.56</v>
      </c>
      <c r="I15">
        <v>3.72</v>
      </c>
      <c r="J15">
        <v>3.49</v>
      </c>
      <c r="K15">
        <v>1.28</v>
      </c>
      <c r="L15">
        <v>43.85</v>
      </c>
      <c r="N15">
        <v>43495</v>
      </c>
      <c r="P15">
        <v>43485</v>
      </c>
      <c r="R15" t="s">
        <v>185</v>
      </c>
      <c r="S15" t="s">
        <v>185</v>
      </c>
      <c r="T15" t="s">
        <v>195</v>
      </c>
      <c r="U15">
        <v>12.72</v>
      </c>
      <c r="V15">
        <v>7.51</v>
      </c>
      <c r="W15">
        <v>4.91</v>
      </c>
      <c r="X15">
        <v>17.34</v>
      </c>
      <c r="Y15">
        <v>24.28</v>
      </c>
      <c r="Z15">
        <v>33.24</v>
      </c>
      <c r="AA15">
        <v>3.69</v>
      </c>
      <c r="AB15">
        <v>3.03</v>
      </c>
      <c r="AC15">
        <v>62.13</v>
      </c>
    </row>
    <row r="16" spans="2:29" x14ac:dyDescent="0.25">
      <c r="C16">
        <v>43484</v>
      </c>
      <c r="D16" t="s">
        <v>30</v>
      </c>
      <c r="E16" t="s">
        <v>11</v>
      </c>
      <c r="F16" t="s">
        <v>26</v>
      </c>
      <c r="G16" t="s">
        <v>1</v>
      </c>
      <c r="H16">
        <v>60.77</v>
      </c>
      <c r="I16">
        <v>6.16</v>
      </c>
      <c r="J16">
        <v>2.8</v>
      </c>
      <c r="K16">
        <v>15.84</v>
      </c>
      <c r="L16">
        <v>37.35</v>
      </c>
      <c r="N16">
        <v>43495</v>
      </c>
      <c r="P16">
        <v>43486</v>
      </c>
      <c r="R16" t="s">
        <v>186</v>
      </c>
      <c r="S16" t="s">
        <v>186</v>
      </c>
      <c r="T16" t="s">
        <v>195</v>
      </c>
      <c r="U16">
        <v>9.74</v>
      </c>
      <c r="V16">
        <v>6.92</v>
      </c>
      <c r="W16">
        <v>5.13</v>
      </c>
      <c r="X16">
        <v>18.72</v>
      </c>
      <c r="Y16">
        <v>24.36</v>
      </c>
      <c r="Z16">
        <v>35.130000000000003</v>
      </c>
      <c r="AA16">
        <v>3.92</v>
      </c>
      <c r="AB16">
        <v>3.58</v>
      </c>
      <c r="AC16">
        <v>61.36</v>
      </c>
    </row>
    <row r="17" spans="3:29" x14ac:dyDescent="0.25">
      <c r="C17">
        <v>43485</v>
      </c>
      <c r="D17" t="s">
        <v>30</v>
      </c>
      <c r="E17" t="s">
        <v>11</v>
      </c>
      <c r="F17" t="s">
        <v>26</v>
      </c>
      <c r="G17" t="s">
        <v>1</v>
      </c>
      <c r="H17">
        <v>62.13</v>
      </c>
      <c r="I17">
        <v>3.69</v>
      </c>
      <c r="J17">
        <v>3.03</v>
      </c>
      <c r="K17">
        <v>12.72</v>
      </c>
      <c r="L17">
        <v>33.24</v>
      </c>
      <c r="N17">
        <v>43495</v>
      </c>
      <c r="P17">
        <v>43487</v>
      </c>
      <c r="R17" t="s">
        <v>187</v>
      </c>
      <c r="S17" t="s">
        <v>187</v>
      </c>
      <c r="T17" t="s">
        <v>195</v>
      </c>
      <c r="U17">
        <v>8.89</v>
      </c>
      <c r="V17">
        <v>7.45</v>
      </c>
      <c r="W17">
        <v>5.29</v>
      </c>
      <c r="X17">
        <v>19.47</v>
      </c>
      <c r="Y17">
        <v>22.6</v>
      </c>
      <c r="Z17">
        <v>36.299999999999997</v>
      </c>
      <c r="AA17">
        <v>8.77</v>
      </c>
      <c r="AB17">
        <v>5.15</v>
      </c>
      <c r="AC17">
        <v>56.63</v>
      </c>
    </row>
    <row r="18" spans="3:29" x14ac:dyDescent="0.25">
      <c r="C18">
        <v>43486</v>
      </c>
      <c r="D18" t="s">
        <v>30</v>
      </c>
      <c r="E18" t="s">
        <v>11</v>
      </c>
      <c r="F18" t="s">
        <v>26</v>
      </c>
      <c r="G18" t="s">
        <v>1</v>
      </c>
      <c r="H18">
        <v>61.36</v>
      </c>
      <c r="I18">
        <v>3.92</v>
      </c>
      <c r="J18">
        <v>3.58</v>
      </c>
      <c r="K18">
        <v>9.74</v>
      </c>
      <c r="L18">
        <v>35.130000000000003</v>
      </c>
      <c r="N18">
        <v>43495</v>
      </c>
      <c r="P18">
        <v>43488</v>
      </c>
      <c r="R18" t="s">
        <v>188</v>
      </c>
      <c r="S18" t="s">
        <v>188</v>
      </c>
      <c r="T18" t="s">
        <v>195</v>
      </c>
      <c r="U18">
        <v>9.7899999999999991</v>
      </c>
      <c r="V18">
        <v>8.83</v>
      </c>
      <c r="W18">
        <v>6.21</v>
      </c>
      <c r="X18">
        <v>17.420000000000002</v>
      </c>
      <c r="Y18">
        <v>18.62</v>
      </c>
      <c r="Z18">
        <v>39.14</v>
      </c>
      <c r="AA18">
        <v>3.46</v>
      </c>
      <c r="AB18">
        <v>3.46</v>
      </c>
      <c r="AC18">
        <v>62.19</v>
      </c>
    </row>
    <row r="19" spans="3:29" x14ac:dyDescent="0.25">
      <c r="C19">
        <v>43487</v>
      </c>
      <c r="D19" t="s">
        <v>30</v>
      </c>
      <c r="E19" t="s">
        <v>11</v>
      </c>
      <c r="F19" t="s">
        <v>26</v>
      </c>
      <c r="G19" t="s">
        <v>1</v>
      </c>
      <c r="H19">
        <v>56.63</v>
      </c>
      <c r="I19">
        <v>8.77</v>
      </c>
      <c r="J19">
        <v>5.15</v>
      </c>
      <c r="K19">
        <v>8.89</v>
      </c>
      <c r="L19">
        <v>36.299999999999997</v>
      </c>
      <c r="N19">
        <v>43495</v>
      </c>
      <c r="P19">
        <v>43489</v>
      </c>
      <c r="R19" t="s">
        <v>189</v>
      </c>
      <c r="S19" t="s">
        <v>189</v>
      </c>
      <c r="T19" t="s">
        <v>195</v>
      </c>
      <c r="U19">
        <v>10.74</v>
      </c>
      <c r="V19">
        <v>8.5399999999999991</v>
      </c>
      <c r="W19">
        <v>6.89</v>
      </c>
      <c r="X19">
        <v>17.63</v>
      </c>
      <c r="Y19">
        <v>19.559999999999999</v>
      </c>
      <c r="Z19">
        <v>36.64</v>
      </c>
      <c r="AA19">
        <v>5.63</v>
      </c>
      <c r="AB19">
        <v>2.98</v>
      </c>
      <c r="AC19">
        <v>60.5</v>
      </c>
    </row>
    <row r="20" spans="3:29" x14ac:dyDescent="0.25">
      <c r="C20">
        <v>43488</v>
      </c>
      <c r="D20" t="s">
        <v>30</v>
      </c>
      <c r="E20" t="s">
        <v>11</v>
      </c>
      <c r="F20" t="s">
        <v>26</v>
      </c>
      <c r="G20" t="s">
        <v>1</v>
      </c>
      <c r="H20">
        <v>62.19</v>
      </c>
      <c r="I20">
        <v>3.46</v>
      </c>
      <c r="J20">
        <v>3.46</v>
      </c>
      <c r="K20">
        <v>9.7899999999999991</v>
      </c>
      <c r="L20">
        <v>39.14</v>
      </c>
      <c r="N20">
        <v>43495</v>
      </c>
      <c r="P20">
        <v>43491</v>
      </c>
      <c r="R20" t="s">
        <v>191</v>
      </c>
      <c r="S20" t="s">
        <v>191</v>
      </c>
      <c r="T20" t="s">
        <v>195</v>
      </c>
      <c r="U20">
        <v>6.73</v>
      </c>
      <c r="V20">
        <v>8.52</v>
      </c>
      <c r="W20">
        <v>5.83</v>
      </c>
      <c r="X20">
        <v>21.97</v>
      </c>
      <c r="Y20">
        <v>21.52</v>
      </c>
      <c r="Z20">
        <v>35.43</v>
      </c>
      <c r="AA20">
        <v>4.33</v>
      </c>
      <c r="AB20">
        <v>5.0199999999999996</v>
      </c>
      <c r="AC20">
        <v>60.17</v>
      </c>
    </row>
    <row r="21" spans="3:29" x14ac:dyDescent="0.25">
      <c r="C21">
        <v>43489</v>
      </c>
      <c r="D21" t="s">
        <v>30</v>
      </c>
      <c r="E21" t="s">
        <v>11</v>
      </c>
      <c r="F21" t="s">
        <v>26</v>
      </c>
      <c r="G21" t="s">
        <v>1</v>
      </c>
      <c r="H21">
        <v>60.5</v>
      </c>
      <c r="I21">
        <v>5.63</v>
      </c>
      <c r="J21">
        <v>2.98</v>
      </c>
      <c r="K21">
        <v>10.74</v>
      </c>
      <c r="L21">
        <v>36.64</v>
      </c>
      <c r="N21">
        <v>43495</v>
      </c>
      <c r="P21">
        <v>43492</v>
      </c>
      <c r="R21" t="s">
        <v>192</v>
      </c>
      <c r="S21" t="s">
        <v>192</v>
      </c>
      <c r="T21" t="s">
        <v>195</v>
      </c>
      <c r="U21">
        <v>1.03</v>
      </c>
      <c r="V21">
        <v>5.68</v>
      </c>
      <c r="W21">
        <v>5.94</v>
      </c>
      <c r="X21">
        <v>19.38</v>
      </c>
      <c r="Y21">
        <v>23.51</v>
      </c>
      <c r="Z21">
        <v>44.44</v>
      </c>
      <c r="AA21">
        <v>2.94</v>
      </c>
      <c r="AB21">
        <v>6.49</v>
      </c>
      <c r="AC21">
        <v>60.44</v>
      </c>
    </row>
    <row r="22" spans="3:29" x14ac:dyDescent="0.25">
      <c r="C22">
        <v>43491</v>
      </c>
      <c r="D22" t="s">
        <v>30</v>
      </c>
      <c r="E22" t="s">
        <v>11</v>
      </c>
      <c r="F22" t="s">
        <v>26</v>
      </c>
      <c r="G22" t="s">
        <v>1</v>
      </c>
      <c r="H22">
        <v>60.17</v>
      </c>
      <c r="I22">
        <v>4.33</v>
      </c>
      <c r="J22">
        <v>5.0199999999999996</v>
      </c>
      <c r="K22">
        <v>6.73</v>
      </c>
      <c r="L22">
        <v>35.43</v>
      </c>
      <c r="N22">
        <v>43495</v>
      </c>
      <c r="P22">
        <v>43493</v>
      </c>
      <c r="R22" t="s">
        <v>193</v>
      </c>
      <c r="S22" t="s">
        <v>193</v>
      </c>
      <c r="T22" t="s">
        <v>195</v>
      </c>
      <c r="U22">
        <v>2.73</v>
      </c>
      <c r="V22">
        <v>6.28</v>
      </c>
      <c r="W22">
        <v>6.01</v>
      </c>
      <c r="X22">
        <v>18.579999999999998</v>
      </c>
      <c r="Y22">
        <v>23.5</v>
      </c>
      <c r="Z22">
        <v>42.9</v>
      </c>
      <c r="AA22">
        <v>4.4000000000000004</v>
      </c>
      <c r="AB22">
        <v>3.93</v>
      </c>
      <c r="AC22">
        <v>61.09</v>
      </c>
    </row>
    <row r="23" spans="3:29" x14ac:dyDescent="0.25">
      <c r="C23">
        <v>43492</v>
      </c>
      <c r="D23" t="s">
        <v>30</v>
      </c>
      <c r="E23" t="s">
        <v>11</v>
      </c>
      <c r="F23" t="s">
        <v>26</v>
      </c>
      <c r="G23" t="s">
        <v>1</v>
      </c>
      <c r="H23">
        <v>60.44</v>
      </c>
      <c r="I23">
        <v>2.94</v>
      </c>
      <c r="J23">
        <v>6.49</v>
      </c>
      <c r="K23">
        <v>1.03</v>
      </c>
      <c r="L23">
        <v>44.44</v>
      </c>
      <c r="N23">
        <v>43495</v>
      </c>
      <c r="P23">
        <v>43494</v>
      </c>
      <c r="R23" t="s">
        <v>194</v>
      </c>
      <c r="S23" t="s">
        <v>194</v>
      </c>
      <c r="T23" t="s">
        <v>198</v>
      </c>
      <c r="U23">
        <v>7.98</v>
      </c>
      <c r="V23">
        <v>3.19</v>
      </c>
      <c r="W23">
        <v>4.5199999999999996</v>
      </c>
      <c r="X23">
        <v>16.489999999999998</v>
      </c>
      <c r="Y23">
        <v>22.61</v>
      </c>
      <c r="Z23">
        <v>45.21</v>
      </c>
      <c r="AA23">
        <v>4.58</v>
      </c>
      <c r="AB23">
        <v>3.87</v>
      </c>
      <c r="AC23">
        <v>60.8</v>
      </c>
    </row>
    <row r="24" spans="3:29" x14ac:dyDescent="0.25">
      <c r="C24">
        <v>43493</v>
      </c>
      <c r="D24" t="s">
        <v>30</v>
      </c>
      <c r="E24" t="s">
        <v>11</v>
      </c>
      <c r="F24" t="s">
        <v>26</v>
      </c>
      <c r="G24" t="s">
        <v>1</v>
      </c>
      <c r="H24">
        <v>61.09</v>
      </c>
      <c r="I24">
        <v>4.4000000000000004</v>
      </c>
      <c r="J24">
        <v>3.93</v>
      </c>
      <c r="K24">
        <v>2.73</v>
      </c>
      <c r="L24">
        <v>42.9</v>
      </c>
      <c r="N24">
        <v>43495</v>
      </c>
      <c r="P24">
        <v>43494</v>
      </c>
      <c r="R24" t="s">
        <v>194</v>
      </c>
      <c r="S24" t="s">
        <v>194</v>
      </c>
      <c r="T24" t="s">
        <v>199</v>
      </c>
      <c r="U24">
        <v>7.84</v>
      </c>
      <c r="V24">
        <v>3.05</v>
      </c>
      <c r="W24">
        <v>4.3499999999999996</v>
      </c>
      <c r="X24">
        <v>15.67</v>
      </c>
      <c r="Y24">
        <v>22.64</v>
      </c>
      <c r="Z24">
        <v>46.44</v>
      </c>
      <c r="AA24">
        <v>3.46</v>
      </c>
      <c r="AB24">
        <v>2.93</v>
      </c>
      <c r="AC24">
        <v>62.43</v>
      </c>
    </row>
    <row r="25" spans="3:29" x14ac:dyDescent="0.25">
      <c r="C25">
        <v>43494</v>
      </c>
      <c r="D25" t="s">
        <v>30</v>
      </c>
      <c r="E25" t="s">
        <v>11</v>
      </c>
      <c r="F25" t="s">
        <v>26</v>
      </c>
      <c r="G25" t="s">
        <v>1</v>
      </c>
      <c r="H25">
        <v>60.8</v>
      </c>
      <c r="I25">
        <v>4.58</v>
      </c>
      <c r="J25">
        <v>3.87</v>
      </c>
      <c r="K25">
        <v>7.98</v>
      </c>
      <c r="L25">
        <v>45.21</v>
      </c>
      <c r="N25">
        <v>43495</v>
      </c>
    </row>
    <row r="26" spans="3:29" x14ac:dyDescent="0.25">
      <c r="C26">
        <v>43494</v>
      </c>
      <c r="D26" t="s">
        <v>30</v>
      </c>
      <c r="E26" t="s">
        <v>11</v>
      </c>
      <c r="F26" t="s">
        <v>26</v>
      </c>
      <c r="G26" t="s">
        <v>1</v>
      </c>
      <c r="H26">
        <v>62.43</v>
      </c>
      <c r="I26">
        <v>3.46</v>
      </c>
      <c r="J26">
        <v>2.93</v>
      </c>
      <c r="K26">
        <v>7.84</v>
      </c>
      <c r="L26">
        <v>46.44</v>
      </c>
      <c r="N26">
        <v>43495</v>
      </c>
      <c r="P26">
        <v>43678</v>
      </c>
      <c r="Q26">
        <v>43678</v>
      </c>
      <c r="R26" t="s">
        <v>9</v>
      </c>
      <c r="S26">
        <v>0</v>
      </c>
      <c r="T26">
        <v>4.16</v>
      </c>
      <c r="U26">
        <v>10.130000000000001</v>
      </c>
      <c r="V26">
        <v>23.38</v>
      </c>
      <c r="W26">
        <v>50.65</v>
      </c>
      <c r="X26">
        <v>3.9</v>
      </c>
      <c r="Y26">
        <v>7.79</v>
      </c>
      <c r="Z26">
        <v>2.2799999999999998</v>
      </c>
      <c r="AA26">
        <v>1.91</v>
      </c>
      <c r="AB26">
        <v>63.47</v>
      </c>
      <c r="AC26">
        <f>+SUM(S26:U26)</f>
        <v>14.290000000000001</v>
      </c>
    </row>
    <row r="27" spans="3:29" x14ac:dyDescent="0.25">
      <c r="C27">
        <v>43492</v>
      </c>
      <c r="D27" t="s">
        <v>30</v>
      </c>
      <c r="E27" t="s">
        <v>44</v>
      </c>
      <c r="F27" t="s">
        <v>26</v>
      </c>
      <c r="G27" t="s">
        <v>1</v>
      </c>
      <c r="H27">
        <v>61.73</v>
      </c>
      <c r="I27">
        <v>5.15</v>
      </c>
      <c r="J27">
        <v>1.93</v>
      </c>
      <c r="K27">
        <v>12.96</v>
      </c>
      <c r="L27">
        <v>28.94</v>
      </c>
      <c r="N27">
        <v>43495</v>
      </c>
      <c r="P27">
        <v>43709</v>
      </c>
      <c r="Q27">
        <v>43709</v>
      </c>
      <c r="R27" t="s">
        <v>195</v>
      </c>
      <c r="S27">
        <v>0</v>
      </c>
      <c r="T27">
        <v>0</v>
      </c>
      <c r="U27">
        <v>15.85</v>
      </c>
      <c r="V27">
        <v>25.3</v>
      </c>
      <c r="W27">
        <v>54.27</v>
      </c>
      <c r="X27">
        <v>3.66</v>
      </c>
      <c r="Y27">
        <v>0.91</v>
      </c>
      <c r="Z27">
        <v>1.45</v>
      </c>
      <c r="AA27">
        <v>1.46</v>
      </c>
      <c r="AB27">
        <v>64.36</v>
      </c>
      <c r="AC27">
        <f t="shared" ref="AC27:AC53" si="0">+SUM(S27:U27)</f>
        <v>15.85</v>
      </c>
    </row>
    <row r="28" spans="3:29" x14ac:dyDescent="0.25">
      <c r="C28">
        <v>43486</v>
      </c>
      <c r="D28" t="s">
        <v>30</v>
      </c>
      <c r="E28" t="s">
        <v>2</v>
      </c>
      <c r="F28" t="s">
        <v>26</v>
      </c>
      <c r="G28" t="s">
        <v>1</v>
      </c>
      <c r="H28">
        <v>59.16</v>
      </c>
      <c r="I28">
        <v>7.57</v>
      </c>
      <c r="J28">
        <v>2.62</v>
      </c>
      <c r="K28">
        <v>2.74</v>
      </c>
      <c r="L28">
        <v>53.66</v>
      </c>
      <c r="N28">
        <v>43495</v>
      </c>
      <c r="P28">
        <v>43739</v>
      </c>
      <c r="Q28">
        <v>43739</v>
      </c>
      <c r="R28" t="s">
        <v>9</v>
      </c>
      <c r="S28">
        <v>0</v>
      </c>
      <c r="T28">
        <v>6.69</v>
      </c>
      <c r="U28">
        <v>20.97</v>
      </c>
      <c r="V28">
        <v>40.43</v>
      </c>
      <c r="W28">
        <v>27.05</v>
      </c>
      <c r="X28">
        <v>2.13</v>
      </c>
      <c r="Y28">
        <v>2.74</v>
      </c>
      <c r="Z28">
        <v>1.47</v>
      </c>
      <c r="AA28">
        <v>1.69</v>
      </c>
      <c r="AB28">
        <v>65.33</v>
      </c>
      <c r="AC28">
        <f t="shared" si="0"/>
        <v>27.66</v>
      </c>
    </row>
    <row r="29" spans="3:29" x14ac:dyDescent="0.25">
      <c r="C29">
        <v>43473</v>
      </c>
      <c r="D29" t="s">
        <v>30</v>
      </c>
      <c r="E29" t="s">
        <v>9</v>
      </c>
      <c r="F29" t="s">
        <v>26</v>
      </c>
      <c r="G29" t="s">
        <v>0</v>
      </c>
      <c r="H29">
        <v>63.47</v>
      </c>
      <c r="I29">
        <v>2.2799999999999998</v>
      </c>
      <c r="J29">
        <v>1.91</v>
      </c>
      <c r="K29">
        <f>+SUM(A29:C29)</f>
        <v>43473</v>
      </c>
      <c r="L29">
        <v>7.79</v>
      </c>
      <c r="N29">
        <v>43495</v>
      </c>
      <c r="P29">
        <v>43770</v>
      </c>
      <c r="Q29">
        <v>43770</v>
      </c>
      <c r="R29" t="s">
        <v>9</v>
      </c>
      <c r="S29">
        <v>0</v>
      </c>
      <c r="T29">
        <v>3.13</v>
      </c>
      <c r="U29">
        <v>13.44</v>
      </c>
      <c r="V29">
        <v>15.63</v>
      </c>
      <c r="W29">
        <v>50</v>
      </c>
      <c r="X29">
        <v>4.38</v>
      </c>
      <c r="Y29">
        <v>13.44</v>
      </c>
      <c r="Z29">
        <v>1.32</v>
      </c>
      <c r="AA29">
        <v>1.48</v>
      </c>
      <c r="AB29">
        <v>64.75</v>
      </c>
      <c r="AC29">
        <f t="shared" si="0"/>
        <v>16.57</v>
      </c>
    </row>
    <row r="30" spans="3:29" x14ac:dyDescent="0.25">
      <c r="C30">
        <v>43474</v>
      </c>
      <c r="D30" t="s">
        <v>30</v>
      </c>
      <c r="E30" t="s">
        <v>11</v>
      </c>
      <c r="F30" t="s">
        <v>26</v>
      </c>
      <c r="G30" t="s">
        <v>0</v>
      </c>
      <c r="H30">
        <v>64.36</v>
      </c>
      <c r="I30">
        <v>1.45</v>
      </c>
      <c r="J30">
        <v>1.46</v>
      </c>
      <c r="K30">
        <f t="shared" ref="K30:K56" si="1">+SUM(A30:C30)</f>
        <v>43474</v>
      </c>
      <c r="L30">
        <v>0.91</v>
      </c>
      <c r="N30">
        <v>43495</v>
      </c>
      <c r="P30">
        <v>43800</v>
      </c>
      <c r="Q30">
        <v>43800</v>
      </c>
      <c r="R30" t="s">
        <v>9</v>
      </c>
      <c r="S30">
        <v>0</v>
      </c>
      <c r="T30">
        <v>4.67</v>
      </c>
      <c r="U30">
        <v>29.6</v>
      </c>
      <c r="V30">
        <v>49.53</v>
      </c>
      <c r="W30">
        <v>14.95</v>
      </c>
      <c r="X30">
        <v>0</v>
      </c>
      <c r="Y30">
        <v>1.25</v>
      </c>
      <c r="Z30">
        <v>2.59</v>
      </c>
      <c r="AA30">
        <v>2.7</v>
      </c>
      <c r="AB30">
        <v>62.69</v>
      </c>
      <c r="AC30">
        <f t="shared" si="0"/>
        <v>34.270000000000003</v>
      </c>
    </row>
    <row r="31" spans="3:29" x14ac:dyDescent="0.25">
      <c r="C31">
        <v>43475</v>
      </c>
      <c r="D31" t="s">
        <v>30</v>
      </c>
      <c r="E31" t="s">
        <v>9</v>
      </c>
      <c r="F31" t="s">
        <v>26</v>
      </c>
      <c r="G31" t="s">
        <v>0</v>
      </c>
      <c r="H31">
        <v>65.33</v>
      </c>
      <c r="I31">
        <v>1.47</v>
      </c>
      <c r="J31">
        <v>1.69</v>
      </c>
      <c r="K31">
        <f t="shared" si="1"/>
        <v>43475</v>
      </c>
      <c r="L31">
        <v>2.74</v>
      </c>
      <c r="N31">
        <v>43495</v>
      </c>
      <c r="P31" t="s">
        <v>177</v>
      </c>
      <c r="Q31" t="s">
        <v>177</v>
      </c>
      <c r="R31" t="s">
        <v>195</v>
      </c>
      <c r="S31">
        <v>0</v>
      </c>
      <c r="T31">
        <v>18.68</v>
      </c>
      <c r="U31">
        <v>32.97</v>
      </c>
      <c r="V31">
        <v>44.51</v>
      </c>
      <c r="W31">
        <v>2.4700000000000002</v>
      </c>
      <c r="X31">
        <v>0</v>
      </c>
      <c r="Y31">
        <v>1.37</v>
      </c>
      <c r="Z31">
        <v>1.21</v>
      </c>
      <c r="AA31">
        <v>3.21</v>
      </c>
      <c r="AB31">
        <v>63.97</v>
      </c>
      <c r="AC31">
        <f t="shared" si="0"/>
        <v>51.65</v>
      </c>
    </row>
    <row r="32" spans="3:29" x14ac:dyDescent="0.25">
      <c r="C32">
        <v>43476</v>
      </c>
      <c r="D32" t="s">
        <v>30</v>
      </c>
      <c r="E32" t="s">
        <v>9</v>
      </c>
      <c r="F32" t="s">
        <v>26</v>
      </c>
      <c r="G32" t="s">
        <v>0</v>
      </c>
      <c r="H32">
        <v>64.75</v>
      </c>
      <c r="I32">
        <v>1.32</v>
      </c>
      <c r="J32">
        <v>1.48</v>
      </c>
      <c r="K32">
        <f t="shared" si="1"/>
        <v>43476</v>
      </c>
      <c r="L32">
        <v>13.44</v>
      </c>
      <c r="N32">
        <v>43495</v>
      </c>
      <c r="P32" t="s">
        <v>178</v>
      </c>
      <c r="Q32" t="s">
        <v>178</v>
      </c>
      <c r="R32" t="s">
        <v>179</v>
      </c>
      <c r="S32">
        <v>0</v>
      </c>
      <c r="T32">
        <v>15.8</v>
      </c>
      <c r="U32">
        <v>32.18</v>
      </c>
      <c r="V32">
        <v>45.11</v>
      </c>
      <c r="W32">
        <v>5.75</v>
      </c>
      <c r="X32">
        <v>0</v>
      </c>
      <c r="Y32">
        <v>1.1499999999999999</v>
      </c>
      <c r="Z32">
        <v>1.8</v>
      </c>
      <c r="AA32">
        <v>1.96</v>
      </c>
      <c r="AB32">
        <v>64.53</v>
      </c>
      <c r="AC32">
        <f t="shared" si="0"/>
        <v>47.980000000000004</v>
      </c>
    </row>
    <row r="33" spans="3:29" x14ac:dyDescent="0.25">
      <c r="C33">
        <v>43477</v>
      </c>
      <c r="D33" t="s">
        <v>30</v>
      </c>
      <c r="E33" t="s">
        <v>9</v>
      </c>
      <c r="F33" t="s">
        <v>26</v>
      </c>
      <c r="G33" t="s">
        <v>0</v>
      </c>
      <c r="H33">
        <v>62.69</v>
      </c>
      <c r="I33">
        <v>2.59</v>
      </c>
      <c r="J33">
        <v>2.7</v>
      </c>
      <c r="K33">
        <f t="shared" si="1"/>
        <v>43477</v>
      </c>
      <c r="L33">
        <v>1.25</v>
      </c>
      <c r="N33">
        <v>43495</v>
      </c>
      <c r="P33" t="s">
        <v>180</v>
      </c>
      <c r="Q33" t="s">
        <v>180</v>
      </c>
      <c r="R33" t="s">
        <v>9</v>
      </c>
      <c r="S33">
        <v>0</v>
      </c>
      <c r="T33">
        <v>3.82</v>
      </c>
      <c r="U33">
        <v>20.83</v>
      </c>
      <c r="V33">
        <v>39.93</v>
      </c>
      <c r="W33">
        <v>31.6</v>
      </c>
      <c r="X33">
        <v>1.74</v>
      </c>
      <c r="Y33">
        <v>2.08</v>
      </c>
      <c r="Z33">
        <v>1.51</v>
      </c>
      <c r="AA33">
        <v>2.78</v>
      </c>
      <c r="AB33">
        <v>62.93</v>
      </c>
      <c r="AC33">
        <f t="shared" si="0"/>
        <v>24.65</v>
      </c>
    </row>
    <row r="34" spans="3:29" x14ac:dyDescent="0.25">
      <c r="C34">
        <v>43478</v>
      </c>
      <c r="D34" t="s">
        <v>30</v>
      </c>
      <c r="E34" t="s">
        <v>11</v>
      </c>
      <c r="F34" t="s">
        <v>26</v>
      </c>
      <c r="G34" t="s">
        <v>0</v>
      </c>
      <c r="H34">
        <v>63.97</v>
      </c>
      <c r="I34">
        <v>1.21</v>
      </c>
      <c r="J34">
        <v>3.21</v>
      </c>
      <c r="K34">
        <f t="shared" si="1"/>
        <v>43478</v>
      </c>
      <c r="L34">
        <v>1.37</v>
      </c>
      <c r="N34">
        <v>43495</v>
      </c>
      <c r="P34" t="s">
        <v>181</v>
      </c>
      <c r="Q34" t="s">
        <v>181</v>
      </c>
      <c r="R34" t="s">
        <v>9</v>
      </c>
      <c r="S34">
        <v>0</v>
      </c>
      <c r="T34">
        <v>0</v>
      </c>
      <c r="U34">
        <v>6.49</v>
      </c>
      <c r="V34">
        <v>47.49</v>
      </c>
      <c r="W34">
        <v>43.95</v>
      </c>
      <c r="X34">
        <v>0</v>
      </c>
      <c r="Y34">
        <v>2.06</v>
      </c>
      <c r="Z34">
        <v>2.59</v>
      </c>
      <c r="AA34">
        <v>1.35</v>
      </c>
      <c r="AB34">
        <v>64.17</v>
      </c>
      <c r="AC34">
        <f t="shared" si="0"/>
        <v>6.49</v>
      </c>
    </row>
    <row r="35" spans="3:29" x14ac:dyDescent="0.25">
      <c r="C35">
        <v>43479</v>
      </c>
      <c r="D35" t="s">
        <v>30</v>
      </c>
      <c r="E35" t="s">
        <v>9</v>
      </c>
      <c r="F35" t="s">
        <v>26</v>
      </c>
      <c r="G35" t="s">
        <v>0</v>
      </c>
      <c r="H35">
        <v>64.53</v>
      </c>
      <c r="I35">
        <v>1.8</v>
      </c>
      <c r="J35">
        <v>1.96</v>
      </c>
      <c r="K35">
        <f t="shared" si="1"/>
        <v>43479</v>
      </c>
      <c r="L35">
        <v>1.1499999999999999</v>
      </c>
      <c r="N35">
        <v>43495</v>
      </c>
      <c r="P35" t="s">
        <v>182</v>
      </c>
      <c r="Q35" t="s">
        <v>182</v>
      </c>
      <c r="R35" t="s">
        <v>9</v>
      </c>
      <c r="S35">
        <v>0</v>
      </c>
      <c r="T35">
        <v>0</v>
      </c>
      <c r="U35">
        <v>4.66</v>
      </c>
      <c r="V35">
        <v>26.88</v>
      </c>
      <c r="W35">
        <v>62.01</v>
      </c>
      <c r="X35">
        <v>4.3</v>
      </c>
      <c r="Y35">
        <v>2.15</v>
      </c>
      <c r="Z35">
        <v>4.55</v>
      </c>
      <c r="AA35">
        <v>1.91</v>
      </c>
      <c r="AB35">
        <v>63.29</v>
      </c>
      <c r="AC35">
        <f t="shared" si="0"/>
        <v>4.66</v>
      </c>
    </row>
    <row r="36" spans="3:29" x14ac:dyDescent="0.25">
      <c r="C36">
        <v>43480</v>
      </c>
      <c r="D36" t="s">
        <v>30</v>
      </c>
      <c r="E36" t="s">
        <v>9</v>
      </c>
      <c r="F36" t="s">
        <v>26</v>
      </c>
      <c r="G36" t="s">
        <v>0</v>
      </c>
      <c r="H36">
        <v>62.93</v>
      </c>
      <c r="I36">
        <v>1.51</v>
      </c>
      <c r="J36">
        <v>2.78</v>
      </c>
      <c r="K36">
        <f t="shared" si="1"/>
        <v>43480</v>
      </c>
      <c r="L36">
        <v>2.08</v>
      </c>
      <c r="N36">
        <v>43495</v>
      </c>
      <c r="P36" t="s">
        <v>183</v>
      </c>
      <c r="Q36" t="s">
        <v>183</v>
      </c>
      <c r="R36" t="s">
        <v>9</v>
      </c>
      <c r="S36">
        <v>0</v>
      </c>
      <c r="T36">
        <v>4.8499999999999996</v>
      </c>
      <c r="U36">
        <v>29.7</v>
      </c>
      <c r="V36">
        <v>48.48</v>
      </c>
      <c r="W36">
        <v>15.76</v>
      </c>
      <c r="X36">
        <v>0</v>
      </c>
      <c r="Y36">
        <v>1.21</v>
      </c>
      <c r="Z36">
        <v>1.39</v>
      </c>
      <c r="AA36">
        <v>2.14</v>
      </c>
      <c r="AB36">
        <v>63.95</v>
      </c>
      <c r="AC36">
        <f t="shared" si="0"/>
        <v>34.549999999999997</v>
      </c>
    </row>
    <row r="37" spans="3:29" x14ac:dyDescent="0.25">
      <c r="C37">
        <v>43481</v>
      </c>
      <c r="D37" t="s">
        <v>30</v>
      </c>
      <c r="E37" t="s">
        <v>9</v>
      </c>
      <c r="F37" t="s">
        <v>26</v>
      </c>
      <c r="G37" t="s">
        <v>0</v>
      </c>
      <c r="H37">
        <v>64.17</v>
      </c>
      <c r="I37">
        <v>2.59</v>
      </c>
      <c r="J37">
        <v>1.35</v>
      </c>
      <c r="K37">
        <f t="shared" si="1"/>
        <v>43481</v>
      </c>
      <c r="L37">
        <v>2.06</v>
      </c>
      <c r="N37">
        <v>43495</v>
      </c>
      <c r="P37" t="s">
        <v>184</v>
      </c>
      <c r="Q37" t="s">
        <v>184</v>
      </c>
      <c r="R37" t="s">
        <v>9</v>
      </c>
      <c r="S37">
        <v>1</v>
      </c>
      <c r="T37">
        <v>8.36</v>
      </c>
      <c r="U37">
        <v>22.74</v>
      </c>
      <c r="V37">
        <v>27.76</v>
      </c>
      <c r="W37">
        <v>33.78</v>
      </c>
      <c r="X37">
        <v>1.67</v>
      </c>
      <c r="Y37">
        <v>4.68</v>
      </c>
      <c r="Z37">
        <v>1.39</v>
      </c>
      <c r="AA37">
        <v>2.42</v>
      </c>
      <c r="AB37">
        <v>64.06</v>
      </c>
      <c r="AC37">
        <f t="shared" si="0"/>
        <v>32.099999999999994</v>
      </c>
    </row>
    <row r="38" spans="3:29" x14ac:dyDescent="0.25">
      <c r="C38">
        <v>43482</v>
      </c>
      <c r="D38" t="s">
        <v>30</v>
      </c>
      <c r="E38" t="s">
        <v>9</v>
      </c>
      <c r="F38" t="s">
        <v>26</v>
      </c>
      <c r="G38" t="s">
        <v>0</v>
      </c>
      <c r="H38">
        <v>63.29</v>
      </c>
      <c r="I38">
        <v>4.55</v>
      </c>
      <c r="J38">
        <v>1.91</v>
      </c>
      <c r="K38">
        <f t="shared" si="1"/>
        <v>43482</v>
      </c>
      <c r="L38">
        <v>2.15</v>
      </c>
      <c r="N38">
        <v>43495</v>
      </c>
      <c r="P38" t="s">
        <v>185</v>
      </c>
      <c r="Q38" t="s">
        <v>185</v>
      </c>
      <c r="R38" t="s">
        <v>195</v>
      </c>
      <c r="S38">
        <v>0</v>
      </c>
      <c r="T38">
        <v>4.41</v>
      </c>
      <c r="U38">
        <v>17.399999999999999</v>
      </c>
      <c r="V38">
        <v>54.9</v>
      </c>
      <c r="W38">
        <v>22.3</v>
      </c>
      <c r="X38">
        <v>0</v>
      </c>
      <c r="Y38">
        <v>0.98</v>
      </c>
      <c r="Z38">
        <v>2.17</v>
      </c>
      <c r="AA38">
        <v>2.5099999999999998</v>
      </c>
      <c r="AB38">
        <v>63.14</v>
      </c>
      <c r="AC38">
        <f t="shared" si="0"/>
        <v>21.81</v>
      </c>
    </row>
    <row r="39" spans="3:29" x14ac:dyDescent="0.25">
      <c r="C39">
        <v>43483</v>
      </c>
      <c r="D39" t="s">
        <v>30</v>
      </c>
      <c r="E39" t="s">
        <v>9</v>
      </c>
      <c r="F39" t="s">
        <v>26</v>
      </c>
      <c r="G39" t="s">
        <v>0</v>
      </c>
      <c r="H39">
        <v>63.95</v>
      </c>
      <c r="I39">
        <v>1.39</v>
      </c>
      <c r="J39">
        <v>2.14</v>
      </c>
      <c r="K39">
        <f t="shared" si="1"/>
        <v>43483</v>
      </c>
      <c r="L39">
        <v>1.21</v>
      </c>
      <c r="N39">
        <v>43495</v>
      </c>
      <c r="P39" t="s">
        <v>186</v>
      </c>
      <c r="Q39" t="s">
        <v>186</v>
      </c>
      <c r="R39" t="s">
        <v>9</v>
      </c>
      <c r="S39">
        <v>0</v>
      </c>
      <c r="T39">
        <v>0</v>
      </c>
      <c r="U39">
        <v>5.56</v>
      </c>
      <c r="V39">
        <v>39.72</v>
      </c>
      <c r="W39">
        <v>46.67</v>
      </c>
      <c r="X39">
        <v>3.89</v>
      </c>
      <c r="Y39">
        <v>4.17</v>
      </c>
      <c r="Z39">
        <v>2.34</v>
      </c>
      <c r="AA39">
        <v>2.54</v>
      </c>
      <c r="AB39">
        <v>63.56</v>
      </c>
      <c r="AC39">
        <f t="shared" si="0"/>
        <v>5.56</v>
      </c>
    </row>
    <row r="40" spans="3:29" x14ac:dyDescent="0.25">
      <c r="C40">
        <v>43484</v>
      </c>
      <c r="D40" t="s">
        <v>30</v>
      </c>
      <c r="E40" t="s">
        <v>9</v>
      </c>
      <c r="F40" t="s">
        <v>26</v>
      </c>
      <c r="G40" t="s">
        <v>0</v>
      </c>
      <c r="H40">
        <v>64.06</v>
      </c>
      <c r="I40">
        <v>1.39</v>
      </c>
      <c r="J40">
        <v>2.42</v>
      </c>
      <c r="K40">
        <f t="shared" si="1"/>
        <v>43484</v>
      </c>
      <c r="L40">
        <v>4.68</v>
      </c>
      <c r="N40">
        <v>43495</v>
      </c>
      <c r="P40" t="s">
        <v>186</v>
      </c>
      <c r="Q40" t="s">
        <v>186</v>
      </c>
      <c r="R40" t="s">
        <v>195</v>
      </c>
      <c r="S40">
        <v>0</v>
      </c>
      <c r="T40">
        <v>0</v>
      </c>
      <c r="U40">
        <v>5.31</v>
      </c>
      <c r="V40">
        <v>37.71</v>
      </c>
      <c r="W40">
        <v>49.44</v>
      </c>
      <c r="X40">
        <v>3.07</v>
      </c>
      <c r="Y40">
        <v>4.47</v>
      </c>
      <c r="Z40">
        <v>1.41</v>
      </c>
      <c r="AA40">
        <v>3.27</v>
      </c>
      <c r="AB40">
        <v>64.23</v>
      </c>
      <c r="AC40">
        <f t="shared" si="0"/>
        <v>5.31</v>
      </c>
    </row>
    <row r="41" spans="3:29" x14ac:dyDescent="0.25">
      <c r="C41">
        <v>43485</v>
      </c>
      <c r="D41" t="s">
        <v>30</v>
      </c>
      <c r="E41" t="s">
        <v>11</v>
      </c>
      <c r="F41" t="s">
        <v>26</v>
      </c>
      <c r="G41" t="s">
        <v>0</v>
      </c>
      <c r="H41">
        <v>63.14</v>
      </c>
      <c r="I41">
        <v>2.17</v>
      </c>
      <c r="J41">
        <v>2.5099999999999998</v>
      </c>
      <c r="K41">
        <f t="shared" si="1"/>
        <v>43485</v>
      </c>
      <c r="L41">
        <v>0.98</v>
      </c>
      <c r="N41">
        <v>43495</v>
      </c>
      <c r="P41" t="s">
        <v>187</v>
      </c>
      <c r="Q41" t="s">
        <v>187</v>
      </c>
      <c r="R41" t="s">
        <v>9</v>
      </c>
      <c r="S41">
        <v>0</v>
      </c>
      <c r="T41">
        <v>10.8</v>
      </c>
      <c r="U41">
        <v>22.53</v>
      </c>
      <c r="V41">
        <v>38.58</v>
      </c>
      <c r="W41">
        <v>17.28</v>
      </c>
      <c r="X41">
        <v>3.09</v>
      </c>
      <c r="Y41">
        <v>7.72</v>
      </c>
      <c r="Z41">
        <v>1.72</v>
      </c>
      <c r="AA41">
        <v>3.83</v>
      </c>
      <c r="AB41">
        <v>61.57</v>
      </c>
      <c r="AC41">
        <f t="shared" si="0"/>
        <v>33.33</v>
      </c>
    </row>
    <row r="42" spans="3:29" x14ac:dyDescent="0.25">
      <c r="C42">
        <v>43486</v>
      </c>
      <c r="D42" t="s">
        <v>30</v>
      </c>
      <c r="E42" t="s">
        <v>9</v>
      </c>
      <c r="F42" t="s">
        <v>26</v>
      </c>
      <c r="G42" t="s">
        <v>0</v>
      </c>
      <c r="H42">
        <v>63.56</v>
      </c>
      <c r="I42">
        <v>2.34</v>
      </c>
      <c r="J42">
        <v>2.54</v>
      </c>
      <c r="K42">
        <f t="shared" si="1"/>
        <v>43486</v>
      </c>
      <c r="L42">
        <v>4.17</v>
      </c>
      <c r="N42">
        <v>43495</v>
      </c>
      <c r="P42" t="s">
        <v>187</v>
      </c>
      <c r="Q42" t="s">
        <v>187</v>
      </c>
      <c r="R42" t="s">
        <v>195</v>
      </c>
      <c r="S42">
        <v>11.37</v>
      </c>
      <c r="T42">
        <v>15.08</v>
      </c>
      <c r="U42">
        <v>17.87</v>
      </c>
      <c r="V42">
        <v>28.77</v>
      </c>
      <c r="W42">
        <v>21.11</v>
      </c>
      <c r="X42">
        <v>1.1599999999999999</v>
      </c>
      <c r="Y42">
        <v>4.6399999999999997</v>
      </c>
      <c r="Z42">
        <v>8.15</v>
      </c>
      <c r="AA42">
        <v>1.23</v>
      </c>
      <c r="AB42">
        <v>59.09</v>
      </c>
      <c r="AC42">
        <f t="shared" si="0"/>
        <v>44.32</v>
      </c>
    </row>
    <row r="43" spans="3:29" x14ac:dyDescent="0.25">
      <c r="C43">
        <v>43486</v>
      </c>
      <c r="D43" t="s">
        <v>30</v>
      </c>
      <c r="E43" t="s">
        <v>11</v>
      </c>
      <c r="F43" t="s">
        <v>26</v>
      </c>
      <c r="G43" t="s">
        <v>0</v>
      </c>
      <c r="H43">
        <v>64.23</v>
      </c>
      <c r="I43">
        <v>1.41</v>
      </c>
      <c r="J43">
        <v>3.27</v>
      </c>
      <c r="K43">
        <f t="shared" si="1"/>
        <v>43486</v>
      </c>
      <c r="L43">
        <v>4.47</v>
      </c>
      <c r="N43">
        <v>43495</v>
      </c>
      <c r="P43" t="s">
        <v>188</v>
      </c>
      <c r="Q43" t="s">
        <v>188</v>
      </c>
      <c r="R43" t="s">
        <v>195</v>
      </c>
      <c r="S43">
        <v>0</v>
      </c>
      <c r="T43">
        <v>0</v>
      </c>
      <c r="U43">
        <v>0</v>
      </c>
      <c r="V43">
        <v>16.63</v>
      </c>
      <c r="W43">
        <v>69.180000000000007</v>
      </c>
      <c r="X43">
        <v>4.66</v>
      </c>
      <c r="Y43">
        <v>9.5299999999999994</v>
      </c>
      <c r="Z43">
        <v>5.41</v>
      </c>
      <c r="AA43">
        <v>1.1299999999999999</v>
      </c>
      <c r="AB43">
        <v>61.76</v>
      </c>
      <c r="AC43">
        <f t="shared" si="0"/>
        <v>0</v>
      </c>
    </row>
    <row r="44" spans="3:29" x14ac:dyDescent="0.25">
      <c r="C44">
        <v>43487</v>
      </c>
      <c r="D44" t="s">
        <v>30</v>
      </c>
      <c r="E44" t="s">
        <v>9</v>
      </c>
      <c r="F44" t="s">
        <v>26</v>
      </c>
      <c r="G44" t="s">
        <v>0</v>
      </c>
      <c r="H44">
        <v>61.57</v>
      </c>
      <c r="I44">
        <v>1.72</v>
      </c>
      <c r="J44">
        <v>3.83</v>
      </c>
      <c r="K44">
        <f t="shared" si="1"/>
        <v>43487</v>
      </c>
      <c r="L44">
        <v>7.72</v>
      </c>
      <c r="N44">
        <v>43495</v>
      </c>
      <c r="P44" t="s">
        <v>189</v>
      </c>
      <c r="Q44" t="s">
        <v>189</v>
      </c>
      <c r="R44" t="s">
        <v>9</v>
      </c>
      <c r="S44">
        <v>0</v>
      </c>
      <c r="T44">
        <v>27.32</v>
      </c>
      <c r="U44">
        <v>46.76</v>
      </c>
      <c r="V44">
        <v>23.94</v>
      </c>
      <c r="W44">
        <v>1.41</v>
      </c>
      <c r="X44">
        <v>0</v>
      </c>
      <c r="Y44">
        <v>0.56000000000000005</v>
      </c>
      <c r="Z44">
        <v>2.21</v>
      </c>
      <c r="AA44">
        <v>3.13</v>
      </c>
      <c r="AB44">
        <v>63.31</v>
      </c>
      <c r="AC44">
        <f t="shared" si="0"/>
        <v>74.08</v>
      </c>
    </row>
    <row r="45" spans="3:29" x14ac:dyDescent="0.25">
      <c r="C45">
        <v>43487</v>
      </c>
      <c r="D45" t="s">
        <v>30</v>
      </c>
      <c r="E45" t="s">
        <v>11</v>
      </c>
      <c r="F45" t="s">
        <v>26</v>
      </c>
      <c r="G45" t="s">
        <v>0</v>
      </c>
      <c r="H45">
        <v>59.09</v>
      </c>
      <c r="I45">
        <v>8.15</v>
      </c>
      <c r="J45">
        <v>1.23</v>
      </c>
      <c r="K45">
        <f t="shared" si="1"/>
        <v>43487</v>
      </c>
      <c r="L45">
        <v>4.6399999999999997</v>
      </c>
      <c r="N45">
        <v>43495</v>
      </c>
      <c r="P45" t="s">
        <v>190</v>
      </c>
      <c r="Q45" t="s">
        <v>190</v>
      </c>
      <c r="R45" t="s">
        <v>9</v>
      </c>
      <c r="S45">
        <v>0.88</v>
      </c>
      <c r="T45">
        <v>1.4</v>
      </c>
      <c r="U45">
        <v>16.32</v>
      </c>
      <c r="V45">
        <v>33.33</v>
      </c>
      <c r="W45">
        <v>34.56</v>
      </c>
      <c r="X45">
        <v>3.16</v>
      </c>
      <c r="Y45">
        <v>10.35</v>
      </c>
      <c r="Z45">
        <v>2.42</v>
      </c>
      <c r="AA45">
        <v>1.49</v>
      </c>
      <c r="AB45">
        <v>63.94</v>
      </c>
      <c r="AC45">
        <f t="shared" si="0"/>
        <v>18.600000000000001</v>
      </c>
    </row>
    <row r="46" spans="3:29" x14ac:dyDescent="0.25">
      <c r="C46">
        <v>43488</v>
      </c>
      <c r="D46" t="s">
        <v>30</v>
      </c>
      <c r="E46" t="s">
        <v>11</v>
      </c>
      <c r="F46" t="s">
        <v>26</v>
      </c>
      <c r="G46" t="s">
        <v>0</v>
      </c>
      <c r="H46">
        <v>61.76</v>
      </c>
      <c r="I46">
        <v>5.41</v>
      </c>
      <c r="J46">
        <v>1.1299999999999999</v>
      </c>
      <c r="K46">
        <f t="shared" si="1"/>
        <v>43488</v>
      </c>
      <c r="L46">
        <v>9.5299999999999994</v>
      </c>
      <c r="N46">
        <v>43495</v>
      </c>
      <c r="P46" t="s">
        <v>190</v>
      </c>
      <c r="Q46" t="s">
        <v>190</v>
      </c>
      <c r="R46" t="s">
        <v>200</v>
      </c>
      <c r="S46">
        <v>0</v>
      </c>
      <c r="T46">
        <v>0.52</v>
      </c>
      <c r="U46">
        <v>5.24</v>
      </c>
      <c r="V46">
        <v>18.88</v>
      </c>
      <c r="W46">
        <v>56.82</v>
      </c>
      <c r="X46">
        <v>5.94</v>
      </c>
      <c r="Y46">
        <v>12.59</v>
      </c>
      <c r="Z46">
        <v>1.98</v>
      </c>
      <c r="AA46">
        <v>1.54</v>
      </c>
      <c r="AB46">
        <v>64.680000000000007</v>
      </c>
      <c r="AC46">
        <f t="shared" si="0"/>
        <v>5.76</v>
      </c>
    </row>
    <row r="47" spans="3:29" x14ac:dyDescent="0.25">
      <c r="C47">
        <v>43489</v>
      </c>
      <c r="D47" t="s">
        <v>30</v>
      </c>
      <c r="E47" t="s">
        <v>9</v>
      </c>
      <c r="F47" t="s">
        <v>26</v>
      </c>
      <c r="G47" t="s">
        <v>0</v>
      </c>
      <c r="H47">
        <v>63.31</v>
      </c>
      <c r="I47">
        <v>2.21</v>
      </c>
      <c r="J47">
        <v>3.13</v>
      </c>
      <c r="K47">
        <f t="shared" si="1"/>
        <v>43489</v>
      </c>
      <c r="L47">
        <v>0.56000000000000005</v>
      </c>
      <c r="N47">
        <v>43495</v>
      </c>
      <c r="P47" t="s">
        <v>191</v>
      </c>
      <c r="Q47" t="s">
        <v>191</v>
      </c>
      <c r="R47" t="s">
        <v>9</v>
      </c>
      <c r="S47">
        <v>0</v>
      </c>
      <c r="T47">
        <v>0</v>
      </c>
      <c r="U47">
        <v>1.52</v>
      </c>
      <c r="V47">
        <v>21.59</v>
      </c>
      <c r="W47">
        <v>70.08</v>
      </c>
      <c r="X47">
        <v>4.17</v>
      </c>
      <c r="Y47">
        <v>2.65</v>
      </c>
      <c r="Z47">
        <v>4.5</v>
      </c>
      <c r="AA47">
        <v>3.32</v>
      </c>
      <c r="AB47">
        <v>62.27</v>
      </c>
      <c r="AC47">
        <f t="shared" si="0"/>
        <v>1.52</v>
      </c>
    </row>
    <row r="48" spans="3:29" x14ac:dyDescent="0.25">
      <c r="C48">
        <v>43490</v>
      </c>
      <c r="D48" t="s">
        <v>30</v>
      </c>
      <c r="E48" t="s">
        <v>9</v>
      </c>
      <c r="F48" t="s">
        <v>26</v>
      </c>
      <c r="G48" t="s">
        <v>0</v>
      </c>
      <c r="H48">
        <v>63.94</v>
      </c>
      <c r="I48">
        <v>2.42</v>
      </c>
      <c r="J48">
        <v>1.49</v>
      </c>
      <c r="K48">
        <f t="shared" si="1"/>
        <v>43490</v>
      </c>
      <c r="L48">
        <v>10.35</v>
      </c>
      <c r="N48">
        <v>43495</v>
      </c>
      <c r="P48" t="s">
        <v>191</v>
      </c>
      <c r="Q48" t="s">
        <v>191</v>
      </c>
      <c r="R48" t="s">
        <v>195</v>
      </c>
      <c r="S48">
        <v>0</v>
      </c>
      <c r="T48">
        <v>5.24</v>
      </c>
      <c r="U48">
        <v>5.5</v>
      </c>
      <c r="V48">
        <v>25.39</v>
      </c>
      <c r="W48">
        <v>61.52</v>
      </c>
      <c r="X48">
        <v>1.31</v>
      </c>
      <c r="Y48">
        <v>1.05</v>
      </c>
      <c r="Z48">
        <v>1.2</v>
      </c>
      <c r="AA48">
        <v>4.59</v>
      </c>
      <c r="AB48">
        <v>63.75</v>
      </c>
      <c r="AC48">
        <f t="shared" si="0"/>
        <v>10.74</v>
      </c>
    </row>
    <row r="49" spans="3:29" x14ac:dyDescent="0.25">
      <c r="C49">
        <v>43490</v>
      </c>
      <c r="D49" t="s">
        <v>30</v>
      </c>
      <c r="E49" t="s">
        <v>44</v>
      </c>
      <c r="F49" t="s">
        <v>26</v>
      </c>
      <c r="G49" t="s">
        <v>0</v>
      </c>
      <c r="H49">
        <v>64.680000000000007</v>
      </c>
      <c r="I49">
        <v>1.98</v>
      </c>
      <c r="J49">
        <v>1.54</v>
      </c>
      <c r="K49">
        <f t="shared" si="1"/>
        <v>43490</v>
      </c>
      <c r="L49">
        <v>12.59</v>
      </c>
      <c r="N49">
        <v>43495</v>
      </c>
      <c r="P49" t="s">
        <v>192</v>
      </c>
      <c r="Q49" t="s">
        <v>192</v>
      </c>
      <c r="R49" t="s">
        <v>9</v>
      </c>
      <c r="S49">
        <v>0</v>
      </c>
      <c r="T49">
        <v>0.47</v>
      </c>
      <c r="U49">
        <v>10.56</v>
      </c>
      <c r="V49">
        <v>37.56</v>
      </c>
      <c r="W49">
        <v>46.95</v>
      </c>
      <c r="X49">
        <v>2.35</v>
      </c>
      <c r="Y49">
        <v>2.11</v>
      </c>
      <c r="Z49">
        <v>7.52</v>
      </c>
      <c r="AA49">
        <v>2.12</v>
      </c>
      <c r="AB49">
        <v>60.53</v>
      </c>
      <c r="AC49">
        <f t="shared" si="0"/>
        <v>11.030000000000001</v>
      </c>
    </row>
    <row r="50" spans="3:29" x14ac:dyDescent="0.25">
      <c r="C50">
        <v>43491</v>
      </c>
      <c r="D50" t="s">
        <v>30</v>
      </c>
      <c r="E50" t="s">
        <v>9</v>
      </c>
      <c r="F50" t="s">
        <v>26</v>
      </c>
      <c r="G50" t="s">
        <v>0</v>
      </c>
      <c r="H50">
        <v>62.27</v>
      </c>
      <c r="I50">
        <v>4.5</v>
      </c>
      <c r="J50">
        <v>3.32</v>
      </c>
      <c r="K50">
        <f t="shared" si="1"/>
        <v>43491</v>
      </c>
      <c r="L50">
        <v>2.65</v>
      </c>
      <c r="N50">
        <v>43495</v>
      </c>
      <c r="P50" t="s">
        <v>192</v>
      </c>
      <c r="Q50" t="s">
        <v>192</v>
      </c>
      <c r="R50" t="s">
        <v>195</v>
      </c>
      <c r="S50">
        <v>0</v>
      </c>
      <c r="T50">
        <v>2.71</v>
      </c>
      <c r="U50">
        <v>14.45</v>
      </c>
      <c r="V50">
        <v>43.57</v>
      </c>
      <c r="W50">
        <v>37.25</v>
      </c>
      <c r="X50">
        <v>0.68</v>
      </c>
      <c r="Y50">
        <v>1.35</v>
      </c>
      <c r="Z50">
        <v>2.0099999999999998</v>
      </c>
      <c r="AA50">
        <v>2.8</v>
      </c>
      <c r="AB50">
        <v>62.42</v>
      </c>
      <c r="AC50">
        <f t="shared" si="0"/>
        <v>17.16</v>
      </c>
    </row>
    <row r="51" spans="3:29" x14ac:dyDescent="0.25">
      <c r="C51">
        <v>43491</v>
      </c>
      <c r="D51" t="s">
        <v>30</v>
      </c>
      <c r="E51" t="s">
        <v>11</v>
      </c>
      <c r="F51" t="s">
        <v>26</v>
      </c>
      <c r="G51" t="s">
        <v>0</v>
      </c>
      <c r="H51">
        <v>63.75</v>
      </c>
      <c r="I51">
        <v>1.2</v>
      </c>
      <c r="J51">
        <v>4.59</v>
      </c>
      <c r="K51">
        <f t="shared" si="1"/>
        <v>43491</v>
      </c>
      <c r="L51">
        <v>1.05</v>
      </c>
      <c r="N51">
        <v>43495</v>
      </c>
      <c r="P51" t="s">
        <v>193</v>
      </c>
      <c r="Q51" t="s">
        <v>193</v>
      </c>
      <c r="R51" t="s">
        <v>200</v>
      </c>
      <c r="S51">
        <v>0</v>
      </c>
      <c r="T51">
        <v>1.06</v>
      </c>
      <c r="U51">
        <v>4.88</v>
      </c>
      <c r="V51">
        <v>37.369999999999997</v>
      </c>
      <c r="W51">
        <v>48.41</v>
      </c>
      <c r="X51">
        <v>4.67</v>
      </c>
      <c r="Y51">
        <v>3.61</v>
      </c>
      <c r="Z51">
        <v>2.0099999999999998</v>
      </c>
      <c r="AA51">
        <v>2.29</v>
      </c>
      <c r="AB51">
        <v>64.02</v>
      </c>
      <c r="AC51">
        <f t="shared" si="0"/>
        <v>5.9399999999999995</v>
      </c>
    </row>
    <row r="52" spans="3:29" x14ac:dyDescent="0.25">
      <c r="C52">
        <v>43492</v>
      </c>
      <c r="D52" t="s">
        <v>30</v>
      </c>
      <c r="E52" t="s">
        <v>9</v>
      </c>
      <c r="F52" t="s">
        <v>26</v>
      </c>
      <c r="G52" t="s">
        <v>0</v>
      </c>
      <c r="H52">
        <v>60.53</v>
      </c>
      <c r="I52">
        <v>7.52</v>
      </c>
      <c r="J52">
        <v>2.12</v>
      </c>
      <c r="K52">
        <f t="shared" si="1"/>
        <v>43492</v>
      </c>
      <c r="L52">
        <v>2.11</v>
      </c>
      <c r="N52">
        <v>43495</v>
      </c>
      <c r="P52" t="s">
        <v>193</v>
      </c>
      <c r="Q52" t="s">
        <v>193</v>
      </c>
      <c r="R52" t="s">
        <v>195</v>
      </c>
      <c r="S52">
        <v>0</v>
      </c>
      <c r="T52">
        <v>4.1399999999999997</v>
      </c>
      <c r="U52">
        <v>17.13</v>
      </c>
      <c r="V52">
        <v>40.61</v>
      </c>
      <c r="W52">
        <v>35.64</v>
      </c>
      <c r="X52">
        <v>1.38</v>
      </c>
      <c r="Y52">
        <v>1.1000000000000001</v>
      </c>
      <c r="Z52">
        <v>1.89</v>
      </c>
      <c r="AA52">
        <v>2.54</v>
      </c>
      <c r="AB52">
        <v>64.180000000000007</v>
      </c>
      <c r="AC52">
        <f t="shared" si="0"/>
        <v>21.27</v>
      </c>
    </row>
    <row r="53" spans="3:29" x14ac:dyDescent="0.25">
      <c r="C53">
        <v>43492</v>
      </c>
      <c r="D53" t="s">
        <v>30</v>
      </c>
      <c r="E53" t="s">
        <v>11</v>
      </c>
      <c r="F53" t="s">
        <v>26</v>
      </c>
      <c r="G53" t="s">
        <v>0</v>
      </c>
      <c r="H53">
        <v>62.42</v>
      </c>
      <c r="I53">
        <v>2.0099999999999998</v>
      </c>
      <c r="J53">
        <v>2.8</v>
      </c>
      <c r="K53">
        <f t="shared" si="1"/>
        <v>43492</v>
      </c>
      <c r="L53">
        <v>1.35</v>
      </c>
      <c r="N53">
        <v>43495</v>
      </c>
      <c r="P53" t="s">
        <v>194</v>
      </c>
      <c r="Q53" t="s">
        <v>194</v>
      </c>
      <c r="R53" t="s">
        <v>9</v>
      </c>
      <c r="S53">
        <v>0</v>
      </c>
      <c r="T53">
        <v>20.309999999999999</v>
      </c>
      <c r="U53">
        <v>34.380000000000003</v>
      </c>
      <c r="V53">
        <v>38.130000000000003</v>
      </c>
      <c r="W53">
        <v>6.25</v>
      </c>
      <c r="X53">
        <v>0</v>
      </c>
      <c r="Y53">
        <v>0.94</v>
      </c>
      <c r="Z53">
        <v>2</v>
      </c>
      <c r="AA53">
        <v>1.86</v>
      </c>
      <c r="AB53">
        <v>63.81</v>
      </c>
      <c r="AC53">
        <f t="shared" si="0"/>
        <v>54.69</v>
      </c>
    </row>
    <row r="54" spans="3:29" x14ac:dyDescent="0.25">
      <c r="C54">
        <v>43493</v>
      </c>
      <c r="D54" t="s">
        <v>30</v>
      </c>
      <c r="E54" t="s">
        <v>44</v>
      </c>
      <c r="F54" t="s">
        <v>26</v>
      </c>
      <c r="G54" t="s">
        <v>0</v>
      </c>
      <c r="H54">
        <v>64.02</v>
      </c>
      <c r="I54">
        <v>2.0099999999999998</v>
      </c>
      <c r="J54">
        <v>2.29</v>
      </c>
      <c r="K54">
        <f t="shared" si="1"/>
        <v>43493</v>
      </c>
      <c r="L54">
        <v>3.61</v>
      </c>
      <c r="N54">
        <v>43495</v>
      </c>
    </row>
    <row r="55" spans="3:29" x14ac:dyDescent="0.25">
      <c r="C55">
        <v>43493</v>
      </c>
      <c r="D55" t="s">
        <v>30</v>
      </c>
      <c r="E55" t="s">
        <v>11</v>
      </c>
      <c r="F55" t="s">
        <v>26</v>
      </c>
      <c r="G55" t="s">
        <v>0</v>
      </c>
      <c r="H55">
        <v>64.180000000000007</v>
      </c>
      <c r="I55">
        <v>1.89</v>
      </c>
      <c r="J55">
        <v>2.54</v>
      </c>
      <c r="K55">
        <f t="shared" si="1"/>
        <v>43493</v>
      </c>
      <c r="L55">
        <v>1.1000000000000001</v>
      </c>
      <c r="N55">
        <v>43495</v>
      </c>
    </row>
    <row r="56" spans="3:29" x14ac:dyDescent="0.25">
      <c r="C56">
        <v>43494</v>
      </c>
      <c r="D56" t="s">
        <v>30</v>
      </c>
      <c r="E56" t="s">
        <v>9</v>
      </c>
      <c r="F56" t="s">
        <v>26</v>
      </c>
      <c r="G56" t="s">
        <v>0</v>
      </c>
      <c r="H56">
        <v>63.81</v>
      </c>
      <c r="I56">
        <v>2</v>
      </c>
      <c r="J56">
        <v>1.86</v>
      </c>
      <c r="K56">
        <f t="shared" si="1"/>
        <v>43494</v>
      </c>
      <c r="L56">
        <v>0.94</v>
      </c>
      <c r="N56">
        <v>43495</v>
      </c>
    </row>
    <row r="57" spans="3:29" x14ac:dyDescent="0.25">
      <c r="D57" t="s">
        <v>30</v>
      </c>
    </row>
  </sheetData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B7:O28"/>
  <sheetViews>
    <sheetView workbookViewId="0">
      <selection activeCell="E121" sqref="E121:K121"/>
    </sheetView>
  </sheetViews>
  <sheetFormatPr defaultRowHeight="12.5" x14ac:dyDescent="0.25"/>
  <sheetData>
    <row r="7" spans="2:15" x14ac:dyDescent="0.25">
      <c r="B7" t="s">
        <v>214</v>
      </c>
    </row>
    <row r="8" spans="2:15" ht="13" thickBot="1" x14ac:dyDescent="0.3">
      <c r="C8" t="s">
        <v>32</v>
      </c>
      <c r="D8" t="s">
        <v>33</v>
      </c>
      <c r="E8" t="s">
        <v>34</v>
      </c>
      <c r="F8" t="s">
        <v>35</v>
      </c>
      <c r="G8" t="s">
        <v>36</v>
      </c>
      <c r="K8" t="s">
        <v>32</v>
      </c>
      <c r="L8" t="s">
        <v>33</v>
      </c>
      <c r="M8" t="s">
        <v>34</v>
      </c>
      <c r="N8" t="s">
        <v>35</v>
      </c>
      <c r="O8" t="s">
        <v>36</v>
      </c>
    </row>
    <row r="9" spans="2:15" ht="13" thickBot="1" x14ac:dyDescent="0.3">
      <c r="B9" t="s">
        <v>70</v>
      </c>
      <c r="C9">
        <v>62.5</v>
      </c>
      <c r="D9">
        <v>2.7</v>
      </c>
      <c r="E9">
        <v>2.6</v>
      </c>
      <c r="F9">
        <v>10</v>
      </c>
      <c r="G9">
        <v>5</v>
      </c>
      <c r="J9" t="s">
        <v>90</v>
      </c>
      <c r="K9">
        <v>62.67</v>
      </c>
      <c r="L9">
        <v>2.71</v>
      </c>
      <c r="M9">
        <v>2.44</v>
      </c>
      <c r="N9">
        <v>2.78</v>
      </c>
      <c r="O9">
        <v>10</v>
      </c>
    </row>
    <row r="10" spans="2:15" ht="13" thickBot="1" x14ac:dyDescent="0.3">
      <c r="B10" t="s">
        <v>69</v>
      </c>
      <c r="C10">
        <v>62.7</v>
      </c>
      <c r="D10">
        <v>2.7</v>
      </c>
      <c r="E10">
        <v>2.4</v>
      </c>
      <c r="F10">
        <v>10</v>
      </c>
      <c r="G10">
        <v>10</v>
      </c>
      <c r="J10" t="s">
        <v>91</v>
      </c>
      <c r="K10">
        <v>62.17</v>
      </c>
      <c r="L10">
        <v>2.8</v>
      </c>
      <c r="M10">
        <v>2.9</v>
      </c>
      <c r="N10">
        <v>11.67</v>
      </c>
      <c r="O10">
        <v>11.67</v>
      </c>
    </row>
    <row r="11" spans="2:15" ht="13" thickBot="1" x14ac:dyDescent="0.3">
      <c r="B11" t="s">
        <v>72</v>
      </c>
      <c r="C11">
        <v>62.5</v>
      </c>
      <c r="D11">
        <v>3</v>
      </c>
      <c r="E11">
        <v>2.2000000000000002</v>
      </c>
      <c r="F11">
        <v>10</v>
      </c>
      <c r="G11">
        <v>10</v>
      </c>
      <c r="J11" t="s">
        <v>92</v>
      </c>
      <c r="K11">
        <v>62.64</v>
      </c>
      <c r="L11">
        <v>2.79</v>
      </c>
      <c r="M11">
        <v>2.34</v>
      </c>
      <c r="N11">
        <v>5</v>
      </c>
      <c r="O11">
        <v>10</v>
      </c>
    </row>
    <row r="12" spans="2:15" ht="13" thickBot="1" x14ac:dyDescent="0.3">
      <c r="B12" t="s">
        <v>71</v>
      </c>
      <c r="C12">
        <v>63</v>
      </c>
      <c r="D12">
        <v>2.1</v>
      </c>
      <c r="E12">
        <v>2.2999999999999998</v>
      </c>
      <c r="F12">
        <v>10</v>
      </c>
      <c r="G12">
        <v>10</v>
      </c>
      <c r="J12" t="s">
        <v>93</v>
      </c>
      <c r="K12">
        <v>62.78</v>
      </c>
      <c r="L12">
        <v>2.5099999999999998</v>
      </c>
      <c r="M12">
        <v>2.44</v>
      </c>
      <c r="N12">
        <v>1.73</v>
      </c>
      <c r="O12">
        <v>10</v>
      </c>
    </row>
    <row r="13" spans="2:15" ht="13" thickBot="1" x14ac:dyDescent="0.3">
      <c r="B13" t="s">
        <v>66</v>
      </c>
      <c r="C13">
        <v>62.7</v>
      </c>
      <c r="D13">
        <v>2.8</v>
      </c>
      <c r="E13">
        <v>2.5</v>
      </c>
      <c r="F13">
        <v>10</v>
      </c>
      <c r="G13">
        <v>10</v>
      </c>
      <c r="J13" t="s">
        <v>94</v>
      </c>
      <c r="K13">
        <v>62.67</v>
      </c>
      <c r="L13">
        <v>2.75</v>
      </c>
      <c r="M13">
        <v>2.35</v>
      </c>
      <c r="N13">
        <v>3.85</v>
      </c>
      <c r="O13">
        <v>10</v>
      </c>
    </row>
    <row r="14" spans="2:15" ht="13" thickBot="1" x14ac:dyDescent="0.3">
      <c r="B14" t="s">
        <v>68</v>
      </c>
      <c r="C14">
        <v>62.5</v>
      </c>
      <c r="D14">
        <v>3</v>
      </c>
      <c r="E14">
        <v>2.5</v>
      </c>
      <c r="F14">
        <v>10</v>
      </c>
      <c r="G14">
        <v>10</v>
      </c>
      <c r="J14" t="s">
        <v>95</v>
      </c>
    </row>
    <row r="15" spans="2:15" ht="13" thickBot="1" x14ac:dyDescent="0.3">
      <c r="B15" t="s">
        <v>80</v>
      </c>
      <c r="C15">
        <v>50</v>
      </c>
      <c r="D15">
        <v>2.25</v>
      </c>
      <c r="E15">
        <v>3.5</v>
      </c>
      <c r="F15">
        <v>5</v>
      </c>
      <c r="G15">
        <v>5</v>
      </c>
      <c r="J15" t="s">
        <v>96</v>
      </c>
    </row>
    <row r="16" spans="2:15" ht="13" thickBot="1" x14ac:dyDescent="0.3">
      <c r="B16" t="s">
        <v>81</v>
      </c>
      <c r="C16">
        <v>43</v>
      </c>
      <c r="D16">
        <v>5</v>
      </c>
      <c r="E16">
        <v>6.5</v>
      </c>
      <c r="F16">
        <v>15</v>
      </c>
      <c r="G16">
        <v>10</v>
      </c>
      <c r="J16" t="s">
        <v>97</v>
      </c>
    </row>
    <row r="17" spans="2:15" ht="13" thickBot="1" x14ac:dyDescent="0.3">
      <c r="B17" t="s">
        <v>82</v>
      </c>
      <c r="C17">
        <v>30</v>
      </c>
      <c r="D17">
        <v>18</v>
      </c>
      <c r="E17">
        <v>5</v>
      </c>
      <c r="F17">
        <v>5</v>
      </c>
      <c r="G17">
        <v>10</v>
      </c>
      <c r="J17" t="s">
        <v>98</v>
      </c>
      <c r="K17">
        <v>62.38</v>
      </c>
      <c r="L17">
        <v>3.15</v>
      </c>
      <c r="M17">
        <v>2.72</v>
      </c>
      <c r="N17">
        <v>5.45</v>
      </c>
      <c r="O17">
        <v>31.74</v>
      </c>
    </row>
    <row r="18" spans="2:15" ht="13" thickBot="1" x14ac:dyDescent="0.3">
      <c r="B18" t="s">
        <v>73</v>
      </c>
      <c r="C18">
        <v>63</v>
      </c>
      <c r="D18">
        <v>2</v>
      </c>
      <c r="E18">
        <v>2.2000000000000002</v>
      </c>
      <c r="F18">
        <v>10</v>
      </c>
      <c r="G18">
        <v>10</v>
      </c>
      <c r="J18" t="s">
        <v>99</v>
      </c>
      <c r="K18">
        <v>62.17</v>
      </c>
      <c r="L18">
        <v>3.36</v>
      </c>
      <c r="M18">
        <v>2.83</v>
      </c>
      <c r="N18">
        <v>7.17</v>
      </c>
      <c r="O18">
        <v>31.83</v>
      </c>
    </row>
    <row r="19" spans="2:15" ht="13" thickBot="1" x14ac:dyDescent="0.3">
      <c r="B19" t="s">
        <v>76</v>
      </c>
      <c r="C19">
        <v>62</v>
      </c>
      <c r="D19">
        <v>2.8</v>
      </c>
      <c r="E19">
        <v>3.2</v>
      </c>
      <c r="F19">
        <v>5</v>
      </c>
      <c r="G19">
        <v>30</v>
      </c>
      <c r="J19" t="s">
        <v>100</v>
      </c>
      <c r="K19">
        <v>62.5</v>
      </c>
      <c r="L19">
        <v>2.9</v>
      </c>
      <c r="M19">
        <v>2.8</v>
      </c>
      <c r="N19">
        <v>5</v>
      </c>
      <c r="O19">
        <v>33.65</v>
      </c>
    </row>
    <row r="20" spans="2:15" ht="13" thickBot="1" x14ac:dyDescent="0.3">
      <c r="B20" t="s">
        <v>75</v>
      </c>
      <c r="C20">
        <v>62.5</v>
      </c>
      <c r="D20">
        <v>2.9</v>
      </c>
      <c r="E20">
        <v>2.8</v>
      </c>
      <c r="F20">
        <v>5</v>
      </c>
      <c r="G20">
        <v>35</v>
      </c>
      <c r="J20" t="s">
        <v>101</v>
      </c>
      <c r="K20">
        <v>62.47</v>
      </c>
      <c r="L20">
        <v>3</v>
      </c>
      <c r="M20">
        <v>2.68</v>
      </c>
      <c r="N20">
        <v>5.12</v>
      </c>
      <c r="O20">
        <v>33.33</v>
      </c>
    </row>
    <row r="21" spans="2:15" ht="13" thickBot="1" x14ac:dyDescent="0.3">
      <c r="B21" t="s">
        <v>78</v>
      </c>
      <c r="C21">
        <v>62.5</v>
      </c>
      <c r="D21">
        <v>2.9</v>
      </c>
      <c r="E21">
        <v>2.8</v>
      </c>
      <c r="F21">
        <v>5</v>
      </c>
      <c r="G21">
        <v>45</v>
      </c>
      <c r="J21" t="s">
        <v>102</v>
      </c>
      <c r="K21">
        <v>62.42</v>
      </c>
      <c r="L21">
        <v>3.06</v>
      </c>
      <c r="M21">
        <v>2.77</v>
      </c>
      <c r="N21">
        <v>5</v>
      </c>
      <c r="O21">
        <v>35.71</v>
      </c>
    </row>
    <row r="22" spans="2:15" ht="13" thickBot="1" x14ac:dyDescent="0.3">
      <c r="B22" t="s">
        <v>77</v>
      </c>
      <c r="C22">
        <v>63</v>
      </c>
      <c r="D22">
        <v>2.4</v>
      </c>
      <c r="E22">
        <v>2.5</v>
      </c>
      <c r="F22">
        <v>5</v>
      </c>
      <c r="G22">
        <v>40</v>
      </c>
      <c r="J22" t="s">
        <v>103</v>
      </c>
    </row>
    <row r="23" spans="2:15" ht="13" thickBot="1" x14ac:dyDescent="0.3">
      <c r="B23" t="s">
        <v>67</v>
      </c>
      <c r="C23">
        <v>62.5</v>
      </c>
      <c r="D23">
        <v>3.2</v>
      </c>
      <c r="E23">
        <v>2.6</v>
      </c>
      <c r="F23">
        <v>5</v>
      </c>
      <c r="G23">
        <v>30</v>
      </c>
      <c r="J23" t="s">
        <v>145</v>
      </c>
      <c r="K23">
        <v>62.98</v>
      </c>
      <c r="L23">
        <v>2.62</v>
      </c>
      <c r="M23">
        <v>2.63</v>
      </c>
      <c r="N23">
        <v>7.97</v>
      </c>
      <c r="O23">
        <v>34</v>
      </c>
    </row>
    <row r="24" spans="2:15" x14ac:dyDescent="0.25">
      <c r="B24" t="s">
        <v>74</v>
      </c>
      <c r="C24">
        <v>62</v>
      </c>
      <c r="D24">
        <v>3.9</v>
      </c>
      <c r="E24">
        <v>2.6</v>
      </c>
      <c r="F24">
        <v>5</v>
      </c>
      <c r="G24">
        <v>35</v>
      </c>
      <c r="J24" t="s">
        <v>144</v>
      </c>
      <c r="K24">
        <v>62</v>
      </c>
      <c r="L24">
        <v>3.48</v>
      </c>
      <c r="M24">
        <v>2.88</v>
      </c>
      <c r="N24">
        <v>6.21</v>
      </c>
      <c r="O24">
        <v>34.58</v>
      </c>
    </row>
    <row r="25" spans="2:15" x14ac:dyDescent="0.25">
      <c r="B25" t="s">
        <v>153</v>
      </c>
      <c r="C25">
        <v>62</v>
      </c>
      <c r="D25">
        <v>2.4</v>
      </c>
      <c r="E25">
        <v>2.4</v>
      </c>
      <c r="F25">
        <v>10</v>
      </c>
      <c r="G25">
        <v>10</v>
      </c>
    </row>
    <row r="26" spans="2:15" x14ac:dyDescent="0.25">
      <c r="B26" t="s">
        <v>154</v>
      </c>
      <c r="C26">
        <v>62</v>
      </c>
      <c r="D26">
        <v>3</v>
      </c>
      <c r="E26">
        <v>3</v>
      </c>
      <c r="F26">
        <v>10</v>
      </c>
      <c r="G26">
        <v>40</v>
      </c>
    </row>
    <row r="27" spans="2:15" ht="13" thickBot="1" x14ac:dyDescent="0.3">
      <c r="B27" t="s">
        <v>83</v>
      </c>
    </row>
    <row r="28" spans="2:15" x14ac:dyDescent="0.25">
      <c r="B28" t="s">
        <v>79</v>
      </c>
      <c r="C28">
        <v>63</v>
      </c>
      <c r="D28">
        <v>2.4</v>
      </c>
      <c r="E28">
        <v>2.6</v>
      </c>
      <c r="F28">
        <v>5</v>
      </c>
      <c r="G28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630</vt:i4>
      </vt:variant>
    </vt:vector>
  </HeadingPairs>
  <TitlesOfParts>
    <vt:vector size="647" baseType="lpstr">
      <vt:lpstr>Quality</vt:lpstr>
      <vt:lpstr>Plants</vt:lpstr>
      <vt:lpstr>Mines</vt:lpstr>
      <vt:lpstr>Data</vt:lpstr>
      <vt:lpstr>Quality Norms</vt:lpstr>
      <vt:lpstr>Report</vt:lpstr>
      <vt:lpstr>Norm</vt:lpstr>
      <vt:lpstr>Test</vt:lpstr>
      <vt:lpstr>CURRENT MONTH</vt:lpstr>
      <vt:lpstr>CURR MON_ mines</vt:lpstr>
      <vt:lpstr>MonthlyAvg</vt:lpstr>
      <vt:lpstr>Dir Quality Report</vt:lpstr>
      <vt:lpstr>MonthlySD</vt:lpstr>
      <vt:lpstr>norm2019-20</vt:lpstr>
      <vt:lpstr>Sheet1</vt:lpstr>
      <vt:lpstr>Sheet2</vt:lpstr>
      <vt:lpstr>norm2018-19</vt:lpstr>
      <vt:lpstr>Data!Criteria</vt:lpstr>
      <vt:lpstr>Data!ExternalData_1670</vt:lpstr>
      <vt:lpstr>Data!ExternalData_1671</vt:lpstr>
      <vt:lpstr>Data!ExternalData_1672</vt:lpstr>
      <vt:lpstr>Data!ExternalData_1673</vt:lpstr>
      <vt:lpstr>Data!ExternalData_1674</vt:lpstr>
      <vt:lpstr>Data!ExternalData_1675</vt:lpstr>
      <vt:lpstr>Data!ExternalData_1676</vt:lpstr>
      <vt:lpstr>Data!ExternalData_1677</vt:lpstr>
      <vt:lpstr>Data!ExternalData_1678</vt:lpstr>
      <vt:lpstr>Data!ExternalData_1679</vt:lpstr>
      <vt:lpstr>Data!ExternalData_1680</vt:lpstr>
      <vt:lpstr>Data!ExternalData_1681</vt:lpstr>
      <vt:lpstr>Data!ExternalData_1682</vt:lpstr>
      <vt:lpstr>Data!ExternalData_1683</vt:lpstr>
      <vt:lpstr>Data!ExternalData_1684</vt:lpstr>
      <vt:lpstr>Data!ExternalData_1685</vt:lpstr>
      <vt:lpstr>Data!ExternalData_1686</vt:lpstr>
      <vt:lpstr>Data!ExternalData_1687</vt:lpstr>
      <vt:lpstr>Data!ExternalData_1688</vt:lpstr>
      <vt:lpstr>Data!ExternalData_1689</vt:lpstr>
      <vt:lpstr>Data!ExternalData_1690</vt:lpstr>
      <vt:lpstr>Data!ExternalData_1691</vt:lpstr>
      <vt:lpstr>Data!ExternalData_1692</vt:lpstr>
      <vt:lpstr>Data!ExternalData_1693</vt:lpstr>
      <vt:lpstr>Data!ExternalData_1694</vt:lpstr>
      <vt:lpstr>Data!ExternalData_1695</vt:lpstr>
      <vt:lpstr>Data!ExternalData_1696</vt:lpstr>
      <vt:lpstr>Data!ExternalData_1697</vt:lpstr>
      <vt:lpstr>Data!ExternalData_1698</vt:lpstr>
      <vt:lpstr>Data!ExternalData_1699</vt:lpstr>
      <vt:lpstr>Data!ExternalData_1700</vt:lpstr>
      <vt:lpstr>Data!ExternalData_1701</vt:lpstr>
      <vt:lpstr>Data!ExternalData_1702</vt:lpstr>
      <vt:lpstr>Data!ExternalData_1703</vt:lpstr>
      <vt:lpstr>Data!ExternalData_1704</vt:lpstr>
      <vt:lpstr>Data!ExternalData_1705</vt:lpstr>
      <vt:lpstr>Data!ExternalData_1706</vt:lpstr>
      <vt:lpstr>Data!ExternalData_1707</vt:lpstr>
      <vt:lpstr>Data!ExternalData_1708</vt:lpstr>
      <vt:lpstr>Data!ExternalData_1709</vt:lpstr>
      <vt:lpstr>Data!ExternalData_1710</vt:lpstr>
      <vt:lpstr>Data!ExternalData_1711</vt:lpstr>
      <vt:lpstr>Data!ExternalData_1712</vt:lpstr>
      <vt:lpstr>Data!ExternalData_1713</vt:lpstr>
      <vt:lpstr>Data!ExternalData_1714</vt:lpstr>
      <vt:lpstr>Data!ExternalData_1715</vt:lpstr>
      <vt:lpstr>Data!ExternalData_1716</vt:lpstr>
      <vt:lpstr>Data!ExternalData_1717</vt:lpstr>
      <vt:lpstr>Data!ExternalData_1718</vt:lpstr>
      <vt:lpstr>Data!ExternalData_1719</vt:lpstr>
      <vt:lpstr>Data!ExternalData_1720</vt:lpstr>
      <vt:lpstr>Data!ExternalData_1721</vt:lpstr>
      <vt:lpstr>Data!ExternalData_1722</vt:lpstr>
      <vt:lpstr>Data!ExternalData_1723</vt:lpstr>
      <vt:lpstr>Data!ExternalData_1724</vt:lpstr>
      <vt:lpstr>Data!ExternalData_1725</vt:lpstr>
      <vt:lpstr>Data!ExternalData_1726</vt:lpstr>
      <vt:lpstr>Data!ExternalData_1727</vt:lpstr>
      <vt:lpstr>Data!ExternalData_1728</vt:lpstr>
      <vt:lpstr>Data!ExternalData_1729</vt:lpstr>
      <vt:lpstr>Data!ExternalData_1730</vt:lpstr>
      <vt:lpstr>Data!ExternalData_1731</vt:lpstr>
      <vt:lpstr>Data!ExternalData_1732</vt:lpstr>
      <vt:lpstr>Data!ExternalData_1733</vt:lpstr>
      <vt:lpstr>Data!ExternalData_1734</vt:lpstr>
      <vt:lpstr>Data!ExternalData_1735</vt:lpstr>
      <vt:lpstr>Data!ExternalData_1736</vt:lpstr>
      <vt:lpstr>Data!ExternalData_1737</vt:lpstr>
      <vt:lpstr>Data!ExternalData_1738</vt:lpstr>
      <vt:lpstr>Data!ExternalData_1739</vt:lpstr>
      <vt:lpstr>Data!ExternalData_1740</vt:lpstr>
      <vt:lpstr>Data!ExternalData_1741</vt:lpstr>
      <vt:lpstr>Data!ExternalData_1742</vt:lpstr>
      <vt:lpstr>Data!ExternalData_1743</vt:lpstr>
      <vt:lpstr>Data!ExternalData_1744</vt:lpstr>
      <vt:lpstr>Data!ExternalData_1745</vt:lpstr>
      <vt:lpstr>Data!ExternalData_1746</vt:lpstr>
      <vt:lpstr>Data!ExternalData_1747</vt:lpstr>
      <vt:lpstr>Data!ExternalData_1748</vt:lpstr>
      <vt:lpstr>Data!ExternalData_1749</vt:lpstr>
      <vt:lpstr>Data!ExternalData_1750</vt:lpstr>
      <vt:lpstr>Data!ExternalData_1751</vt:lpstr>
      <vt:lpstr>Data!ExternalData_1752</vt:lpstr>
      <vt:lpstr>Data!ExternalData_1753</vt:lpstr>
      <vt:lpstr>Data!ExternalData_1754</vt:lpstr>
      <vt:lpstr>Data!ExternalData_1755</vt:lpstr>
      <vt:lpstr>Data!ExternalData_1756</vt:lpstr>
      <vt:lpstr>Data!ExternalData_1757</vt:lpstr>
      <vt:lpstr>Data!ExternalData_1758</vt:lpstr>
      <vt:lpstr>Data!ExternalData_1759</vt:lpstr>
      <vt:lpstr>Data!ExternalData_1760</vt:lpstr>
      <vt:lpstr>Data!ExternalData_1761</vt:lpstr>
      <vt:lpstr>Data!ExternalData_1762</vt:lpstr>
      <vt:lpstr>Data!ExternalData_1763</vt:lpstr>
      <vt:lpstr>Data!ExternalData_1764</vt:lpstr>
      <vt:lpstr>Data!ExternalData_1765</vt:lpstr>
      <vt:lpstr>Data!ExternalData_1766</vt:lpstr>
      <vt:lpstr>Data!ExternalData_1767</vt:lpstr>
      <vt:lpstr>Data!ExternalData_1768</vt:lpstr>
      <vt:lpstr>Data!ExternalData_1769</vt:lpstr>
      <vt:lpstr>Data!ExternalData_1770</vt:lpstr>
      <vt:lpstr>Data!ExternalData_1771</vt:lpstr>
      <vt:lpstr>Data!ExternalData_1772</vt:lpstr>
      <vt:lpstr>Data!ExternalData_1773</vt:lpstr>
      <vt:lpstr>Data!ExternalData_1774</vt:lpstr>
      <vt:lpstr>Data!ExternalData_1775</vt:lpstr>
      <vt:lpstr>Data!ExternalData_1776</vt:lpstr>
      <vt:lpstr>Data!ExternalData_1777</vt:lpstr>
      <vt:lpstr>Data!ExternalData_1778</vt:lpstr>
      <vt:lpstr>Data!ExternalData_1779</vt:lpstr>
      <vt:lpstr>Data!ExternalData_1780</vt:lpstr>
      <vt:lpstr>Data!ExternalData_1781</vt:lpstr>
      <vt:lpstr>Data!ExternalData_1782</vt:lpstr>
      <vt:lpstr>Data!ExternalData_1783</vt:lpstr>
      <vt:lpstr>Data!ExternalData_1784</vt:lpstr>
      <vt:lpstr>Data!ExternalData_1785</vt:lpstr>
      <vt:lpstr>Data!ExternalData_1786</vt:lpstr>
      <vt:lpstr>Data!ExternalData_1787</vt:lpstr>
      <vt:lpstr>Data!ExternalData_1788</vt:lpstr>
      <vt:lpstr>Data!ExternalData_1789</vt:lpstr>
      <vt:lpstr>Data!ExternalData_1790</vt:lpstr>
      <vt:lpstr>Data!ExternalData_1791</vt:lpstr>
      <vt:lpstr>Data!ExternalData_1792</vt:lpstr>
      <vt:lpstr>Data!ExternalData_1793</vt:lpstr>
      <vt:lpstr>Data!ExternalData_1794</vt:lpstr>
      <vt:lpstr>Data!ExternalData_1795</vt:lpstr>
      <vt:lpstr>Data!ExternalData_1796</vt:lpstr>
      <vt:lpstr>Data!ExternalData_1797</vt:lpstr>
      <vt:lpstr>Data!ExternalData_1798</vt:lpstr>
      <vt:lpstr>Data!ExternalData_1799</vt:lpstr>
      <vt:lpstr>Data!ExternalData_1800</vt:lpstr>
      <vt:lpstr>Data!ExternalData_1801</vt:lpstr>
      <vt:lpstr>Data!ExternalData_1802</vt:lpstr>
      <vt:lpstr>Data!ExternalData_1803</vt:lpstr>
      <vt:lpstr>Data!ExternalData_1804</vt:lpstr>
      <vt:lpstr>Data!ExternalData_1805</vt:lpstr>
      <vt:lpstr>Data!ExternalData_1806</vt:lpstr>
      <vt:lpstr>Data!ExternalData_1807</vt:lpstr>
      <vt:lpstr>Data!ExternalData_1808</vt:lpstr>
      <vt:lpstr>Data!ExternalData_1809</vt:lpstr>
      <vt:lpstr>Data!ExternalData_1810</vt:lpstr>
      <vt:lpstr>Data!ExternalData_1811</vt:lpstr>
      <vt:lpstr>Data!ExternalData_1812</vt:lpstr>
      <vt:lpstr>Data!ExternalData_1813</vt:lpstr>
      <vt:lpstr>Data!ExternalData_1814</vt:lpstr>
      <vt:lpstr>Data!ExternalData_1815</vt:lpstr>
      <vt:lpstr>Data!ExternalData_1816</vt:lpstr>
      <vt:lpstr>Data!ExternalData_1817</vt:lpstr>
      <vt:lpstr>Data!ExternalData_1818</vt:lpstr>
      <vt:lpstr>Data!ExternalData_1819</vt:lpstr>
      <vt:lpstr>Data!ExternalData_1820</vt:lpstr>
      <vt:lpstr>Data!ExternalData_1821</vt:lpstr>
      <vt:lpstr>Data!ExternalData_1822</vt:lpstr>
      <vt:lpstr>Data!ExternalData_1823</vt:lpstr>
      <vt:lpstr>Data!ExternalData_1824</vt:lpstr>
      <vt:lpstr>Data!ExternalData_1825</vt:lpstr>
      <vt:lpstr>Data!ExternalData_1826</vt:lpstr>
      <vt:lpstr>Data!ExternalData_1827</vt:lpstr>
      <vt:lpstr>Data!ExternalData_1828</vt:lpstr>
      <vt:lpstr>Data!ExternalData_1829</vt:lpstr>
      <vt:lpstr>Data!ExternalData_1830</vt:lpstr>
      <vt:lpstr>Data!ExternalData_1831</vt:lpstr>
      <vt:lpstr>Data!ExternalData_1832</vt:lpstr>
      <vt:lpstr>Data!ExternalData_1833</vt:lpstr>
      <vt:lpstr>Data!ExternalData_1834</vt:lpstr>
      <vt:lpstr>Data!ExternalData_1835</vt:lpstr>
      <vt:lpstr>Data!ExternalData_1836</vt:lpstr>
      <vt:lpstr>Data!ExternalData_1837</vt:lpstr>
      <vt:lpstr>Data!ExternalData_1838</vt:lpstr>
      <vt:lpstr>Data!ExternalData_1839</vt:lpstr>
      <vt:lpstr>Data!ExternalData_1840</vt:lpstr>
      <vt:lpstr>Data!ExternalData_1841</vt:lpstr>
      <vt:lpstr>Data!ExternalData_1842</vt:lpstr>
      <vt:lpstr>Data!ExternalData_1843</vt:lpstr>
      <vt:lpstr>Data!ExternalData_1844</vt:lpstr>
      <vt:lpstr>Data!ExternalData_1845</vt:lpstr>
      <vt:lpstr>Data!ExternalData_1846</vt:lpstr>
      <vt:lpstr>Data!ExternalData_1847</vt:lpstr>
      <vt:lpstr>Data!ExternalData_1848</vt:lpstr>
      <vt:lpstr>Data!ExternalData_1849</vt:lpstr>
      <vt:lpstr>Data!ExternalData_1850</vt:lpstr>
      <vt:lpstr>Data!ExternalData_1851</vt:lpstr>
      <vt:lpstr>Data!ExternalData_1852</vt:lpstr>
      <vt:lpstr>Data!ExternalData_1853</vt:lpstr>
      <vt:lpstr>Data!ExternalData_1854</vt:lpstr>
      <vt:lpstr>Data!ExternalData_1855</vt:lpstr>
      <vt:lpstr>Data!ExternalData_1856</vt:lpstr>
      <vt:lpstr>Data!ExternalData_1857</vt:lpstr>
      <vt:lpstr>Data!ExternalData_1858</vt:lpstr>
      <vt:lpstr>Data!ExternalData_1859</vt:lpstr>
      <vt:lpstr>Data!ExternalData_1860</vt:lpstr>
      <vt:lpstr>Data!ExternalData_1861</vt:lpstr>
      <vt:lpstr>Data!ExternalData_1862</vt:lpstr>
      <vt:lpstr>Data!ExternalData_1863</vt:lpstr>
      <vt:lpstr>Data!ExternalData_1864</vt:lpstr>
      <vt:lpstr>Data!ExternalData_1865</vt:lpstr>
      <vt:lpstr>Data!ExternalData_1866</vt:lpstr>
      <vt:lpstr>Data!ExternalData_1867</vt:lpstr>
      <vt:lpstr>Data!ExternalData_1868</vt:lpstr>
      <vt:lpstr>Data!ExternalData_1869</vt:lpstr>
      <vt:lpstr>Data!ExternalData_1870</vt:lpstr>
      <vt:lpstr>Data!ExternalData_1871</vt:lpstr>
      <vt:lpstr>Data!ExternalData_1872</vt:lpstr>
      <vt:lpstr>Data!ExternalData_1873</vt:lpstr>
      <vt:lpstr>Data!ExternalData_1874</vt:lpstr>
      <vt:lpstr>Data!ExternalData_1875</vt:lpstr>
      <vt:lpstr>Data!ExternalData_1876</vt:lpstr>
      <vt:lpstr>Data!ExternalData_1877</vt:lpstr>
      <vt:lpstr>Data!ExternalData_1878</vt:lpstr>
      <vt:lpstr>Data!ExternalData_1879</vt:lpstr>
      <vt:lpstr>Data!ExternalData_1880</vt:lpstr>
      <vt:lpstr>Data!ExternalData_1881</vt:lpstr>
      <vt:lpstr>Data!ExternalData_1882</vt:lpstr>
      <vt:lpstr>Data!ExternalData_1883</vt:lpstr>
      <vt:lpstr>Data!ExternalData_1884</vt:lpstr>
      <vt:lpstr>Data!ExternalData_1885</vt:lpstr>
      <vt:lpstr>Data!ExternalData_1886</vt:lpstr>
      <vt:lpstr>Data!ExternalData_1887</vt:lpstr>
      <vt:lpstr>Data!ExternalData_1888</vt:lpstr>
      <vt:lpstr>Data!ExternalData_1889</vt:lpstr>
      <vt:lpstr>Data!ExternalData_1890</vt:lpstr>
      <vt:lpstr>Data!ExternalData_1891</vt:lpstr>
      <vt:lpstr>Data!ExternalData_1892</vt:lpstr>
      <vt:lpstr>Data!ExternalData_1893</vt:lpstr>
      <vt:lpstr>Data!ExternalData_1894</vt:lpstr>
      <vt:lpstr>Data!ExternalData_1895</vt:lpstr>
      <vt:lpstr>Data!ExternalData_1896</vt:lpstr>
      <vt:lpstr>Data!ExternalData_1897</vt:lpstr>
      <vt:lpstr>Data!ExternalData_1898</vt:lpstr>
      <vt:lpstr>Data!ExternalData_1899</vt:lpstr>
      <vt:lpstr>Data!ExternalData_1900</vt:lpstr>
      <vt:lpstr>Data!ExternalData_1901</vt:lpstr>
      <vt:lpstr>Data!ExternalData_1902</vt:lpstr>
      <vt:lpstr>Data!ExternalData_1903</vt:lpstr>
      <vt:lpstr>Data!ExternalData_1904</vt:lpstr>
      <vt:lpstr>Data!ExternalData_1905</vt:lpstr>
      <vt:lpstr>Data!ExternalData_1906</vt:lpstr>
      <vt:lpstr>Data!ExternalData_1907</vt:lpstr>
      <vt:lpstr>Data!ExternalData_1908</vt:lpstr>
      <vt:lpstr>Data!ExternalData_1909</vt:lpstr>
      <vt:lpstr>Data!ExternalData_1910</vt:lpstr>
      <vt:lpstr>Data!ExternalData_1911</vt:lpstr>
      <vt:lpstr>Data!ExternalData_1912</vt:lpstr>
      <vt:lpstr>Data!ExternalData_1913</vt:lpstr>
      <vt:lpstr>Data!ExternalData_1914</vt:lpstr>
      <vt:lpstr>Data!ExternalData_1915</vt:lpstr>
      <vt:lpstr>Data!ExternalData_1916</vt:lpstr>
      <vt:lpstr>Data!ExternalData_1917</vt:lpstr>
      <vt:lpstr>Data!ExternalData_1918</vt:lpstr>
      <vt:lpstr>Data!ExternalData_1919</vt:lpstr>
      <vt:lpstr>Data!ExternalData_1920</vt:lpstr>
      <vt:lpstr>Data!ExternalData_1921</vt:lpstr>
      <vt:lpstr>Data!ExternalData_1922</vt:lpstr>
      <vt:lpstr>Data!ExternalData_1923</vt:lpstr>
      <vt:lpstr>Data!ExternalData_1924</vt:lpstr>
      <vt:lpstr>Data!ExternalData_1925</vt:lpstr>
      <vt:lpstr>Data!ExternalData_1926</vt:lpstr>
      <vt:lpstr>Data!ExternalData_1927</vt:lpstr>
      <vt:lpstr>Data!ExternalData_1928</vt:lpstr>
      <vt:lpstr>Data!ExternalData_1929</vt:lpstr>
      <vt:lpstr>Data!ExternalData_1930</vt:lpstr>
      <vt:lpstr>Data!ExternalData_1931</vt:lpstr>
      <vt:lpstr>Data!ExternalData_1932</vt:lpstr>
      <vt:lpstr>Data!ExternalData_1933</vt:lpstr>
      <vt:lpstr>Data!ExternalData_1934</vt:lpstr>
      <vt:lpstr>Data!ExternalData_1935</vt:lpstr>
      <vt:lpstr>Data!ExternalData_1936</vt:lpstr>
      <vt:lpstr>Data!ExternalData_1937</vt:lpstr>
      <vt:lpstr>Data!ExternalData_1938</vt:lpstr>
      <vt:lpstr>Data!ExternalData_1939</vt:lpstr>
      <vt:lpstr>Data!ExternalData_1940</vt:lpstr>
      <vt:lpstr>Data!ExternalData_1941</vt:lpstr>
      <vt:lpstr>Data!ExternalData_1942</vt:lpstr>
      <vt:lpstr>Data!ExternalData_1943</vt:lpstr>
      <vt:lpstr>Data!ExternalData_1944</vt:lpstr>
      <vt:lpstr>Data!ExternalData_1945</vt:lpstr>
      <vt:lpstr>Data!ExternalData_1946</vt:lpstr>
      <vt:lpstr>Data!ExternalData_1947</vt:lpstr>
      <vt:lpstr>Data!ExternalData_1948</vt:lpstr>
      <vt:lpstr>Data!ExternalData_1949</vt:lpstr>
      <vt:lpstr>Data!ExternalData_1950</vt:lpstr>
      <vt:lpstr>Data!ExternalData_1951</vt:lpstr>
      <vt:lpstr>Data!ExternalData_1952</vt:lpstr>
      <vt:lpstr>Data!ExternalData_1953</vt:lpstr>
      <vt:lpstr>Data!ExternalData_1954</vt:lpstr>
      <vt:lpstr>Data!ExternalData_1955</vt:lpstr>
      <vt:lpstr>Data!ExternalData_1956</vt:lpstr>
      <vt:lpstr>Data!ExternalData_1957</vt:lpstr>
      <vt:lpstr>Data!ExternalData_1958</vt:lpstr>
      <vt:lpstr>Data!ExternalData_1959</vt:lpstr>
      <vt:lpstr>Data!ExternalData_1960</vt:lpstr>
      <vt:lpstr>Data!ExternalData_1961</vt:lpstr>
      <vt:lpstr>Data!ExternalData_1962</vt:lpstr>
      <vt:lpstr>Data!ExternalData_1963</vt:lpstr>
      <vt:lpstr>Data!ExternalData_1964</vt:lpstr>
      <vt:lpstr>Data!ExternalData_1965</vt:lpstr>
      <vt:lpstr>Data!ExternalData_1966</vt:lpstr>
      <vt:lpstr>Data!ExternalData_1967</vt:lpstr>
      <vt:lpstr>Data!ExternalData_1968</vt:lpstr>
      <vt:lpstr>Data!ExternalData_1969</vt:lpstr>
      <vt:lpstr>Data!ExternalData_1970</vt:lpstr>
      <vt:lpstr>Data!ExternalData_1971</vt:lpstr>
      <vt:lpstr>Data!ExternalData_1972</vt:lpstr>
      <vt:lpstr>Data!ExternalData_1973</vt:lpstr>
      <vt:lpstr>Data!ExternalData_1974</vt:lpstr>
      <vt:lpstr>Data!ExternalData_1975</vt:lpstr>
      <vt:lpstr>Data!ExternalData_1976</vt:lpstr>
      <vt:lpstr>Data!ExternalData_1977</vt:lpstr>
      <vt:lpstr>Data!ExternalData_1978</vt:lpstr>
      <vt:lpstr>Data!ExternalData_1979</vt:lpstr>
      <vt:lpstr>Data!ExternalData_1980</vt:lpstr>
      <vt:lpstr>Data!ExternalData_1981</vt:lpstr>
      <vt:lpstr>Data!ExternalData_1982</vt:lpstr>
      <vt:lpstr>Data!ExternalData_1983</vt:lpstr>
      <vt:lpstr>Data!ExternalData_1984</vt:lpstr>
      <vt:lpstr>Data!ExternalData_1985</vt:lpstr>
      <vt:lpstr>Data!ExternalData_1986</vt:lpstr>
      <vt:lpstr>Data!ExternalData_1987</vt:lpstr>
      <vt:lpstr>Data!ExternalData_1988</vt:lpstr>
      <vt:lpstr>Data!ExternalData_1989</vt:lpstr>
      <vt:lpstr>Data!ExternalData_1990</vt:lpstr>
      <vt:lpstr>Data!ExternalData_1991</vt:lpstr>
      <vt:lpstr>Data!ExternalData_1992</vt:lpstr>
      <vt:lpstr>Data!ExternalData_1993</vt:lpstr>
      <vt:lpstr>Data!ExternalData_1994</vt:lpstr>
      <vt:lpstr>Data!ExternalData_1995</vt:lpstr>
      <vt:lpstr>Data!ExternalData_1996</vt:lpstr>
      <vt:lpstr>Data!ExternalData_1997</vt:lpstr>
      <vt:lpstr>Data!ExternalData_1998</vt:lpstr>
      <vt:lpstr>Data!ExternalData_1999</vt:lpstr>
      <vt:lpstr>Data!ExternalData_2000</vt:lpstr>
      <vt:lpstr>Data!ExternalData_2001</vt:lpstr>
      <vt:lpstr>Data!ExternalData_2002</vt:lpstr>
      <vt:lpstr>Data!ExternalData_2003</vt:lpstr>
      <vt:lpstr>Data!ExternalData_2004</vt:lpstr>
      <vt:lpstr>Data!ExternalData_2005</vt:lpstr>
      <vt:lpstr>Data!ExternalData_2006</vt:lpstr>
      <vt:lpstr>Data!ExternalData_2007</vt:lpstr>
      <vt:lpstr>Data!ExternalData_2008</vt:lpstr>
      <vt:lpstr>Data!ExternalData_2009</vt:lpstr>
      <vt:lpstr>Data!ExternalData_2010</vt:lpstr>
      <vt:lpstr>Data!ExternalData_2011</vt:lpstr>
      <vt:lpstr>Data!ExternalData_2012</vt:lpstr>
      <vt:lpstr>Data!ExternalData_2013</vt:lpstr>
      <vt:lpstr>Data!ExternalData_2014</vt:lpstr>
      <vt:lpstr>Data!ExternalData_2015</vt:lpstr>
      <vt:lpstr>Data!ExternalData_2016</vt:lpstr>
      <vt:lpstr>Data!ExternalData_2017</vt:lpstr>
      <vt:lpstr>Data!ExternalData_2018</vt:lpstr>
      <vt:lpstr>Data!ExternalData_2019</vt:lpstr>
      <vt:lpstr>Data!ExternalData_2020</vt:lpstr>
      <vt:lpstr>Data!ExternalData_2021</vt:lpstr>
      <vt:lpstr>Data!ExternalData_2022</vt:lpstr>
      <vt:lpstr>Data!ExternalData_2023</vt:lpstr>
      <vt:lpstr>Data!ExternalData_2024</vt:lpstr>
      <vt:lpstr>Data!ExternalData_2025</vt:lpstr>
      <vt:lpstr>Data!ExternalData_2026</vt:lpstr>
      <vt:lpstr>Data!ExternalData_2027</vt:lpstr>
      <vt:lpstr>Data!ExternalData_2028</vt:lpstr>
      <vt:lpstr>Data!ExternalData_2029</vt:lpstr>
      <vt:lpstr>Data!ExternalData_2030</vt:lpstr>
      <vt:lpstr>Data!ExternalData_2031</vt:lpstr>
      <vt:lpstr>Data!ExternalData_2032</vt:lpstr>
      <vt:lpstr>Data!ExternalData_2033</vt:lpstr>
      <vt:lpstr>Data!ExternalData_2034</vt:lpstr>
      <vt:lpstr>Data!ExternalData_2035</vt:lpstr>
      <vt:lpstr>Data!ExternalData_2036</vt:lpstr>
      <vt:lpstr>Data!ExternalData_2037</vt:lpstr>
      <vt:lpstr>Data!ExternalData_2038</vt:lpstr>
      <vt:lpstr>Data!ExternalData_2039</vt:lpstr>
      <vt:lpstr>Data!ExternalData_2040</vt:lpstr>
      <vt:lpstr>Data!ExternalData_2041</vt:lpstr>
      <vt:lpstr>Data!ExternalData_2042</vt:lpstr>
      <vt:lpstr>Data!ExternalData_2043</vt:lpstr>
      <vt:lpstr>Data!ExternalData_2044</vt:lpstr>
      <vt:lpstr>Data!ExternalData_2045</vt:lpstr>
      <vt:lpstr>Data!ExternalData_2046</vt:lpstr>
      <vt:lpstr>Data!ExternalData_2047</vt:lpstr>
      <vt:lpstr>Data!ExternalData_2048</vt:lpstr>
      <vt:lpstr>Data!ExternalData_2049</vt:lpstr>
      <vt:lpstr>Data!ExternalData_2050</vt:lpstr>
      <vt:lpstr>Data!ExternalData_2051</vt:lpstr>
      <vt:lpstr>Data!ExternalData_2052</vt:lpstr>
      <vt:lpstr>Data!ExternalData_2053</vt:lpstr>
      <vt:lpstr>Data!ExternalData_2054</vt:lpstr>
      <vt:lpstr>Data!ExternalData_2055</vt:lpstr>
      <vt:lpstr>Data!ExternalData_2056</vt:lpstr>
      <vt:lpstr>Data!ExternalData_2057</vt:lpstr>
      <vt:lpstr>Data!ExternalData_2058</vt:lpstr>
      <vt:lpstr>Data!ExternalData_2059</vt:lpstr>
      <vt:lpstr>Data!ExternalData_2060</vt:lpstr>
      <vt:lpstr>Data!ExternalData_2061</vt:lpstr>
      <vt:lpstr>Data!ExternalData_2062</vt:lpstr>
      <vt:lpstr>Data!ExternalData_2063</vt:lpstr>
      <vt:lpstr>Data!ExternalData_2064</vt:lpstr>
      <vt:lpstr>Data!ExternalData_2065</vt:lpstr>
      <vt:lpstr>Data!ExternalData_2066</vt:lpstr>
      <vt:lpstr>Data!ExternalData_2067</vt:lpstr>
      <vt:lpstr>Data!ExternalData_2068</vt:lpstr>
      <vt:lpstr>Data!ExternalData_2069</vt:lpstr>
      <vt:lpstr>Data!ExternalData_2070</vt:lpstr>
      <vt:lpstr>Data!ExternalData_2071</vt:lpstr>
      <vt:lpstr>Data!ExternalData_2072</vt:lpstr>
      <vt:lpstr>Data!ExternalData_2073</vt:lpstr>
      <vt:lpstr>Data!ExternalData_2074</vt:lpstr>
      <vt:lpstr>Data!ExternalData_2075</vt:lpstr>
      <vt:lpstr>Data!ExternalData_2076</vt:lpstr>
      <vt:lpstr>Data!ExternalData_2077</vt:lpstr>
      <vt:lpstr>Data!ExternalData_2078</vt:lpstr>
      <vt:lpstr>Data!ExternalData_2079</vt:lpstr>
      <vt:lpstr>Data!ExternalData_2080</vt:lpstr>
      <vt:lpstr>Data!ExternalData_2081</vt:lpstr>
      <vt:lpstr>Data!ExternalData_2082</vt:lpstr>
      <vt:lpstr>Data!ExternalData_2083</vt:lpstr>
      <vt:lpstr>Data!ExternalData_2084</vt:lpstr>
      <vt:lpstr>Data!ExternalData_2085</vt:lpstr>
      <vt:lpstr>Data!ExternalData_2086</vt:lpstr>
      <vt:lpstr>Data!ExternalData_2087</vt:lpstr>
      <vt:lpstr>Data!ExternalData_2088</vt:lpstr>
      <vt:lpstr>Data!ExternalData_2089</vt:lpstr>
      <vt:lpstr>Data!ExternalData_2090</vt:lpstr>
      <vt:lpstr>Data!ExternalData_2091</vt:lpstr>
      <vt:lpstr>Data!ExternalData_2092</vt:lpstr>
      <vt:lpstr>Data!ExternalData_2093</vt:lpstr>
      <vt:lpstr>Data!ExternalData_2094</vt:lpstr>
      <vt:lpstr>Data!ExternalData_2095</vt:lpstr>
      <vt:lpstr>Data!ExternalData_2096</vt:lpstr>
      <vt:lpstr>Data!ExternalData_2097</vt:lpstr>
      <vt:lpstr>Data!ExternalData_2098</vt:lpstr>
      <vt:lpstr>Data!ExternalData_2099</vt:lpstr>
      <vt:lpstr>Data!ExternalData_2100</vt:lpstr>
      <vt:lpstr>Data!ExternalData_2101</vt:lpstr>
      <vt:lpstr>Data!ExternalData_2102</vt:lpstr>
      <vt:lpstr>Data!ExternalData_2103</vt:lpstr>
      <vt:lpstr>Data!ExternalData_2104</vt:lpstr>
      <vt:lpstr>Data!ExternalData_2105</vt:lpstr>
      <vt:lpstr>Data!ExternalData_2106</vt:lpstr>
      <vt:lpstr>Data!ExternalData_2107</vt:lpstr>
      <vt:lpstr>Data!ExternalData_2108</vt:lpstr>
      <vt:lpstr>Data!ExternalData_2109</vt:lpstr>
      <vt:lpstr>Data!ExternalData_2110</vt:lpstr>
      <vt:lpstr>Data!ExternalData_2111</vt:lpstr>
      <vt:lpstr>Data!ExternalData_2112</vt:lpstr>
      <vt:lpstr>Data!ExternalData_2113</vt:lpstr>
      <vt:lpstr>Data!ExternalData_2114</vt:lpstr>
      <vt:lpstr>Data!ExternalData_2115</vt:lpstr>
      <vt:lpstr>Data!ExternalData_2116</vt:lpstr>
      <vt:lpstr>Data!ExternalData_2117</vt:lpstr>
      <vt:lpstr>Data!ExternalData_2118</vt:lpstr>
      <vt:lpstr>Data!ExternalData_2119</vt:lpstr>
      <vt:lpstr>Data!ExternalData_2120</vt:lpstr>
      <vt:lpstr>Data!ExternalData_2121</vt:lpstr>
      <vt:lpstr>Data!ExternalData_2122</vt:lpstr>
      <vt:lpstr>Data!ExternalData_2123</vt:lpstr>
      <vt:lpstr>Data!ExternalData_2124</vt:lpstr>
      <vt:lpstr>Data!ExternalData_2125</vt:lpstr>
      <vt:lpstr>Data!ExternalData_2126</vt:lpstr>
      <vt:lpstr>Data!ExternalData_2127</vt:lpstr>
      <vt:lpstr>Data!ExternalData_2128</vt:lpstr>
      <vt:lpstr>Data!ExternalData_2129</vt:lpstr>
      <vt:lpstr>Data!ExternalData_2130</vt:lpstr>
      <vt:lpstr>Data!ExternalData_2131</vt:lpstr>
      <vt:lpstr>Data!ExternalData_2132</vt:lpstr>
      <vt:lpstr>Data!ExternalData_2133</vt:lpstr>
      <vt:lpstr>Data!ExternalData_2134</vt:lpstr>
      <vt:lpstr>Data!ExternalData_2135</vt:lpstr>
      <vt:lpstr>Data!ExternalData_2136</vt:lpstr>
      <vt:lpstr>Data!ExternalData_2137</vt:lpstr>
      <vt:lpstr>Data!ExternalData_2138</vt:lpstr>
      <vt:lpstr>Data!ExternalData_2139</vt:lpstr>
      <vt:lpstr>Data!ExternalData_2140</vt:lpstr>
      <vt:lpstr>Data!ExternalData_2141</vt:lpstr>
      <vt:lpstr>Data!ExternalData_2142</vt:lpstr>
      <vt:lpstr>Data!ExternalData_2143</vt:lpstr>
      <vt:lpstr>Data!ExternalData_2144</vt:lpstr>
      <vt:lpstr>Data!ExternalData_2145</vt:lpstr>
      <vt:lpstr>Data!ExternalData_2146</vt:lpstr>
      <vt:lpstr>Data!ExternalData_2147</vt:lpstr>
      <vt:lpstr>Data!ExternalData_2148</vt:lpstr>
      <vt:lpstr>Data!ExternalData_2149</vt:lpstr>
      <vt:lpstr>Data!ExternalData_2150</vt:lpstr>
      <vt:lpstr>Data!ExternalData_2151</vt:lpstr>
      <vt:lpstr>Data!ExternalData_2152</vt:lpstr>
      <vt:lpstr>Data!ExternalData_2153</vt:lpstr>
      <vt:lpstr>Data!ExternalData_2154</vt:lpstr>
      <vt:lpstr>Data!ExternalData_2155</vt:lpstr>
      <vt:lpstr>Data!ExternalData_2156</vt:lpstr>
      <vt:lpstr>Data!ExternalData_2157</vt:lpstr>
      <vt:lpstr>Data!ExternalData_2158</vt:lpstr>
      <vt:lpstr>Data!ExternalData_2159</vt:lpstr>
      <vt:lpstr>Data!ExternalData_2160</vt:lpstr>
      <vt:lpstr>Data!ExternalData_2161</vt:lpstr>
      <vt:lpstr>Data!ExternalData_2162</vt:lpstr>
      <vt:lpstr>Data!ExternalData_2163</vt:lpstr>
      <vt:lpstr>Data!ExternalData_2164</vt:lpstr>
      <vt:lpstr>Data!ExternalData_2165</vt:lpstr>
      <vt:lpstr>Data!ExternalData_2166</vt:lpstr>
      <vt:lpstr>Data!ExternalData_2167</vt:lpstr>
      <vt:lpstr>Data!ExternalData_2168</vt:lpstr>
      <vt:lpstr>Data!ExternalData_2169</vt:lpstr>
      <vt:lpstr>Data!ExternalData_2170</vt:lpstr>
      <vt:lpstr>Data!ExternalData_2171</vt:lpstr>
      <vt:lpstr>Data!ExternalData_2172</vt:lpstr>
      <vt:lpstr>Data!ExternalData_2173</vt:lpstr>
      <vt:lpstr>Data!ExternalData_2174</vt:lpstr>
      <vt:lpstr>Data!ExternalData_2175</vt:lpstr>
      <vt:lpstr>Data!ExternalData_2176</vt:lpstr>
      <vt:lpstr>Data!ExternalData_2177</vt:lpstr>
      <vt:lpstr>Data!ExternalData_2178</vt:lpstr>
      <vt:lpstr>Data!ExternalData_2179</vt:lpstr>
      <vt:lpstr>Data!ExternalData_2180</vt:lpstr>
      <vt:lpstr>Data!ExternalData_2181</vt:lpstr>
      <vt:lpstr>Data!ExternalData_2182</vt:lpstr>
      <vt:lpstr>Data!ExternalData_2183</vt:lpstr>
      <vt:lpstr>Data!ExternalData_2184</vt:lpstr>
      <vt:lpstr>Data!ExternalData_2185</vt:lpstr>
      <vt:lpstr>Data!ExternalData_2186</vt:lpstr>
      <vt:lpstr>Data!ExternalData_2187</vt:lpstr>
      <vt:lpstr>Data!ExternalData_2188</vt:lpstr>
      <vt:lpstr>Data!ExternalData_2189</vt:lpstr>
      <vt:lpstr>Data!ExternalData_2190</vt:lpstr>
      <vt:lpstr>Data!ExternalData_2191</vt:lpstr>
      <vt:lpstr>Data!ExternalData_2192</vt:lpstr>
      <vt:lpstr>Data!ExternalData_2193</vt:lpstr>
      <vt:lpstr>Data!ExternalData_2194</vt:lpstr>
      <vt:lpstr>Data!ExternalData_2195</vt:lpstr>
      <vt:lpstr>Data!ExternalData_2196</vt:lpstr>
      <vt:lpstr>Data!ExternalData_2197</vt:lpstr>
      <vt:lpstr>Data!ExternalData_2198</vt:lpstr>
      <vt:lpstr>Data!ExternalData_2199</vt:lpstr>
      <vt:lpstr>Data!ExternalData_2200</vt:lpstr>
      <vt:lpstr>Data!ExternalData_2201</vt:lpstr>
      <vt:lpstr>Data!ExternalData_2202</vt:lpstr>
      <vt:lpstr>Data!ExternalData_2203</vt:lpstr>
      <vt:lpstr>Data!ExternalData_2204</vt:lpstr>
      <vt:lpstr>Data!ExternalData_2205</vt:lpstr>
      <vt:lpstr>Data!ExternalData_2206</vt:lpstr>
      <vt:lpstr>Data!ExternalData_2207</vt:lpstr>
      <vt:lpstr>Data!ExternalData_2208</vt:lpstr>
      <vt:lpstr>Data!ExternalData_2209</vt:lpstr>
      <vt:lpstr>Data!ExternalData_2210</vt:lpstr>
      <vt:lpstr>Data!ExternalData_2211</vt:lpstr>
      <vt:lpstr>Data!ExternalData_2212</vt:lpstr>
      <vt:lpstr>Data!ExternalData_2213</vt:lpstr>
      <vt:lpstr>Data!ExternalData_2214</vt:lpstr>
      <vt:lpstr>Data!ExternalData_2215</vt:lpstr>
      <vt:lpstr>Data!ExternalData_2216</vt:lpstr>
      <vt:lpstr>Data!ExternalData_2217</vt:lpstr>
      <vt:lpstr>Data!ExternalData_2218</vt:lpstr>
      <vt:lpstr>Data!ExternalData_2219</vt:lpstr>
      <vt:lpstr>Data!ExternalData_2220</vt:lpstr>
      <vt:lpstr>Data!ExternalData_2221</vt:lpstr>
      <vt:lpstr>Data!ExternalData_2222</vt:lpstr>
      <vt:lpstr>Data!ExternalData_2223</vt:lpstr>
      <vt:lpstr>Data!ExternalData_2224</vt:lpstr>
      <vt:lpstr>Data!ExternalData_2225</vt:lpstr>
      <vt:lpstr>Data!ExternalData_2226</vt:lpstr>
      <vt:lpstr>Data!ExternalData_2227</vt:lpstr>
      <vt:lpstr>Data!ExternalData_2228</vt:lpstr>
      <vt:lpstr>Data!ExternalData_2229</vt:lpstr>
      <vt:lpstr>Data!ExternalData_2230</vt:lpstr>
      <vt:lpstr>Data!ExternalData_2231</vt:lpstr>
      <vt:lpstr>Data!ExternalData_2232</vt:lpstr>
      <vt:lpstr>Data!ExternalData_2233</vt:lpstr>
      <vt:lpstr>Data!ExternalData_2234</vt:lpstr>
      <vt:lpstr>Data!ExternalData_2235</vt:lpstr>
      <vt:lpstr>Data!ExternalData_2236</vt:lpstr>
      <vt:lpstr>Data!ExternalData_2237</vt:lpstr>
      <vt:lpstr>Data!ExternalData_2238</vt:lpstr>
      <vt:lpstr>Data!ExternalData_2239</vt:lpstr>
      <vt:lpstr>Data!ExternalData_2240</vt:lpstr>
      <vt:lpstr>Data!ExternalData_2241</vt:lpstr>
      <vt:lpstr>Data!ExternalData_2242</vt:lpstr>
      <vt:lpstr>Data!ExternalData_2243</vt:lpstr>
      <vt:lpstr>Data!ExternalData_2244</vt:lpstr>
      <vt:lpstr>Data!ExternalData_2245</vt:lpstr>
      <vt:lpstr>Data!ExternalData_2246</vt:lpstr>
      <vt:lpstr>Data!ExternalData_2247</vt:lpstr>
      <vt:lpstr>Data!ExternalData_2248</vt:lpstr>
      <vt:lpstr>Data!ExternalData_2249</vt:lpstr>
      <vt:lpstr>Data!ExternalData_2250</vt:lpstr>
      <vt:lpstr>Data!ExternalData_2251</vt:lpstr>
      <vt:lpstr>Data!ExternalData_2252</vt:lpstr>
      <vt:lpstr>Data!ExternalData_2253</vt:lpstr>
      <vt:lpstr>Data!ExternalData_2254</vt:lpstr>
      <vt:lpstr>Data!ExternalData_2255</vt:lpstr>
      <vt:lpstr>Data!ExternalData_2256</vt:lpstr>
      <vt:lpstr>Data!ExternalData_2257</vt:lpstr>
      <vt:lpstr>Data!ExternalData_2258</vt:lpstr>
      <vt:lpstr>Data!ExternalData_2259</vt:lpstr>
      <vt:lpstr>Data!ExternalData_2260</vt:lpstr>
      <vt:lpstr>Data!ExternalData_2261</vt:lpstr>
      <vt:lpstr>Data!ExternalData_2262</vt:lpstr>
      <vt:lpstr>Data!ExternalData_2263</vt:lpstr>
      <vt:lpstr>Data!ExternalData_2264</vt:lpstr>
      <vt:lpstr>Data!ExternalData_2265</vt:lpstr>
      <vt:lpstr>Data!ExternalData_2266</vt:lpstr>
      <vt:lpstr>Data!ExternalData_2267</vt:lpstr>
      <vt:lpstr>Data!ExternalData_2268</vt:lpstr>
      <vt:lpstr>Data!ExternalData_2269</vt:lpstr>
      <vt:lpstr>Data!ExternalData_2270</vt:lpstr>
      <vt:lpstr>Data!ExternalData_2271</vt:lpstr>
      <vt:lpstr>Data!ExternalData_2272</vt:lpstr>
      <vt:lpstr>Data!ExternalData_2273</vt:lpstr>
      <vt:lpstr>Data!ExternalData_2274</vt:lpstr>
      <vt:lpstr>Data!ExternalData_2275</vt:lpstr>
      <vt:lpstr>Data!ExternalData_2276</vt:lpstr>
      <vt:lpstr>Data!ExternalData_2277</vt:lpstr>
      <vt:lpstr>Data!ExternalData_2278</vt:lpstr>
      <vt:lpstr>Data!ExternalData_2279</vt:lpstr>
      <vt:lpstr>Data!ExternalData_2280</vt:lpstr>
      <vt:lpstr>Data!ExternalData_2281</vt:lpstr>
      <vt:lpstr>Data!ExternalData_2282</vt:lpstr>
      <vt:lpstr>Data!ExternalData_2283</vt:lpstr>
      <vt:lpstr>Data!ExternalData_2284</vt:lpstr>
      <vt:lpstr>Data!ExternalData_2285</vt:lpstr>
      <vt:lpstr>Data!ExternalData_2286</vt:lpstr>
      <vt:lpstr>Data!ExternalData_2287</vt:lpstr>
      <vt:lpstr>Data!ExternalData_2288</vt:lpstr>
      <vt:lpstr>Data!ExternalData_2289</vt:lpstr>
      <vt:lpstr>Data!ExternalData_2290</vt:lpstr>
      <vt:lpstr>Data!ExternalData_2291</vt:lpstr>
      <vt:lpstr>Data!ExternalData_2292</vt:lpstr>
      <vt:lpstr>Data!ExternalData_2293</vt:lpstr>
      <vt:lpstr>Data!ExternalData_2294</vt:lpstr>
      <vt:lpstr>Data!ExternalData_2295</vt:lpstr>
      <vt:lpstr>Data!ExternalData_2296</vt:lpstr>
      <vt:lpstr>Data!Extract</vt:lpstr>
      <vt:lpstr>'Dir Quality Report'!Print_Area</vt:lpstr>
    </vt:vector>
  </TitlesOfParts>
  <Company>RMD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SAIL</dc:creator>
  <cp:lastModifiedBy>Lenovo</cp:lastModifiedBy>
  <cp:lastPrinted>2022-08-04T09:18:28Z</cp:lastPrinted>
  <dcterms:created xsi:type="dcterms:W3CDTF">2010-12-14T06:51:01Z</dcterms:created>
  <dcterms:modified xsi:type="dcterms:W3CDTF">2022-08-04T10:44:14Z</dcterms:modified>
</cp:coreProperties>
</file>