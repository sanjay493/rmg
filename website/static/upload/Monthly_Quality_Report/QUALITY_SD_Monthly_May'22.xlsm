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680" yWindow="-10" windowWidth="8440" windowHeight="7400" tabRatio="706" activeTab="10"/>
  </bookViews>
  <sheets>
    <sheet name="Quality" sheetId="1" r:id="rId1"/>
    <sheet name="Report" sheetId="20" r:id="rId2"/>
    <sheet name="Plants" sheetId="30" state="hidden" r:id="rId3"/>
    <sheet name="Mines" sheetId="29" state="hidden" r:id="rId4"/>
    <sheet name="Data" sheetId="2" r:id="rId5"/>
    <sheet name="Quality Norms" sheetId="18" state="hidden" r:id="rId6"/>
    <sheet name="Norm" sheetId="21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4" hidden="1">Data!$A$2:$M$10000</definedName>
    <definedName name="_xlnm._FilterDatabase" localSheetId="10" hidden="1">MonthlyAvg!$A$13:$L$121</definedName>
    <definedName name="_xlnm._FilterDatabase" localSheetId="1" hidden="1">Report!$A$19:$AF$19</definedName>
    <definedName name="_xlnm.Criteria" localSheetId="4">Data!$P$2:$S$3</definedName>
    <definedName name="ExternalData_1" localSheetId="4">Data!#REF!</definedName>
    <definedName name="ExternalData_10" localSheetId="4">Data!#REF!</definedName>
    <definedName name="ExternalData_100" localSheetId="4">Data!#REF!</definedName>
    <definedName name="ExternalData_1000" localSheetId="4">Data!#REF!</definedName>
    <definedName name="ExternalData_1001" localSheetId="4">Data!#REF!</definedName>
    <definedName name="ExternalData_1002" localSheetId="4">Data!#REF!</definedName>
    <definedName name="ExternalData_1003" localSheetId="4">Data!#REF!</definedName>
    <definedName name="ExternalData_1004" localSheetId="4">Data!#REF!</definedName>
    <definedName name="ExternalData_1005" localSheetId="4">Data!#REF!</definedName>
    <definedName name="ExternalData_1006" localSheetId="4">Data!#REF!</definedName>
    <definedName name="ExternalData_1007" localSheetId="4">Data!#REF!</definedName>
    <definedName name="ExternalData_1008" localSheetId="4">Data!#REF!</definedName>
    <definedName name="ExternalData_1009" localSheetId="4">Data!#REF!</definedName>
    <definedName name="ExternalData_101" localSheetId="4">Data!#REF!</definedName>
    <definedName name="ExternalData_1010" localSheetId="4">Data!#REF!</definedName>
    <definedName name="ExternalData_1011" localSheetId="4">Data!#REF!</definedName>
    <definedName name="ExternalData_1012" localSheetId="4">Data!#REF!</definedName>
    <definedName name="ExternalData_1013" localSheetId="4">Data!#REF!</definedName>
    <definedName name="ExternalData_1014" localSheetId="4">Data!#REF!</definedName>
    <definedName name="ExternalData_1015" localSheetId="4">Data!#REF!</definedName>
    <definedName name="ExternalData_1016" localSheetId="4">Data!#REF!</definedName>
    <definedName name="ExternalData_1017" localSheetId="4">Data!#REF!</definedName>
    <definedName name="ExternalData_1018" localSheetId="4">Data!#REF!</definedName>
    <definedName name="ExternalData_1019" localSheetId="4">Data!#REF!</definedName>
    <definedName name="ExternalData_102" localSheetId="4">Data!#REF!</definedName>
    <definedName name="ExternalData_1020" localSheetId="4">Data!#REF!</definedName>
    <definedName name="ExternalData_1021" localSheetId="4">Data!#REF!</definedName>
    <definedName name="ExternalData_1022" localSheetId="4">Data!#REF!</definedName>
    <definedName name="ExternalData_1023" localSheetId="4">Data!#REF!</definedName>
    <definedName name="ExternalData_1024" localSheetId="4">Data!#REF!</definedName>
    <definedName name="ExternalData_1025" localSheetId="4">Data!#REF!</definedName>
    <definedName name="ExternalData_1026" localSheetId="4">Data!#REF!</definedName>
    <definedName name="ExternalData_1027" localSheetId="4">Data!#REF!</definedName>
    <definedName name="ExternalData_1028" localSheetId="4">Data!#REF!</definedName>
    <definedName name="ExternalData_1029" localSheetId="4">Data!#REF!</definedName>
    <definedName name="ExternalData_103" localSheetId="4">Data!#REF!</definedName>
    <definedName name="ExternalData_1030" localSheetId="4">Data!#REF!</definedName>
    <definedName name="ExternalData_1031" localSheetId="4">Data!#REF!</definedName>
    <definedName name="ExternalData_1032" localSheetId="4">Data!#REF!</definedName>
    <definedName name="ExternalData_1033" localSheetId="4">Data!#REF!</definedName>
    <definedName name="ExternalData_1034" localSheetId="4">Data!#REF!</definedName>
    <definedName name="ExternalData_1035" localSheetId="4">Data!#REF!</definedName>
    <definedName name="ExternalData_1036" localSheetId="4">Data!#REF!</definedName>
    <definedName name="ExternalData_1037" localSheetId="4">Data!#REF!</definedName>
    <definedName name="ExternalData_1038" localSheetId="4">Data!#REF!</definedName>
    <definedName name="ExternalData_1039" localSheetId="4">Data!#REF!</definedName>
    <definedName name="ExternalData_104" localSheetId="4">Data!#REF!</definedName>
    <definedName name="ExternalData_1040" localSheetId="4">Data!#REF!</definedName>
    <definedName name="ExternalData_1041" localSheetId="4">Data!#REF!</definedName>
    <definedName name="ExternalData_1042" localSheetId="4">Data!#REF!</definedName>
    <definedName name="ExternalData_1043" localSheetId="4">Data!#REF!</definedName>
    <definedName name="ExternalData_1044" localSheetId="4">Data!#REF!</definedName>
    <definedName name="ExternalData_1045" localSheetId="4">Data!#REF!</definedName>
    <definedName name="ExternalData_1046" localSheetId="4">Data!#REF!</definedName>
    <definedName name="ExternalData_1047" localSheetId="4">Data!#REF!</definedName>
    <definedName name="ExternalData_1048" localSheetId="4">Data!#REF!</definedName>
    <definedName name="ExternalData_1049" localSheetId="4">Data!#REF!</definedName>
    <definedName name="ExternalData_105" localSheetId="4">Data!#REF!</definedName>
    <definedName name="ExternalData_1050" localSheetId="4">Data!#REF!</definedName>
    <definedName name="ExternalData_1051" localSheetId="4">Data!#REF!</definedName>
    <definedName name="ExternalData_1052" localSheetId="4">Data!#REF!</definedName>
    <definedName name="ExternalData_1053" localSheetId="4">Data!#REF!</definedName>
    <definedName name="ExternalData_1054" localSheetId="4">Data!#REF!</definedName>
    <definedName name="ExternalData_1055" localSheetId="4">Data!#REF!</definedName>
    <definedName name="ExternalData_1056" localSheetId="4">Data!#REF!</definedName>
    <definedName name="ExternalData_1057" localSheetId="4">Data!#REF!</definedName>
    <definedName name="ExternalData_1058" localSheetId="4">Data!#REF!</definedName>
    <definedName name="ExternalData_1059" localSheetId="4">Data!#REF!</definedName>
    <definedName name="ExternalData_106" localSheetId="4">Data!#REF!</definedName>
    <definedName name="ExternalData_1060" localSheetId="4">Data!#REF!</definedName>
    <definedName name="ExternalData_1061" localSheetId="4">Data!#REF!</definedName>
    <definedName name="ExternalData_1062" localSheetId="4">Data!#REF!</definedName>
    <definedName name="ExternalData_1063" localSheetId="4">Data!#REF!</definedName>
    <definedName name="ExternalData_1064" localSheetId="4">Data!#REF!</definedName>
    <definedName name="ExternalData_1065" localSheetId="4">Data!#REF!</definedName>
    <definedName name="ExternalData_1066" localSheetId="4">Data!#REF!</definedName>
    <definedName name="ExternalData_1067" localSheetId="4">Data!#REF!</definedName>
    <definedName name="ExternalData_1068" localSheetId="4">Data!#REF!</definedName>
    <definedName name="ExternalData_1069" localSheetId="4">Data!#REF!</definedName>
    <definedName name="ExternalData_107" localSheetId="4">Data!#REF!</definedName>
    <definedName name="ExternalData_1070" localSheetId="4">Data!#REF!</definedName>
    <definedName name="ExternalData_1071" localSheetId="4">Data!#REF!</definedName>
    <definedName name="ExternalData_1072" localSheetId="4">Data!#REF!</definedName>
    <definedName name="ExternalData_1073" localSheetId="4">Data!#REF!</definedName>
    <definedName name="ExternalData_1074" localSheetId="4">Data!#REF!</definedName>
    <definedName name="ExternalData_1075" localSheetId="4">Data!#REF!</definedName>
    <definedName name="ExternalData_1076" localSheetId="4">Data!#REF!</definedName>
    <definedName name="ExternalData_1077" localSheetId="4">Data!#REF!</definedName>
    <definedName name="ExternalData_1078" localSheetId="4">Data!#REF!</definedName>
    <definedName name="ExternalData_1079" localSheetId="4">Data!#REF!</definedName>
    <definedName name="ExternalData_108" localSheetId="4">Data!#REF!</definedName>
    <definedName name="ExternalData_1080" localSheetId="4">Data!#REF!</definedName>
    <definedName name="ExternalData_1081" localSheetId="4">Data!#REF!</definedName>
    <definedName name="ExternalData_1082" localSheetId="4">Data!#REF!</definedName>
    <definedName name="ExternalData_1083" localSheetId="4">Data!#REF!</definedName>
    <definedName name="ExternalData_1084" localSheetId="4">Data!#REF!</definedName>
    <definedName name="ExternalData_1085" localSheetId="4">Data!#REF!</definedName>
    <definedName name="ExternalData_1086" localSheetId="4">Data!#REF!</definedName>
    <definedName name="ExternalData_1087" localSheetId="4">Data!#REF!</definedName>
    <definedName name="ExternalData_1088" localSheetId="4">Data!#REF!</definedName>
    <definedName name="ExternalData_1089" localSheetId="4">Data!#REF!</definedName>
    <definedName name="ExternalData_109" localSheetId="4">Data!#REF!</definedName>
    <definedName name="ExternalData_1090" localSheetId="4">Data!#REF!</definedName>
    <definedName name="ExternalData_1091" localSheetId="4">Data!#REF!</definedName>
    <definedName name="ExternalData_1092" localSheetId="4">Data!#REF!</definedName>
    <definedName name="ExternalData_1093" localSheetId="4">Data!#REF!</definedName>
    <definedName name="ExternalData_1094" localSheetId="4">Data!#REF!</definedName>
    <definedName name="ExternalData_1095" localSheetId="4">Data!#REF!</definedName>
    <definedName name="ExternalData_1096" localSheetId="4">Data!#REF!</definedName>
    <definedName name="ExternalData_1097" localSheetId="4">Data!#REF!</definedName>
    <definedName name="ExternalData_1098" localSheetId="4">Data!#REF!</definedName>
    <definedName name="ExternalData_1099" localSheetId="4">Data!#REF!</definedName>
    <definedName name="ExternalData_11" localSheetId="4">Data!#REF!</definedName>
    <definedName name="ExternalData_110" localSheetId="4">Data!#REF!</definedName>
    <definedName name="ExternalData_1100" localSheetId="4">Data!#REF!</definedName>
    <definedName name="ExternalData_1101" localSheetId="4">Data!#REF!</definedName>
    <definedName name="ExternalData_1102" localSheetId="4">Data!#REF!</definedName>
    <definedName name="ExternalData_1103" localSheetId="4">Data!#REF!</definedName>
    <definedName name="ExternalData_1104" localSheetId="4">Data!#REF!</definedName>
    <definedName name="ExternalData_1105" localSheetId="4">Data!#REF!</definedName>
    <definedName name="ExternalData_1106" localSheetId="4">Data!#REF!</definedName>
    <definedName name="ExternalData_1107" localSheetId="4">Data!#REF!</definedName>
    <definedName name="ExternalData_1108" localSheetId="4">Data!#REF!</definedName>
    <definedName name="ExternalData_1109" localSheetId="4">Data!#REF!</definedName>
    <definedName name="ExternalData_111" localSheetId="4">Data!#REF!</definedName>
    <definedName name="ExternalData_1110" localSheetId="4">Data!#REF!</definedName>
    <definedName name="ExternalData_1111" localSheetId="4">Data!#REF!</definedName>
    <definedName name="ExternalData_1112" localSheetId="4">Data!#REF!</definedName>
    <definedName name="ExternalData_1113" localSheetId="4">Data!#REF!</definedName>
    <definedName name="ExternalData_1114" localSheetId="4">Data!#REF!</definedName>
    <definedName name="ExternalData_1115" localSheetId="4">Data!#REF!</definedName>
    <definedName name="ExternalData_1116" localSheetId="4">Data!#REF!</definedName>
    <definedName name="ExternalData_1117" localSheetId="4">Data!#REF!</definedName>
    <definedName name="ExternalData_1118" localSheetId="4">Data!#REF!</definedName>
    <definedName name="ExternalData_1119" localSheetId="4">Data!#REF!</definedName>
    <definedName name="ExternalData_112" localSheetId="4">Data!#REF!</definedName>
    <definedName name="ExternalData_1120" localSheetId="4">Data!#REF!</definedName>
    <definedName name="ExternalData_1121" localSheetId="4">Data!#REF!</definedName>
    <definedName name="ExternalData_1122" localSheetId="4">Data!#REF!</definedName>
    <definedName name="ExternalData_1123" localSheetId="4">Data!#REF!</definedName>
    <definedName name="ExternalData_1124" localSheetId="4">Data!#REF!</definedName>
    <definedName name="ExternalData_1125" localSheetId="4">Data!#REF!</definedName>
    <definedName name="ExternalData_1126" localSheetId="4">Data!#REF!</definedName>
    <definedName name="ExternalData_1127" localSheetId="4">Data!#REF!</definedName>
    <definedName name="ExternalData_1128" localSheetId="4">Data!#REF!</definedName>
    <definedName name="ExternalData_1129" localSheetId="4">Data!#REF!</definedName>
    <definedName name="ExternalData_113" localSheetId="4">Data!#REF!</definedName>
    <definedName name="ExternalData_1130" localSheetId="4">Data!#REF!</definedName>
    <definedName name="ExternalData_1131" localSheetId="4">Data!#REF!</definedName>
    <definedName name="ExternalData_1132" localSheetId="4">Data!#REF!</definedName>
    <definedName name="ExternalData_1133" localSheetId="4">Data!#REF!</definedName>
    <definedName name="ExternalData_1134" localSheetId="4">Data!#REF!</definedName>
    <definedName name="ExternalData_1135" localSheetId="4">Data!#REF!</definedName>
    <definedName name="ExternalData_1136" localSheetId="4">Data!#REF!</definedName>
    <definedName name="ExternalData_1137" localSheetId="4">Data!#REF!</definedName>
    <definedName name="ExternalData_1138" localSheetId="4">Data!#REF!</definedName>
    <definedName name="ExternalData_1139" localSheetId="4">Data!#REF!</definedName>
    <definedName name="ExternalData_114" localSheetId="4">Data!#REF!</definedName>
    <definedName name="ExternalData_1140" localSheetId="4">Data!#REF!</definedName>
    <definedName name="ExternalData_1141" localSheetId="4">Data!#REF!</definedName>
    <definedName name="ExternalData_1142" localSheetId="4">Data!#REF!</definedName>
    <definedName name="ExternalData_1143" localSheetId="4">Data!#REF!</definedName>
    <definedName name="ExternalData_1144" localSheetId="4">Data!#REF!</definedName>
    <definedName name="ExternalData_1145" localSheetId="4">Data!#REF!</definedName>
    <definedName name="ExternalData_1146" localSheetId="4">Data!#REF!</definedName>
    <definedName name="ExternalData_1147" localSheetId="4">Data!#REF!</definedName>
    <definedName name="ExternalData_1148" localSheetId="4">Data!#REF!</definedName>
    <definedName name="ExternalData_1149" localSheetId="4">Data!#REF!</definedName>
    <definedName name="ExternalData_115" localSheetId="4">Data!#REF!</definedName>
    <definedName name="ExternalData_1150" localSheetId="4">Data!#REF!</definedName>
    <definedName name="ExternalData_1151" localSheetId="4">Data!#REF!</definedName>
    <definedName name="ExternalData_1152" localSheetId="4">Data!#REF!</definedName>
    <definedName name="ExternalData_1153" localSheetId="4">Data!#REF!</definedName>
    <definedName name="ExternalData_1154" localSheetId="4">Data!#REF!</definedName>
    <definedName name="ExternalData_1155" localSheetId="4">Data!#REF!</definedName>
    <definedName name="ExternalData_1156" localSheetId="4">Data!#REF!</definedName>
    <definedName name="ExternalData_1157" localSheetId="4">Data!#REF!</definedName>
    <definedName name="ExternalData_1158" localSheetId="4">Data!#REF!</definedName>
    <definedName name="ExternalData_1159" localSheetId="4">Data!#REF!</definedName>
    <definedName name="ExternalData_116" localSheetId="4">Data!#REF!</definedName>
    <definedName name="ExternalData_1160" localSheetId="4">Data!#REF!</definedName>
    <definedName name="ExternalData_1161" localSheetId="4">Data!#REF!</definedName>
    <definedName name="ExternalData_1162" localSheetId="4">Data!#REF!</definedName>
    <definedName name="ExternalData_1163" localSheetId="4">Data!#REF!</definedName>
    <definedName name="ExternalData_1164" localSheetId="4">Data!#REF!</definedName>
    <definedName name="ExternalData_1165" localSheetId="4">Data!#REF!</definedName>
    <definedName name="ExternalData_1166" localSheetId="4">Data!#REF!</definedName>
    <definedName name="ExternalData_1167" localSheetId="4">Data!#REF!</definedName>
    <definedName name="ExternalData_1168" localSheetId="4">Data!#REF!</definedName>
    <definedName name="ExternalData_1169" localSheetId="4">Data!#REF!</definedName>
    <definedName name="ExternalData_117" localSheetId="4">Data!#REF!</definedName>
    <definedName name="ExternalData_1170" localSheetId="4">Data!#REF!</definedName>
    <definedName name="ExternalData_1171" localSheetId="4">Data!#REF!</definedName>
    <definedName name="ExternalData_1172" localSheetId="4">Data!#REF!</definedName>
    <definedName name="ExternalData_1173" localSheetId="4">Data!#REF!</definedName>
    <definedName name="ExternalData_1174" localSheetId="4">Data!#REF!</definedName>
    <definedName name="ExternalData_1175" localSheetId="4">Data!#REF!</definedName>
    <definedName name="ExternalData_1176" localSheetId="4">Data!#REF!</definedName>
    <definedName name="ExternalData_1177" localSheetId="4">Data!#REF!</definedName>
    <definedName name="ExternalData_1178" localSheetId="4">Data!#REF!</definedName>
    <definedName name="ExternalData_1179" localSheetId="4">Data!#REF!</definedName>
    <definedName name="ExternalData_118" localSheetId="4">Data!#REF!</definedName>
    <definedName name="ExternalData_1180" localSheetId="4">Data!#REF!</definedName>
    <definedName name="ExternalData_1181" localSheetId="4">Data!#REF!</definedName>
    <definedName name="ExternalData_1182" localSheetId="4">Data!#REF!</definedName>
    <definedName name="ExternalData_1183" localSheetId="4">Data!#REF!</definedName>
    <definedName name="ExternalData_1184" localSheetId="4">Data!#REF!</definedName>
    <definedName name="ExternalData_1185" localSheetId="4">Data!#REF!</definedName>
    <definedName name="ExternalData_1186" localSheetId="4">Data!#REF!</definedName>
    <definedName name="ExternalData_1187" localSheetId="4">Data!#REF!</definedName>
    <definedName name="ExternalData_1188" localSheetId="4">Data!#REF!</definedName>
    <definedName name="ExternalData_1189" localSheetId="4">Data!#REF!</definedName>
    <definedName name="ExternalData_119" localSheetId="4">Data!#REF!</definedName>
    <definedName name="ExternalData_1190" localSheetId="4">Data!#REF!</definedName>
    <definedName name="ExternalData_1191" localSheetId="4">Data!#REF!</definedName>
    <definedName name="ExternalData_1192" localSheetId="4">Data!#REF!</definedName>
    <definedName name="ExternalData_1193" localSheetId="4">Data!#REF!</definedName>
    <definedName name="ExternalData_1194" localSheetId="4">Data!#REF!</definedName>
    <definedName name="ExternalData_1195" localSheetId="4">Data!#REF!</definedName>
    <definedName name="ExternalData_1196" localSheetId="4">Data!#REF!</definedName>
    <definedName name="ExternalData_1197" localSheetId="4">Data!#REF!</definedName>
    <definedName name="ExternalData_1198" localSheetId="4">Data!#REF!</definedName>
    <definedName name="ExternalData_1199" localSheetId="4">Data!#REF!</definedName>
    <definedName name="ExternalData_12" localSheetId="4">Data!#REF!</definedName>
    <definedName name="ExternalData_120" localSheetId="4">Data!#REF!</definedName>
    <definedName name="ExternalData_1200" localSheetId="4">Data!#REF!</definedName>
    <definedName name="ExternalData_1201" localSheetId="4">Data!#REF!</definedName>
    <definedName name="ExternalData_1202" localSheetId="4">Data!#REF!</definedName>
    <definedName name="ExternalData_1203" localSheetId="4">Data!#REF!</definedName>
    <definedName name="ExternalData_1204" localSheetId="4">Data!#REF!</definedName>
    <definedName name="ExternalData_1205" localSheetId="4">Data!#REF!</definedName>
    <definedName name="ExternalData_1206" localSheetId="4">Data!#REF!</definedName>
    <definedName name="ExternalData_1207" localSheetId="4">Data!#REF!</definedName>
    <definedName name="ExternalData_1208" localSheetId="4">Data!#REF!</definedName>
    <definedName name="ExternalData_1209" localSheetId="4">Data!#REF!</definedName>
    <definedName name="ExternalData_121" localSheetId="4">Data!#REF!</definedName>
    <definedName name="ExternalData_1210" localSheetId="4">Data!#REF!</definedName>
    <definedName name="ExternalData_1211" localSheetId="4">Data!#REF!</definedName>
    <definedName name="ExternalData_1212" localSheetId="4">Data!#REF!</definedName>
    <definedName name="ExternalData_1213" localSheetId="4">Data!#REF!</definedName>
    <definedName name="ExternalData_1214" localSheetId="4">Data!#REF!</definedName>
    <definedName name="ExternalData_1215" localSheetId="4">Data!#REF!</definedName>
    <definedName name="ExternalData_1216" localSheetId="4">Data!#REF!</definedName>
    <definedName name="ExternalData_1217" localSheetId="4">Data!#REF!</definedName>
    <definedName name="ExternalData_1218" localSheetId="4">Data!#REF!</definedName>
    <definedName name="ExternalData_1219" localSheetId="4">Data!#REF!</definedName>
    <definedName name="ExternalData_122" localSheetId="4">Data!#REF!</definedName>
    <definedName name="ExternalData_1220" localSheetId="4">Data!#REF!</definedName>
    <definedName name="ExternalData_1221" localSheetId="4">Data!#REF!</definedName>
    <definedName name="ExternalData_1222" localSheetId="4">Data!#REF!</definedName>
    <definedName name="ExternalData_1223" localSheetId="4">Data!#REF!</definedName>
    <definedName name="ExternalData_1224" localSheetId="4">Data!#REF!</definedName>
    <definedName name="ExternalData_1225" localSheetId="4">Data!#REF!</definedName>
    <definedName name="ExternalData_1226" localSheetId="4">Data!#REF!</definedName>
    <definedName name="ExternalData_1227" localSheetId="4">Data!#REF!</definedName>
    <definedName name="ExternalData_1228" localSheetId="4">Data!#REF!</definedName>
    <definedName name="ExternalData_1229" localSheetId="4">Data!#REF!</definedName>
    <definedName name="ExternalData_123" localSheetId="4">Data!#REF!</definedName>
    <definedName name="ExternalData_1230" localSheetId="4">Data!#REF!</definedName>
    <definedName name="ExternalData_1231" localSheetId="4">Data!#REF!</definedName>
    <definedName name="ExternalData_1232" localSheetId="4">Data!#REF!</definedName>
    <definedName name="ExternalData_1233" localSheetId="4">Data!#REF!</definedName>
    <definedName name="ExternalData_1234" localSheetId="4">Data!#REF!</definedName>
    <definedName name="ExternalData_1235" localSheetId="4">Data!#REF!</definedName>
    <definedName name="ExternalData_1236" localSheetId="4">Data!#REF!</definedName>
    <definedName name="ExternalData_1237" localSheetId="4">Data!#REF!</definedName>
    <definedName name="ExternalData_1238" localSheetId="4">Data!#REF!</definedName>
    <definedName name="ExternalData_1239" localSheetId="4">Data!#REF!</definedName>
    <definedName name="ExternalData_124" localSheetId="4">Data!#REF!</definedName>
    <definedName name="ExternalData_1240" localSheetId="4">Data!#REF!</definedName>
    <definedName name="ExternalData_1241" localSheetId="4">Data!#REF!</definedName>
    <definedName name="ExternalData_1242" localSheetId="4">Data!#REF!</definedName>
    <definedName name="ExternalData_1243" localSheetId="4">Data!#REF!</definedName>
    <definedName name="ExternalData_1244" localSheetId="4">Data!#REF!</definedName>
    <definedName name="ExternalData_1245" localSheetId="4">Data!#REF!</definedName>
    <definedName name="ExternalData_1246" localSheetId="4">Data!#REF!</definedName>
    <definedName name="ExternalData_1247" localSheetId="4">Data!#REF!</definedName>
    <definedName name="ExternalData_1248" localSheetId="4">Data!#REF!</definedName>
    <definedName name="ExternalData_1249" localSheetId="4">Data!#REF!</definedName>
    <definedName name="ExternalData_125" localSheetId="4">Data!#REF!</definedName>
    <definedName name="ExternalData_1250" localSheetId="4">Data!#REF!</definedName>
    <definedName name="ExternalData_1251" localSheetId="4">Data!#REF!</definedName>
    <definedName name="ExternalData_1252" localSheetId="4">Data!#REF!</definedName>
    <definedName name="ExternalData_1253" localSheetId="4">Data!#REF!</definedName>
    <definedName name="ExternalData_1254" localSheetId="4">Data!#REF!</definedName>
    <definedName name="ExternalData_1255" localSheetId="4">Data!#REF!</definedName>
    <definedName name="ExternalData_1256" localSheetId="4">Data!#REF!</definedName>
    <definedName name="ExternalData_1257" localSheetId="4">Data!#REF!</definedName>
    <definedName name="ExternalData_1258" localSheetId="4">Data!#REF!</definedName>
    <definedName name="ExternalData_1259" localSheetId="4">Data!#REF!</definedName>
    <definedName name="ExternalData_126" localSheetId="4">Data!#REF!</definedName>
    <definedName name="ExternalData_1260" localSheetId="4">Data!#REF!</definedName>
    <definedName name="ExternalData_1261" localSheetId="4">Data!#REF!</definedName>
    <definedName name="ExternalData_1262" localSheetId="4">Data!#REF!</definedName>
    <definedName name="ExternalData_1263" localSheetId="4">Data!#REF!</definedName>
    <definedName name="ExternalData_1264" localSheetId="4">Data!#REF!</definedName>
    <definedName name="ExternalData_1265" localSheetId="4">Data!#REF!</definedName>
    <definedName name="ExternalData_1266" localSheetId="4">Data!#REF!</definedName>
    <definedName name="ExternalData_1267" localSheetId="4">Data!#REF!</definedName>
    <definedName name="ExternalData_1268" localSheetId="4">Data!#REF!</definedName>
    <definedName name="ExternalData_1269" localSheetId="4">Data!#REF!</definedName>
    <definedName name="ExternalData_127" localSheetId="4">Data!#REF!</definedName>
    <definedName name="ExternalData_1270" localSheetId="4">Data!#REF!</definedName>
    <definedName name="ExternalData_1271" localSheetId="4">Data!#REF!</definedName>
    <definedName name="ExternalData_1272" localSheetId="4">Data!#REF!</definedName>
    <definedName name="ExternalData_1273" localSheetId="4">Data!#REF!</definedName>
    <definedName name="ExternalData_1274" localSheetId="4">Data!#REF!</definedName>
    <definedName name="ExternalData_1275" localSheetId="4">Data!#REF!</definedName>
    <definedName name="ExternalData_1276" localSheetId="4">Data!#REF!</definedName>
    <definedName name="ExternalData_1277" localSheetId="4">Data!#REF!</definedName>
    <definedName name="ExternalData_1278" localSheetId="4">Data!#REF!</definedName>
    <definedName name="ExternalData_1279" localSheetId="4">Data!#REF!</definedName>
    <definedName name="ExternalData_128" localSheetId="4">Data!#REF!</definedName>
    <definedName name="ExternalData_1280" localSheetId="4">Data!#REF!</definedName>
    <definedName name="ExternalData_1281" localSheetId="4">Data!#REF!</definedName>
    <definedName name="ExternalData_1282" localSheetId="4">Data!#REF!</definedName>
    <definedName name="ExternalData_1283" localSheetId="4">Data!#REF!</definedName>
    <definedName name="ExternalData_1284" localSheetId="4">Data!#REF!</definedName>
    <definedName name="ExternalData_1285" localSheetId="4">Data!#REF!</definedName>
    <definedName name="ExternalData_1286" localSheetId="4">Data!#REF!</definedName>
    <definedName name="ExternalData_1287" localSheetId="4">Data!#REF!</definedName>
    <definedName name="ExternalData_1288" localSheetId="4">Data!#REF!</definedName>
    <definedName name="ExternalData_1289" localSheetId="4">Data!#REF!</definedName>
    <definedName name="ExternalData_129" localSheetId="4">Data!#REF!</definedName>
    <definedName name="ExternalData_1290" localSheetId="4">Data!#REF!</definedName>
    <definedName name="ExternalData_1291" localSheetId="4">Data!#REF!</definedName>
    <definedName name="ExternalData_1292" localSheetId="4">Data!#REF!</definedName>
    <definedName name="ExternalData_1293" localSheetId="4">Data!#REF!</definedName>
    <definedName name="ExternalData_1294" localSheetId="4">Data!#REF!</definedName>
    <definedName name="ExternalData_1295" localSheetId="4">Data!#REF!</definedName>
    <definedName name="ExternalData_1296" localSheetId="4">Data!#REF!</definedName>
    <definedName name="ExternalData_1297" localSheetId="4">Data!#REF!</definedName>
    <definedName name="ExternalData_1298" localSheetId="4">Data!#REF!</definedName>
    <definedName name="ExternalData_1299" localSheetId="4">Data!#REF!</definedName>
    <definedName name="ExternalData_13" localSheetId="4">Data!#REF!</definedName>
    <definedName name="ExternalData_130" localSheetId="4">Data!#REF!</definedName>
    <definedName name="ExternalData_1300" localSheetId="4">Data!#REF!</definedName>
    <definedName name="ExternalData_1301" localSheetId="4">Data!#REF!</definedName>
    <definedName name="ExternalData_1302" localSheetId="4">Data!#REF!</definedName>
    <definedName name="ExternalData_1303" localSheetId="4">Data!#REF!</definedName>
    <definedName name="ExternalData_1304" localSheetId="4">Data!#REF!</definedName>
    <definedName name="ExternalData_1305" localSheetId="4">Data!#REF!</definedName>
    <definedName name="ExternalData_1306" localSheetId="4">Data!#REF!</definedName>
    <definedName name="ExternalData_1307" localSheetId="4">Data!#REF!</definedName>
    <definedName name="ExternalData_1308" localSheetId="4">Data!#REF!</definedName>
    <definedName name="ExternalData_1309" localSheetId="4">Data!#REF!</definedName>
    <definedName name="ExternalData_131" localSheetId="4">Data!#REF!</definedName>
    <definedName name="ExternalData_1310" localSheetId="4">Data!#REF!</definedName>
    <definedName name="ExternalData_1311" localSheetId="4">Data!#REF!</definedName>
    <definedName name="ExternalData_1312" localSheetId="4">Data!#REF!</definedName>
    <definedName name="ExternalData_1313" localSheetId="4">Data!#REF!</definedName>
    <definedName name="ExternalData_1314" localSheetId="4">Data!#REF!</definedName>
    <definedName name="ExternalData_1315" localSheetId="4">Data!#REF!</definedName>
    <definedName name="ExternalData_1316" localSheetId="4">Data!#REF!</definedName>
    <definedName name="ExternalData_1317" localSheetId="4">Data!#REF!</definedName>
    <definedName name="ExternalData_1318" localSheetId="4">Data!#REF!</definedName>
    <definedName name="ExternalData_1319" localSheetId="4">Data!#REF!</definedName>
    <definedName name="ExternalData_132" localSheetId="4">Data!#REF!</definedName>
    <definedName name="ExternalData_1320" localSheetId="4">Data!#REF!</definedName>
    <definedName name="ExternalData_1321" localSheetId="4">Data!#REF!</definedName>
    <definedName name="ExternalData_1322" localSheetId="4">Data!#REF!</definedName>
    <definedName name="ExternalData_1323" localSheetId="4">Data!#REF!</definedName>
    <definedName name="ExternalData_1324" localSheetId="4">Data!#REF!</definedName>
    <definedName name="ExternalData_1325" localSheetId="4">Data!#REF!</definedName>
    <definedName name="ExternalData_1326" localSheetId="4">Data!#REF!</definedName>
    <definedName name="ExternalData_1327" localSheetId="4">Data!#REF!</definedName>
    <definedName name="ExternalData_1328" localSheetId="4">Data!#REF!</definedName>
    <definedName name="ExternalData_1329" localSheetId="4">Data!#REF!</definedName>
    <definedName name="ExternalData_133" localSheetId="4">Data!#REF!</definedName>
    <definedName name="ExternalData_1330" localSheetId="4">Data!#REF!</definedName>
    <definedName name="ExternalData_1331" localSheetId="4">Data!#REF!</definedName>
    <definedName name="ExternalData_1332" localSheetId="4">Data!#REF!</definedName>
    <definedName name="ExternalData_1333" localSheetId="4">Data!#REF!</definedName>
    <definedName name="ExternalData_1334" localSheetId="4">Data!#REF!</definedName>
    <definedName name="ExternalData_1335" localSheetId="4">Data!#REF!</definedName>
    <definedName name="ExternalData_1336" localSheetId="4">Data!#REF!</definedName>
    <definedName name="ExternalData_1337" localSheetId="4">Data!#REF!</definedName>
    <definedName name="ExternalData_1338" localSheetId="4">Data!#REF!</definedName>
    <definedName name="ExternalData_1339" localSheetId="4">Data!#REF!</definedName>
    <definedName name="ExternalData_134" localSheetId="4">Data!#REF!</definedName>
    <definedName name="ExternalData_1340" localSheetId="4">Data!#REF!</definedName>
    <definedName name="ExternalData_1341" localSheetId="4">Data!#REF!</definedName>
    <definedName name="ExternalData_1342" localSheetId="4">Data!#REF!</definedName>
    <definedName name="ExternalData_1343" localSheetId="4">Data!#REF!</definedName>
    <definedName name="ExternalData_1344" localSheetId="4">Data!#REF!</definedName>
    <definedName name="ExternalData_1345" localSheetId="4">Data!#REF!</definedName>
    <definedName name="ExternalData_1346" localSheetId="4">Data!#REF!</definedName>
    <definedName name="ExternalData_1347" localSheetId="4">Data!#REF!</definedName>
    <definedName name="ExternalData_1348" localSheetId="4">Data!#REF!</definedName>
    <definedName name="ExternalData_1349" localSheetId="4">Data!#REF!</definedName>
    <definedName name="ExternalData_135" localSheetId="4">Data!#REF!</definedName>
    <definedName name="ExternalData_1350" localSheetId="4">Data!#REF!</definedName>
    <definedName name="ExternalData_1351" localSheetId="4">Data!#REF!</definedName>
    <definedName name="ExternalData_1352" localSheetId="4">Data!#REF!</definedName>
    <definedName name="ExternalData_1353" localSheetId="4">Data!#REF!</definedName>
    <definedName name="ExternalData_1354" localSheetId="4">Data!#REF!</definedName>
    <definedName name="ExternalData_1355" localSheetId="4">Data!#REF!</definedName>
    <definedName name="ExternalData_1356" localSheetId="4">Data!#REF!</definedName>
    <definedName name="ExternalData_1357" localSheetId="4">Data!#REF!</definedName>
    <definedName name="ExternalData_1358" localSheetId="4">Data!#REF!</definedName>
    <definedName name="ExternalData_1359" localSheetId="4">Data!#REF!</definedName>
    <definedName name="ExternalData_136" localSheetId="4">Data!#REF!</definedName>
    <definedName name="ExternalData_1360" localSheetId="4">Data!#REF!</definedName>
    <definedName name="ExternalData_1361" localSheetId="4">Data!#REF!</definedName>
    <definedName name="ExternalData_1362" localSheetId="4">Data!#REF!</definedName>
    <definedName name="ExternalData_1363" localSheetId="4">Data!#REF!</definedName>
    <definedName name="ExternalData_1364" localSheetId="4">Data!#REF!</definedName>
    <definedName name="ExternalData_1365" localSheetId="4">Data!#REF!</definedName>
    <definedName name="ExternalData_1366" localSheetId="4">Data!#REF!</definedName>
    <definedName name="ExternalData_1367" localSheetId="4">Data!#REF!</definedName>
    <definedName name="ExternalData_1368" localSheetId="4">Data!#REF!</definedName>
    <definedName name="ExternalData_1369" localSheetId="4">Data!#REF!</definedName>
    <definedName name="ExternalData_137" localSheetId="4">Data!#REF!</definedName>
    <definedName name="ExternalData_1370" localSheetId="4">Data!#REF!</definedName>
    <definedName name="ExternalData_1371" localSheetId="4">Data!#REF!</definedName>
    <definedName name="ExternalData_1372" localSheetId="4">Data!#REF!</definedName>
    <definedName name="ExternalData_1373" localSheetId="4">Data!#REF!</definedName>
    <definedName name="ExternalData_1374" localSheetId="4">Data!#REF!</definedName>
    <definedName name="ExternalData_1375" localSheetId="4">Data!#REF!</definedName>
    <definedName name="ExternalData_1376" localSheetId="4">Data!#REF!</definedName>
    <definedName name="ExternalData_1377" localSheetId="4">Data!#REF!</definedName>
    <definedName name="ExternalData_1378" localSheetId="4">Data!#REF!</definedName>
    <definedName name="ExternalData_1379" localSheetId="4">Data!#REF!</definedName>
    <definedName name="ExternalData_138" localSheetId="4">Data!#REF!</definedName>
    <definedName name="ExternalData_1380" localSheetId="4">Data!#REF!</definedName>
    <definedName name="ExternalData_1381" localSheetId="4">Data!#REF!</definedName>
    <definedName name="ExternalData_1382" localSheetId="4">Data!#REF!</definedName>
    <definedName name="ExternalData_1383" localSheetId="4">Data!#REF!</definedName>
    <definedName name="ExternalData_1384" localSheetId="4">Data!#REF!</definedName>
    <definedName name="ExternalData_1385" localSheetId="4">Data!#REF!</definedName>
    <definedName name="ExternalData_1386" localSheetId="4">Data!#REF!</definedName>
    <definedName name="ExternalData_1387" localSheetId="4">Data!#REF!</definedName>
    <definedName name="ExternalData_1388" localSheetId="4">Data!#REF!</definedName>
    <definedName name="ExternalData_1389" localSheetId="4">Data!#REF!</definedName>
    <definedName name="ExternalData_139" localSheetId="4">Data!#REF!</definedName>
    <definedName name="ExternalData_1390" localSheetId="4">Data!#REF!</definedName>
    <definedName name="ExternalData_1391" localSheetId="4">Data!#REF!</definedName>
    <definedName name="ExternalData_1392" localSheetId="4">Data!#REF!</definedName>
    <definedName name="ExternalData_1393" localSheetId="4">Data!#REF!</definedName>
    <definedName name="ExternalData_1394" localSheetId="4">Data!#REF!</definedName>
    <definedName name="ExternalData_1395" localSheetId="4">Data!#REF!</definedName>
    <definedName name="ExternalData_1396" localSheetId="4">Data!#REF!</definedName>
    <definedName name="ExternalData_1397" localSheetId="4">Data!#REF!</definedName>
    <definedName name="ExternalData_1398" localSheetId="4">Data!#REF!</definedName>
    <definedName name="ExternalData_1399" localSheetId="4">Data!#REF!</definedName>
    <definedName name="ExternalData_14" localSheetId="4">Data!#REF!</definedName>
    <definedName name="ExternalData_140" localSheetId="4">Data!#REF!</definedName>
    <definedName name="ExternalData_1400" localSheetId="4">Data!#REF!</definedName>
    <definedName name="ExternalData_1401" localSheetId="4">Data!#REF!</definedName>
    <definedName name="ExternalData_1402" localSheetId="4">Data!#REF!</definedName>
    <definedName name="ExternalData_1403" localSheetId="4">Data!#REF!</definedName>
    <definedName name="ExternalData_1404" localSheetId="4">Data!#REF!</definedName>
    <definedName name="ExternalData_1405" localSheetId="4">Data!#REF!</definedName>
    <definedName name="ExternalData_1406" localSheetId="4">Data!#REF!</definedName>
    <definedName name="ExternalData_1407" localSheetId="4">Data!#REF!</definedName>
    <definedName name="ExternalData_1408" localSheetId="4">Data!#REF!</definedName>
    <definedName name="ExternalData_1409" localSheetId="4">Data!#REF!</definedName>
    <definedName name="ExternalData_141" localSheetId="4">Data!#REF!</definedName>
    <definedName name="ExternalData_1410" localSheetId="4">Data!#REF!</definedName>
    <definedName name="ExternalData_1411" localSheetId="4">Data!#REF!</definedName>
    <definedName name="ExternalData_1412" localSheetId="4">Data!#REF!</definedName>
    <definedName name="ExternalData_1413" localSheetId="4">Data!#REF!</definedName>
    <definedName name="ExternalData_1414" localSheetId="4">Data!#REF!</definedName>
    <definedName name="ExternalData_1415" localSheetId="4">Data!#REF!</definedName>
    <definedName name="ExternalData_1416" localSheetId="4">Data!#REF!</definedName>
    <definedName name="ExternalData_1417" localSheetId="4">Data!#REF!</definedName>
    <definedName name="ExternalData_1418" localSheetId="4">Data!#REF!</definedName>
    <definedName name="ExternalData_1419" localSheetId="4">Data!#REF!</definedName>
    <definedName name="ExternalData_142" localSheetId="4">Data!#REF!</definedName>
    <definedName name="ExternalData_1420" localSheetId="4">Data!#REF!</definedName>
    <definedName name="ExternalData_1421" localSheetId="4">Data!#REF!</definedName>
    <definedName name="ExternalData_1422" localSheetId="4">Data!#REF!</definedName>
    <definedName name="ExternalData_1423" localSheetId="4">Data!#REF!</definedName>
    <definedName name="ExternalData_1424" localSheetId="4">Data!#REF!</definedName>
    <definedName name="ExternalData_1425" localSheetId="4">Data!#REF!</definedName>
    <definedName name="ExternalData_1426" localSheetId="4">Data!#REF!</definedName>
    <definedName name="ExternalData_1427" localSheetId="4">Data!#REF!</definedName>
    <definedName name="ExternalData_1428" localSheetId="4">Data!#REF!</definedName>
    <definedName name="ExternalData_1429" localSheetId="4">Data!#REF!</definedName>
    <definedName name="ExternalData_143" localSheetId="4">Data!#REF!</definedName>
    <definedName name="ExternalData_1430" localSheetId="4">Data!#REF!</definedName>
    <definedName name="ExternalData_1431" localSheetId="4">Data!#REF!</definedName>
    <definedName name="ExternalData_1432" localSheetId="4">Data!#REF!</definedName>
    <definedName name="ExternalData_1433" localSheetId="4">Data!#REF!</definedName>
    <definedName name="ExternalData_1434" localSheetId="4">Data!#REF!</definedName>
    <definedName name="ExternalData_1435" localSheetId="4">Data!#REF!</definedName>
    <definedName name="ExternalData_1436" localSheetId="4">Data!#REF!</definedName>
    <definedName name="ExternalData_1437" localSheetId="4">Data!#REF!</definedName>
    <definedName name="ExternalData_1438" localSheetId="4">Data!#REF!</definedName>
    <definedName name="ExternalData_1439" localSheetId="4">Data!#REF!</definedName>
    <definedName name="ExternalData_144" localSheetId="4">Data!#REF!</definedName>
    <definedName name="ExternalData_1440" localSheetId="4">Data!#REF!</definedName>
    <definedName name="ExternalData_1441" localSheetId="4">Data!#REF!</definedName>
    <definedName name="ExternalData_1442" localSheetId="4">Data!#REF!</definedName>
    <definedName name="ExternalData_1443" localSheetId="4">Data!#REF!</definedName>
    <definedName name="ExternalData_1444" localSheetId="4">Data!#REF!</definedName>
    <definedName name="ExternalData_1445" localSheetId="4">Data!#REF!</definedName>
    <definedName name="ExternalData_1446" localSheetId="4">Data!#REF!</definedName>
    <definedName name="ExternalData_1447" localSheetId="4">Data!#REF!</definedName>
    <definedName name="ExternalData_1448" localSheetId="4">Data!#REF!</definedName>
    <definedName name="ExternalData_1449" localSheetId="4">Data!#REF!</definedName>
    <definedName name="ExternalData_145" localSheetId="4">Data!#REF!</definedName>
    <definedName name="ExternalData_1450" localSheetId="4">Data!#REF!</definedName>
    <definedName name="ExternalData_1451" localSheetId="4">Data!#REF!</definedName>
    <definedName name="ExternalData_1452" localSheetId="4">Data!#REF!</definedName>
    <definedName name="ExternalData_1453" localSheetId="4">Data!#REF!</definedName>
    <definedName name="ExternalData_1454" localSheetId="4">Data!#REF!</definedName>
    <definedName name="ExternalData_1455" localSheetId="4">Data!#REF!</definedName>
    <definedName name="ExternalData_1456" localSheetId="4">Data!#REF!</definedName>
    <definedName name="ExternalData_1457" localSheetId="4">Data!#REF!</definedName>
    <definedName name="ExternalData_1458" localSheetId="4">Data!#REF!</definedName>
    <definedName name="ExternalData_1459" localSheetId="4">Data!#REF!</definedName>
    <definedName name="ExternalData_146" localSheetId="4">Data!#REF!</definedName>
    <definedName name="ExternalData_1460" localSheetId="4">Data!#REF!</definedName>
    <definedName name="ExternalData_1461" localSheetId="4">Data!#REF!</definedName>
    <definedName name="ExternalData_1462" localSheetId="4">Data!#REF!</definedName>
    <definedName name="ExternalData_1463" localSheetId="4">Data!#REF!</definedName>
    <definedName name="ExternalData_1464" localSheetId="4">Data!#REF!</definedName>
    <definedName name="ExternalData_1465" localSheetId="4">Data!#REF!</definedName>
    <definedName name="ExternalData_1466" localSheetId="4">Data!#REF!</definedName>
    <definedName name="ExternalData_1467" localSheetId="4">Data!#REF!</definedName>
    <definedName name="ExternalData_1468" localSheetId="4">Data!#REF!</definedName>
    <definedName name="ExternalData_1469" localSheetId="4">Data!#REF!</definedName>
    <definedName name="ExternalData_147" localSheetId="4">Data!#REF!</definedName>
    <definedName name="ExternalData_1470" localSheetId="4">Data!#REF!</definedName>
    <definedName name="ExternalData_1471" localSheetId="4">Data!#REF!</definedName>
    <definedName name="ExternalData_1472" localSheetId="4">Data!#REF!</definedName>
    <definedName name="ExternalData_1473" localSheetId="4">Data!#REF!</definedName>
    <definedName name="ExternalData_1474" localSheetId="4">Data!#REF!</definedName>
    <definedName name="ExternalData_1475" localSheetId="4">Data!#REF!</definedName>
    <definedName name="ExternalData_1476" localSheetId="4">Data!#REF!</definedName>
    <definedName name="ExternalData_1477" localSheetId="4">Data!#REF!</definedName>
    <definedName name="ExternalData_1478" localSheetId="4">Data!#REF!</definedName>
    <definedName name="ExternalData_1479" localSheetId="4">Data!#REF!</definedName>
    <definedName name="ExternalData_148" localSheetId="4">Data!#REF!</definedName>
    <definedName name="ExternalData_1480" localSheetId="4">Data!#REF!</definedName>
    <definedName name="ExternalData_1481" localSheetId="4">Data!#REF!</definedName>
    <definedName name="ExternalData_1482" localSheetId="4">Data!#REF!</definedName>
    <definedName name="ExternalData_1483" localSheetId="4">Data!#REF!</definedName>
    <definedName name="ExternalData_1484" localSheetId="4">Data!#REF!</definedName>
    <definedName name="ExternalData_1485" localSheetId="4">Data!#REF!</definedName>
    <definedName name="ExternalData_1486" localSheetId="4">Data!#REF!</definedName>
    <definedName name="ExternalData_1487" localSheetId="4">Data!#REF!</definedName>
    <definedName name="ExternalData_1488" localSheetId="4">Data!#REF!</definedName>
    <definedName name="ExternalData_1489" localSheetId="4">Data!#REF!</definedName>
    <definedName name="ExternalData_149" localSheetId="4">Data!#REF!</definedName>
    <definedName name="ExternalData_1490" localSheetId="4">Data!#REF!</definedName>
    <definedName name="ExternalData_1491" localSheetId="4">Data!#REF!</definedName>
    <definedName name="ExternalData_1492" localSheetId="4">Data!#REF!</definedName>
    <definedName name="ExternalData_1493" localSheetId="4">Data!#REF!</definedName>
    <definedName name="ExternalData_1494" localSheetId="4">Data!#REF!</definedName>
    <definedName name="ExternalData_1495" localSheetId="4">Data!#REF!</definedName>
    <definedName name="ExternalData_1496" localSheetId="4">Data!#REF!</definedName>
    <definedName name="ExternalData_1497" localSheetId="4">Data!#REF!</definedName>
    <definedName name="ExternalData_1498" localSheetId="4">Data!#REF!</definedName>
    <definedName name="ExternalData_1499" localSheetId="4">Data!#REF!</definedName>
    <definedName name="ExternalData_15" localSheetId="4">Data!#REF!</definedName>
    <definedName name="ExternalData_150" localSheetId="4">Data!#REF!</definedName>
    <definedName name="ExternalData_1500" localSheetId="4">Data!#REF!</definedName>
    <definedName name="ExternalData_1501" localSheetId="4">Data!#REF!</definedName>
    <definedName name="ExternalData_1502" localSheetId="4">Data!#REF!</definedName>
    <definedName name="ExternalData_1503" localSheetId="4">Data!#REF!</definedName>
    <definedName name="ExternalData_1504" localSheetId="4">Data!#REF!</definedName>
    <definedName name="ExternalData_1505" localSheetId="4">Data!#REF!</definedName>
    <definedName name="ExternalData_1506" localSheetId="4">Data!#REF!</definedName>
    <definedName name="ExternalData_1507" localSheetId="4">Data!#REF!</definedName>
    <definedName name="ExternalData_1508" localSheetId="4">Data!#REF!</definedName>
    <definedName name="ExternalData_1509" localSheetId="4">Data!#REF!</definedName>
    <definedName name="ExternalData_151" localSheetId="4">Data!#REF!</definedName>
    <definedName name="ExternalData_1510" localSheetId="4">Data!#REF!</definedName>
    <definedName name="ExternalData_1511" localSheetId="4">Data!#REF!</definedName>
    <definedName name="ExternalData_1512" localSheetId="4">Data!#REF!</definedName>
    <definedName name="ExternalData_1513" localSheetId="4">Data!#REF!</definedName>
    <definedName name="ExternalData_1514" localSheetId="4">Data!#REF!</definedName>
    <definedName name="ExternalData_1515" localSheetId="4">Data!#REF!</definedName>
    <definedName name="ExternalData_1516" localSheetId="4">Data!#REF!</definedName>
    <definedName name="ExternalData_1517" localSheetId="4">Data!#REF!</definedName>
    <definedName name="ExternalData_1518" localSheetId="4">Data!#REF!</definedName>
    <definedName name="ExternalData_1519" localSheetId="4">Data!#REF!</definedName>
    <definedName name="ExternalData_152" localSheetId="4">Data!#REF!</definedName>
    <definedName name="ExternalData_1520" localSheetId="4">Data!#REF!</definedName>
    <definedName name="ExternalData_1521" localSheetId="4">Data!#REF!</definedName>
    <definedName name="ExternalData_1522" localSheetId="4">Data!#REF!</definedName>
    <definedName name="ExternalData_1523" localSheetId="4">Data!#REF!</definedName>
    <definedName name="ExternalData_1524" localSheetId="4">Data!#REF!</definedName>
    <definedName name="ExternalData_1525" localSheetId="4">Data!#REF!</definedName>
    <definedName name="ExternalData_1526" localSheetId="4">Data!#REF!</definedName>
    <definedName name="ExternalData_1527" localSheetId="4">Data!#REF!</definedName>
    <definedName name="ExternalData_1528" localSheetId="4">Data!#REF!</definedName>
    <definedName name="ExternalData_1529" localSheetId="4">Data!#REF!</definedName>
    <definedName name="ExternalData_153" localSheetId="4">Data!#REF!</definedName>
    <definedName name="ExternalData_1530" localSheetId="4">Data!#REF!</definedName>
    <definedName name="ExternalData_1531" localSheetId="4">Data!#REF!</definedName>
    <definedName name="ExternalData_1532" localSheetId="4">Data!#REF!</definedName>
    <definedName name="ExternalData_1533" localSheetId="4">Data!#REF!</definedName>
    <definedName name="ExternalData_1534" localSheetId="4">Data!#REF!</definedName>
    <definedName name="ExternalData_1535" localSheetId="4">Data!#REF!</definedName>
    <definedName name="ExternalData_1536" localSheetId="4">Data!#REF!</definedName>
    <definedName name="ExternalData_1537" localSheetId="4">Data!#REF!</definedName>
    <definedName name="ExternalData_1538" localSheetId="4">Data!#REF!</definedName>
    <definedName name="ExternalData_1539" localSheetId="4">Data!#REF!</definedName>
    <definedName name="ExternalData_154" localSheetId="4">Data!#REF!</definedName>
    <definedName name="ExternalData_1540" localSheetId="4">Data!#REF!</definedName>
    <definedName name="ExternalData_1541" localSheetId="4">Data!#REF!</definedName>
    <definedName name="ExternalData_1542" localSheetId="4">Data!#REF!</definedName>
    <definedName name="ExternalData_1543" localSheetId="4">Data!#REF!</definedName>
    <definedName name="ExternalData_1544" localSheetId="4">Data!#REF!</definedName>
    <definedName name="ExternalData_1545" localSheetId="4">Data!#REF!</definedName>
    <definedName name="ExternalData_1546" localSheetId="4">Data!#REF!</definedName>
    <definedName name="ExternalData_1547" localSheetId="4">Data!#REF!</definedName>
    <definedName name="ExternalData_1548" localSheetId="4">Data!#REF!</definedName>
    <definedName name="ExternalData_1549" localSheetId="4">Data!#REF!</definedName>
    <definedName name="ExternalData_155" localSheetId="4">Data!#REF!</definedName>
    <definedName name="ExternalData_1550" localSheetId="4">Data!#REF!</definedName>
    <definedName name="ExternalData_1551" localSheetId="4">Data!#REF!</definedName>
    <definedName name="ExternalData_1552" localSheetId="4">Data!#REF!</definedName>
    <definedName name="ExternalData_1553" localSheetId="4">Data!#REF!</definedName>
    <definedName name="ExternalData_1554" localSheetId="4">Data!#REF!</definedName>
    <definedName name="ExternalData_1555" localSheetId="4">Data!#REF!</definedName>
    <definedName name="ExternalData_1556" localSheetId="4">Data!#REF!</definedName>
    <definedName name="ExternalData_1557" localSheetId="4">Data!#REF!</definedName>
    <definedName name="ExternalData_1558" localSheetId="4">Data!#REF!</definedName>
    <definedName name="ExternalData_1559" localSheetId="4">Data!#REF!</definedName>
    <definedName name="ExternalData_156" localSheetId="4">Data!#REF!</definedName>
    <definedName name="ExternalData_1560" localSheetId="4">Data!#REF!</definedName>
    <definedName name="ExternalData_1561" localSheetId="4">Data!#REF!</definedName>
    <definedName name="ExternalData_1562" localSheetId="4">Data!#REF!</definedName>
    <definedName name="ExternalData_1563" localSheetId="4">Data!#REF!</definedName>
    <definedName name="ExternalData_1564" localSheetId="4">Data!#REF!</definedName>
    <definedName name="ExternalData_1565" localSheetId="4">Data!#REF!</definedName>
    <definedName name="ExternalData_1566" localSheetId="4">Data!#REF!</definedName>
    <definedName name="ExternalData_1567" localSheetId="4">Data!#REF!</definedName>
    <definedName name="ExternalData_1568" localSheetId="4">Data!#REF!</definedName>
    <definedName name="ExternalData_1569" localSheetId="4">Data!#REF!</definedName>
    <definedName name="ExternalData_157" localSheetId="4">Data!#REF!</definedName>
    <definedName name="ExternalData_1570" localSheetId="4">Data!#REF!</definedName>
    <definedName name="ExternalData_1571" localSheetId="4">Data!#REF!</definedName>
    <definedName name="ExternalData_1572" localSheetId="4">Data!#REF!</definedName>
    <definedName name="ExternalData_1573" localSheetId="4">Data!#REF!</definedName>
    <definedName name="ExternalData_1574" localSheetId="4">Data!#REF!</definedName>
    <definedName name="ExternalData_1575" localSheetId="4">Data!#REF!</definedName>
    <definedName name="ExternalData_1576" localSheetId="4">Data!#REF!</definedName>
    <definedName name="ExternalData_1577" localSheetId="4">Data!#REF!</definedName>
    <definedName name="ExternalData_1578" localSheetId="4">Data!#REF!</definedName>
    <definedName name="ExternalData_1579" localSheetId="4">Data!#REF!</definedName>
    <definedName name="ExternalData_158" localSheetId="4">Data!#REF!</definedName>
    <definedName name="ExternalData_1580" localSheetId="4">Data!#REF!</definedName>
    <definedName name="ExternalData_1581" localSheetId="4">Data!#REF!</definedName>
    <definedName name="ExternalData_1582" localSheetId="4">Data!#REF!</definedName>
    <definedName name="ExternalData_1583" localSheetId="4">Data!#REF!</definedName>
    <definedName name="ExternalData_1584" localSheetId="4">Data!#REF!</definedName>
    <definedName name="ExternalData_1585" localSheetId="4">Data!#REF!</definedName>
    <definedName name="ExternalData_1586" localSheetId="4">Data!#REF!</definedName>
    <definedName name="ExternalData_1587" localSheetId="4">Data!#REF!</definedName>
    <definedName name="ExternalData_1588" localSheetId="4">Data!#REF!</definedName>
    <definedName name="ExternalData_1589" localSheetId="4">Data!#REF!</definedName>
    <definedName name="ExternalData_159" localSheetId="4">Data!#REF!</definedName>
    <definedName name="ExternalData_1590" localSheetId="4">Data!#REF!</definedName>
    <definedName name="ExternalData_1591" localSheetId="4">Data!#REF!</definedName>
    <definedName name="ExternalData_1592" localSheetId="4">Data!#REF!</definedName>
    <definedName name="ExternalData_1593" localSheetId="4">Data!#REF!</definedName>
    <definedName name="ExternalData_1594" localSheetId="4">Data!#REF!</definedName>
    <definedName name="ExternalData_1595" localSheetId="4">Data!#REF!</definedName>
    <definedName name="ExternalData_1596" localSheetId="4">Data!#REF!</definedName>
    <definedName name="ExternalData_1597" localSheetId="4">Data!#REF!</definedName>
    <definedName name="ExternalData_1598" localSheetId="4">Data!#REF!</definedName>
    <definedName name="ExternalData_1599" localSheetId="4">Data!#REF!</definedName>
    <definedName name="ExternalData_16" localSheetId="4">Data!#REF!</definedName>
    <definedName name="ExternalData_160" localSheetId="4">Data!#REF!</definedName>
    <definedName name="ExternalData_1600" localSheetId="4">Data!#REF!</definedName>
    <definedName name="ExternalData_1601" localSheetId="4">Data!#REF!</definedName>
    <definedName name="ExternalData_1602" localSheetId="4">Data!#REF!</definedName>
    <definedName name="ExternalData_1603" localSheetId="4">Data!#REF!</definedName>
    <definedName name="ExternalData_1604" localSheetId="4">Data!#REF!</definedName>
    <definedName name="ExternalData_1605" localSheetId="4">Data!#REF!</definedName>
    <definedName name="ExternalData_1606" localSheetId="4">Data!#REF!</definedName>
    <definedName name="ExternalData_1607" localSheetId="4">Data!#REF!</definedName>
    <definedName name="ExternalData_1608" localSheetId="4">Data!#REF!</definedName>
    <definedName name="ExternalData_1609" localSheetId="4">Data!#REF!</definedName>
    <definedName name="ExternalData_161" localSheetId="4">Data!#REF!</definedName>
    <definedName name="ExternalData_1610" localSheetId="4">Data!#REF!</definedName>
    <definedName name="ExternalData_1611" localSheetId="4">Data!#REF!</definedName>
    <definedName name="ExternalData_1612" localSheetId="4">Data!#REF!</definedName>
    <definedName name="ExternalData_1613" localSheetId="4">Data!#REF!</definedName>
    <definedName name="ExternalData_1614" localSheetId="4">Data!#REF!</definedName>
    <definedName name="ExternalData_1615" localSheetId="4">Data!#REF!</definedName>
    <definedName name="ExternalData_1616" localSheetId="4">Data!#REF!</definedName>
    <definedName name="ExternalData_1617" localSheetId="4">Data!#REF!</definedName>
    <definedName name="ExternalData_1618" localSheetId="4">Data!#REF!</definedName>
    <definedName name="ExternalData_1619" localSheetId="4">Data!#REF!</definedName>
    <definedName name="ExternalData_162" localSheetId="4">Data!#REF!</definedName>
    <definedName name="ExternalData_1620" localSheetId="4">Data!#REF!</definedName>
    <definedName name="ExternalData_1621" localSheetId="4">Data!#REF!</definedName>
    <definedName name="ExternalData_1622" localSheetId="4">Data!#REF!</definedName>
    <definedName name="ExternalData_1623" localSheetId="4">Data!#REF!</definedName>
    <definedName name="ExternalData_1624" localSheetId="4">Data!#REF!</definedName>
    <definedName name="ExternalData_1625" localSheetId="4">Data!#REF!</definedName>
    <definedName name="ExternalData_1626" localSheetId="4">Data!#REF!</definedName>
    <definedName name="ExternalData_1627" localSheetId="4">Data!#REF!</definedName>
    <definedName name="ExternalData_1628" localSheetId="4">Data!#REF!</definedName>
    <definedName name="ExternalData_1629" localSheetId="4">Data!#REF!</definedName>
    <definedName name="ExternalData_163" localSheetId="4">Data!#REF!</definedName>
    <definedName name="ExternalData_1630" localSheetId="4">Data!#REF!</definedName>
    <definedName name="ExternalData_1631" localSheetId="4">Data!#REF!</definedName>
    <definedName name="ExternalData_1632" localSheetId="4">Data!#REF!</definedName>
    <definedName name="ExternalData_1633" localSheetId="4">Data!#REF!</definedName>
    <definedName name="ExternalData_1634" localSheetId="4">Data!#REF!</definedName>
    <definedName name="ExternalData_1635" localSheetId="4">Data!#REF!</definedName>
    <definedName name="ExternalData_1636" localSheetId="4">Data!#REF!</definedName>
    <definedName name="ExternalData_1637" localSheetId="4">Data!#REF!</definedName>
    <definedName name="ExternalData_1638" localSheetId="4">Data!#REF!</definedName>
    <definedName name="ExternalData_1639" localSheetId="4">Data!#REF!</definedName>
    <definedName name="ExternalData_164" localSheetId="4">Data!#REF!</definedName>
    <definedName name="ExternalData_1640" localSheetId="4">Data!#REF!</definedName>
    <definedName name="ExternalData_1641" localSheetId="4">Data!#REF!</definedName>
    <definedName name="ExternalData_1642" localSheetId="4">Data!#REF!</definedName>
    <definedName name="ExternalData_1643" localSheetId="4">Data!#REF!</definedName>
    <definedName name="ExternalData_1644" localSheetId="4">Data!#REF!</definedName>
    <definedName name="ExternalData_1645" localSheetId="4">Data!#REF!</definedName>
    <definedName name="ExternalData_1646" localSheetId="4">Data!#REF!</definedName>
    <definedName name="ExternalData_1647" localSheetId="4">Data!#REF!</definedName>
    <definedName name="ExternalData_1648" localSheetId="4">Data!#REF!</definedName>
    <definedName name="ExternalData_1649" localSheetId="4">Data!#REF!</definedName>
    <definedName name="ExternalData_165" localSheetId="4">Data!#REF!</definedName>
    <definedName name="ExternalData_1650" localSheetId="4">Data!#REF!</definedName>
    <definedName name="ExternalData_1651" localSheetId="4">Data!#REF!</definedName>
    <definedName name="ExternalData_1652" localSheetId="4">Data!#REF!</definedName>
    <definedName name="ExternalData_1653" localSheetId="4">Data!#REF!</definedName>
    <definedName name="ExternalData_1654" localSheetId="4">Data!#REF!</definedName>
    <definedName name="ExternalData_1655" localSheetId="4">Data!#REF!</definedName>
    <definedName name="ExternalData_1656" localSheetId="4">Data!#REF!</definedName>
    <definedName name="ExternalData_1657" localSheetId="4">Data!#REF!</definedName>
    <definedName name="ExternalData_1658" localSheetId="4">Data!#REF!</definedName>
    <definedName name="ExternalData_1659" localSheetId="4">Data!#REF!</definedName>
    <definedName name="ExternalData_166" localSheetId="4">Data!#REF!</definedName>
    <definedName name="ExternalData_1660" localSheetId="4">Data!#REF!</definedName>
    <definedName name="ExternalData_1661" localSheetId="4">Data!#REF!</definedName>
    <definedName name="ExternalData_1662" localSheetId="4">Data!#REF!</definedName>
    <definedName name="ExternalData_1663" localSheetId="4">Data!#REF!</definedName>
    <definedName name="ExternalData_1664" localSheetId="4">Data!#REF!</definedName>
    <definedName name="ExternalData_1665" localSheetId="4">Data!#REF!</definedName>
    <definedName name="ExternalData_1666" localSheetId="4">Data!#REF!</definedName>
    <definedName name="ExternalData_1667" localSheetId="4">Data!#REF!</definedName>
    <definedName name="ExternalData_1668" localSheetId="4">Data!#REF!</definedName>
    <definedName name="ExternalData_1669" localSheetId="4">Data!#REF!</definedName>
    <definedName name="ExternalData_167" localSheetId="4">Data!#REF!</definedName>
    <definedName name="ExternalData_1670" localSheetId="4">Data!$A$2:$K$3</definedName>
    <definedName name="ExternalData_1671" localSheetId="4">Data!$A$2:$K$3</definedName>
    <definedName name="ExternalData_1672" localSheetId="4">Data!$A$2:$K$3</definedName>
    <definedName name="ExternalData_1673" localSheetId="4">Data!$A$2:$K$3</definedName>
    <definedName name="ExternalData_1674" localSheetId="4">Data!$A$2:$K$3</definedName>
    <definedName name="ExternalData_1675" localSheetId="4">Data!$A$2:$M$3</definedName>
    <definedName name="ExternalData_1676" localSheetId="4">Data!$A$2:$M$3</definedName>
    <definedName name="ExternalData_1677" localSheetId="4">Data!$A$2:$M$3</definedName>
    <definedName name="ExternalData_1678" localSheetId="4">Data!$A$2:$M$3</definedName>
    <definedName name="ExternalData_1679" localSheetId="4">Data!$A$2:$M$3</definedName>
    <definedName name="ExternalData_168" localSheetId="4">Data!#REF!</definedName>
    <definedName name="ExternalData_1680" localSheetId="4">Data!$A$2:$M$3</definedName>
    <definedName name="ExternalData_1681" localSheetId="4">Data!$A$2:$M$3</definedName>
    <definedName name="ExternalData_1682" localSheetId="4">Data!$A$2:$M$3</definedName>
    <definedName name="ExternalData_1683" localSheetId="4">Data!$A$2:$M$3</definedName>
    <definedName name="ExternalData_1684" localSheetId="4">Data!$A$2:$M$3</definedName>
    <definedName name="ExternalData_1685" localSheetId="4">Data!$A$2:$M$3</definedName>
    <definedName name="ExternalData_1686" localSheetId="4">Data!$A$2:$M$3</definedName>
    <definedName name="ExternalData_1687" localSheetId="4">Data!$A$2</definedName>
    <definedName name="ExternalData_1688" localSheetId="4">Data!$A$2:$M$3</definedName>
    <definedName name="ExternalData_1689" localSheetId="4">Data!$A$2:$M$3</definedName>
    <definedName name="ExternalData_169" localSheetId="4">Data!#REF!</definedName>
    <definedName name="ExternalData_1690" localSheetId="4">Data!$A$2:$M$3</definedName>
    <definedName name="ExternalData_1691" localSheetId="4">Data!$A$2:$M$3</definedName>
    <definedName name="ExternalData_1692" localSheetId="4">Data!$A$2:$M$3</definedName>
    <definedName name="ExternalData_1693" localSheetId="4">Data!$A$2:$M$3</definedName>
    <definedName name="ExternalData_1694" localSheetId="4">Data!$A$2:$M$3</definedName>
    <definedName name="ExternalData_1695" localSheetId="4">Data!$A$2:$M$3</definedName>
    <definedName name="ExternalData_1696" localSheetId="4">Data!$A$2:$M$3</definedName>
    <definedName name="ExternalData_1697" localSheetId="4">Data!$A$2:$M$3</definedName>
    <definedName name="ExternalData_1698" localSheetId="4">Data!$A$2:$M$3</definedName>
    <definedName name="ExternalData_1699" localSheetId="4">Data!$A$2:$M$3</definedName>
    <definedName name="ExternalData_17" localSheetId="4">Data!#REF!</definedName>
    <definedName name="ExternalData_170" localSheetId="4">Data!#REF!</definedName>
    <definedName name="ExternalData_1700" localSheetId="4">Data!$A$2:$M$3</definedName>
    <definedName name="ExternalData_1701" localSheetId="4">Data!$A$2:$M$3</definedName>
    <definedName name="ExternalData_1702" localSheetId="4">Data!$A$2:$M$3</definedName>
    <definedName name="ExternalData_1703" localSheetId="4">Data!$A$2:$M$3</definedName>
    <definedName name="ExternalData_1704" localSheetId="4">Data!$A$2:$M$3</definedName>
    <definedName name="ExternalData_1705" localSheetId="4">Data!$A$2:$M$3</definedName>
    <definedName name="ExternalData_1706" localSheetId="4">Data!$A$2:$M$3</definedName>
    <definedName name="ExternalData_1707" localSheetId="4">Data!$A$2:$M$3</definedName>
    <definedName name="ExternalData_1708" localSheetId="4">Data!$A$2:$M$3</definedName>
    <definedName name="ExternalData_1709" localSheetId="4">Data!$A$2:$M$3</definedName>
    <definedName name="ExternalData_171" localSheetId="4">Data!#REF!</definedName>
    <definedName name="ExternalData_1710" localSheetId="4">Data!$A$2:$M$3</definedName>
    <definedName name="ExternalData_1711" localSheetId="4">Data!$A$2:$M$3</definedName>
    <definedName name="ExternalData_1712" localSheetId="4">Data!$A$2:$M$3</definedName>
    <definedName name="ExternalData_1713" localSheetId="4">Data!$A$2:$M$3</definedName>
    <definedName name="ExternalData_1714" localSheetId="4">Data!$A$2:$M$3</definedName>
    <definedName name="ExternalData_1715" localSheetId="4">Data!$A$2:$M$3</definedName>
    <definedName name="ExternalData_1716" localSheetId="4">Data!$A$2:$M$3</definedName>
    <definedName name="ExternalData_1717" localSheetId="4">Data!$A$2:$M$3</definedName>
    <definedName name="ExternalData_1718" localSheetId="4">Data!$A$2:$M$3</definedName>
    <definedName name="ExternalData_1719" localSheetId="4">Data!$A$2:$M$3</definedName>
    <definedName name="ExternalData_172" localSheetId="4">Data!#REF!</definedName>
    <definedName name="ExternalData_1720" localSheetId="4">Data!$A$2:$M$3</definedName>
    <definedName name="ExternalData_1721" localSheetId="4">Data!$A$2:$M$3</definedName>
    <definedName name="ExternalData_1722" localSheetId="4">Data!$A$2:$M$3</definedName>
    <definedName name="ExternalData_1723" localSheetId="4">Data!$A$2:$M$3</definedName>
    <definedName name="ExternalData_1724" localSheetId="4">Data!$A$2</definedName>
    <definedName name="ExternalData_1725" localSheetId="4">Data!$A$2:$M$3</definedName>
    <definedName name="ExternalData_1726" localSheetId="4">Data!$A$2:$M$3</definedName>
    <definedName name="ExternalData_1727" localSheetId="4">Data!$A$2:$M$3</definedName>
    <definedName name="ExternalData_1728" localSheetId="4">Data!$A$2:$M$3</definedName>
    <definedName name="ExternalData_1729" localSheetId="4">Data!$A$2:$M$3</definedName>
    <definedName name="ExternalData_173" localSheetId="4">Data!#REF!</definedName>
    <definedName name="ExternalData_1730" localSheetId="4">Data!$A$2:$M$3</definedName>
    <definedName name="ExternalData_1731" localSheetId="4">Data!$A$2:$M$3</definedName>
    <definedName name="ExternalData_1732" localSheetId="4">Data!$A$2:$M$3</definedName>
    <definedName name="ExternalData_1733" localSheetId="4">Data!$A$2:$M$3</definedName>
    <definedName name="ExternalData_1734" localSheetId="4">Data!$A$2:$M$3</definedName>
    <definedName name="ExternalData_1735" localSheetId="4">Data!$A$2:$M$3</definedName>
    <definedName name="ExternalData_1736" localSheetId="4">Data!$A$2:$M$3</definedName>
    <definedName name="ExternalData_1737" localSheetId="4">Data!$A$2:$M$3</definedName>
    <definedName name="ExternalData_1738" localSheetId="4">Data!$A$2:$M$3</definedName>
    <definedName name="ExternalData_1739" localSheetId="4">Data!$A$2:$M$3</definedName>
    <definedName name="ExternalData_174" localSheetId="4">Data!#REF!</definedName>
    <definedName name="ExternalData_1740" localSheetId="4">Data!$A$2:$M$3</definedName>
    <definedName name="ExternalData_1741" localSheetId="4">Data!$A$2:$M$3</definedName>
    <definedName name="ExternalData_1742" localSheetId="4">Data!$A$2:$M$3</definedName>
    <definedName name="ExternalData_1743" localSheetId="4">Data!$A$2:$M$3</definedName>
    <definedName name="ExternalData_1744" localSheetId="4">Data!$A$2:$M$3</definedName>
    <definedName name="ExternalData_1745" localSheetId="4">Data!$A$2:$M$3</definedName>
    <definedName name="ExternalData_1746" localSheetId="4">Data!$A$2:$M$3</definedName>
    <definedName name="ExternalData_1747" localSheetId="4">Data!$A$2:$M$3</definedName>
    <definedName name="ExternalData_1748" localSheetId="4">Data!$A$2:$M$3</definedName>
    <definedName name="ExternalData_1749" localSheetId="4">Data!$A$2:$M$3</definedName>
    <definedName name="ExternalData_175" localSheetId="4">Data!#REF!</definedName>
    <definedName name="ExternalData_1750" localSheetId="4">Data!$A$2:$M$3</definedName>
    <definedName name="ExternalData_1751" localSheetId="4">Data!$A$2:$M$3</definedName>
    <definedName name="ExternalData_1752" localSheetId="4">Data!$A$2:$M$3</definedName>
    <definedName name="ExternalData_1753" localSheetId="4">Data!$A$2:$M$3</definedName>
    <definedName name="ExternalData_1754" localSheetId="4">Data!$A$2:$M$3</definedName>
    <definedName name="ExternalData_1755" localSheetId="4">Data!$A$2:$M$3</definedName>
    <definedName name="ExternalData_1756" localSheetId="4">Data!$A$2:$M$3</definedName>
    <definedName name="ExternalData_1757" localSheetId="4">Data!$A$2:$M$3</definedName>
    <definedName name="ExternalData_1758" localSheetId="4">Data!$A$2:$M$3</definedName>
    <definedName name="ExternalData_1759" localSheetId="4">Data!$A$2:$M$3</definedName>
    <definedName name="ExternalData_176" localSheetId="4">Data!#REF!</definedName>
    <definedName name="ExternalData_1760" localSheetId="4">Data!$A$2:$M$3</definedName>
    <definedName name="ExternalData_1761" localSheetId="4">Data!$A$2:$M$3</definedName>
    <definedName name="ExternalData_1762" localSheetId="4">Data!$A$2:$M$3</definedName>
    <definedName name="ExternalData_1763" localSheetId="4">Data!$A$2:$M$3</definedName>
    <definedName name="ExternalData_1764" localSheetId="4">Data!$A$2:$M$3</definedName>
    <definedName name="ExternalData_1765" localSheetId="4">Data!$A$2:$M$3</definedName>
    <definedName name="ExternalData_1766" localSheetId="4">Data!$A$2:$M$3</definedName>
    <definedName name="ExternalData_1767" localSheetId="4">Data!$A$2:$M$3</definedName>
    <definedName name="ExternalData_1768" localSheetId="4">Data!$A$2:$M$3</definedName>
    <definedName name="ExternalData_1769" localSheetId="4">Data!$A$2:$M$3</definedName>
    <definedName name="ExternalData_177" localSheetId="4">Data!#REF!</definedName>
    <definedName name="ExternalData_1770" localSheetId="4">Data!$A$2:$M$3</definedName>
    <definedName name="ExternalData_1771" localSheetId="4">Data!$A$2:$M$3</definedName>
    <definedName name="ExternalData_1772" localSheetId="4">Data!$A$2:$M$3</definedName>
    <definedName name="ExternalData_1773" localSheetId="4">Data!$A$2:$M$3</definedName>
    <definedName name="ExternalData_1774" localSheetId="4">Data!$A$2:$M$3</definedName>
    <definedName name="ExternalData_1775" localSheetId="4">Data!$A$2:$M$3</definedName>
    <definedName name="ExternalData_1776" localSheetId="4">Data!$A$2:$M$3</definedName>
    <definedName name="ExternalData_1777" localSheetId="4">Data!$A$2:$M$3</definedName>
    <definedName name="ExternalData_1778" localSheetId="4">Data!$A$2:$M$3</definedName>
    <definedName name="ExternalData_1779" localSheetId="4">Data!$A$2:$M$3</definedName>
    <definedName name="ExternalData_178" localSheetId="4">Data!#REF!</definedName>
    <definedName name="ExternalData_1780" localSheetId="4">Data!$A$2:$M$3</definedName>
    <definedName name="ExternalData_1781" localSheetId="4">Data!$A$2:$M$3</definedName>
    <definedName name="ExternalData_1782" localSheetId="4">Data!$A$2:$M$3</definedName>
    <definedName name="ExternalData_1783" localSheetId="4">Data!$A$2:$M$3</definedName>
    <definedName name="ExternalData_1784" localSheetId="4">Data!$A$2:$M$3</definedName>
    <definedName name="ExternalData_1785" localSheetId="4">Data!$A$2:$M$3</definedName>
    <definedName name="ExternalData_1786" localSheetId="4">Data!$A$2:$M$3</definedName>
    <definedName name="ExternalData_1787" localSheetId="4">Data!$A$2:$M$3</definedName>
    <definedName name="ExternalData_1788" localSheetId="4">Data!$A$2:$M$3</definedName>
    <definedName name="ExternalData_1789" localSheetId="4">Data!$A$2:$M$3</definedName>
    <definedName name="ExternalData_179" localSheetId="4">Data!#REF!</definedName>
    <definedName name="ExternalData_1790" localSheetId="4">Data!$A$2:$M$3</definedName>
    <definedName name="ExternalData_1791" localSheetId="4">Data!$A$2:$M$3</definedName>
    <definedName name="ExternalData_1792" localSheetId="4">Data!$A$2:$M$3</definedName>
    <definedName name="ExternalData_1793" localSheetId="4">Data!$A$2:$M$3</definedName>
    <definedName name="ExternalData_1794" localSheetId="4">Data!$A$2:$M$3</definedName>
    <definedName name="ExternalData_1795" localSheetId="4">Data!$A$2:$M$3</definedName>
    <definedName name="ExternalData_1796" localSheetId="4">Data!$A$2:$M$3</definedName>
    <definedName name="ExternalData_1797" localSheetId="4">Data!$A$2:$M$3</definedName>
    <definedName name="ExternalData_1798" localSheetId="4">Data!$A$2:$M$3</definedName>
    <definedName name="ExternalData_1799" localSheetId="4">Data!$A$2:$M$3</definedName>
    <definedName name="ExternalData_18" localSheetId="4">Data!#REF!</definedName>
    <definedName name="ExternalData_180" localSheetId="4">Data!#REF!</definedName>
    <definedName name="ExternalData_1800" localSheetId="4">Data!$A$2:$M$3</definedName>
    <definedName name="ExternalData_1801" localSheetId="4">Data!$A$2:$M$3</definedName>
    <definedName name="ExternalData_1802" localSheetId="4">Data!$A$2:$M$3</definedName>
    <definedName name="ExternalData_1803" localSheetId="4">Data!$A$2:$M$3</definedName>
    <definedName name="ExternalData_1804" localSheetId="4">Data!$A$2:$M$3</definedName>
    <definedName name="ExternalData_1805" localSheetId="4">Data!$A$2:$M$3</definedName>
    <definedName name="ExternalData_1806" localSheetId="4">Data!$A$2:$M$3</definedName>
    <definedName name="ExternalData_1807" localSheetId="4">Data!$A$2:$M$3</definedName>
    <definedName name="ExternalData_1808" localSheetId="4">Data!$A$2:$M$3</definedName>
    <definedName name="ExternalData_1809" localSheetId="4">Data!$A$2:$M$3</definedName>
    <definedName name="ExternalData_181" localSheetId="4">Data!#REF!</definedName>
    <definedName name="ExternalData_1810" localSheetId="4">Data!$A$2:$M$3</definedName>
    <definedName name="ExternalData_1811" localSheetId="4">Data!$A$2:$M$3</definedName>
    <definedName name="ExternalData_1812" localSheetId="4">Data!$A$2:$M$3</definedName>
    <definedName name="ExternalData_1813" localSheetId="4">Data!$A$2:$M$3</definedName>
    <definedName name="ExternalData_1814" localSheetId="4">Data!$A$2:$M$3</definedName>
    <definedName name="ExternalData_1815" localSheetId="4">Data!$A$2:$M$3</definedName>
    <definedName name="ExternalData_1816" localSheetId="4">Data!$A$2:$M$3</definedName>
    <definedName name="ExternalData_1817" localSheetId="4">Data!$A$2:$M$3</definedName>
    <definedName name="ExternalData_1818" localSheetId="4">Data!$A$2:$M$3</definedName>
    <definedName name="ExternalData_1819" localSheetId="4">Data!$A$2:$M$3</definedName>
    <definedName name="ExternalData_182" localSheetId="4">Data!#REF!</definedName>
    <definedName name="ExternalData_1820" localSheetId="4">Data!$A$2:$M$3</definedName>
    <definedName name="ExternalData_1821" localSheetId="4">Data!$A$2:$M$3</definedName>
    <definedName name="ExternalData_1822" localSheetId="4">Data!$A$2:$M$3</definedName>
    <definedName name="ExternalData_1823" localSheetId="4">Data!$A$2:$M$3</definedName>
    <definedName name="ExternalData_1824" localSheetId="4">Data!$A$2:$M$3</definedName>
    <definedName name="ExternalData_1825" localSheetId="4">Data!$A$2:$M$3</definedName>
    <definedName name="ExternalData_1826" localSheetId="4">Data!$A$2:$M$3</definedName>
    <definedName name="ExternalData_1827" localSheetId="4">Data!$A$2:$M$3</definedName>
    <definedName name="ExternalData_1828" localSheetId="4">Data!$A$2:$M$3</definedName>
    <definedName name="ExternalData_1829" localSheetId="4">Data!$A$2:$M$3</definedName>
    <definedName name="ExternalData_183" localSheetId="4">Data!#REF!</definedName>
    <definedName name="ExternalData_1830" localSheetId="4">Data!$A$2:$M$3</definedName>
    <definedName name="ExternalData_1831" localSheetId="4">Data!$A$2:$M$3</definedName>
    <definedName name="ExternalData_1832" localSheetId="4">Data!$A$2:$M$3</definedName>
    <definedName name="ExternalData_1833" localSheetId="4">Data!$A$2:$M$3</definedName>
    <definedName name="ExternalData_1834" localSheetId="4">Data!$A$2:$M$3</definedName>
    <definedName name="ExternalData_1835" localSheetId="4">Data!$A$2:$M$3</definedName>
    <definedName name="ExternalData_1836" localSheetId="4">Data!$A$2:$M$3</definedName>
    <definedName name="ExternalData_1837" localSheetId="4">Data!$A$2:$M$3</definedName>
    <definedName name="ExternalData_1838" localSheetId="4">Data!$A$2:$M$3</definedName>
    <definedName name="ExternalData_1839" localSheetId="4">Data!$A$2:$M$3</definedName>
    <definedName name="ExternalData_184" localSheetId="4">Data!#REF!</definedName>
    <definedName name="ExternalData_1840" localSheetId="4">Data!$A$2:$M$3</definedName>
    <definedName name="ExternalData_1841" localSheetId="4">Data!$A$2:$M$3</definedName>
    <definedName name="ExternalData_1842" localSheetId="4">Data!$A$2:$M$3</definedName>
    <definedName name="ExternalData_1843" localSheetId="4">Data!$A$2:$M$3</definedName>
    <definedName name="ExternalData_1844" localSheetId="4">Data!$A$2:$M$3</definedName>
    <definedName name="ExternalData_1845" localSheetId="4">Data!$A$2:$M$3</definedName>
    <definedName name="ExternalData_1846" localSheetId="4">Data!$A$2:$M$3</definedName>
    <definedName name="ExternalData_1847" localSheetId="4">Data!$A$2:$M$3</definedName>
    <definedName name="ExternalData_1848" localSheetId="4">Data!$A$2:$M$3</definedName>
    <definedName name="ExternalData_1849" localSheetId="4">Data!$A$2:$M$3</definedName>
    <definedName name="ExternalData_185" localSheetId="4">Data!#REF!</definedName>
    <definedName name="ExternalData_1850" localSheetId="4">Data!$A$2:$M$3</definedName>
    <definedName name="ExternalData_1851" localSheetId="4">Data!$A$2:$M$3</definedName>
    <definedName name="ExternalData_1852" localSheetId="4">Data!$A$2:$M$3</definedName>
    <definedName name="ExternalData_1853" localSheetId="4">Data!$A$2:$M$3</definedName>
    <definedName name="ExternalData_1854" localSheetId="4">Data!$A$2:$M$3</definedName>
    <definedName name="ExternalData_1855" localSheetId="4">Data!$A$2:$M$3</definedName>
    <definedName name="ExternalData_1856" localSheetId="4">Data!$A$2:$M$3</definedName>
    <definedName name="ExternalData_1857" localSheetId="4">Data!$A$2:$M$3</definedName>
    <definedName name="ExternalData_1858" localSheetId="4">Data!$A$2:$M$3</definedName>
    <definedName name="ExternalData_1859" localSheetId="4">Data!$A$2:$M$3</definedName>
    <definedName name="ExternalData_186" localSheetId="4">Data!#REF!</definedName>
    <definedName name="ExternalData_1860" localSheetId="4">Data!$A$2:$M$3</definedName>
    <definedName name="ExternalData_1861" localSheetId="4">Data!$A$2:$M$3</definedName>
    <definedName name="ExternalData_1862" localSheetId="4">Data!$A$2:$M$3</definedName>
    <definedName name="ExternalData_1863" localSheetId="4">Data!$A$2:$M$3</definedName>
    <definedName name="ExternalData_1864" localSheetId="4">Data!$A$2:$M$3</definedName>
    <definedName name="ExternalData_1865" localSheetId="4">Data!$A$2:$M$3</definedName>
    <definedName name="ExternalData_1866" localSheetId="4">Data!$A$2:$M$3</definedName>
    <definedName name="ExternalData_1867" localSheetId="4">Data!$A$2:$M$3</definedName>
    <definedName name="ExternalData_1868" localSheetId="4">Data!$A$2:$M$3</definedName>
    <definedName name="ExternalData_1869" localSheetId="4">Data!$A$2:$M$3</definedName>
    <definedName name="ExternalData_187" localSheetId="4">Data!#REF!</definedName>
    <definedName name="ExternalData_1870" localSheetId="4">Data!$A$2:$M$3</definedName>
    <definedName name="ExternalData_1871" localSheetId="4">Data!$A$2</definedName>
    <definedName name="ExternalData_1872" localSheetId="4">Data!$A$2</definedName>
    <definedName name="ExternalData_1873" localSheetId="4">Data!$A$2:$M$3</definedName>
    <definedName name="ExternalData_1874" localSheetId="4">Data!$A$2:$M$3</definedName>
    <definedName name="ExternalData_1875" localSheetId="4">Data!$A$2:$M$3</definedName>
    <definedName name="ExternalData_1876" localSheetId="4">Data!$A$2:$M$3</definedName>
    <definedName name="ExternalData_1877" localSheetId="4">Data!$A$2:$M$3</definedName>
    <definedName name="ExternalData_1878" localSheetId="4">Data!$A$2:$M$3</definedName>
    <definedName name="ExternalData_1879" localSheetId="4">Data!$A$2:$M$3</definedName>
    <definedName name="ExternalData_188" localSheetId="4">Data!#REF!</definedName>
    <definedName name="ExternalData_1880" localSheetId="4">Data!$A$2:$M$12</definedName>
    <definedName name="ExternalData_1881" localSheetId="4">Data!$A$2:$M$12</definedName>
    <definedName name="ExternalData_1882" localSheetId="4">Data!$A$2:$M$12</definedName>
    <definedName name="ExternalData_1883" localSheetId="4">Data!$A$2:$M$3</definedName>
    <definedName name="ExternalData_1884" localSheetId="4">Data!$A$2:$M$12</definedName>
    <definedName name="ExternalData_1885" localSheetId="4">Data!$A$2:$M$12</definedName>
    <definedName name="ExternalData_1886" localSheetId="4">Data!$A$2:$M$3</definedName>
    <definedName name="ExternalData_1887" localSheetId="4">Data!$A$2:$M$12</definedName>
    <definedName name="ExternalData_1888" localSheetId="4">Data!$A$2:$M$3</definedName>
    <definedName name="ExternalData_1889" localSheetId="4">Data!$A$2:$M$3</definedName>
    <definedName name="ExternalData_189" localSheetId="4">Data!#REF!</definedName>
    <definedName name="ExternalData_1890" localSheetId="4">Data!$A$2:$M$3</definedName>
    <definedName name="ExternalData_1891" localSheetId="4">Data!$A$2:$M$3</definedName>
    <definedName name="ExternalData_1892" localSheetId="4">Data!$A$2:$M$3</definedName>
    <definedName name="ExternalData_1893" localSheetId="4">Data!$A$2:$M$3</definedName>
    <definedName name="ExternalData_1894" localSheetId="4">Data!$A$2:$M$3</definedName>
    <definedName name="ExternalData_1895" localSheetId="4">Data!$A$2:$M$3</definedName>
    <definedName name="ExternalData_1896" localSheetId="4">Data!$A$2:$M$3</definedName>
    <definedName name="ExternalData_1897" localSheetId="4">Data!$A$2:$M$3</definedName>
    <definedName name="ExternalData_1898" localSheetId="4">Data!$A$2:$M$3</definedName>
    <definedName name="ExternalData_1899" localSheetId="4">Data!$A$2:$M$3</definedName>
    <definedName name="ExternalData_19" localSheetId="4">Data!#REF!</definedName>
    <definedName name="ExternalData_190" localSheetId="4">Data!#REF!</definedName>
    <definedName name="ExternalData_1900" localSheetId="4">Data!$A$2:$M$3</definedName>
    <definedName name="ExternalData_1901" localSheetId="4">Data!$A$2:$M$3</definedName>
    <definedName name="ExternalData_1902" localSheetId="4">Data!$A$2:$M$3</definedName>
    <definedName name="ExternalData_1903" localSheetId="4">Data!$A$2:$M$3</definedName>
    <definedName name="ExternalData_1904" localSheetId="4">Data!$A$2:$M$3</definedName>
    <definedName name="ExternalData_1905" localSheetId="4">Data!$A$2</definedName>
    <definedName name="ExternalData_1906" localSheetId="4">Data!$A$2:$M$3</definedName>
    <definedName name="ExternalData_1907" localSheetId="4">Data!$A$2:$M$3</definedName>
    <definedName name="ExternalData_1908" localSheetId="4">Data!$A$2:$M$3</definedName>
    <definedName name="ExternalData_1909" localSheetId="4">Data!$A$2:$M$3</definedName>
    <definedName name="ExternalData_191" localSheetId="4">Data!#REF!</definedName>
    <definedName name="ExternalData_1910" localSheetId="4">Data!$A$2:$M$161</definedName>
    <definedName name="ExternalData_1911" localSheetId="4">Data!$A$2:$M$170</definedName>
    <definedName name="ExternalData_1912" localSheetId="4">Data!$A$2:$M$3</definedName>
    <definedName name="ExternalData_1913" localSheetId="4">Data!$A$2:$M$3</definedName>
    <definedName name="ExternalData_1914" localSheetId="4">Data!$A$2:$M$3</definedName>
    <definedName name="ExternalData_1915" localSheetId="4">Data!$A$2:$M$3</definedName>
    <definedName name="ExternalData_1916" localSheetId="4">Data!$A$2:$M$3</definedName>
    <definedName name="ExternalData_1917" localSheetId="4">Data!$A$2:$M$3</definedName>
    <definedName name="ExternalData_1918" localSheetId="4">Data!$A$2:$M$3</definedName>
    <definedName name="ExternalData_1919" localSheetId="4">Data!$A$2:$M$3</definedName>
    <definedName name="ExternalData_192" localSheetId="4">Data!#REF!</definedName>
    <definedName name="ExternalData_1920" localSheetId="4">Data!$A$2:$M$3</definedName>
    <definedName name="ExternalData_1921" localSheetId="4">Data!$A$2:$M$3</definedName>
    <definedName name="ExternalData_1922" localSheetId="4">Data!$A$2:$M$3</definedName>
    <definedName name="ExternalData_1923" localSheetId="4">Data!$A$2:$M$3</definedName>
    <definedName name="ExternalData_1924" localSheetId="4">Data!$A$2:$M$3</definedName>
    <definedName name="ExternalData_1925" localSheetId="4">Data!$A$2:$M$3</definedName>
    <definedName name="ExternalData_1926" localSheetId="4">Data!$A$2:$M$3</definedName>
    <definedName name="ExternalData_1927" localSheetId="4">Data!$A$2:$M$3</definedName>
    <definedName name="ExternalData_1928" localSheetId="4">Data!$A$2:$M$3</definedName>
    <definedName name="ExternalData_1929" localSheetId="4">Data!$A$2:$M$3</definedName>
    <definedName name="ExternalData_193" localSheetId="4">Data!#REF!</definedName>
    <definedName name="ExternalData_1930" localSheetId="4">Data!$A$2:$M$3</definedName>
    <definedName name="ExternalData_1931" localSheetId="4">Data!$A$2:$M$3</definedName>
    <definedName name="ExternalData_1932" localSheetId="4">Data!$A$2:$M$3</definedName>
    <definedName name="ExternalData_1933" localSheetId="4">Data!$A$2:$M$3</definedName>
    <definedName name="ExternalData_1934" localSheetId="4">Data!$A$2:$M$3</definedName>
    <definedName name="ExternalData_1935" localSheetId="4">Data!$A$2:$M$3</definedName>
    <definedName name="ExternalData_1936" localSheetId="4">Data!$A$2:$M$3</definedName>
    <definedName name="ExternalData_1937" localSheetId="4">Data!$A$2:$M$3</definedName>
    <definedName name="ExternalData_1938" localSheetId="4">Data!$A$2:$M$3</definedName>
    <definedName name="ExternalData_1939" localSheetId="4">Data!$A$2:$M$3</definedName>
    <definedName name="ExternalData_194" localSheetId="4">Data!#REF!</definedName>
    <definedName name="ExternalData_1940" localSheetId="4">Data!$A$2:$M$3</definedName>
    <definedName name="ExternalData_1941" localSheetId="4">Data!$A$2:$M$3</definedName>
    <definedName name="ExternalData_1942" localSheetId="4">Data!$A$2:$M$3</definedName>
    <definedName name="ExternalData_1943" localSheetId="4">Data!$A$2:$M$3</definedName>
    <definedName name="ExternalData_1944" localSheetId="4">Data!$A$2:$M$3</definedName>
    <definedName name="ExternalData_1945" localSheetId="4">Data!$A$2:$M$3</definedName>
    <definedName name="ExternalData_1946" localSheetId="4">Data!$A$2:$M$3</definedName>
    <definedName name="ExternalData_1947" localSheetId="4">Data!$A$2:$M$3</definedName>
    <definedName name="ExternalData_1948" localSheetId="4">Data!$A$2:$M$3</definedName>
    <definedName name="ExternalData_1949" localSheetId="4">Data!$A$2:$M$3</definedName>
    <definedName name="ExternalData_195" localSheetId="4">Data!#REF!</definedName>
    <definedName name="ExternalData_1950" localSheetId="4">Data!$A$2:$M$3</definedName>
    <definedName name="ExternalData_1951" localSheetId="4">Data!$A$2:$M$3</definedName>
    <definedName name="ExternalData_1952" localSheetId="4">Data!$A$2:$M$3</definedName>
    <definedName name="ExternalData_1953" localSheetId="4">Data!$A$2:$M$3</definedName>
    <definedName name="ExternalData_1954" localSheetId="4">Data!$A$2:$M$3</definedName>
    <definedName name="ExternalData_1955" localSheetId="4">Data!$A$2:$M$3</definedName>
    <definedName name="ExternalData_1956" localSheetId="4">Data!$A$2:$M$3</definedName>
    <definedName name="ExternalData_1957" localSheetId="4">Data!$A$2:$M$3</definedName>
    <definedName name="ExternalData_1958" localSheetId="4">Data!$A$2:$M$3</definedName>
    <definedName name="ExternalData_1959" localSheetId="4">Data!$A$2</definedName>
    <definedName name="ExternalData_196" localSheetId="4">Data!#REF!</definedName>
    <definedName name="ExternalData_1960" localSheetId="4">Data!$A$2:$M$2591</definedName>
    <definedName name="ExternalData_1961" localSheetId="4">Data!$A$2:$M$3</definedName>
    <definedName name="ExternalData_1962" localSheetId="4">Data!$A$2:$M$2661</definedName>
    <definedName name="ExternalData_1963" localSheetId="4">Data!$A$2:$M$3</definedName>
    <definedName name="ExternalData_1964" localSheetId="4">Data!$A$2:$M$3</definedName>
    <definedName name="ExternalData_1965" localSheetId="4">Data!$A$2:$M$3</definedName>
    <definedName name="ExternalData_1966" localSheetId="4">Data!$A$2:$M$3</definedName>
    <definedName name="ExternalData_1967" localSheetId="4">Data!$A$2:$M$3</definedName>
    <definedName name="ExternalData_1968" localSheetId="4">Data!$A$2</definedName>
    <definedName name="ExternalData_1969" localSheetId="4">Data!$A$2:$M$3</definedName>
    <definedName name="ExternalData_197" localSheetId="4">Data!#REF!</definedName>
    <definedName name="ExternalData_1970" localSheetId="4">Data!$A$2:$M$3</definedName>
    <definedName name="ExternalData_1971" localSheetId="4">Data!$A$2:$M$3</definedName>
    <definedName name="ExternalData_1972" localSheetId="4">Data!$A$2:$M$3</definedName>
    <definedName name="ExternalData_1973" localSheetId="4">Data!$A$2:$M$3</definedName>
    <definedName name="ExternalData_1974" localSheetId="4">Data!$A$2:$M$3</definedName>
    <definedName name="ExternalData_1975" localSheetId="4">Data!$A$2:$M$3</definedName>
    <definedName name="ExternalData_1976" localSheetId="4">Data!$A$2:$M$3</definedName>
    <definedName name="ExternalData_1977" localSheetId="4">Data!$A$2:$M$3</definedName>
    <definedName name="ExternalData_1978" localSheetId="4">Data!$A$2:$M$3</definedName>
    <definedName name="ExternalData_1979" localSheetId="4">Data!$A$2:$M$3</definedName>
    <definedName name="ExternalData_198" localSheetId="4">Data!#REF!</definedName>
    <definedName name="ExternalData_1980" localSheetId="4">Data!$A$2:$M$3</definedName>
    <definedName name="ExternalData_1981" localSheetId="4">Data!$A$2:$M$3</definedName>
    <definedName name="ExternalData_1982" localSheetId="4">Data!$A$2:$M$3</definedName>
    <definedName name="ExternalData_1983" localSheetId="4">Data!$A$2:$M$3</definedName>
    <definedName name="ExternalData_1984" localSheetId="4">Data!$A$2:$M$3</definedName>
    <definedName name="ExternalData_1985" localSheetId="4">Data!$A$2:$M$3</definedName>
    <definedName name="ExternalData_1986" localSheetId="4">Data!$A$2:$M$3</definedName>
    <definedName name="ExternalData_1987" localSheetId="4">Data!$A$2:$M$3</definedName>
    <definedName name="ExternalData_1988" localSheetId="4">Data!$A$2:$M$3</definedName>
    <definedName name="ExternalData_1989" localSheetId="4">Data!$A$2:$M$3</definedName>
    <definedName name="ExternalData_199" localSheetId="4">Data!#REF!</definedName>
    <definedName name="ExternalData_1990" localSheetId="4">Data!$A$2:$M$3</definedName>
    <definedName name="ExternalData_1991" localSheetId="4">Data!$A$2:$M$3</definedName>
    <definedName name="ExternalData_1992" localSheetId="4">Data!$A$2:$M$3</definedName>
    <definedName name="ExternalData_1993" localSheetId="4">Data!$A$2:$M$3</definedName>
    <definedName name="ExternalData_1994" localSheetId="4">Data!$A$2:$M$3</definedName>
    <definedName name="ExternalData_1995" localSheetId="4">Data!$A$2:$M$3</definedName>
    <definedName name="ExternalData_1996" localSheetId="4">Data!$A$2:$M$3</definedName>
    <definedName name="ExternalData_1997" localSheetId="4">Data!$A$2:$M$3</definedName>
    <definedName name="ExternalData_1998" localSheetId="4">Data!$A$2:$M$3</definedName>
    <definedName name="ExternalData_1999" localSheetId="4">Data!$A$2:$M$3</definedName>
    <definedName name="ExternalData_2" localSheetId="4">Data!#REF!</definedName>
    <definedName name="ExternalData_20" localSheetId="4">Data!#REF!</definedName>
    <definedName name="ExternalData_200" localSheetId="4">Data!#REF!</definedName>
    <definedName name="ExternalData_2000" localSheetId="4">Data!$A$2:$M$3</definedName>
    <definedName name="ExternalData_2001" localSheetId="4">Data!$A$2:$M$3</definedName>
    <definedName name="ExternalData_2002" localSheetId="4">Data!$A$2:$M$3</definedName>
    <definedName name="ExternalData_2003" localSheetId="4">Data!$A$2:$M$3</definedName>
    <definedName name="ExternalData_2004" localSheetId="4">Data!$A$2:$M$3</definedName>
    <definedName name="ExternalData_2005" localSheetId="4">Data!$A$2:$M$3</definedName>
    <definedName name="ExternalData_2006" localSheetId="4">Data!$A$2:$M$3</definedName>
    <definedName name="ExternalData_2007" localSheetId="4">Data!$A$2:$M$3</definedName>
    <definedName name="ExternalData_2008" localSheetId="4">Data!$A$2:$M$3</definedName>
    <definedName name="ExternalData_2009" localSheetId="4">Data!$A$2:$M$3</definedName>
    <definedName name="ExternalData_201" localSheetId="4">Data!#REF!</definedName>
    <definedName name="ExternalData_2010" localSheetId="4">Data!$A$2:$M$3</definedName>
    <definedName name="ExternalData_2011" localSheetId="4">Data!$A$2:$M$3</definedName>
    <definedName name="ExternalData_2012" localSheetId="4">Data!$A$2:$M$3</definedName>
    <definedName name="ExternalData_2013" localSheetId="4">Data!$A$2:$M$3</definedName>
    <definedName name="ExternalData_2014" localSheetId="4">Data!$A$2:$M$3</definedName>
    <definedName name="ExternalData_2015" localSheetId="4">Data!$A$2:$M$3</definedName>
    <definedName name="ExternalData_2016" localSheetId="4">Data!$A$2:$M$3</definedName>
    <definedName name="ExternalData_2017" localSheetId="4">Data!$A$2:$M$3</definedName>
    <definedName name="ExternalData_2018" localSheetId="4">Data!$A$2:$M$3</definedName>
    <definedName name="ExternalData_2019" localSheetId="4">Data!$A$2:$M$3</definedName>
    <definedName name="ExternalData_202" localSheetId="4">Data!#REF!</definedName>
    <definedName name="ExternalData_2020" localSheetId="4">Data!$A$2:$M$3</definedName>
    <definedName name="ExternalData_2021" localSheetId="4">Data!$A$2:$M$3</definedName>
    <definedName name="ExternalData_2022" localSheetId="4">Data!$A$2:$M$3</definedName>
    <definedName name="ExternalData_2023" localSheetId="4">Data!$A$2:$M$3</definedName>
    <definedName name="ExternalData_2024" localSheetId="4">Data!$A$2:$M$3</definedName>
    <definedName name="ExternalData_2025" localSheetId="4">Data!$A$2:$M$3</definedName>
    <definedName name="ExternalData_2026" localSheetId="4">Data!$A$2:$M$3</definedName>
    <definedName name="ExternalData_2027" localSheetId="4">Data!$A$2:$M$3</definedName>
    <definedName name="ExternalData_2028" localSheetId="4">Data!$A$2:$M$3</definedName>
    <definedName name="ExternalData_2029" localSheetId="4">Data!$A$2:$M$2949</definedName>
    <definedName name="ExternalData_203" localSheetId="4">Data!#REF!</definedName>
    <definedName name="ExternalData_2030" localSheetId="4">Data!$A$2:$M$3</definedName>
    <definedName name="ExternalData_2031" localSheetId="4">Data!$A$2:$M$3</definedName>
    <definedName name="ExternalData_2032" localSheetId="4">Data!$A$2:$M$3</definedName>
    <definedName name="ExternalData_2033" localSheetId="4">Data!$A$2:$M$3</definedName>
    <definedName name="ExternalData_2034" localSheetId="4">Data!$A$2:$M$3</definedName>
    <definedName name="ExternalData_2035" localSheetId="4">Data!$A$2:$M$3</definedName>
    <definedName name="ExternalData_2036" localSheetId="4">Data!$A$2:$M$3</definedName>
    <definedName name="ExternalData_2037" localSheetId="4">Data!$A$2:$M$3</definedName>
    <definedName name="ExternalData_2038" localSheetId="4">Data!$A$2:$M$3</definedName>
    <definedName name="ExternalData_2039" localSheetId="4">Data!$A$2:$M$3</definedName>
    <definedName name="ExternalData_204" localSheetId="4">Data!#REF!</definedName>
    <definedName name="ExternalData_2040" localSheetId="4">Data!$A$2:$M$3</definedName>
    <definedName name="ExternalData_2041" localSheetId="4">Data!$A$2:$M$3</definedName>
    <definedName name="ExternalData_2042" localSheetId="4">Data!$A$2:$M$3</definedName>
    <definedName name="ExternalData_2043" localSheetId="4">Data!$A$2:$M$3</definedName>
    <definedName name="ExternalData_2044" localSheetId="4">Data!$A$2:$M$3</definedName>
    <definedName name="ExternalData_2045" localSheetId="4">Data!$A$2:$M$3</definedName>
    <definedName name="ExternalData_2046" localSheetId="4">Data!$A$2:$M$3</definedName>
    <definedName name="ExternalData_2047" localSheetId="4">Data!$A$2:$M$3</definedName>
    <definedName name="ExternalData_2048" localSheetId="4">Data!$A$2:$M$3</definedName>
    <definedName name="ExternalData_2049" localSheetId="4">Data!$A$2:$M$3</definedName>
    <definedName name="ExternalData_205" localSheetId="4">Data!#REF!</definedName>
    <definedName name="ExternalData_2050" localSheetId="4">Data!$A$2:$M$3</definedName>
    <definedName name="ExternalData_2051" localSheetId="4">Data!$A$2:$M$3</definedName>
    <definedName name="ExternalData_2052" localSheetId="4">Data!$A$2:$M$3</definedName>
    <definedName name="ExternalData_2053" localSheetId="4">Data!$A$2:$M$3</definedName>
    <definedName name="ExternalData_2054" localSheetId="4">Data!$A$2:$M$3</definedName>
    <definedName name="ExternalData_2055" localSheetId="4">Data!$A$2:$M$3</definedName>
    <definedName name="ExternalData_2056" localSheetId="4">Data!$A$2:$M$3</definedName>
    <definedName name="ExternalData_2057" localSheetId="4">Data!$A$2:$M$3</definedName>
    <definedName name="ExternalData_2058" localSheetId="4">Data!$A$2:$M$3</definedName>
    <definedName name="ExternalData_2059" localSheetId="4">Data!$A$2:$M$3</definedName>
    <definedName name="ExternalData_206" localSheetId="4">Data!#REF!</definedName>
    <definedName name="ExternalData_2060" localSheetId="4">Data!$A$2:$M$3</definedName>
    <definedName name="ExternalData_2061" localSheetId="4">Data!$A$2:$M$3</definedName>
    <definedName name="ExternalData_2062" localSheetId="4">Data!$A$2:$M$3</definedName>
    <definedName name="ExternalData_2063" localSheetId="4">Data!$A$2:$M$3</definedName>
    <definedName name="ExternalData_2064" localSheetId="4">Data!$A$2:$M$3</definedName>
    <definedName name="ExternalData_2065" localSheetId="4">Data!$A$2:$M$3</definedName>
    <definedName name="ExternalData_2066" localSheetId="4">Data!$A$2:$M$3</definedName>
    <definedName name="ExternalData_2067" localSheetId="4">Data!$A$2:$M$3</definedName>
    <definedName name="ExternalData_2068" localSheetId="4">Data!$A$2:$M$3</definedName>
    <definedName name="ExternalData_2069" localSheetId="4">Data!$A$2:$M$3</definedName>
    <definedName name="ExternalData_207" localSheetId="4">Data!#REF!</definedName>
    <definedName name="ExternalData_2070" localSheetId="4">Data!$A$2:$M$3</definedName>
    <definedName name="ExternalData_2071" localSheetId="4">Data!$A$2:$M$3</definedName>
    <definedName name="ExternalData_2072" localSheetId="4">Data!$A$2:$M$3</definedName>
    <definedName name="ExternalData_2073" localSheetId="4">Data!$A$2:$M$3</definedName>
    <definedName name="ExternalData_2074" localSheetId="4">Data!$A$2:$M$3</definedName>
    <definedName name="ExternalData_2075" localSheetId="4">Data!$A$2:$M$3</definedName>
    <definedName name="ExternalData_2076" localSheetId="4">Data!$A$2:$M$3</definedName>
    <definedName name="ExternalData_2077" localSheetId="4">Data!$A$2:$M$3</definedName>
    <definedName name="ExternalData_2078" localSheetId="4">Data!$A$2:$M$3</definedName>
    <definedName name="ExternalData_2079" localSheetId="4">Data!$A$2:$M$3</definedName>
    <definedName name="ExternalData_208" localSheetId="4">Data!#REF!</definedName>
    <definedName name="ExternalData_2080" localSheetId="4">Data!$A$2:$M$3</definedName>
    <definedName name="ExternalData_2081" localSheetId="4">Data!$A$2:$M$3</definedName>
    <definedName name="ExternalData_2082" localSheetId="4">Data!$A$2:$M$3</definedName>
    <definedName name="ExternalData_2083" localSheetId="4">Data!$A$2:$M$3</definedName>
    <definedName name="ExternalData_2084" localSheetId="4">Data!$A$2:$M$3</definedName>
    <definedName name="ExternalData_2085" localSheetId="4">Data!$A$2:$M$3</definedName>
    <definedName name="ExternalData_2086" localSheetId="4">Data!$A$2:$M$3</definedName>
    <definedName name="ExternalData_2087" localSheetId="4">Data!$A$2:$M$3</definedName>
    <definedName name="ExternalData_2088" localSheetId="4">Data!$A$2:$M$3</definedName>
    <definedName name="ExternalData_2089" localSheetId="4">Data!$A$2:$M$3</definedName>
    <definedName name="ExternalData_209" localSheetId="4">Data!#REF!</definedName>
    <definedName name="ExternalData_2090" localSheetId="4">Data!$A$2:$M$3</definedName>
    <definedName name="ExternalData_2091" localSheetId="4">Data!$A$2:$M$1128</definedName>
    <definedName name="ExternalData_2092" localSheetId="4">Data!$A$2:$M$1128</definedName>
    <definedName name="ExternalData_2093" localSheetId="4">Data!$A$2:$M$3</definedName>
    <definedName name="ExternalData_2094" localSheetId="4">Data!$A$2:$M$3</definedName>
    <definedName name="ExternalData_2095" localSheetId="4">Data!$A$2:$M$1337</definedName>
    <definedName name="ExternalData_2096" localSheetId="4">Data!$A$2:$M$3</definedName>
    <definedName name="ExternalData_2097" localSheetId="4">Data!$A$2:$M$3</definedName>
    <definedName name="ExternalData_2098" localSheetId="4">Data!$A$2:$M$3</definedName>
    <definedName name="ExternalData_2099" localSheetId="4">Data!$A$2:$M$3</definedName>
    <definedName name="ExternalData_21" localSheetId="4">Data!#REF!</definedName>
    <definedName name="ExternalData_210" localSheetId="4">Data!#REF!</definedName>
    <definedName name="ExternalData_2100" localSheetId="4">Data!$A$2:$M$3</definedName>
    <definedName name="ExternalData_2101" localSheetId="4">Data!$A$2:$M$3</definedName>
    <definedName name="ExternalData_2102" localSheetId="4">Data!$A$2:$M$3</definedName>
    <definedName name="ExternalData_2103" localSheetId="4">Data!$A$2:$M$3</definedName>
    <definedName name="ExternalData_2104" localSheetId="4">Data!$A$2:$M$3</definedName>
    <definedName name="ExternalData_2105" localSheetId="4">Data!$A$2:$M$3</definedName>
    <definedName name="ExternalData_2106" localSheetId="4">Data!$A$2:$M$3</definedName>
    <definedName name="ExternalData_2107" localSheetId="4">Data!$A$2:$M$3</definedName>
    <definedName name="ExternalData_2108" localSheetId="4">Data!$A$2:$M$3</definedName>
    <definedName name="ExternalData_2109" localSheetId="4">Data!$A$2:$M$3</definedName>
    <definedName name="ExternalData_211" localSheetId="4">Data!#REF!</definedName>
    <definedName name="ExternalData_2110" localSheetId="4">Data!$A$2:$M$3</definedName>
    <definedName name="ExternalData_2111" localSheetId="4">Data!$A$2:$M$3</definedName>
    <definedName name="ExternalData_2112" localSheetId="4">Data!$A$2:$M$3</definedName>
    <definedName name="ExternalData_2113" localSheetId="4">Data!$A$2:$M$3</definedName>
    <definedName name="ExternalData_2114" localSheetId="4">Data!$A$2:$M$3</definedName>
    <definedName name="ExternalData_2115" localSheetId="4">Data!$A$2:$M$3</definedName>
    <definedName name="ExternalData_2116" localSheetId="4">Data!$A$2:$M$3</definedName>
    <definedName name="ExternalData_2117" localSheetId="4">Data!$A$2:$M$3</definedName>
    <definedName name="ExternalData_2118" localSheetId="4">Data!$A$2:$M$3</definedName>
    <definedName name="ExternalData_2119" localSheetId="4">Data!$A$2:$M$3</definedName>
    <definedName name="ExternalData_212" localSheetId="4">Data!#REF!</definedName>
    <definedName name="ExternalData_2120" localSheetId="4">Data!$A$2:$M$3</definedName>
    <definedName name="ExternalData_2121" localSheetId="4">Data!$A$2:$M$3</definedName>
    <definedName name="ExternalData_2122" localSheetId="4">Data!$A$2:$M$3</definedName>
    <definedName name="ExternalData_2123" localSheetId="4">Data!$A$2:$M$3</definedName>
    <definedName name="ExternalData_2124" localSheetId="4">Data!$A$2:$M$3</definedName>
    <definedName name="ExternalData_2125" localSheetId="4">Data!$A$2:$M$3</definedName>
    <definedName name="ExternalData_2126" localSheetId="4">Data!$A$2:$M$3</definedName>
    <definedName name="ExternalData_2127" localSheetId="4">Data!$A$2:$M$3</definedName>
    <definedName name="ExternalData_2128" localSheetId="4">Data!$A$2:$M$3</definedName>
    <definedName name="ExternalData_2129" localSheetId="4">Data!$A$2:$M$3</definedName>
    <definedName name="ExternalData_213" localSheetId="4">Data!#REF!</definedName>
    <definedName name="ExternalData_2130" localSheetId="4">Data!$A$2:$M$3</definedName>
    <definedName name="ExternalData_2131" localSheetId="4">Data!$A$2:$M$3</definedName>
    <definedName name="ExternalData_2132" localSheetId="4">Data!$A$2:$M$3</definedName>
    <definedName name="ExternalData_2133" localSheetId="4">Data!$A$2:$M$3</definedName>
    <definedName name="ExternalData_2134" localSheetId="4">Data!$A$2:$M$3</definedName>
    <definedName name="ExternalData_2135" localSheetId="4">Data!$A$2:$M$3</definedName>
    <definedName name="ExternalData_2136" localSheetId="4">Data!$A$2:$M$3</definedName>
    <definedName name="ExternalData_2137" localSheetId="4">Data!$A$2:$M$3</definedName>
    <definedName name="ExternalData_2138" localSheetId="4">Data!$A$2:$M$3</definedName>
    <definedName name="ExternalData_2139" localSheetId="4">Data!$A$2:$M$3</definedName>
    <definedName name="ExternalData_214" localSheetId="4">Data!#REF!</definedName>
    <definedName name="ExternalData_2140" localSheetId="4">Data!$A$2:$M$3</definedName>
    <definedName name="ExternalData_2141" localSheetId="4">Data!$A$2:$M$3</definedName>
    <definedName name="ExternalData_2142" localSheetId="4">Data!$A$2:$M$3</definedName>
    <definedName name="ExternalData_2143" localSheetId="4">Data!$A$2:$M$3</definedName>
    <definedName name="ExternalData_2144" localSheetId="4">Data!$A$2:$M$3</definedName>
    <definedName name="ExternalData_2145" localSheetId="4">Data!$A$2:$M$3</definedName>
    <definedName name="ExternalData_2146" localSheetId="4">Data!$A$2:$M$3</definedName>
    <definedName name="ExternalData_2147" localSheetId="4">Data!$A$2:$M$3</definedName>
    <definedName name="ExternalData_2148" localSheetId="4">Data!$A$2:$M$3</definedName>
    <definedName name="ExternalData_2149" localSheetId="4">Data!$A$2:$M$3</definedName>
    <definedName name="ExternalData_215" localSheetId="4">Data!#REF!</definedName>
    <definedName name="ExternalData_2150" localSheetId="4">Data!$A$2:$M$3</definedName>
    <definedName name="ExternalData_2151" localSheetId="4">Data!$A$2:$M$3</definedName>
    <definedName name="ExternalData_2152" localSheetId="4">Data!$A$2:$M$3</definedName>
    <definedName name="ExternalData_2153" localSheetId="4">Data!$A$2:$M$3</definedName>
    <definedName name="ExternalData_2154" localSheetId="4">Data!$A$2:$M$3</definedName>
    <definedName name="ExternalData_2155" localSheetId="4">Data!$A$2:$M$3</definedName>
    <definedName name="ExternalData_2156" localSheetId="4">Data!$A$2:$M$3</definedName>
    <definedName name="ExternalData_2157" localSheetId="4">Data!$A$2:$M$3</definedName>
    <definedName name="ExternalData_2158" localSheetId="4">Data!$A$2:$M$3</definedName>
    <definedName name="ExternalData_2159" localSheetId="4">Data!$A$2:$M$3</definedName>
    <definedName name="ExternalData_216" localSheetId="4">Data!#REF!</definedName>
    <definedName name="ExternalData_2160" localSheetId="4">Data!$A$2:$M$3</definedName>
    <definedName name="ExternalData_2161" localSheetId="4">Data!$A$2:$M$3</definedName>
    <definedName name="ExternalData_2162" localSheetId="4">Data!$A$2</definedName>
    <definedName name="ExternalData_2163" localSheetId="4">Data!$A$2:$M$3</definedName>
    <definedName name="ExternalData_2164" localSheetId="4">Data!$A$2:$M$3</definedName>
    <definedName name="ExternalData_2165" localSheetId="4">Data!$A$2:$M$3</definedName>
    <definedName name="ExternalData_2166" localSheetId="4">Data!$A$2:$M$3</definedName>
    <definedName name="ExternalData_2167" localSheetId="4">Data!$A$2:$M$3</definedName>
    <definedName name="ExternalData_2168" localSheetId="4">Data!$A$2:$M$3</definedName>
    <definedName name="ExternalData_2169" localSheetId="4">Data!$A$2:$M$3</definedName>
    <definedName name="ExternalData_217" localSheetId="4">Data!#REF!</definedName>
    <definedName name="ExternalData_2170" localSheetId="4">Data!$A$2:$M$3</definedName>
    <definedName name="ExternalData_2171" localSheetId="4">Data!$A$2:$M$3</definedName>
    <definedName name="ExternalData_2172" localSheetId="4">Data!$A$2:$M$3</definedName>
    <definedName name="ExternalData_2173" localSheetId="4">Data!$A$2:$M$3</definedName>
    <definedName name="ExternalData_2174" localSheetId="4">Data!$A$2:$M$3</definedName>
    <definedName name="ExternalData_2175" localSheetId="4">Data!$A$2:$M$3</definedName>
    <definedName name="ExternalData_2176" localSheetId="4">Data!$A$2:$M$3</definedName>
    <definedName name="ExternalData_2177" localSheetId="4">Data!$A$2:$M$3</definedName>
    <definedName name="ExternalData_2178" localSheetId="4">Data!$A$2:$M$3</definedName>
    <definedName name="ExternalData_2179" localSheetId="4">Data!$A$2:$M$3</definedName>
    <definedName name="ExternalData_218" localSheetId="4">Data!#REF!</definedName>
    <definedName name="ExternalData_2180" localSheetId="4">Data!$A$2:$M$3</definedName>
    <definedName name="ExternalData_2181" localSheetId="4">Data!$A$2:$M$3</definedName>
    <definedName name="ExternalData_2182" localSheetId="4">Data!$A$2:$M$3</definedName>
    <definedName name="ExternalData_2183" localSheetId="4">Data!$A$2:$M$3</definedName>
    <definedName name="ExternalData_2184" localSheetId="4">Data!$A$2:$M$3</definedName>
    <definedName name="ExternalData_2185" localSheetId="4">Data!$A$2:$M$3</definedName>
    <definedName name="ExternalData_2186" localSheetId="4">Data!$A$2:$M$3</definedName>
    <definedName name="ExternalData_2187" localSheetId="4">Data!$A$2:$M$3</definedName>
    <definedName name="ExternalData_2188" localSheetId="4">Data!$A$2:$M$3</definedName>
    <definedName name="ExternalData_2189" localSheetId="4">Data!$A$2:$M$3</definedName>
    <definedName name="ExternalData_219" localSheetId="4">Data!#REF!</definedName>
    <definedName name="ExternalData_2190" localSheetId="4">Data!$A$2:$M$3</definedName>
    <definedName name="ExternalData_2191" localSheetId="4">Data!$A$2:$M$3</definedName>
    <definedName name="ExternalData_2192" localSheetId="4">Data!$A$2:$M$3</definedName>
    <definedName name="ExternalData_2193" localSheetId="4">Data!$A$2:$M$3</definedName>
    <definedName name="ExternalData_2194" localSheetId="4">Data!$A$2:$M$3</definedName>
    <definedName name="ExternalData_2195" localSheetId="4">Data!$A$2:$M$3</definedName>
    <definedName name="ExternalData_2196" localSheetId="4">Data!$A$2:$M$3</definedName>
    <definedName name="ExternalData_2197" localSheetId="4">Data!$A$2:$M$12</definedName>
    <definedName name="ExternalData_2198" localSheetId="4">Data!$A$2:$M$12</definedName>
    <definedName name="ExternalData_2199" localSheetId="4">Data!$A$2:$M$12</definedName>
    <definedName name="ExternalData_22" localSheetId="4">Data!#REF!</definedName>
    <definedName name="ExternalData_220" localSheetId="4">Data!#REF!</definedName>
    <definedName name="ExternalData_2200" localSheetId="4">Data!$A$2:$M$12</definedName>
    <definedName name="ExternalData_2201" localSheetId="4">Data!$A$2:$M$12</definedName>
    <definedName name="ExternalData_2202" localSheetId="4">Data!$A$2:$M$1151</definedName>
    <definedName name="ExternalData_2203" localSheetId="4">Data!$A$2:$M$12</definedName>
    <definedName name="ExternalData_2204" localSheetId="4">Data!$A$2:$M$3</definedName>
    <definedName name="ExternalData_2205" localSheetId="4">Data!$A$2:$M$3</definedName>
    <definedName name="ExternalData_2206" localSheetId="4">Data!$A$2:$M$3</definedName>
    <definedName name="ExternalData_2207" localSheetId="4">Data!$A$2:$M$3</definedName>
    <definedName name="ExternalData_2208" localSheetId="4">Data!$A$2:$M$3</definedName>
    <definedName name="ExternalData_2209" localSheetId="4">Data!$A$2:$M$3</definedName>
    <definedName name="ExternalData_221" localSheetId="4">Data!#REF!</definedName>
    <definedName name="ExternalData_2210" localSheetId="4">Data!$A$2:$M$3</definedName>
    <definedName name="ExternalData_2211" localSheetId="4">Data!$A$2:$M$1229</definedName>
    <definedName name="ExternalData_2212" localSheetId="4">Data!$A$2:$M$83</definedName>
    <definedName name="ExternalData_2213" localSheetId="4">Data!$A$2:$M$3</definedName>
    <definedName name="ExternalData_2214" localSheetId="4">Data!$A$2:$M$3</definedName>
    <definedName name="ExternalData_2215" localSheetId="4">Data!$A$2:$M$3</definedName>
    <definedName name="ExternalData_2216" localSheetId="4">Data!$A$2:$M$3</definedName>
    <definedName name="ExternalData_2217" localSheetId="4">Data!$A$2:$M$3</definedName>
    <definedName name="ExternalData_2218" localSheetId="4">Data!$A$2:$M$3</definedName>
    <definedName name="ExternalData_2219" localSheetId="4">Data!$A$2:$M$3</definedName>
    <definedName name="ExternalData_222" localSheetId="4">Data!#REF!</definedName>
    <definedName name="ExternalData_2220" localSheetId="4">Data!$A$2:$M$3</definedName>
    <definedName name="ExternalData_2221" localSheetId="4">Data!$A$2:$M$3</definedName>
    <definedName name="ExternalData_2222" localSheetId="4">Data!$A$2:$M$3</definedName>
    <definedName name="ExternalData_2223" localSheetId="4">Data!$A$2:$M$3</definedName>
    <definedName name="ExternalData_2224" localSheetId="4">Data!$A$2:$M$3</definedName>
    <definedName name="ExternalData_2225" localSheetId="4">Data!$A$2:$M$3</definedName>
    <definedName name="ExternalData_2226" localSheetId="4">Data!$A$2:$M$3</definedName>
    <definedName name="ExternalData_2227" localSheetId="4">Data!$A$2:$M$3</definedName>
    <definedName name="ExternalData_2228" localSheetId="4">Data!$A$2:$M$3</definedName>
    <definedName name="ExternalData_2229" localSheetId="4">Data!$A$2:$M$3</definedName>
    <definedName name="ExternalData_223" localSheetId="4">Data!#REF!</definedName>
    <definedName name="ExternalData_2230" localSheetId="4">Data!$A$2:$M$3</definedName>
    <definedName name="ExternalData_2231" localSheetId="4">Data!$A$2:$M$3</definedName>
    <definedName name="ExternalData_2232" localSheetId="4">Data!$A$2</definedName>
    <definedName name="ExternalData_2233" localSheetId="4">Data!$A$2:$M$1420</definedName>
    <definedName name="ExternalData_2234" localSheetId="4">Data!$A$2:$M$1425</definedName>
    <definedName name="ExternalData_2235" localSheetId="4">Data!$A$2:$M$3</definedName>
    <definedName name="ExternalData_2236" localSheetId="4">Data!$A$2:$M$3</definedName>
    <definedName name="ExternalData_2237" localSheetId="4">Data!$A$2:$M$3</definedName>
    <definedName name="ExternalData_2238" localSheetId="4">Data!$A$2:$M$3</definedName>
    <definedName name="ExternalData_2239" localSheetId="4">Data!$A$2:$M$3</definedName>
    <definedName name="ExternalData_224" localSheetId="4">Data!#REF!</definedName>
    <definedName name="ExternalData_2240" localSheetId="4">Data!$A$2:$M$4</definedName>
    <definedName name="ExternalData_2241" localSheetId="4">Data!$A$2:$M$13</definedName>
    <definedName name="ExternalData_2242" localSheetId="4">Data!$A$2:$M$313</definedName>
    <definedName name="ExternalData_2243" localSheetId="4">Data!$A$2:$M$2081</definedName>
    <definedName name="ExternalData_2244" localSheetId="4">Data!$A$2:$M$2081</definedName>
    <definedName name="ExternalData_2245" localSheetId="4">Data!$A$2:$M$313</definedName>
    <definedName name="ExternalData_2246" localSheetId="4">Data!$A$2:$M$336</definedName>
    <definedName name="ExternalData_2247" localSheetId="4">Data!$A$2:$M$341</definedName>
    <definedName name="ExternalData_2248" localSheetId="4">Data!$A$2:$M$611</definedName>
    <definedName name="ExternalData_2249" localSheetId="4">Data!$A$2</definedName>
    <definedName name="ExternalData_225" localSheetId="4">Data!#REF!</definedName>
    <definedName name="ExternalData_2250" localSheetId="4">Data!$A$2</definedName>
    <definedName name="ExternalData_2251" localSheetId="4">Data!$A$2</definedName>
    <definedName name="ExternalData_2252" localSheetId="4">Data!$A$2</definedName>
    <definedName name="ExternalData_2253" localSheetId="4">Data!$A$2:$M$2109</definedName>
    <definedName name="ExternalData_2254" localSheetId="4">Data!$A$2:$M$341</definedName>
    <definedName name="ExternalData_2255" localSheetId="4">Data!$A$2:$M$343</definedName>
    <definedName name="ExternalData_2256" localSheetId="4">Data!$A$2:$M$343</definedName>
    <definedName name="ExternalData_2257" localSheetId="4">Data!$A$2:$M$343</definedName>
    <definedName name="ExternalData_2258" localSheetId="4">Data!$A$2:$M$342</definedName>
    <definedName name="ExternalData_2259" localSheetId="4">Data!$A$2:$M$341</definedName>
    <definedName name="ExternalData_226" localSheetId="4">Data!#REF!</definedName>
    <definedName name="ExternalData_2260" localSheetId="4">Data!$A$2:$M$365</definedName>
    <definedName name="ExternalData_2261" localSheetId="4">Data!$A$2:$M$365</definedName>
    <definedName name="ExternalData_2262" localSheetId="4">Data!$A$2:$M$404</definedName>
    <definedName name="ExternalData_2263" localSheetId="4">Data!$A$2:$M$471</definedName>
    <definedName name="ExternalData_2264" localSheetId="4">Data!$A$2:$M$471</definedName>
    <definedName name="ExternalData_2265" localSheetId="4">Data!$A$2:$M$471</definedName>
    <definedName name="ExternalData_2266" localSheetId="4">Data!$A$2:$M$471</definedName>
    <definedName name="ExternalData_2267" localSheetId="4">Data!$A$2:$M$471</definedName>
    <definedName name="ExternalData_2268" localSheetId="4">Data!$A$2:$M$471</definedName>
    <definedName name="ExternalData_2269" localSheetId="4">Data!$A$2:$M$471</definedName>
    <definedName name="ExternalData_227" localSheetId="4">Data!#REF!</definedName>
    <definedName name="ExternalData_2270" localSheetId="4">Data!$A$2:$M$472</definedName>
    <definedName name="ExternalData_2271" localSheetId="4">Data!$A$2:$M$494</definedName>
    <definedName name="ExternalData_2272" localSheetId="4">Data!$A$2:$M$511</definedName>
    <definedName name="ExternalData_2273" localSheetId="4">Data!$A$2:$M$506</definedName>
    <definedName name="ExternalData_2274" localSheetId="4">Data!$A$2:$M$506</definedName>
    <definedName name="ExternalData_2275" localSheetId="4">Data!$A$2:$M$505</definedName>
    <definedName name="ExternalData_2276" localSheetId="4">Data!$A$2:$M$504</definedName>
    <definedName name="ExternalData_2277" localSheetId="4">Data!$A$2:$M$532</definedName>
    <definedName name="ExternalData_2278" localSheetId="4">Data!$A$2:$M$554</definedName>
    <definedName name="ExternalData_2279" localSheetId="4">Data!$A$2:$M$554</definedName>
    <definedName name="ExternalData_228" localSheetId="4">Data!#REF!</definedName>
    <definedName name="ExternalData_2280" localSheetId="4">Data!$A$2:$M$539</definedName>
    <definedName name="ExternalData_2281" localSheetId="4">Data!$A$2:$M$554</definedName>
    <definedName name="ExternalData_2282" localSheetId="4">Data!$A$2:$M$554</definedName>
    <definedName name="ExternalData_2283" localSheetId="4">Data!$A$2:$M$554</definedName>
    <definedName name="ExternalData_2284" localSheetId="4">Data!$A$2</definedName>
    <definedName name="ExternalData_2285" localSheetId="4">Data!$A$2:$M$2326</definedName>
    <definedName name="ExternalData_2286" localSheetId="4">Data!$A$2:$M$554</definedName>
    <definedName name="ExternalData_2287" localSheetId="4">Data!$A$2:$M$5</definedName>
    <definedName name="ExternalData_2288" localSheetId="4">Data!$A$2:$M$40</definedName>
    <definedName name="ExternalData_2289" localSheetId="4">Data!$A$2:$M$47</definedName>
    <definedName name="ExternalData_229" localSheetId="4">Data!#REF!</definedName>
    <definedName name="ExternalData_2290" localSheetId="4">Data!$A$2:$M$47</definedName>
    <definedName name="ExternalData_2291" localSheetId="4">Data!$A$2:$M$100</definedName>
    <definedName name="ExternalData_2292" localSheetId="4">Data!$A$2:$M$101</definedName>
    <definedName name="ExternalData_2293" localSheetId="4">Data!$A$2:$M$100</definedName>
    <definedName name="ExternalData_2294" localSheetId="4">Data!$A$2:$M$131</definedName>
    <definedName name="ExternalData_2295" localSheetId="4">Data!$A$2:$M$141</definedName>
    <definedName name="ExternalData_2296" localSheetId="4">Data!$A$2:$M$121</definedName>
    <definedName name="ExternalData_23" localSheetId="4">Data!#REF!</definedName>
    <definedName name="ExternalData_230" localSheetId="4">Data!#REF!</definedName>
    <definedName name="ExternalData_231" localSheetId="4">Data!#REF!</definedName>
    <definedName name="ExternalData_232" localSheetId="4">Data!#REF!</definedName>
    <definedName name="ExternalData_233" localSheetId="4">Data!#REF!</definedName>
    <definedName name="ExternalData_234" localSheetId="4">Data!#REF!</definedName>
    <definedName name="ExternalData_235" localSheetId="4">Data!#REF!</definedName>
    <definedName name="ExternalData_236" localSheetId="4">Data!#REF!</definedName>
    <definedName name="ExternalData_237" localSheetId="4">Data!#REF!</definedName>
    <definedName name="ExternalData_238" localSheetId="4">Data!#REF!</definedName>
    <definedName name="ExternalData_239" localSheetId="4">Data!#REF!</definedName>
    <definedName name="ExternalData_24" localSheetId="4">Data!#REF!</definedName>
    <definedName name="ExternalData_240" localSheetId="4">Data!#REF!</definedName>
    <definedName name="ExternalData_241" localSheetId="4">Data!#REF!</definedName>
    <definedName name="ExternalData_242" localSheetId="4">Data!#REF!</definedName>
    <definedName name="ExternalData_243" localSheetId="4">Data!#REF!</definedName>
    <definedName name="ExternalData_244" localSheetId="4">Data!#REF!</definedName>
    <definedName name="ExternalData_245" localSheetId="4">Data!#REF!</definedName>
    <definedName name="ExternalData_246" localSheetId="4">Data!#REF!</definedName>
    <definedName name="ExternalData_247" localSheetId="4">Data!#REF!</definedName>
    <definedName name="ExternalData_248" localSheetId="4">Data!#REF!</definedName>
    <definedName name="ExternalData_249" localSheetId="4">Data!#REF!</definedName>
    <definedName name="ExternalData_25" localSheetId="4">Data!#REF!</definedName>
    <definedName name="ExternalData_250" localSheetId="4">Data!#REF!</definedName>
    <definedName name="ExternalData_251" localSheetId="4">Data!#REF!</definedName>
    <definedName name="ExternalData_252" localSheetId="4">Data!#REF!</definedName>
    <definedName name="ExternalData_253" localSheetId="4">Data!#REF!</definedName>
    <definedName name="ExternalData_254" localSheetId="4">Data!#REF!</definedName>
    <definedName name="ExternalData_255" localSheetId="4">Data!#REF!</definedName>
    <definedName name="ExternalData_256" localSheetId="4">Data!#REF!</definedName>
    <definedName name="ExternalData_257" localSheetId="4">Data!#REF!</definedName>
    <definedName name="ExternalData_258" localSheetId="4">Data!#REF!</definedName>
    <definedName name="ExternalData_259" localSheetId="4">Data!#REF!</definedName>
    <definedName name="ExternalData_26" localSheetId="4">Data!#REF!</definedName>
    <definedName name="ExternalData_260" localSheetId="4">Data!#REF!</definedName>
    <definedName name="ExternalData_261" localSheetId="4">Data!#REF!</definedName>
    <definedName name="ExternalData_262" localSheetId="4">Data!#REF!</definedName>
    <definedName name="ExternalData_263" localSheetId="4">Data!#REF!</definedName>
    <definedName name="ExternalData_264" localSheetId="4">Data!#REF!</definedName>
    <definedName name="ExternalData_265" localSheetId="4">Data!#REF!</definedName>
    <definedName name="ExternalData_266" localSheetId="4">Data!#REF!</definedName>
    <definedName name="ExternalData_267" localSheetId="4">Data!#REF!</definedName>
    <definedName name="ExternalData_268" localSheetId="4">Data!#REF!</definedName>
    <definedName name="ExternalData_269" localSheetId="4">Data!#REF!</definedName>
    <definedName name="ExternalData_27" localSheetId="4">Data!#REF!</definedName>
    <definedName name="ExternalData_270" localSheetId="4">Data!#REF!</definedName>
    <definedName name="ExternalData_271" localSheetId="4">Data!#REF!</definedName>
    <definedName name="ExternalData_272" localSheetId="4">Data!#REF!</definedName>
    <definedName name="ExternalData_273" localSheetId="4">Data!#REF!</definedName>
    <definedName name="ExternalData_274" localSheetId="4">Data!#REF!</definedName>
    <definedName name="ExternalData_275" localSheetId="4">Data!#REF!</definedName>
    <definedName name="ExternalData_276" localSheetId="4">Data!#REF!</definedName>
    <definedName name="ExternalData_277" localSheetId="4">Data!#REF!</definedName>
    <definedName name="ExternalData_278" localSheetId="4">Data!#REF!</definedName>
    <definedName name="ExternalData_279" localSheetId="4">Data!#REF!</definedName>
    <definedName name="ExternalData_28" localSheetId="4">Data!#REF!</definedName>
    <definedName name="ExternalData_280" localSheetId="4">Data!#REF!</definedName>
    <definedName name="ExternalData_281" localSheetId="4">Data!#REF!</definedName>
    <definedName name="ExternalData_282" localSheetId="4">Data!#REF!</definedName>
    <definedName name="ExternalData_283" localSheetId="4">Data!#REF!</definedName>
    <definedName name="ExternalData_284" localSheetId="4">Data!#REF!</definedName>
    <definedName name="ExternalData_285" localSheetId="4">Data!#REF!</definedName>
    <definedName name="ExternalData_286" localSheetId="4">Data!#REF!</definedName>
    <definedName name="ExternalData_287" localSheetId="4">Data!#REF!</definedName>
    <definedName name="ExternalData_288" localSheetId="4">Data!#REF!</definedName>
    <definedName name="ExternalData_289" localSheetId="4">Data!#REF!</definedName>
    <definedName name="ExternalData_29" localSheetId="4">Data!#REF!</definedName>
    <definedName name="ExternalData_290" localSheetId="4">Data!#REF!</definedName>
    <definedName name="ExternalData_291" localSheetId="4">Data!#REF!</definedName>
    <definedName name="ExternalData_292" localSheetId="4">Data!#REF!</definedName>
    <definedName name="ExternalData_293" localSheetId="4">Data!#REF!</definedName>
    <definedName name="ExternalData_294" localSheetId="4">Data!#REF!</definedName>
    <definedName name="ExternalData_295" localSheetId="4">Data!#REF!</definedName>
    <definedName name="ExternalData_297" localSheetId="4">Data!#REF!</definedName>
    <definedName name="ExternalData_298" localSheetId="4">Data!#REF!</definedName>
    <definedName name="ExternalData_299" localSheetId="4">Data!#REF!</definedName>
    <definedName name="ExternalData_3" localSheetId="4">Data!#REF!</definedName>
    <definedName name="ExternalData_30" localSheetId="4">Data!#REF!</definedName>
    <definedName name="ExternalData_300" localSheetId="4">Data!#REF!</definedName>
    <definedName name="ExternalData_301" localSheetId="4">Data!#REF!</definedName>
    <definedName name="ExternalData_302" localSheetId="4">Data!#REF!</definedName>
    <definedName name="ExternalData_303" localSheetId="4">Data!#REF!</definedName>
    <definedName name="ExternalData_304" localSheetId="4">Data!#REF!</definedName>
    <definedName name="ExternalData_305" localSheetId="4">Data!#REF!</definedName>
    <definedName name="ExternalData_306" localSheetId="4">Data!#REF!</definedName>
    <definedName name="ExternalData_307" localSheetId="4">Data!#REF!</definedName>
    <definedName name="ExternalData_308" localSheetId="4">Data!#REF!</definedName>
    <definedName name="ExternalData_309" localSheetId="4">Data!#REF!</definedName>
    <definedName name="ExternalData_31" localSheetId="4">Data!#REF!</definedName>
    <definedName name="ExternalData_310" localSheetId="4">Data!#REF!</definedName>
    <definedName name="ExternalData_311" localSheetId="4">Data!#REF!</definedName>
    <definedName name="ExternalData_312" localSheetId="4">Data!#REF!</definedName>
    <definedName name="ExternalData_313" localSheetId="4">Data!#REF!</definedName>
    <definedName name="ExternalData_314" localSheetId="4">Data!#REF!</definedName>
    <definedName name="ExternalData_315" localSheetId="4">Data!#REF!</definedName>
    <definedName name="ExternalData_316" localSheetId="4">Data!#REF!</definedName>
    <definedName name="ExternalData_317" localSheetId="4">Data!#REF!</definedName>
    <definedName name="ExternalData_318" localSheetId="4">Data!#REF!</definedName>
    <definedName name="ExternalData_319" localSheetId="4">Data!#REF!</definedName>
    <definedName name="ExternalData_32" localSheetId="4">Data!#REF!</definedName>
    <definedName name="ExternalData_320" localSheetId="4">Data!#REF!</definedName>
    <definedName name="ExternalData_321" localSheetId="4">Data!#REF!</definedName>
    <definedName name="ExternalData_322" localSheetId="4">Data!#REF!</definedName>
    <definedName name="ExternalData_323" localSheetId="4">Data!#REF!</definedName>
    <definedName name="ExternalData_324" localSheetId="4">Data!#REF!</definedName>
    <definedName name="ExternalData_325" localSheetId="4">Data!#REF!</definedName>
    <definedName name="ExternalData_326" localSheetId="4">Data!#REF!</definedName>
    <definedName name="ExternalData_327" localSheetId="4">Data!#REF!</definedName>
    <definedName name="ExternalData_328" localSheetId="4">Data!#REF!</definedName>
    <definedName name="ExternalData_329" localSheetId="4">Data!#REF!</definedName>
    <definedName name="ExternalData_33" localSheetId="4">Data!#REF!</definedName>
    <definedName name="ExternalData_330" localSheetId="4">Data!#REF!</definedName>
    <definedName name="ExternalData_331" localSheetId="4">Data!#REF!</definedName>
    <definedName name="ExternalData_332" localSheetId="4">Data!#REF!</definedName>
    <definedName name="ExternalData_333" localSheetId="4">Data!#REF!</definedName>
    <definedName name="ExternalData_334" localSheetId="4">Data!#REF!</definedName>
    <definedName name="ExternalData_335" localSheetId="4">Data!#REF!</definedName>
    <definedName name="ExternalData_336" localSheetId="4">Data!#REF!</definedName>
    <definedName name="ExternalData_337" localSheetId="4">Data!#REF!</definedName>
    <definedName name="ExternalData_338" localSheetId="4">Data!#REF!</definedName>
    <definedName name="ExternalData_339" localSheetId="4">Data!#REF!</definedName>
    <definedName name="ExternalData_34" localSheetId="4">Data!#REF!</definedName>
    <definedName name="ExternalData_340" localSheetId="4">Data!#REF!</definedName>
    <definedName name="ExternalData_341" localSheetId="4">Data!#REF!</definedName>
    <definedName name="ExternalData_342" localSheetId="4">Data!#REF!</definedName>
    <definedName name="ExternalData_343" localSheetId="4">Data!#REF!</definedName>
    <definedName name="ExternalData_344" localSheetId="4">Data!#REF!</definedName>
    <definedName name="ExternalData_345" localSheetId="4">Data!#REF!</definedName>
    <definedName name="ExternalData_346" localSheetId="4">Data!#REF!</definedName>
    <definedName name="ExternalData_347" localSheetId="4">Data!#REF!</definedName>
    <definedName name="ExternalData_348" localSheetId="4">Data!#REF!</definedName>
    <definedName name="ExternalData_349" localSheetId="4">Data!#REF!</definedName>
    <definedName name="ExternalData_35" localSheetId="4">Data!#REF!</definedName>
    <definedName name="ExternalData_350" localSheetId="4">Data!#REF!</definedName>
    <definedName name="ExternalData_351" localSheetId="4">Data!#REF!</definedName>
    <definedName name="ExternalData_352" localSheetId="4">Data!#REF!</definedName>
    <definedName name="ExternalData_353" localSheetId="4">Data!#REF!</definedName>
    <definedName name="ExternalData_354" localSheetId="4">Data!#REF!</definedName>
    <definedName name="ExternalData_355" localSheetId="4">Data!#REF!</definedName>
    <definedName name="ExternalData_356" localSheetId="4">Data!#REF!</definedName>
    <definedName name="ExternalData_357" localSheetId="4">Data!#REF!</definedName>
    <definedName name="ExternalData_358" localSheetId="4">Data!#REF!</definedName>
    <definedName name="ExternalData_359" localSheetId="4">Data!#REF!</definedName>
    <definedName name="ExternalData_36" localSheetId="4">Data!#REF!</definedName>
    <definedName name="ExternalData_360" localSheetId="4">Data!#REF!</definedName>
    <definedName name="ExternalData_361" localSheetId="4">Data!#REF!</definedName>
    <definedName name="ExternalData_362" localSheetId="4">Data!#REF!</definedName>
    <definedName name="ExternalData_363" localSheetId="4">Data!#REF!</definedName>
    <definedName name="ExternalData_364" localSheetId="4">Data!#REF!</definedName>
    <definedName name="ExternalData_365" localSheetId="4">Data!#REF!</definedName>
    <definedName name="ExternalData_366" localSheetId="4">Data!#REF!</definedName>
    <definedName name="ExternalData_367" localSheetId="4">Data!#REF!</definedName>
    <definedName name="ExternalData_368" localSheetId="4">Data!#REF!</definedName>
    <definedName name="ExternalData_369" localSheetId="4">Data!#REF!</definedName>
    <definedName name="ExternalData_37" localSheetId="4">Data!#REF!</definedName>
    <definedName name="ExternalData_370" localSheetId="4">Data!#REF!</definedName>
    <definedName name="ExternalData_371" localSheetId="4">Data!#REF!</definedName>
    <definedName name="ExternalData_372" localSheetId="4">Data!#REF!</definedName>
    <definedName name="ExternalData_373" localSheetId="4">Data!#REF!</definedName>
    <definedName name="ExternalData_374" localSheetId="4">Data!#REF!</definedName>
    <definedName name="ExternalData_375" localSheetId="4">Data!#REF!</definedName>
    <definedName name="ExternalData_376" localSheetId="4">Data!#REF!</definedName>
    <definedName name="ExternalData_377" localSheetId="4">Data!#REF!</definedName>
    <definedName name="ExternalData_378" localSheetId="4">Data!#REF!</definedName>
    <definedName name="ExternalData_379" localSheetId="4">Data!#REF!</definedName>
    <definedName name="ExternalData_38" localSheetId="4">Data!#REF!</definedName>
    <definedName name="ExternalData_380" localSheetId="4">Data!#REF!</definedName>
    <definedName name="ExternalData_381" localSheetId="4">Data!#REF!</definedName>
    <definedName name="ExternalData_382" localSheetId="4">Data!#REF!</definedName>
    <definedName name="ExternalData_383" localSheetId="4">Data!#REF!</definedName>
    <definedName name="ExternalData_384" localSheetId="4">Data!#REF!</definedName>
    <definedName name="ExternalData_385" localSheetId="4">Data!#REF!</definedName>
    <definedName name="ExternalData_386" localSheetId="4">Data!#REF!</definedName>
    <definedName name="ExternalData_387" localSheetId="4">Data!#REF!</definedName>
    <definedName name="ExternalData_388" localSheetId="4">Data!#REF!</definedName>
    <definedName name="ExternalData_389" localSheetId="4">Data!#REF!</definedName>
    <definedName name="ExternalData_39" localSheetId="4">Data!#REF!</definedName>
    <definedName name="ExternalData_390" localSheetId="4">Data!#REF!</definedName>
    <definedName name="ExternalData_391" localSheetId="4">Data!#REF!</definedName>
    <definedName name="ExternalData_392" localSheetId="4">Data!#REF!</definedName>
    <definedName name="ExternalData_393" localSheetId="4">Data!#REF!</definedName>
    <definedName name="ExternalData_394" localSheetId="4">Data!#REF!</definedName>
    <definedName name="ExternalData_395" localSheetId="4">Data!#REF!</definedName>
    <definedName name="ExternalData_396" localSheetId="4">Data!#REF!</definedName>
    <definedName name="ExternalData_397" localSheetId="4">Data!#REF!</definedName>
    <definedName name="ExternalData_398" localSheetId="4">Data!#REF!</definedName>
    <definedName name="ExternalData_399" localSheetId="4">Data!#REF!</definedName>
    <definedName name="ExternalData_4" localSheetId="4">Data!#REF!</definedName>
    <definedName name="ExternalData_40" localSheetId="4">Data!#REF!</definedName>
    <definedName name="ExternalData_400" localSheetId="4">Data!#REF!</definedName>
    <definedName name="ExternalData_401" localSheetId="4">Data!#REF!</definedName>
    <definedName name="ExternalData_402" localSheetId="4">Data!#REF!</definedName>
    <definedName name="ExternalData_403" localSheetId="4">Data!#REF!</definedName>
    <definedName name="ExternalData_404" localSheetId="4">Data!#REF!</definedName>
    <definedName name="ExternalData_405" localSheetId="4">Data!#REF!</definedName>
    <definedName name="ExternalData_406" localSheetId="4">Data!#REF!</definedName>
    <definedName name="ExternalData_407" localSheetId="4">Data!#REF!</definedName>
    <definedName name="ExternalData_408" localSheetId="4">Data!#REF!</definedName>
    <definedName name="ExternalData_409" localSheetId="4">Data!#REF!</definedName>
    <definedName name="ExternalData_41" localSheetId="4">Data!#REF!</definedName>
    <definedName name="ExternalData_410" localSheetId="4">Data!#REF!</definedName>
    <definedName name="ExternalData_411" localSheetId="4">Data!#REF!</definedName>
    <definedName name="ExternalData_412" localSheetId="4">Data!#REF!</definedName>
    <definedName name="ExternalData_413" localSheetId="4">Data!#REF!</definedName>
    <definedName name="ExternalData_414" localSheetId="4">Data!#REF!</definedName>
    <definedName name="ExternalData_415" localSheetId="4">Data!#REF!</definedName>
    <definedName name="ExternalData_416" localSheetId="4">Data!#REF!</definedName>
    <definedName name="ExternalData_417" localSheetId="4">Data!#REF!</definedName>
    <definedName name="ExternalData_418" localSheetId="4">Data!#REF!</definedName>
    <definedName name="ExternalData_419" localSheetId="4">Data!#REF!</definedName>
    <definedName name="ExternalData_42" localSheetId="4">Data!#REF!</definedName>
    <definedName name="ExternalData_420" localSheetId="4">Data!#REF!</definedName>
    <definedName name="ExternalData_421" localSheetId="4">Data!#REF!</definedName>
    <definedName name="ExternalData_422" localSheetId="4">Data!#REF!</definedName>
    <definedName name="ExternalData_423" localSheetId="4">Data!#REF!</definedName>
    <definedName name="ExternalData_424" localSheetId="4">Data!#REF!</definedName>
    <definedName name="ExternalData_425" localSheetId="4">Data!#REF!</definedName>
    <definedName name="ExternalData_426" localSheetId="4">Data!#REF!</definedName>
    <definedName name="ExternalData_427" localSheetId="4">Data!#REF!</definedName>
    <definedName name="ExternalData_428" localSheetId="4">Data!#REF!</definedName>
    <definedName name="ExternalData_429" localSheetId="4">Data!#REF!</definedName>
    <definedName name="ExternalData_43" localSheetId="4">Data!#REF!</definedName>
    <definedName name="ExternalData_430" localSheetId="4">Data!#REF!</definedName>
    <definedName name="ExternalData_431" localSheetId="4">Data!#REF!</definedName>
    <definedName name="ExternalData_432" localSheetId="4">Data!#REF!</definedName>
    <definedName name="ExternalData_433" localSheetId="4">Data!#REF!</definedName>
    <definedName name="ExternalData_434" localSheetId="4">Data!#REF!</definedName>
    <definedName name="ExternalData_435" localSheetId="4">Data!#REF!</definedName>
    <definedName name="ExternalData_436" localSheetId="4">Data!#REF!</definedName>
    <definedName name="ExternalData_437" localSheetId="4">Data!#REF!</definedName>
    <definedName name="ExternalData_438" localSheetId="4">Data!#REF!</definedName>
    <definedName name="ExternalData_439" localSheetId="4">Data!#REF!</definedName>
    <definedName name="ExternalData_44" localSheetId="4">Data!#REF!</definedName>
    <definedName name="ExternalData_440" localSheetId="4">Data!#REF!</definedName>
    <definedName name="ExternalData_441" localSheetId="4">Data!#REF!</definedName>
    <definedName name="ExternalData_442" localSheetId="4">Data!#REF!</definedName>
    <definedName name="ExternalData_443" localSheetId="4">Data!#REF!</definedName>
    <definedName name="ExternalData_444" localSheetId="4">Data!#REF!</definedName>
    <definedName name="ExternalData_445" localSheetId="4">Data!#REF!</definedName>
    <definedName name="ExternalData_446" localSheetId="4">Data!#REF!</definedName>
    <definedName name="ExternalData_447" localSheetId="4">Data!#REF!</definedName>
    <definedName name="ExternalData_448" localSheetId="4">Data!#REF!</definedName>
    <definedName name="ExternalData_449" localSheetId="4">Data!#REF!</definedName>
    <definedName name="ExternalData_45" localSheetId="4">Data!#REF!</definedName>
    <definedName name="ExternalData_450" localSheetId="4">Data!#REF!</definedName>
    <definedName name="ExternalData_451" localSheetId="4">Data!#REF!</definedName>
    <definedName name="ExternalData_452" localSheetId="4">Data!#REF!</definedName>
    <definedName name="ExternalData_453" localSheetId="4">Data!#REF!</definedName>
    <definedName name="ExternalData_454" localSheetId="4">Data!#REF!</definedName>
    <definedName name="ExternalData_455" localSheetId="4">Data!#REF!</definedName>
    <definedName name="ExternalData_456" localSheetId="4">Data!#REF!</definedName>
    <definedName name="ExternalData_457" localSheetId="4">Data!#REF!</definedName>
    <definedName name="ExternalData_458" localSheetId="4">Data!#REF!</definedName>
    <definedName name="ExternalData_459" localSheetId="4">Data!#REF!</definedName>
    <definedName name="ExternalData_46" localSheetId="4">Data!#REF!</definedName>
    <definedName name="ExternalData_460" localSheetId="4">Data!#REF!</definedName>
    <definedName name="ExternalData_461" localSheetId="4">Data!#REF!</definedName>
    <definedName name="ExternalData_462" localSheetId="4">Data!#REF!</definedName>
    <definedName name="ExternalData_463" localSheetId="4">Data!#REF!</definedName>
    <definedName name="ExternalData_464" localSheetId="4">Data!#REF!</definedName>
    <definedName name="ExternalData_465" localSheetId="4">Data!#REF!</definedName>
    <definedName name="ExternalData_466" localSheetId="4">Data!#REF!</definedName>
    <definedName name="ExternalData_467" localSheetId="4">Data!#REF!</definedName>
    <definedName name="ExternalData_468" localSheetId="4">Data!#REF!</definedName>
    <definedName name="ExternalData_469" localSheetId="4">Data!#REF!</definedName>
    <definedName name="ExternalData_47" localSheetId="4">Data!#REF!</definedName>
    <definedName name="ExternalData_470" localSheetId="4">Data!#REF!</definedName>
    <definedName name="ExternalData_471" localSheetId="4">Data!#REF!</definedName>
    <definedName name="ExternalData_472" localSheetId="4">Data!#REF!</definedName>
    <definedName name="ExternalData_473" localSheetId="4">Data!#REF!</definedName>
    <definedName name="ExternalData_474" localSheetId="4">Data!#REF!</definedName>
    <definedName name="ExternalData_475" localSheetId="4">Data!#REF!</definedName>
    <definedName name="ExternalData_476" localSheetId="4">Data!#REF!</definedName>
    <definedName name="ExternalData_477" localSheetId="4">Data!#REF!</definedName>
    <definedName name="ExternalData_478" localSheetId="4">Data!#REF!</definedName>
    <definedName name="ExternalData_479" localSheetId="4">Data!#REF!</definedName>
    <definedName name="ExternalData_48" localSheetId="4">Data!#REF!</definedName>
    <definedName name="ExternalData_480" localSheetId="4">Data!#REF!</definedName>
    <definedName name="ExternalData_481" localSheetId="4">Data!#REF!</definedName>
    <definedName name="ExternalData_482" localSheetId="4">Data!#REF!</definedName>
    <definedName name="ExternalData_483" localSheetId="4">Data!#REF!</definedName>
    <definedName name="ExternalData_484" localSheetId="4">Data!#REF!</definedName>
    <definedName name="ExternalData_485" localSheetId="4">Data!#REF!</definedName>
    <definedName name="ExternalData_486" localSheetId="4">Data!#REF!</definedName>
    <definedName name="ExternalData_487" localSheetId="4">Data!#REF!</definedName>
    <definedName name="ExternalData_488" localSheetId="4">Data!#REF!</definedName>
    <definedName name="ExternalData_489" localSheetId="4">Data!#REF!</definedName>
    <definedName name="ExternalData_49" localSheetId="4">Data!#REF!</definedName>
    <definedName name="ExternalData_490" localSheetId="4">Data!#REF!</definedName>
    <definedName name="ExternalData_491" localSheetId="4">Data!#REF!</definedName>
    <definedName name="ExternalData_492" localSheetId="4">Data!#REF!</definedName>
    <definedName name="ExternalData_493" localSheetId="4">Data!#REF!</definedName>
    <definedName name="ExternalData_494" localSheetId="4">Data!#REF!</definedName>
    <definedName name="ExternalData_495" localSheetId="4">Data!#REF!</definedName>
    <definedName name="ExternalData_496" localSheetId="4">Data!#REF!</definedName>
    <definedName name="ExternalData_497" localSheetId="4">Data!#REF!</definedName>
    <definedName name="ExternalData_498" localSheetId="4">Data!#REF!</definedName>
    <definedName name="ExternalData_499" localSheetId="4">Data!#REF!</definedName>
    <definedName name="ExternalData_5" localSheetId="4">Data!#REF!</definedName>
    <definedName name="ExternalData_50" localSheetId="4">Data!#REF!</definedName>
    <definedName name="ExternalData_500" localSheetId="4">Data!#REF!</definedName>
    <definedName name="ExternalData_501" localSheetId="4">Data!#REF!</definedName>
    <definedName name="ExternalData_502" localSheetId="4">Data!#REF!</definedName>
    <definedName name="ExternalData_503" localSheetId="4">Data!#REF!</definedName>
    <definedName name="ExternalData_504" localSheetId="4">Data!#REF!</definedName>
    <definedName name="ExternalData_505" localSheetId="4">Data!#REF!</definedName>
    <definedName name="ExternalData_506" localSheetId="4">Data!#REF!</definedName>
    <definedName name="ExternalData_507" localSheetId="4">Data!#REF!</definedName>
    <definedName name="ExternalData_508" localSheetId="4">Data!#REF!</definedName>
    <definedName name="ExternalData_509" localSheetId="4">Data!#REF!</definedName>
    <definedName name="ExternalData_51" localSheetId="4">Data!#REF!</definedName>
    <definedName name="ExternalData_510" localSheetId="4">Data!#REF!</definedName>
    <definedName name="ExternalData_511" localSheetId="4">Data!#REF!</definedName>
    <definedName name="ExternalData_512" localSheetId="4">Data!#REF!</definedName>
    <definedName name="ExternalData_513" localSheetId="4">Data!#REF!</definedName>
    <definedName name="ExternalData_514" localSheetId="4">Data!#REF!</definedName>
    <definedName name="ExternalData_515" localSheetId="4">Data!#REF!</definedName>
    <definedName name="ExternalData_516" localSheetId="4">Data!#REF!</definedName>
    <definedName name="ExternalData_517" localSheetId="4">Data!#REF!</definedName>
    <definedName name="ExternalData_518" localSheetId="4">Data!#REF!</definedName>
    <definedName name="ExternalData_519" localSheetId="4">Data!#REF!</definedName>
    <definedName name="ExternalData_52" localSheetId="4">Data!#REF!</definedName>
    <definedName name="ExternalData_520" localSheetId="4">Data!#REF!</definedName>
    <definedName name="ExternalData_521" localSheetId="4">Data!#REF!</definedName>
    <definedName name="ExternalData_522" localSheetId="4">Data!#REF!</definedName>
    <definedName name="ExternalData_523" localSheetId="4">Data!#REF!</definedName>
    <definedName name="ExternalData_524" localSheetId="4">Data!#REF!</definedName>
    <definedName name="ExternalData_525" localSheetId="4">Data!#REF!</definedName>
    <definedName name="ExternalData_526" localSheetId="4">Data!#REF!</definedName>
    <definedName name="ExternalData_527" localSheetId="4">Data!#REF!</definedName>
    <definedName name="ExternalData_528" localSheetId="4">Data!#REF!</definedName>
    <definedName name="ExternalData_529" localSheetId="4">Data!#REF!</definedName>
    <definedName name="ExternalData_53" localSheetId="4">Data!#REF!</definedName>
    <definedName name="ExternalData_530" localSheetId="4">Data!#REF!</definedName>
    <definedName name="ExternalData_531" localSheetId="4">Data!#REF!</definedName>
    <definedName name="ExternalData_532" localSheetId="4">Data!#REF!</definedName>
    <definedName name="ExternalData_533" localSheetId="4">Data!#REF!</definedName>
    <definedName name="ExternalData_534" localSheetId="4">Data!#REF!</definedName>
    <definedName name="ExternalData_535" localSheetId="4">Data!#REF!</definedName>
    <definedName name="ExternalData_536" localSheetId="4">Data!#REF!</definedName>
    <definedName name="ExternalData_537" localSheetId="4">Data!#REF!</definedName>
    <definedName name="ExternalData_538" localSheetId="4">Data!#REF!</definedName>
    <definedName name="ExternalData_539" localSheetId="4">Data!#REF!</definedName>
    <definedName name="ExternalData_54" localSheetId="4">Data!#REF!</definedName>
    <definedName name="ExternalData_540" localSheetId="4">Data!#REF!</definedName>
    <definedName name="ExternalData_541" localSheetId="4">Data!#REF!</definedName>
    <definedName name="ExternalData_542" localSheetId="4">Data!#REF!</definedName>
    <definedName name="ExternalData_543" localSheetId="4">Data!#REF!</definedName>
    <definedName name="ExternalData_544" localSheetId="4">Data!#REF!</definedName>
    <definedName name="ExternalData_545" localSheetId="4">Data!#REF!</definedName>
    <definedName name="ExternalData_546" localSheetId="4">Data!#REF!</definedName>
    <definedName name="ExternalData_547" localSheetId="4">Data!#REF!</definedName>
    <definedName name="ExternalData_548" localSheetId="4">Data!#REF!</definedName>
    <definedName name="ExternalData_549" localSheetId="4">Data!#REF!</definedName>
    <definedName name="ExternalData_55" localSheetId="4">Data!#REF!</definedName>
    <definedName name="ExternalData_550" localSheetId="4">Data!#REF!</definedName>
    <definedName name="ExternalData_551" localSheetId="4">Data!#REF!</definedName>
    <definedName name="ExternalData_552" localSheetId="4">Data!#REF!</definedName>
    <definedName name="ExternalData_553" localSheetId="4">Data!#REF!</definedName>
    <definedName name="ExternalData_554" localSheetId="4">Data!#REF!</definedName>
    <definedName name="ExternalData_555" localSheetId="4">Data!#REF!</definedName>
    <definedName name="ExternalData_556" localSheetId="4">Data!#REF!</definedName>
    <definedName name="ExternalData_557" localSheetId="4">Data!#REF!</definedName>
    <definedName name="ExternalData_558" localSheetId="4">Data!#REF!</definedName>
    <definedName name="ExternalData_559" localSheetId="4">Data!#REF!</definedName>
    <definedName name="ExternalData_56" localSheetId="4">Data!#REF!</definedName>
    <definedName name="ExternalData_560" localSheetId="4">Data!#REF!</definedName>
    <definedName name="ExternalData_561" localSheetId="4">Data!#REF!</definedName>
    <definedName name="ExternalData_562" localSheetId="4">Data!#REF!</definedName>
    <definedName name="ExternalData_563" localSheetId="4">Data!#REF!</definedName>
    <definedName name="ExternalData_564" localSheetId="4">Data!#REF!</definedName>
    <definedName name="ExternalData_565" localSheetId="4">Data!#REF!</definedName>
    <definedName name="ExternalData_566" localSheetId="4">Data!#REF!</definedName>
    <definedName name="ExternalData_567" localSheetId="4">Data!#REF!</definedName>
    <definedName name="ExternalData_568" localSheetId="4">Data!#REF!</definedName>
    <definedName name="ExternalData_569" localSheetId="4">Data!#REF!</definedName>
    <definedName name="ExternalData_57" localSheetId="4">Data!#REF!</definedName>
    <definedName name="ExternalData_570" localSheetId="4">Data!#REF!</definedName>
    <definedName name="ExternalData_571" localSheetId="4">Data!#REF!</definedName>
    <definedName name="ExternalData_572" localSheetId="4">Data!#REF!</definedName>
    <definedName name="ExternalData_573" localSheetId="4">Data!#REF!</definedName>
    <definedName name="ExternalData_574" localSheetId="4">Data!#REF!</definedName>
    <definedName name="ExternalData_575" localSheetId="4">Data!#REF!</definedName>
    <definedName name="ExternalData_576" localSheetId="4">Data!#REF!</definedName>
    <definedName name="ExternalData_577" localSheetId="4">Data!#REF!</definedName>
    <definedName name="ExternalData_578" localSheetId="4">Data!#REF!</definedName>
    <definedName name="ExternalData_579" localSheetId="4">Data!#REF!</definedName>
    <definedName name="ExternalData_58" localSheetId="4">Data!#REF!</definedName>
    <definedName name="ExternalData_580" localSheetId="4">Data!#REF!</definedName>
    <definedName name="ExternalData_581" localSheetId="4">Data!#REF!</definedName>
    <definedName name="ExternalData_582" localSheetId="4">Data!#REF!</definedName>
    <definedName name="ExternalData_583" localSheetId="4">Data!#REF!</definedName>
    <definedName name="ExternalData_584" localSheetId="4">Data!#REF!</definedName>
    <definedName name="ExternalData_585" localSheetId="4">Data!#REF!</definedName>
    <definedName name="ExternalData_586" localSheetId="4">Data!#REF!</definedName>
    <definedName name="ExternalData_587" localSheetId="4">Data!#REF!</definedName>
    <definedName name="ExternalData_588" localSheetId="4">Data!#REF!</definedName>
    <definedName name="ExternalData_589" localSheetId="4">Data!#REF!</definedName>
    <definedName name="ExternalData_59" localSheetId="4">Data!#REF!</definedName>
    <definedName name="ExternalData_590" localSheetId="4">Data!#REF!</definedName>
    <definedName name="ExternalData_591" localSheetId="4">Data!#REF!</definedName>
    <definedName name="ExternalData_592" localSheetId="4">Data!#REF!</definedName>
    <definedName name="ExternalData_593" localSheetId="4">Data!#REF!</definedName>
    <definedName name="ExternalData_594" localSheetId="4">Data!#REF!</definedName>
    <definedName name="ExternalData_595" localSheetId="4">Data!#REF!</definedName>
    <definedName name="ExternalData_596" localSheetId="4">Data!#REF!</definedName>
    <definedName name="ExternalData_597" localSheetId="4">Data!#REF!</definedName>
    <definedName name="ExternalData_598" localSheetId="4">Data!#REF!</definedName>
    <definedName name="ExternalData_599" localSheetId="4">Data!#REF!</definedName>
    <definedName name="ExternalData_6" localSheetId="4">Data!#REF!</definedName>
    <definedName name="ExternalData_60" localSheetId="4">Data!#REF!</definedName>
    <definedName name="ExternalData_600" localSheetId="4">Data!#REF!</definedName>
    <definedName name="ExternalData_601" localSheetId="4">Data!#REF!</definedName>
    <definedName name="ExternalData_602" localSheetId="4">Data!#REF!</definedName>
    <definedName name="ExternalData_603" localSheetId="4">Data!#REF!</definedName>
    <definedName name="ExternalData_604" localSheetId="4">Data!#REF!</definedName>
    <definedName name="ExternalData_605" localSheetId="4">Data!#REF!</definedName>
    <definedName name="ExternalData_606" localSheetId="4">Data!#REF!</definedName>
    <definedName name="ExternalData_607" localSheetId="4">Data!#REF!</definedName>
    <definedName name="ExternalData_608" localSheetId="4">Data!#REF!</definedName>
    <definedName name="ExternalData_609" localSheetId="4">Data!#REF!</definedName>
    <definedName name="ExternalData_61" localSheetId="4">Data!#REF!</definedName>
    <definedName name="ExternalData_610" localSheetId="4">Data!#REF!</definedName>
    <definedName name="ExternalData_611" localSheetId="4">Data!#REF!</definedName>
    <definedName name="ExternalData_612" localSheetId="4">Data!#REF!</definedName>
    <definedName name="ExternalData_613" localSheetId="4">Data!#REF!</definedName>
    <definedName name="ExternalData_614" localSheetId="4">Data!#REF!</definedName>
    <definedName name="ExternalData_615" localSheetId="4">Data!#REF!</definedName>
    <definedName name="ExternalData_616" localSheetId="4">Data!#REF!</definedName>
    <definedName name="ExternalData_617" localSheetId="4">Data!#REF!</definedName>
    <definedName name="ExternalData_618" localSheetId="4">Data!#REF!</definedName>
    <definedName name="ExternalData_619" localSheetId="4">Data!#REF!</definedName>
    <definedName name="ExternalData_62" localSheetId="4">Data!#REF!</definedName>
    <definedName name="ExternalData_620" localSheetId="4">Data!#REF!</definedName>
    <definedName name="ExternalData_621" localSheetId="4">Data!#REF!</definedName>
    <definedName name="ExternalData_622" localSheetId="4">Data!#REF!</definedName>
    <definedName name="ExternalData_623" localSheetId="4">Data!#REF!</definedName>
    <definedName name="ExternalData_624" localSheetId="4">Data!#REF!</definedName>
    <definedName name="ExternalData_625" localSheetId="4">Data!#REF!</definedName>
    <definedName name="ExternalData_626" localSheetId="4">Data!#REF!</definedName>
    <definedName name="ExternalData_627" localSheetId="4">Data!#REF!</definedName>
    <definedName name="ExternalData_628" localSheetId="4">Data!#REF!</definedName>
    <definedName name="ExternalData_629" localSheetId="4">Data!#REF!</definedName>
    <definedName name="ExternalData_63" localSheetId="4">Data!#REF!</definedName>
    <definedName name="ExternalData_630" localSheetId="4">Data!#REF!</definedName>
    <definedName name="ExternalData_631" localSheetId="4">Data!#REF!</definedName>
    <definedName name="ExternalData_632" localSheetId="4">Data!#REF!</definedName>
    <definedName name="ExternalData_633" localSheetId="4">Data!#REF!</definedName>
    <definedName name="ExternalData_634" localSheetId="4">Data!#REF!</definedName>
    <definedName name="ExternalData_635" localSheetId="4">Data!#REF!</definedName>
    <definedName name="ExternalData_636" localSheetId="4">Data!#REF!</definedName>
    <definedName name="ExternalData_637" localSheetId="4">Data!#REF!</definedName>
    <definedName name="ExternalData_638" localSheetId="4">Data!#REF!</definedName>
    <definedName name="ExternalData_639" localSheetId="4">Data!#REF!</definedName>
    <definedName name="ExternalData_64" localSheetId="4">Data!#REF!</definedName>
    <definedName name="ExternalData_640" localSheetId="4">Data!#REF!</definedName>
    <definedName name="ExternalData_641" localSheetId="4">Data!#REF!</definedName>
    <definedName name="ExternalData_642" localSheetId="4">Data!#REF!</definedName>
    <definedName name="ExternalData_643" localSheetId="4">Data!#REF!</definedName>
    <definedName name="ExternalData_644" localSheetId="4">Data!#REF!</definedName>
    <definedName name="ExternalData_645" localSheetId="4">Data!#REF!</definedName>
    <definedName name="ExternalData_646" localSheetId="4">Data!#REF!</definedName>
    <definedName name="ExternalData_647" localSheetId="4">Data!#REF!</definedName>
    <definedName name="ExternalData_648" localSheetId="4">Data!#REF!</definedName>
    <definedName name="ExternalData_649" localSheetId="4">Data!#REF!</definedName>
    <definedName name="ExternalData_65" localSheetId="4">Data!#REF!</definedName>
    <definedName name="ExternalData_650" localSheetId="4">Data!#REF!</definedName>
    <definedName name="ExternalData_651" localSheetId="4">Data!#REF!</definedName>
    <definedName name="ExternalData_652" localSheetId="4">Data!#REF!</definedName>
    <definedName name="ExternalData_653" localSheetId="4">Data!#REF!</definedName>
    <definedName name="ExternalData_654" localSheetId="4">Data!#REF!</definedName>
    <definedName name="ExternalData_655" localSheetId="4">Data!#REF!</definedName>
    <definedName name="ExternalData_656" localSheetId="4">Data!#REF!</definedName>
    <definedName name="ExternalData_657" localSheetId="4">Data!#REF!</definedName>
    <definedName name="ExternalData_658" localSheetId="4">Data!#REF!</definedName>
    <definedName name="ExternalData_659" localSheetId="4">Data!#REF!</definedName>
    <definedName name="ExternalData_66" localSheetId="4">Data!#REF!</definedName>
    <definedName name="ExternalData_660" localSheetId="4">Data!#REF!</definedName>
    <definedName name="ExternalData_661" localSheetId="4">Data!#REF!</definedName>
    <definedName name="ExternalData_662" localSheetId="4">Data!#REF!</definedName>
    <definedName name="ExternalData_663" localSheetId="4">Data!#REF!</definedName>
    <definedName name="ExternalData_664" localSheetId="4">Data!#REF!</definedName>
    <definedName name="ExternalData_665" localSheetId="4">Data!#REF!</definedName>
    <definedName name="ExternalData_666" localSheetId="4">Data!#REF!</definedName>
    <definedName name="ExternalData_667" localSheetId="4">Data!#REF!</definedName>
    <definedName name="ExternalData_668" localSheetId="4">Data!#REF!</definedName>
    <definedName name="ExternalData_669" localSheetId="4">Data!#REF!</definedName>
    <definedName name="ExternalData_67" localSheetId="4">Data!#REF!</definedName>
    <definedName name="ExternalData_670" localSheetId="4">Data!#REF!</definedName>
    <definedName name="ExternalData_671" localSheetId="4">Data!#REF!</definedName>
    <definedName name="ExternalData_672" localSheetId="4">Data!#REF!</definedName>
    <definedName name="ExternalData_673" localSheetId="4">Data!#REF!</definedName>
    <definedName name="ExternalData_674" localSheetId="4">Data!#REF!</definedName>
    <definedName name="ExternalData_675" localSheetId="4">Data!#REF!</definedName>
    <definedName name="ExternalData_676" localSheetId="4">Data!#REF!</definedName>
    <definedName name="ExternalData_677" localSheetId="4">Data!#REF!</definedName>
    <definedName name="ExternalData_678" localSheetId="4">Data!#REF!</definedName>
    <definedName name="ExternalData_679" localSheetId="4">Data!#REF!</definedName>
    <definedName name="ExternalData_68" localSheetId="4">Data!#REF!</definedName>
    <definedName name="ExternalData_680" localSheetId="4">Data!#REF!</definedName>
    <definedName name="ExternalData_681" localSheetId="4">Data!#REF!</definedName>
    <definedName name="ExternalData_682" localSheetId="4">Data!#REF!</definedName>
    <definedName name="ExternalData_683" localSheetId="4">Data!#REF!</definedName>
    <definedName name="ExternalData_684" localSheetId="4">Data!#REF!</definedName>
    <definedName name="ExternalData_685" localSheetId="4">Data!#REF!</definedName>
    <definedName name="ExternalData_686" localSheetId="4">Data!#REF!</definedName>
    <definedName name="ExternalData_687" localSheetId="4">Data!#REF!</definedName>
    <definedName name="ExternalData_688" localSheetId="4">Data!#REF!</definedName>
    <definedName name="ExternalData_689" localSheetId="4">Data!#REF!</definedName>
    <definedName name="ExternalData_69" localSheetId="4">Data!#REF!</definedName>
    <definedName name="ExternalData_690" localSheetId="4">Data!#REF!</definedName>
    <definedName name="ExternalData_691" localSheetId="4">Data!#REF!</definedName>
    <definedName name="ExternalData_692" localSheetId="4">Data!#REF!</definedName>
    <definedName name="ExternalData_693" localSheetId="4">Data!#REF!</definedName>
    <definedName name="ExternalData_694" localSheetId="4">Data!#REF!</definedName>
    <definedName name="ExternalData_695" localSheetId="4">Data!#REF!</definedName>
    <definedName name="ExternalData_696" localSheetId="4">Data!#REF!</definedName>
    <definedName name="ExternalData_697" localSheetId="4">Data!#REF!</definedName>
    <definedName name="ExternalData_698" localSheetId="4">Data!#REF!</definedName>
    <definedName name="ExternalData_699" localSheetId="4">Data!#REF!</definedName>
    <definedName name="ExternalData_7" localSheetId="4">Data!#REF!</definedName>
    <definedName name="ExternalData_70" localSheetId="4">Data!#REF!</definedName>
    <definedName name="ExternalData_700" localSheetId="4">Data!#REF!</definedName>
    <definedName name="ExternalData_701" localSheetId="4">Data!#REF!</definedName>
    <definedName name="ExternalData_702" localSheetId="4">Data!#REF!</definedName>
    <definedName name="ExternalData_703" localSheetId="4">Data!#REF!</definedName>
    <definedName name="ExternalData_704" localSheetId="4">Data!#REF!</definedName>
    <definedName name="ExternalData_705" localSheetId="4">Data!#REF!</definedName>
    <definedName name="ExternalData_706" localSheetId="4">Data!#REF!</definedName>
    <definedName name="ExternalData_707" localSheetId="4">Data!#REF!</definedName>
    <definedName name="ExternalData_708" localSheetId="4">Data!#REF!</definedName>
    <definedName name="ExternalData_709" localSheetId="4">Data!#REF!</definedName>
    <definedName name="ExternalData_71" localSheetId="4">Data!#REF!</definedName>
    <definedName name="ExternalData_710" localSheetId="4">Data!#REF!</definedName>
    <definedName name="ExternalData_711" localSheetId="4">Data!#REF!</definedName>
    <definedName name="ExternalData_712" localSheetId="4">Data!#REF!</definedName>
    <definedName name="ExternalData_713" localSheetId="4">Data!#REF!</definedName>
    <definedName name="ExternalData_714" localSheetId="4">Data!#REF!</definedName>
    <definedName name="ExternalData_715" localSheetId="4">Data!#REF!</definedName>
    <definedName name="ExternalData_716" localSheetId="4">Data!#REF!</definedName>
    <definedName name="ExternalData_717" localSheetId="4">Data!#REF!</definedName>
    <definedName name="ExternalData_718" localSheetId="4">Data!#REF!</definedName>
    <definedName name="ExternalData_719" localSheetId="4">Data!#REF!</definedName>
    <definedName name="ExternalData_72" localSheetId="4">Data!#REF!</definedName>
    <definedName name="ExternalData_720" localSheetId="4">Data!#REF!</definedName>
    <definedName name="ExternalData_721" localSheetId="4">Data!#REF!</definedName>
    <definedName name="ExternalData_722" localSheetId="4">Data!#REF!</definedName>
    <definedName name="ExternalData_723" localSheetId="4">Data!#REF!</definedName>
    <definedName name="ExternalData_724" localSheetId="4">Data!#REF!</definedName>
    <definedName name="ExternalData_725" localSheetId="4">Data!#REF!</definedName>
    <definedName name="ExternalData_726" localSheetId="4">Data!#REF!</definedName>
    <definedName name="ExternalData_727" localSheetId="4">Data!#REF!</definedName>
    <definedName name="ExternalData_728" localSheetId="4">Data!#REF!</definedName>
    <definedName name="ExternalData_729" localSheetId="4">Data!#REF!</definedName>
    <definedName name="ExternalData_73" localSheetId="4">Data!#REF!</definedName>
    <definedName name="ExternalData_730" localSheetId="4">Data!#REF!</definedName>
    <definedName name="ExternalData_731" localSheetId="4">Data!#REF!</definedName>
    <definedName name="ExternalData_732" localSheetId="4">Data!#REF!</definedName>
    <definedName name="ExternalData_733" localSheetId="4">Data!#REF!</definedName>
    <definedName name="ExternalData_734" localSheetId="4">Data!#REF!</definedName>
    <definedName name="ExternalData_735" localSheetId="4">Data!#REF!</definedName>
    <definedName name="ExternalData_736" localSheetId="4">Data!#REF!</definedName>
    <definedName name="ExternalData_737" localSheetId="4">Data!#REF!</definedName>
    <definedName name="ExternalData_738" localSheetId="4">Data!#REF!</definedName>
    <definedName name="ExternalData_739" localSheetId="4">Data!#REF!</definedName>
    <definedName name="ExternalData_74" localSheetId="4">Data!#REF!</definedName>
    <definedName name="ExternalData_740" localSheetId="4">Data!#REF!</definedName>
    <definedName name="ExternalData_741" localSheetId="4">Data!#REF!</definedName>
    <definedName name="ExternalData_742" localSheetId="4">Data!#REF!</definedName>
    <definedName name="ExternalData_743" localSheetId="4">Data!#REF!</definedName>
    <definedName name="ExternalData_744" localSheetId="4">Data!#REF!</definedName>
    <definedName name="ExternalData_745" localSheetId="4">Data!#REF!</definedName>
    <definedName name="ExternalData_746" localSheetId="4">Data!#REF!</definedName>
    <definedName name="ExternalData_747" localSheetId="4">Data!#REF!</definedName>
    <definedName name="ExternalData_748" localSheetId="4">Data!#REF!</definedName>
    <definedName name="ExternalData_749" localSheetId="4">Data!#REF!</definedName>
    <definedName name="ExternalData_75" localSheetId="4">Data!#REF!</definedName>
    <definedName name="ExternalData_750" localSheetId="4">Data!#REF!</definedName>
    <definedName name="ExternalData_751" localSheetId="4">Data!#REF!</definedName>
    <definedName name="ExternalData_752" localSheetId="4">Data!#REF!</definedName>
    <definedName name="ExternalData_753" localSheetId="4">Data!#REF!</definedName>
    <definedName name="ExternalData_754" localSheetId="4">Data!#REF!</definedName>
    <definedName name="ExternalData_755" localSheetId="4">Data!#REF!</definedName>
    <definedName name="ExternalData_756" localSheetId="4">Data!#REF!</definedName>
    <definedName name="ExternalData_757" localSheetId="4">Data!#REF!</definedName>
    <definedName name="ExternalData_758" localSheetId="4">Data!#REF!</definedName>
    <definedName name="ExternalData_759" localSheetId="4">Data!#REF!</definedName>
    <definedName name="ExternalData_76" localSheetId="4">Data!#REF!</definedName>
    <definedName name="ExternalData_760" localSheetId="4">Data!#REF!</definedName>
    <definedName name="ExternalData_761" localSheetId="4">Data!#REF!</definedName>
    <definedName name="ExternalData_762" localSheetId="4">Data!#REF!</definedName>
    <definedName name="ExternalData_763" localSheetId="4">Data!#REF!</definedName>
    <definedName name="ExternalData_764" localSheetId="4">Data!#REF!</definedName>
    <definedName name="ExternalData_765" localSheetId="4">Data!#REF!</definedName>
    <definedName name="ExternalData_766" localSheetId="4">Data!#REF!</definedName>
    <definedName name="ExternalData_767" localSheetId="4">Data!#REF!</definedName>
    <definedName name="ExternalData_768" localSheetId="4">Data!#REF!</definedName>
    <definedName name="ExternalData_769" localSheetId="4">Data!#REF!</definedName>
    <definedName name="ExternalData_77" localSheetId="4">Data!#REF!</definedName>
    <definedName name="ExternalData_770" localSheetId="4">Data!#REF!</definedName>
    <definedName name="ExternalData_771" localSheetId="4">Data!#REF!</definedName>
    <definedName name="ExternalData_772" localSheetId="4">Data!#REF!</definedName>
    <definedName name="ExternalData_773" localSheetId="4">Data!#REF!</definedName>
    <definedName name="ExternalData_774" localSheetId="4">Data!#REF!</definedName>
    <definedName name="ExternalData_775" localSheetId="4">Data!#REF!</definedName>
    <definedName name="ExternalData_776" localSheetId="4">Data!#REF!</definedName>
    <definedName name="ExternalData_777" localSheetId="4">Data!#REF!</definedName>
    <definedName name="ExternalData_778" localSheetId="4">Data!#REF!</definedName>
    <definedName name="ExternalData_779" localSheetId="4">Data!#REF!</definedName>
    <definedName name="ExternalData_780" localSheetId="4">Data!#REF!</definedName>
    <definedName name="ExternalData_781" localSheetId="4">Data!#REF!</definedName>
    <definedName name="ExternalData_782" localSheetId="4">Data!#REF!</definedName>
    <definedName name="ExternalData_783" localSheetId="4">Data!#REF!</definedName>
    <definedName name="ExternalData_784" localSheetId="4">Data!#REF!</definedName>
    <definedName name="ExternalData_785" localSheetId="4">Data!#REF!</definedName>
    <definedName name="ExternalData_786" localSheetId="4">Data!#REF!</definedName>
    <definedName name="ExternalData_787" localSheetId="4">Data!#REF!</definedName>
    <definedName name="ExternalData_788" localSheetId="4">Data!#REF!</definedName>
    <definedName name="ExternalData_789" localSheetId="4">Data!#REF!</definedName>
    <definedName name="ExternalData_79" localSheetId="4">Data!#REF!</definedName>
    <definedName name="ExternalData_790" localSheetId="4">Data!#REF!</definedName>
    <definedName name="ExternalData_791" localSheetId="4">Data!#REF!</definedName>
    <definedName name="ExternalData_792" localSheetId="4">Data!#REF!</definedName>
    <definedName name="ExternalData_793" localSheetId="4">Data!#REF!</definedName>
    <definedName name="ExternalData_794" localSheetId="4">Data!#REF!</definedName>
    <definedName name="ExternalData_795" localSheetId="4">Data!#REF!</definedName>
    <definedName name="ExternalData_796" localSheetId="4">Data!#REF!</definedName>
    <definedName name="ExternalData_797" localSheetId="4">Data!#REF!</definedName>
    <definedName name="ExternalData_798" localSheetId="4">Data!#REF!</definedName>
    <definedName name="ExternalData_799" localSheetId="4">Data!#REF!</definedName>
    <definedName name="ExternalData_8" localSheetId="4">Data!#REF!</definedName>
    <definedName name="ExternalData_80" localSheetId="4">Data!#REF!</definedName>
    <definedName name="ExternalData_800" localSheetId="4">Data!#REF!</definedName>
    <definedName name="ExternalData_801" localSheetId="4">Data!#REF!</definedName>
    <definedName name="ExternalData_802" localSheetId="4">Data!#REF!</definedName>
    <definedName name="ExternalData_803" localSheetId="4">Data!#REF!</definedName>
    <definedName name="ExternalData_804" localSheetId="4">Data!#REF!</definedName>
    <definedName name="ExternalData_805" localSheetId="4">Data!#REF!</definedName>
    <definedName name="ExternalData_806" localSheetId="4">Data!#REF!</definedName>
    <definedName name="ExternalData_807" localSheetId="4">Data!#REF!</definedName>
    <definedName name="ExternalData_808" localSheetId="4">Data!#REF!</definedName>
    <definedName name="ExternalData_809" localSheetId="4">Data!#REF!</definedName>
    <definedName name="ExternalData_81" localSheetId="4">Data!#REF!</definedName>
    <definedName name="ExternalData_810" localSheetId="4">Data!#REF!</definedName>
    <definedName name="ExternalData_811" localSheetId="4">Data!#REF!</definedName>
    <definedName name="ExternalData_812" localSheetId="4">Data!#REF!</definedName>
    <definedName name="ExternalData_813" localSheetId="4">Data!#REF!</definedName>
    <definedName name="ExternalData_814" localSheetId="4">Data!#REF!</definedName>
    <definedName name="ExternalData_815" localSheetId="4">Data!#REF!</definedName>
    <definedName name="ExternalData_816" localSheetId="4">Data!#REF!</definedName>
    <definedName name="ExternalData_817" localSheetId="4">Data!#REF!</definedName>
    <definedName name="ExternalData_818" localSheetId="4">Data!#REF!</definedName>
    <definedName name="ExternalData_819" localSheetId="4">Data!#REF!</definedName>
    <definedName name="ExternalData_82" localSheetId="4">Data!#REF!</definedName>
    <definedName name="ExternalData_820" localSheetId="4">Data!#REF!</definedName>
    <definedName name="ExternalData_821" localSheetId="4">Data!#REF!</definedName>
    <definedName name="ExternalData_822" localSheetId="4">Data!#REF!</definedName>
    <definedName name="ExternalData_823" localSheetId="4">Data!#REF!</definedName>
    <definedName name="ExternalData_824" localSheetId="4">Data!#REF!</definedName>
    <definedName name="ExternalData_825" localSheetId="4">Data!#REF!</definedName>
    <definedName name="ExternalData_826" localSheetId="4">Data!#REF!</definedName>
    <definedName name="ExternalData_827" localSheetId="4">Data!#REF!</definedName>
    <definedName name="ExternalData_828" localSheetId="4">Data!#REF!</definedName>
    <definedName name="ExternalData_829" localSheetId="4">Data!#REF!</definedName>
    <definedName name="ExternalData_83" localSheetId="4">Data!#REF!</definedName>
    <definedName name="ExternalData_830" localSheetId="4">Data!#REF!</definedName>
    <definedName name="ExternalData_831" localSheetId="4">Data!#REF!</definedName>
    <definedName name="ExternalData_832" localSheetId="4">Data!#REF!</definedName>
    <definedName name="ExternalData_833" localSheetId="4">Data!#REF!</definedName>
    <definedName name="ExternalData_834" localSheetId="4">Data!#REF!</definedName>
    <definedName name="ExternalData_835" localSheetId="4">Data!#REF!</definedName>
    <definedName name="ExternalData_836" localSheetId="4">Data!#REF!</definedName>
    <definedName name="ExternalData_837" localSheetId="4">Data!#REF!</definedName>
    <definedName name="ExternalData_838" localSheetId="4">Data!#REF!</definedName>
    <definedName name="ExternalData_839" localSheetId="4">Data!#REF!</definedName>
    <definedName name="ExternalData_84" localSheetId="4">Data!#REF!</definedName>
    <definedName name="ExternalData_840" localSheetId="4">Data!#REF!</definedName>
    <definedName name="ExternalData_841" localSheetId="4">Data!#REF!</definedName>
    <definedName name="ExternalData_842" localSheetId="4">Data!#REF!</definedName>
    <definedName name="ExternalData_843" localSheetId="4">Data!#REF!</definedName>
    <definedName name="ExternalData_844" localSheetId="4">Data!#REF!</definedName>
    <definedName name="ExternalData_845" localSheetId="4">Data!#REF!</definedName>
    <definedName name="ExternalData_846" localSheetId="4">Data!#REF!</definedName>
    <definedName name="ExternalData_847" localSheetId="4">Data!#REF!</definedName>
    <definedName name="ExternalData_848" localSheetId="4">Data!#REF!</definedName>
    <definedName name="ExternalData_849" localSheetId="4">Data!#REF!</definedName>
    <definedName name="ExternalData_85" localSheetId="4">Data!#REF!</definedName>
    <definedName name="ExternalData_850" localSheetId="4">Data!#REF!</definedName>
    <definedName name="ExternalData_851" localSheetId="4">Data!#REF!</definedName>
    <definedName name="ExternalData_852" localSheetId="4">Data!#REF!</definedName>
    <definedName name="ExternalData_853" localSheetId="4">Data!#REF!</definedName>
    <definedName name="ExternalData_854" localSheetId="4">Data!#REF!</definedName>
    <definedName name="ExternalData_855" localSheetId="4">Data!#REF!</definedName>
    <definedName name="ExternalData_856" localSheetId="4">Data!#REF!</definedName>
    <definedName name="ExternalData_857" localSheetId="4">Data!#REF!</definedName>
    <definedName name="ExternalData_858" localSheetId="4">Data!#REF!</definedName>
    <definedName name="ExternalData_859" localSheetId="4">Data!#REF!</definedName>
    <definedName name="ExternalData_86" localSheetId="4">Data!#REF!</definedName>
    <definedName name="ExternalData_860" localSheetId="4">Data!#REF!</definedName>
    <definedName name="ExternalData_861" localSheetId="4">Data!#REF!</definedName>
    <definedName name="ExternalData_862" localSheetId="4">Data!#REF!</definedName>
    <definedName name="ExternalData_863" localSheetId="4">Data!#REF!</definedName>
    <definedName name="ExternalData_864" localSheetId="4">Data!#REF!</definedName>
    <definedName name="ExternalData_865" localSheetId="4">Data!#REF!</definedName>
    <definedName name="ExternalData_866" localSheetId="4">Data!#REF!</definedName>
    <definedName name="ExternalData_867" localSheetId="4">Data!#REF!</definedName>
    <definedName name="ExternalData_868" localSheetId="4">Data!#REF!</definedName>
    <definedName name="ExternalData_869" localSheetId="4">Data!#REF!</definedName>
    <definedName name="ExternalData_87" localSheetId="4">Data!#REF!</definedName>
    <definedName name="ExternalData_870" localSheetId="4">Data!#REF!</definedName>
    <definedName name="ExternalData_871" localSheetId="4">Data!#REF!</definedName>
    <definedName name="ExternalData_872" localSheetId="4">Data!#REF!</definedName>
    <definedName name="ExternalData_873" localSheetId="4">Data!#REF!</definedName>
    <definedName name="ExternalData_874" localSheetId="4">Data!#REF!</definedName>
    <definedName name="ExternalData_875" localSheetId="4">Data!#REF!</definedName>
    <definedName name="ExternalData_876" localSheetId="4">Data!#REF!</definedName>
    <definedName name="ExternalData_877" localSheetId="4">Data!#REF!</definedName>
    <definedName name="ExternalData_878" localSheetId="4">Data!#REF!</definedName>
    <definedName name="ExternalData_879" localSheetId="4">Data!#REF!</definedName>
    <definedName name="ExternalData_88" localSheetId="4">Data!#REF!</definedName>
    <definedName name="ExternalData_880" localSheetId="4">Data!#REF!</definedName>
    <definedName name="ExternalData_881" localSheetId="4">Data!#REF!</definedName>
    <definedName name="ExternalData_882" localSheetId="4">Data!#REF!</definedName>
    <definedName name="ExternalData_883" localSheetId="4">Data!#REF!</definedName>
    <definedName name="ExternalData_884" localSheetId="4">Data!#REF!</definedName>
    <definedName name="ExternalData_885" localSheetId="4">Data!#REF!</definedName>
    <definedName name="ExternalData_886" localSheetId="4">Data!#REF!</definedName>
    <definedName name="ExternalData_887" localSheetId="4">Data!#REF!</definedName>
    <definedName name="ExternalData_888" localSheetId="4">Data!#REF!</definedName>
    <definedName name="ExternalData_889" localSheetId="4">Data!#REF!</definedName>
    <definedName name="ExternalData_89" localSheetId="4">Data!#REF!</definedName>
    <definedName name="ExternalData_890" localSheetId="4">Data!#REF!</definedName>
    <definedName name="ExternalData_891" localSheetId="4">Data!#REF!</definedName>
    <definedName name="ExternalData_892" localSheetId="4">Data!#REF!</definedName>
    <definedName name="ExternalData_893" localSheetId="4">Data!#REF!</definedName>
    <definedName name="ExternalData_894" localSheetId="4">Data!#REF!</definedName>
    <definedName name="ExternalData_895" localSheetId="4">Data!#REF!</definedName>
    <definedName name="ExternalData_896" localSheetId="4">Data!#REF!</definedName>
    <definedName name="ExternalData_897" localSheetId="4">Data!#REF!</definedName>
    <definedName name="ExternalData_898" localSheetId="4">Data!#REF!</definedName>
    <definedName name="ExternalData_899" localSheetId="4">Data!#REF!</definedName>
    <definedName name="ExternalData_9" localSheetId="4">Data!#REF!</definedName>
    <definedName name="ExternalData_90" localSheetId="4">Data!#REF!</definedName>
    <definedName name="ExternalData_900" localSheetId="4">Data!#REF!</definedName>
    <definedName name="ExternalData_901" localSheetId="4">Data!#REF!</definedName>
    <definedName name="ExternalData_902" localSheetId="4">Data!#REF!</definedName>
    <definedName name="ExternalData_903" localSheetId="4">Data!#REF!</definedName>
    <definedName name="ExternalData_904" localSheetId="4">Data!#REF!</definedName>
    <definedName name="ExternalData_905" localSheetId="4">Data!#REF!</definedName>
    <definedName name="ExternalData_906" localSheetId="4">Data!#REF!</definedName>
    <definedName name="ExternalData_907" localSheetId="4">Data!#REF!</definedName>
    <definedName name="ExternalData_908" localSheetId="4">Data!#REF!</definedName>
    <definedName name="ExternalData_909" localSheetId="4">Data!#REF!</definedName>
    <definedName name="ExternalData_91" localSheetId="4">Data!#REF!</definedName>
    <definedName name="ExternalData_910" localSheetId="4">Data!#REF!</definedName>
    <definedName name="ExternalData_911" localSheetId="4">Data!#REF!</definedName>
    <definedName name="ExternalData_912" localSheetId="4">Data!#REF!</definedName>
    <definedName name="ExternalData_913" localSheetId="4">Data!#REF!</definedName>
    <definedName name="ExternalData_914" localSheetId="4">Data!#REF!</definedName>
    <definedName name="ExternalData_915" localSheetId="4">Data!#REF!</definedName>
    <definedName name="ExternalData_916" localSheetId="4">Data!#REF!</definedName>
    <definedName name="ExternalData_917" localSheetId="4">Data!#REF!</definedName>
    <definedName name="ExternalData_918" localSheetId="4">Data!#REF!</definedName>
    <definedName name="ExternalData_919" localSheetId="4">Data!#REF!</definedName>
    <definedName name="ExternalData_92" localSheetId="4">Data!#REF!</definedName>
    <definedName name="ExternalData_920" localSheetId="4">Data!#REF!</definedName>
    <definedName name="ExternalData_921" localSheetId="4">Data!#REF!</definedName>
    <definedName name="ExternalData_922" localSheetId="4">Data!#REF!</definedName>
    <definedName name="ExternalData_923" localSheetId="4">Data!#REF!</definedName>
    <definedName name="ExternalData_924" localSheetId="4">Data!#REF!</definedName>
    <definedName name="ExternalData_925" localSheetId="4">Data!#REF!</definedName>
    <definedName name="ExternalData_926" localSheetId="4">Data!#REF!</definedName>
    <definedName name="ExternalData_927" localSheetId="4">Data!#REF!</definedName>
    <definedName name="ExternalData_928" localSheetId="4">Data!#REF!</definedName>
    <definedName name="ExternalData_929" localSheetId="4">Data!#REF!</definedName>
    <definedName name="ExternalData_93" localSheetId="4">Data!#REF!</definedName>
    <definedName name="ExternalData_930" localSheetId="4">Data!#REF!</definedName>
    <definedName name="ExternalData_931" localSheetId="4">Data!#REF!</definedName>
    <definedName name="ExternalData_932" localSheetId="4">Data!#REF!</definedName>
    <definedName name="ExternalData_933" localSheetId="4">Data!#REF!</definedName>
    <definedName name="ExternalData_934" localSheetId="4">Data!#REF!</definedName>
    <definedName name="ExternalData_935" localSheetId="4">Data!#REF!</definedName>
    <definedName name="ExternalData_936" localSheetId="4">Data!#REF!</definedName>
    <definedName name="ExternalData_937" localSheetId="4">Data!#REF!</definedName>
    <definedName name="ExternalData_938" localSheetId="4">Data!#REF!</definedName>
    <definedName name="ExternalData_939" localSheetId="4">Data!#REF!</definedName>
    <definedName name="ExternalData_94" localSheetId="4">Data!#REF!</definedName>
    <definedName name="ExternalData_940" localSheetId="4">Data!#REF!</definedName>
    <definedName name="ExternalData_941" localSheetId="4">Data!#REF!</definedName>
    <definedName name="ExternalData_942" localSheetId="4">Data!#REF!</definedName>
    <definedName name="ExternalData_943" localSheetId="4">Data!#REF!</definedName>
    <definedName name="ExternalData_944" localSheetId="4">Data!#REF!</definedName>
    <definedName name="ExternalData_945" localSheetId="4">Data!#REF!</definedName>
    <definedName name="ExternalData_946" localSheetId="4">Data!#REF!</definedName>
    <definedName name="ExternalData_947" localSheetId="4">Data!#REF!</definedName>
    <definedName name="ExternalData_948" localSheetId="4">Data!#REF!</definedName>
    <definedName name="ExternalData_949" localSheetId="4">Data!#REF!</definedName>
    <definedName name="ExternalData_95" localSheetId="4">Data!#REF!</definedName>
    <definedName name="ExternalData_950" localSheetId="4">Data!#REF!</definedName>
    <definedName name="ExternalData_951" localSheetId="4">Data!#REF!</definedName>
    <definedName name="ExternalData_952" localSheetId="4">Data!#REF!</definedName>
    <definedName name="ExternalData_953" localSheetId="4">Data!#REF!</definedName>
    <definedName name="ExternalData_954" localSheetId="4">Data!#REF!</definedName>
    <definedName name="ExternalData_955" localSheetId="4">Data!#REF!</definedName>
    <definedName name="ExternalData_956" localSheetId="4">Data!#REF!</definedName>
    <definedName name="ExternalData_957" localSheetId="4">Data!#REF!</definedName>
    <definedName name="ExternalData_958" localSheetId="4">Data!#REF!</definedName>
    <definedName name="ExternalData_959" localSheetId="4">Data!#REF!</definedName>
    <definedName name="ExternalData_96" localSheetId="4">Data!#REF!</definedName>
    <definedName name="ExternalData_960" localSheetId="4">Data!#REF!</definedName>
    <definedName name="ExternalData_961" localSheetId="4">Data!#REF!</definedName>
    <definedName name="ExternalData_962" localSheetId="4">Data!#REF!</definedName>
    <definedName name="ExternalData_963" localSheetId="4">Data!#REF!</definedName>
    <definedName name="ExternalData_964" localSheetId="4">Data!#REF!</definedName>
    <definedName name="ExternalData_965" localSheetId="4">Data!#REF!</definedName>
    <definedName name="ExternalData_966" localSheetId="4">Data!#REF!</definedName>
    <definedName name="ExternalData_967" localSheetId="4">Data!#REF!</definedName>
    <definedName name="ExternalData_968" localSheetId="4">Data!#REF!</definedName>
    <definedName name="ExternalData_969" localSheetId="4">Data!#REF!</definedName>
    <definedName name="ExternalData_97" localSheetId="4">Data!#REF!</definedName>
    <definedName name="ExternalData_970" localSheetId="4">Data!#REF!</definedName>
    <definedName name="ExternalData_971" localSheetId="4">Data!#REF!</definedName>
    <definedName name="ExternalData_972" localSheetId="4">Data!#REF!</definedName>
    <definedName name="ExternalData_973" localSheetId="4">Data!#REF!</definedName>
    <definedName name="ExternalData_974" localSheetId="4">Data!#REF!</definedName>
    <definedName name="ExternalData_975" localSheetId="4">Data!#REF!</definedName>
    <definedName name="ExternalData_976" localSheetId="4">Data!#REF!</definedName>
    <definedName name="ExternalData_977" localSheetId="4">Data!#REF!</definedName>
    <definedName name="ExternalData_978" localSheetId="4">Data!#REF!</definedName>
    <definedName name="ExternalData_979" localSheetId="4">Data!#REF!</definedName>
    <definedName name="ExternalData_98" localSheetId="4">Data!#REF!</definedName>
    <definedName name="ExternalData_980" localSheetId="4">Data!#REF!</definedName>
    <definedName name="ExternalData_981" localSheetId="4">Data!#REF!</definedName>
    <definedName name="ExternalData_982" localSheetId="4">Data!#REF!</definedName>
    <definedName name="ExternalData_983" localSheetId="4">Data!#REF!</definedName>
    <definedName name="ExternalData_984" localSheetId="4">Data!#REF!</definedName>
    <definedName name="ExternalData_985" localSheetId="4">Data!#REF!</definedName>
    <definedName name="ExternalData_986" localSheetId="4">Data!#REF!</definedName>
    <definedName name="ExternalData_987" localSheetId="4">Data!#REF!</definedName>
    <definedName name="ExternalData_988" localSheetId="4">Data!#REF!</definedName>
    <definedName name="ExternalData_989" localSheetId="4">Data!#REF!</definedName>
    <definedName name="ExternalData_99" localSheetId="4">Data!#REF!</definedName>
    <definedName name="ExternalData_990" localSheetId="4">Data!#REF!</definedName>
    <definedName name="ExternalData_991" localSheetId="4">Data!#REF!</definedName>
    <definedName name="ExternalData_992" localSheetId="4">Data!#REF!</definedName>
    <definedName name="ExternalData_993" localSheetId="4">Data!#REF!</definedName>
    <definedName name="ExternalData_994" localSheetId="4">Data!#REF!</definedName>
    <definedName name="ExternalData_995" localSheetId="4">Data!#REF!</definedName>
    <definedName name="ExternalData_996" localSheetId="4">Data!#REF!</definedName>
    <definedName name="ExternalData_997" localSheetId="4">Data!#REF!</definedName>
    <definedName name="ExternalData_998" localSheetId="4">Data!#REF!</definedName>
    <definedName name="ExternalData_999" localSheetId="4">Data!#REF!</definedName>
    <definedName name="_xlnm.Extract" localSheetId="4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48" i="20"/>
  <c r="M48" i="20"/>
  <c r="L49" i="20"/>
  <c r="M49" i="20"/>
  <c r="L51" i="20"/>
  <c r="M51" i="20"/>
  <c r="L54" i="20"/>
  <c r="M54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O64" i="20"/>
  <c r="O65" i="20"/>
  <c r="O66" i="20"/>
  <c r="O67" i="20"/>
  <c r="O68" i="20"/>
  <c r="O69" i="20"/>
  <c r="O70" i="20"/>
  <c r="O6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G30" i="42" s="1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0" i="20"/>
  <c r="L52" i="20"/>
  <c r="L53" i="20"/>
  <c r="L55" i="20"/>
  <c r="L56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V91" i="42"/>
  <c r="V88" i="42"/>
  <c r="V87" i="42"/>
  <c r="V85" i="42"/>
  <c r="P2" i="20"/>
  <c r="I100" i="42"/>
  <c r="J100" i="42"/>
  <c r="M100" i="42" s="1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W62" i="44" s="1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K136" i="45" s="1"/>
  <c r="L126" i="45"/>
  <c r="F126" i="45"/>
  <c r="F136" i="45" s="1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0" i="20"/>
  <c r="M52" i="20"/>
  <c r="M53" i="20"/>
  <c r="M55" i="20"/>
  <c r="M56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 s="1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 s="1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 s="1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M42" i="44" s="1"/>
  <c r="E42" i="44"/>
  <c r="H42" i="44"/>
  <c r="I31" i="44"/>
  <c r="G31" i="44"/>
  <c r="F31" i="44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 s="1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K102" i="50" s="1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L5" i="50" s="1"/>
  <c r="J5" i="50"/>
  <c r="G21" i="50"/>
  <c r="K21" i="50" s="1"/>
  <c r="L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K53" i="50" s="1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E86" i="44" s="1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W86" i="44" s="1"/>
  <c r="G19" i="44"/>
  <c r="H11" i="44"/>
  <c r="Q74" i="44"/>
  <c r="J25" i="50"/>
  <c r="H25" i="50"/>
  <c r="G64" i="50"/>
  <c r="I64" i="50"/>
  <c r="I25" i="50"/>
  <c r="AB102" i="42"/>
  <c r="S70" i="44"/>
  <c r="V70" i="44" s="1"/>
  <c r="R63" i="44"/>
  <c r="Z6" i="42"/>
  <c r="Y6" i="42"/>
  <c r="X87" i="42"/>
  <c r="AB87" i="42"/>
  <c r="H64" i="50"/>
  <c r="Z106" i="42"/>
  <c r="X102" i="42"/>
  <c r="AA66" i="44"/>
  <c r="AE66" i="44" s="1"/>
  <c r="F18" i="44"/>
  <c r="H26" i="44"/>
  <c r="H43" i="42"/>
  <c r="L43" i="42"/>
  <c r="R79" i="44"/>
  <c r="G18" i="44"/>
  <c r="M18" i="44" s="1"/>
  <c r="S75" i="44"/>
  <c r="H18" i="44"/>
  <c r="E18" i="44"/>
  <c r="Y83" i="44"/>
  <c r="I79" i="42"/>
  <c r="Y43" i="42"/>
  <c r="G22" i="44"/>
  <c r="L22" i="44" s="1"/>
  <c r="I39" i="44"/>
  <c r="E11" i="44"/>
  <c r="F11" i="44"/>
  <c r="I38" i="44"/>
  <c r="R66" i="44"/>
  <c r="W66" i="44" s="1"/>
  <c r="S66" i="44"/>
  <c r="Z75" i="44"/>
  <c r="AB75" i="44"/>
  <c r="AE75" i="44" s="1"/>
  <c r="I14" i="44"/>
  <c r="H38" i="44"/>
  <c r="H30" i="44"/>
  <c r="S90" i="44"/>
  <c r="W90" i="44" s="1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L101" i="50" s="1"/>
  <c r="I101" i="50"/>
  <c r="F101" i="50"/>
  <c r="G101" i="50"/>
  <c r="F35" i="44"/>
  <c r="L35" i="44" s="1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W71" i="44" s="1"/>
  <c r="Q71" i="44"/>
  <c r="AA6" i="42"/>
  <c r="AA90" i="44"/>
  <c r="E23" i="44"/>
  <c r="F23" i="44"/>
  <c r="R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V90" i="44" s="1"/>
  <c r="AA102" i="42"/>
  <c r="AB63" i="44"/>
  <c r="AB105" i="42"/>
  <c r="I60" i="42"/>
  <c r="Z91" i="44"/>
  <c r="J23" i="42"/>
  <c r="Z102" i="42"/>
  <c r="AC102" i="42" s="1"/>
  <c r="X105" i="42"/>
  <c r="R62" i="44"/>
  <c r="AA63" i="44"/>
  <c r="AA96" i="42"/>
  <c r="K23" i="42"/>
  <c r="M6" i="44"/>
  <c r="W78" i="44"/>
  <c r="X96" i="42"/>
  <c r="H95" i="42"/>
  <c r="K95" i="42"/>
  <c r="F19" i="44"/>
  <c r="M19" i="44" s="1"/>
  <c r="H19" i="44"/>
  <c r="E19" i="44"/>
  <c r="S83" i="44"/>
  <c r="AB88" i="42"/>
  <c r="G30" i="44"/>
  <c r="M30" i="44" s="1"/>
  <c r="E30" i="44"/>
  <c r="I23" i="44"/>
  <c r="G23" i="44"/>
  <c r="Z23" i="42"/>
  <c r="AB23" i="42"/>
  <c r="AB95" i="42"/>
  <c r="AA95" i="42"/>
  <c r="Y95" i="42"/>
  <c r="AD95" i="42"/>
  <c r="AB70" i="44"/>
  <c r="AF70" i="44" s="1"/>
  <c r="AA70" i="44"/>
  <c r="AA82" i="44"/>
  <c r="AE82" i="44" s="1"/>
  <c r="AB82" i="44"/>
  <c r="G14" i="44"/>
  <c r="M14" i="44" s="1"/>
  <c r="E14" i="44"/>
  <c r="F14" i="44"/>
  <c r="L14" i="44" s="1"/>
  <c r="H14" i="44"/>
  <c r="AB96" i="42"/>
  <c r="Z96" i="42"/>
  <c r="AD96" i="42"/>
  <c r="AA87" i="42"/>
  <c r="Y87" i="42"/>
  <c r="AC87" i="42" s="1"/>
  <c r="S82" i="44"/>
  <c r="V82" i="44" s="1"/>
  <c r="P63" i="44"/>
  <c r="P75" i="44"/>
  <c r="P83" i="44"/>
  <c r="Y91" i="44"/>
  <c r="H39" i="44"/>
  <c r="G39" i="44"/>
  <c r="E39" i="44"/>
  <c r="S74" i="44"/>
  <c r="V74" i="44"/>
  <c r="AA74" i="44"/>
  <c r="AE74" i="44" s="1"/>
  <c r="R91" i="44"/>
  <c r="G106" i="42"/>
  <c r="S87" i="44"/>
  <c r="W87" i="44" s="1"/>
  <c r="W74" i="44"/>
  <c r="G105" i="42"/>
  <c r="AE62" i="44"/>
  <c r="L22" i="50"/>
  <c r="L69" i="50"/>
  <c r="L6" i="44"/>
  <c r="M10" i="44"/>
  <c r="L38" i="44"/>
  <c r="M38" i="44"/>
  <c r="L38" i="50"/>
  <c r="K38" i="50"/>
  <c r="L6" i="42"/>
  <c r="Z107" i="42"/>
  <c r="X60" i="42"/>
  <c r="Q67" i="44"/>
  <c r="J6" i="42"/>
  <c r="AA85" i="42"/>
  <c r="AC95" i="42"/>
  <c r="Y60" i="42"/>
  <c r="L54" i="50"/>
  <c r="AB107" i="42"/>
  <c r="K60" i="42"/>
  <c r="AB85" i="42"/>
  <c r="AB79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Y88" i="42"/>
  <c r="Z85" i="42"/>
  <c r="Z88" i="42"/>
  <c r="H6" i="42"/>
  <c r="AA78" i="44"/>
  <c r="AE78" i="44" s="1"/>
  <c r="H79" i="42"/>
  <c r="Z71" i="44"/>
  <c r="AB60" i="42"/>
  <c r="AB78" i="44"/>
  <c r="Z67" i="44"/>
  <c r="AF78" i="44"/>
  <c r="G117" i="42"/>
  <c r="W12" i="42"/>
  <c r="W14" i="42"/>
  <c r="G131" i="42"/>
  <c r="G135" i="42"/>
  <c r="G132" i="42"/>
  <c r="G15" i="42"/>
  <c r="W15" i="42"/>
  <c r="G124" i="42"/>
  <c r="G134" i="42"/>
  <c r="W11" i="42"/>
  <c r="V92" i="42"/>
  <c r="W87" i="42"/>
  <c r="AC84" i="42"/>
  <c r="G121" i="42"/>
  <c r="G16" i="42"/>
  <c r="G107" i="42"/>
  <c r="N100" i="42"/>
  <c r="G120" i="42"/>
  <c r="W13" i="42"/>
  <c r="G14" i="42"/>
  <c r="G12" i="42"/>
  <c r="G100" i="42"/>
  <c r="G123" i="42"/>
  <c r="W86" i="42"/>
  <c r="W85" i="42"/>
  <c r="V108" i="42"/>
  <c r="W107" i="42"/>
  <c r="W91" i="42"/>
  <c r="W89" i="42"/>
  <c r="W88" i="42"/>
  <c r="W90" i="42"/>
  <c r="W84" i="42"/>
  <c r="J27" i="44"/>
  <c r="W102" i="42"/>
  <c r="W100" i="42"/>
  <c r="W108" i="42"/>
  <c r="W105" i="42"/>
  <c r="W106" i="42"/>
  <c r="W92" i="42"/>
  <c r="G118" i="42" l="1"/>
  <c r="L31" i="44"/>
  <c r="W67" i="44"/>
  <c r="G103" i="42"/>
  <c r="M34" i="44"/>
  <c r="L34" i="44"/>
  <c r="M26" i="44"/>
  <c r="L26" i="44"/>
  <c r="L18" i="44"/>
  <c r="L30" i="44"/>
  <c r="M22" i="44"/>
  <c r="AF90" i="44"/>
  <c r="AE90" i="44"/>
  <c r="V66" i="44"/>
  <c r="AF74" i="44"/>
  <c r="L102" i="50"/>
  <c r="AF82" i="44"/>
  <c r="W82" i="44"/>
  <c r="K70" i="50"/>
  <c r="AF86" i="44"/>
  <c r="W70" i="44"/>
  <c r="V62" i="44"/>
  <c r="K5" i="50"/>
  <c r="K101" i="50"/>
  <c r="AE70" i="44"/>
  <c r="L53" i="50"/>
  <c r="V86" i="44"/>
  <c r="G133" i="42"/>
  <c r="W70" i="42"/>
  <c r="G72" i="42"/>
  <c r="G84" i="42"/>
  <c r="W51" i="42"/>
  <c r="G49" i="42"/>
  <c r="G17" i="42"/>
  <c r="AC105" i="42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G125" i="42" l="1"/>
  <c r="G13" i="20"/>
  <c r="Q31" i="20" s="1"/>
  <c r="Z37" i="20" s="1"/>
  <c r="G139" i="42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AF13" i="42"/>
  <c r="AD37" i="20"/>
  <c r="M12" i="20" l="1"/>
  <c r="M13" i="20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<sst xmlns="http://schemas.openxmlformats.org/spreadsheetml/2006/main" count="7938" uniqueCount="270">
  <si>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</si>
  <si>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</si>
  <si>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</si>
  <si>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</si>
  <si>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</si>
  <si>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</si>
  <si>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</si>
  <si>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</si>
  <si>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</si>
  <si>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</si>
  <si>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</si>
  <si>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</si>
  <si>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</si>
  <si>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</si>
  <si>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</si>
  <si>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</si>
  <si>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</si>
  <si>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</si>
  <si>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</si>
  <si>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</si>
  <si>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</si>
  <si>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</si>
  <si>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</si>
  <si>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</si>
  <si>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</si>
  <si>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</si>
  <si>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</si>
  <si>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</si>
  <si>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</si>
  <si>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</si>
  <si>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</si>
  <si>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</si>
  <si>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</si>
  <si>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</si>
  <si>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</si>
  <si>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</si>
  <si>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</si>
  <si>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</si>
  <si>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</si>
  <si>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</si>
  <si>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</si>
  <si>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</si>
  <si>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</si>
  <si>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</si>
  <si>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</si>
  <si>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</si>
  <si>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</si>
  <si>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</si>
  <si>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</si>
  <si>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</si>
  <si>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</si>
  <si>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</si>
  <si>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</si>
  <si>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</si>
  <si>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</si>
  <si>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</si>
  <si>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</si>
  <si>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</si>
  <si>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</si>
  <si>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</si>
  <si>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</si>
  <si>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</si>
  <si>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</si>
  <si>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</si>
  <si>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</si>
  <si>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</si>
  <si>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</si>
  <si>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</si>
  <si>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</si>
  <si>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</si>
  <si>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</si>
  <si>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</si>
  <si>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</si>
  <si>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</si>
  <si>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</si>
  <si>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</si>
  <si>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</si>
  <si>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</si>
  <si>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</si>
  <si>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</si>
  <si>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</si>
  <si>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</si>
  <si>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</si>
  <si>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</si>
  <si>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</si>
  <si>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</si>
  <si>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</si>
  <si>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</si>
  <si>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</si>
  <si>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</si>
  <si>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</si>
  <si>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</si>
  <si>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</si>
  <si>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</si>
  <si>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</si>
  <si>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</si>
  <si>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</si>
  <si>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</si>
  <si>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</si>
  <si>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</si>
  <si>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</si>
  <si>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</si>
  <si>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</si>
  <si>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</si>
  <si>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</si>
  <si>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</si>
  <si>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</si>
  <si>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</si>
  <si>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</si>
  <si>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</si>
  <si>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</si>
  <si>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</si>
  <si>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</si>
  <si>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</si>
  <si>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</si>
  <si>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</si>
  <si>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</si>
  <si>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</si>
  <si>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</si>
  <si>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</si>
  <si>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</si>
  <si>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</si>
  <si>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</si>
  <si>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</si>
  <si>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</si>
  <si>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</si>
  <si>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</si>
  <si>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</si>
  <si>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</si>
  <si>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</si>
  <si>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</si>
  <si>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</si>
  <si>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</si>
  <si>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</si>
  <si>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</si>
  <si>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</si>
  <si>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</si>
  <si>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</si>
  <si>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</si>
  <si>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</si>
  <si>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</si>
  <si>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</si>
  <si>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</si>
  <si>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</si>
  <si>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</si>
  <si>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</si>
  <si>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</si>
  <si>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</si>
  <si>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</si>
  <si>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</si>
  <si>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</si>
  <si>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</si>
  <si>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</si>
  <si>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</si>
  <si>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</si>
  <si>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</si>
  <si>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</si>
  <si>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</si>
  <si>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</si>
  <si>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</si>
  <si>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</si>
  <si>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</si>
  <si>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</si>
  <si>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</si>
  <si>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</si>
  <si>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</si>
  <si>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</si>
  <si>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</si>
  <si>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</si>
  <si>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</si>
  <si>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</si>
  <si>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</si>
  <si>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</si>
  <si>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</si>
  <si>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</si>
  <si>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</si>
  <si>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</si>
  <si>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</si>
  <si>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</si>
  <si>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</si>
  <si>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</si>
  <si>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</si>
  <si>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</si>
  <si>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</si>
  <si>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</si>
  <si>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</si>
  <si>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</si>
  <si>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</si>
  <si>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</si>
  <si>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</si>
  <si>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</si>
  <si>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</si>
  <si>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</si>
  <si>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</si>
  <si>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</si>
  <si>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</si>
  <si>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</si>
  <si>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</si>
  <si>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</si>
  <si>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</si>
  <si>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</si>
  <si>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</si>
  <si>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</si>
  <si>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</si>
  <si>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</si>
  <si>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</si>
  <si>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</si>
  <si>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</si>
  <si>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</si>
  <si>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</si>
  <si>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</si>
  <si>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</si>
  <si>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</si>
  <si>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</si>
  <si>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</si>
  <si>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</si>
  <si>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</si>
  <si>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</si>
  <si>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</si>
  <si>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</si>
  <si>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</si>
  <si>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</si>
  <si>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</si>
  <si>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</si>
  <si>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</si>
  <si>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</si>
  <si>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</si>
  <si>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BSL-1</t>
  </si>
  <si>
    <t>BSL-2</t>
  </si>
  <si>
    <t>BSL-3</t>
  </si>
  <si>
    <t>BSL-4</t>
  </si>
  <si>
    <t>BSL-5</t>
  </si>
  <si>
    <t>BSL-6</t>
  </si>
  <si>
    <t>BSL-7</t>
  </si>
  <si>
    <t>BSL-8</t>
  </si>
  <si>
    <t>BSL-9</t>
  </si>
  <si>
    <t>BSL-10</t>
  </si>
  <si>
    <t>BSL-11</t>
  </si>
  <si>
    <t>BSL-12</t>
  </si>
  <si>
    <t>BSL-13</t>
  </si>
  <si>
    <t>05-31-2022</t>
  </si>
  <si>
    <t>BNBY-01</t>
  </si>
  <si>
    <t>BSL-14</t>
  </si>
  <si>
    <t>BSL-15</t>
  </si>
  <si>
    <t>BSL-16</t>
  </si>
  <si>
    <t>BSL-17</t>
  </si>
  <si>
    <t>BSL-18</t>
  </si>
  <si>
    <t>BSL-19</t>
  </si>
  <si>
    <t>BSL-20</t>
  </si>
  <si>
    <t>BSL-21</t>
  </si>
  <si>
    <t>BSL-22</t>
  </si>
  <si>
    <t>BSL-23</t>
  </si>
  <si>
    <t>BSL-24</t>
  </si>
  <si>
    <t>BSL-25</t>
  </si>
  <si>
    <t>BSL-26</t>
  </si>
  <si>
    <t>BSL-27</t>
  </si>
  <si>
    <t>BSL-28</t>
  </si>
  <si>
    <t>BSL-30</t>
  </si>
  <si>
    <t>BSL-31</t>
  </si>
  <si>
    <t>BSL-32</t>
  </si>
  <si>
    <t>BSL-33</t>
  </si>
  <si>
    <t>BSL-34</t>
  </si>
  <si>
    <t>BSL-35</t>
  </si>
  <si>
    <t>BSL-36</t>
  </si>
  <si>
    <t>BSL-37</t>
  </si>
  <si>
    <t>BSL-38</t>
  </si>
  <si>
    <t>BSL-39</t>
  </si>
  <si>
    <t>BSL-40</t>
  </si>
  <si>
    <t>BSL-41</t>
  </si>
  <si>
    <t>23-052022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</si>
</sst>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14009]yyyy/mm/dd;@"/>
    <numFmt numFmtId="165" formatCode="_(* #,##0.00_);_(* \(#,##0.00\);_(* &quot;-&quot;??_);_(@_)"/>
    <numFmt numFmtId="166" formatCode="0.0"/>
    <numFmt numFmtId="167" formatCode="[$-F800]dddd\,\ mmmm\ dd\,\ yyyy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5330">
    <xf numFmtId="0" fontId="0" fillId="0" borderId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9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8" fillId="0" borderId="0"/>
    <xf numFmtId="165" fontId="8" fillId="0" borderId="0" applyFont="0" applyFill="0" applyBorder="0" applyAlignment="0" applyProtection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165" fontId="1" fillId="0" borderId="0" applyFont="0" applyFill="0" applyBorder="0" applyAlignment="0" applyProtection="0"/>
  </cellStyleXfs>
  <cellXfs count="37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5" fillId="0" borderId="0" xfId="0" applyFont="1"/>
    <xf numFmtId="14" fontId="0" fillId="0" borderId="1" xfId="0" applyNumberFormat="1" applyBorder="1" applyAlignment="1">
      <alignment horizontal="center"/>
    </xf>
    <xf numFmtId="0" fontId="15" fillId="0" borderId="0" xfId="0" applyFont="1" applyFill="1" applyBorder="1"/>
    <xf numFmtId="14" fontId="17" fillId="0" borderId="1" xfId="15320" applyNumberFormat="1" applyFont="1" applyBorder="1" applyAlignment="1">
      <alignment horizontal="center"/>
    </xf>
    <xf numFmtId="0" fontId="17" fillId="0" borderId="1" xfId="15320" applyFont="1" applyBorder="1" applyAlignment="1">
      <alignment horizontal="center"/>
    </xf>
    <xf numFmtId="166" fontId="17" fillId="0" borderId="1" xfId="15320" applyNumberFormat="1" applyFont="1" applyBorder="1" applyAlignment="1">
      <alignment horizontal="center"/>
    </xf>
    <xf numFmtId="166" fontId="17" fillId="0" borderId="2" xfId="15320" applyNumberFormat="1" applyFont="1" applyBorder="1" applyAlignment="1">
      <alignment horizontal="center"/>
    </xf>
    <xf numFmtId="166" fontId="18" fillId="0" borderId="2" xfId="15320" applyNumberFormat="1" applyFont="1" applyBorder="1" applyAlignment="1">
      <alignment horizontal="center"/>
    </xf>
    <xf numFmtId="166" fontId="20" fillId="0" borderId="1" xfId="15320" applyNumberFormat="1" applyFont="1" applyBorder="1" applyAlignment="1">
      <alignment horizontal="center"/>
    </xf>
    <xf numFmtId="166" fontId="21" fillId="0" borderId="1" xfId="15320" applyNumberFormat="1" applyFont="1" applyBorder="1" applyAlignment="1">
      <alignment horizontal="center"/>
    </xf>
    <xf numFmtId="166" fontId="20" fillId="0" borderId="4" xfId="15320" applyNumberFormat="1" applyFont="1" applyBorder="1" applyAlignment="1">
      <alignment horizontal="center"/>
    </xf>
    <xf numFmtId="166" fontId="17" fillId="0" borderId="1" xfId="15320" applyNumberFormat="1" applyFont="1" applyBorder="1" applyAlignment="1">
      <alignment horizontal="center"/>
    </xf>
    <xf numFmtId="166" fontId="17" fillId="0" borderId="2" xfId="15320" applyNumberFormat="1" applyFont="1" applyBorder="1" applyAlignment="1">
      <alignment horizontal="center"/>
    </xf>
    <xf numFmtId="166" fontId="20" fillId="0" borderId="1" xfId="15320" applyNumberFormat="1" applyFont="1" applyBorder="1" applyAlignment="1">
      <alignment horizontal="center"/>
    </xf>
    <xf numFmtId="166" fontId="20" fillId="0" borderId="4" xfId="15320" applyNumberFormat="1" applyFont="1" applyBorder="1" applyAlignment="1">
      <alignment horizontal="center"/>
    </xf>
    <xf numFmtId="166" fontId="17" fillId="0" borderId="1" xfId="15320" applyNumberFormat="1" applyFont="1" applyBorder="1" applyAlignment="1">
      <alignment horizontal="center"/>
    </xf>
    <xf numFmtId="166" fontId="17" fillId="0" borderId="2" xfId="15320" applyNumberFormat="1" applyFont="1" applyBorder="1" applyAlignment="1">
      <alignment horizontal="center"/>
    </xf>
    <xf numFmtId="166" fontId="19" fillId="0" borderId="1" xfId="15320" applyNumberFormat="1" applyFont="1" applyBorder="1" applyAlignment="1">
      <alignment horizontal="center"/>
    </xf>
    <xf numFmtId="166" fontId="19" fillId="0" borderId="2" xfId="15320" applyNumberFormat="1" applyFont="1" applyBorder="1" applyAlignment="1">
      <alignment horizontal="center"/>
    </xf>
    <xf numFmtId="166" fontId="20" fillId="0" borderId="1" xfId="15320" applyNumberFormat="1" applyFont="1" applyBorder="1" applyAlignment="1">
      <alignment horizontal="center"/>
    </xf>
    <xf numFmtId="166" fontId="20" fillId="0" borderId="4" xfId="15320" applyNumberFormat="1" applyFont="1" applyBorder="1" applyAlignment="1">
      <alignment horizontal="center"/>
    </xf>
    <xf numFmtId="0" fontId="17" fillId="0" borderId="1" xfId="15320" applyFont="1" applyBorder="1" applyAlignment="1">
      <alignment horizontal="center"/>
    </xf>
    <xf numFmtId="166" fontId="17" fillId="0" borderId="1" xfId="15320" applyNumberFormat="1" applyFont="1" applyBorder="1" applyAlignment="1">
      <alignment horizontal="center"/>
    </xf>
    <xf numFmtId="0" fontId="17" fillId="0" borderId="2" xfId="15320" applyFont="1" applyBorder="1" applyAlignment="1">
      <alignment horizontal="center"/>
    </xf>
    <xf numFmtId="166" fontId="17" fillId="0" borderId="2" xfId="15320" applyNumberFormat="1" applyFont="1" applyBorder="1" applyAlignment="1">
      <alignment horizontal="center"/>
    </xf>
    <xf numFmtId="166" fontId="18" fillId="0" borderId="2" xfId="15320" applyNumberFormat="1" applyFont="1" applyBorder="1" applyAlignment="1">
      <alignment horizontal="center"/>
    </xf>
    <xf numFmtId="0" fontId="18" fillId="0" borderId="1" xfId="15320" applyFont="1" applyBorder="1" applyAlignment="1">
      <alignment horizontal="center"/>
    </xf>
    <xf numFmtId="166" fontId="18" fillId="0" borderId="1" xfId="15320" applyNumberFormat="1" applyFont="1" applyBorder="1" applyAlignment="1">
      <alignment horizontal="center"/>
    </xf>
    <xf numFmtId="0" fontId="18" fillId="0" borderId="2" xfId="15320" applyFont="1" applyBorder="1" applyAlignment="1">
      <alignment horizontal="center"/>
    </xf>
    <xf numFmtId="0" fontId="19" fillId="0" borderId="1" xfId="15320" applyFont="1" applyBorder="1" applyAlignment="1">
      <alignment horizontal="center"/>
    </xf>
    <xf numFmtId="14" fontId="17" fillId="0" borderId="2" xfId="15320" applyNumberFormat="1" applyFont="1" applyBorder="1" applyAlignment="1">
      <alignment horizontal="center"/>
    </xf>
    <xf numFmtId="14" fontId="17" fillId="0" borderId="3" xfId="15320" applyNumberFormat="1" applyFont="1" applyBorder="1" applyAlignment="1">
      <alignment horizontal="center"/>
    </xf>
    <xf numFmtId="0" fontId="22" fillId="0" borderId="0" xfId="0" applyFont="1"/>
    <xf numFmtId="0" fontId="22" fillId="0" borderId="1" xfId="0" applyFont="1" applyBorder="1"/>
    <xf numFmtId="2" fontId="25" fillId="0" borderId="1" xfId="0" applyNumberFormat="1" applyFont="1" applyBorder="1"/>
    <xf numFmtId="0" fontId="25" fillId="0" borderId="1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0" fillId="0" borderId="0" xfId="0"/>
    <xf numFmtId="2" fontId="22" fillId="0" borderId="0" xfId="0" applyNumberFormat="1" applyFo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4" fontId="17" fillId="0" borderId="1" xfId="15323" applyNumberFormat="1" applyFont="1" applyBorder="1" applyAlignment="1">
      <alignment horizontal="center" vertical="top" wrapText="1"/>
    </xf>
    <xf numFmtId="0" fontId="18" fillId="0" borderId="2" xfId="15323" applyFont="1" applyBorder="1" applyAlignment="1">
      <alignment horizontal="center" vertical="top" wrapText="1"/>
    </xf>
    <xf numFmtId="0" fontId="5" fillId="0" borderId="1" xfId="15323" applyFont="1" applyBorder="1" applyAlignment="1">
      <alignment horizontal="center" vertical="top"/>
    </xf>
    <xf numFmtId="0" fontId="27" fillId="0" borderId="1" xfId="15323" applyFont="1" applyBorder="1" applyAlignment="1">
      <alignment horizontal="center" vertical="top"/>
    </xf>
    <xf numFmtId="0" fontId="19" fillId="0" borderId="1" xfId="15323" applyFont="1" applyBorder="1" applyAlignment="1">
      <alignment horizontal="center" vertical="top" wrapText="1"/>
    </xf>
    <xf numFmtId="166" fontId="19" fillId="0" borderId="2" xfId="15323" applyNumberFormat="1" applyFont="1" applyBorder="1" applyAlignment="1">
      <alignment horizontal="center"/>
    </xf>
    <xf numFmtId="0" fontId="17" fillId="0" borderId="1" xfId="15323" applyFont="1" applyFill="1" applyBorder="1" applyAlignment="1">
      <alignment horizontal="center"/>
    </xf>
    <xf numFmtId="166" fontId="21" fillId="0" borderId="1" xfId="15323" applyNumberFormat="1" applyFont="1" applyBorder="1" applyAlignment="1">
      <alignment horizontal="center"/>
    </xf>
    <xf numFmtId="0" fontId="21" fillId="0" borderId="1" xfId="15323" applyFont="1" applyBorder="1" applyAlignment="1">
      <alignment horizontal="center" vertical="top" wrapText="1"/>
    </xf>
    <xf numFmtId="0" fontId="20" fillId="0" borderId="1" xfId="15323" applyFont="1" applyBorder="1" applyAlignment="1">
      <alignment horizontal="center" vertical="top" wrapText="1"/>
    </xf>
    <xf numFmtId="166" fontId="20" fillId="0" borderId="1" xfId="15323" applyNumberFormat="1" applyFont="1" applyBorder="1" applyAlignment="1">
      <alignment horizontal="center"/>
    </xf>
    <xf numFmtId="0" fontId="17" fillId="0" borderId="1" xfId="15323" applyFont="1" applyBorder="1" applyAlignment="1">
      <alignment horizontal="center"/>
    </xf>
    <xf numFmtId="166" fontId="17" fillId="0" borderId="1" xfId="15323" applyNumberFormat="1" applyFont="1" applyBorder="1" applyAlignment="1">
      <alignment horizontal="center"/>
    </xf>
    <xf numFmtId="0" fontId="17" fillId="0" borderId="2" xfId="15323" applyFont="1" applyBorder="1" applyAlignment="1">
      <alignment horizontal="center"/>
    </xf>
    <xf numFmtId="166" fontId="17" fillId="0" borderId="2" xfId="15323" applyNumberFormat="1" applyFont="1" applyBorder="1" applyAlignment="1">
      <alignment horizontal="center"/>
    </xf>
    <xf numFmtId="0" fontId="17" fillId="0" borderId="1" xfId="15323" applyFont="1" applyBorder="1" applyAlignment="1">
      <alignment horizontal="center" vertical="top"/>
    </xf>
    <xf numFmtId="0" fontId="17" fillId="0" borderId="1" xfId="15323" applyFont="1" applyBorder="1" applyAlignment="1">
      <alignment horizontal="center" vertical="top" wrapText="1"/>
    </xf>
    <xf numFmtId="0" fontId="17" fillId="0" borderId="3" xfId="15323" applyFont="1" applyBorder="1" applyAlignment="1">
      <alignment horizontal="center"/>
    </xf>
    <xf numFmtId="0" fontId="17" fillId="0" borderId="7" xfId="15323" applyFont="1" applyBorder="1" applyAlignment="1">
      <alignment horizontal="center"/>
    </xf>
    <xf numFmtId="166" fontId="17" fillId="0" borderId="7" xfId="15323" applyNumberFormat="1" applyFont="1" applyBorder="1" applyAlignment="1">
      <alignment horizontal="center"/>
    </xf>
    <xf numFmtId="166" fontId="17" fillId="0" borderId="3" xfId="15323" applyNumberFormat="1" applyFont="1" applyBorder="1" applyAlignment="1">
      <alignment horizontal="center"/>
    </xf>
    <xf numFmtId="0" fontId="18" fillId="0" borderId="1" xfId="15323" applyFont="1" applyBorder="1" applyAlignment="1">
      <alignment horizontal="center" vertical="top" wrapText="1"/>
    </xf>
    <xf numFmtId="0" fontId="17" fillId="0" borderId="2" xfId="15323" applyFont="1" applyBorder="1" applyAlignment="1">
      <alignment horizontal="center" vertical="top" wrapText="1"/>
    </xf>
    <xf numFmtId="0" fontId="17" fillId="0" borderId="4" xfId="15323" applyFont="1" applyBorder="1" applyAlignment="1">
      <alignment horizontal="center" vertical="top" wrapText="1"/>
    </xf>
    <xf numFmtId="0" fontId="18" fillId="0" borderId="4" xfId="15323" applyFont="1" applyBorder="1" applyAlignment="1">
      <alignment horizontal="center" vertical="top" wrapText="1"/>
    </xf>
    <xf numFmtId="166" fontId="18" fillId="0" borderId="1" xfId="15323" applyNumberFormat="1" applyFont="1" applyBorder="1" applyAlignment="1">
      <alignment horizontal="center"/>
    </xf>
    <xf numFmtId="0" fontId="19" fillId="0" borderId="4" xfId="15323" applyFont="1" applyBorder="1" applyAlignment="1">
      <alignment horizontal="center" vertical="top" wrapText="1"/>
    </xf>
    <xf numFmtId="166" fontId="17" fillId="0" borderId="6" xfId="15323" applyNumberFormat="1" applyFont="1" applyBorder="1" applyAlignment="1">
      <alignment horizontal="center"/>
    </xf>
    <xf numFmtId="166" fontId="18" fillId="0" borderId="3" xfId="15323" applyNumberFormat="1" applyFont="1" applyBorder="1" applyAlignment="1">
      <alignment horizontal="center"/>
    </xf>
    <xf numFmtId="166" fontId="18" fillId="0" borderId="7" xfId="15323" applyNumberFormat="1" applyFont="1" applyBorder="1" applyAlignment="1">
      <alignment horizontal="center"/>
    </xf>
    <xf numFmtId="0" fontId="20" fillId="0" borderId="1" xfId="15323" applyFont="1" applyBorder="1" applyAlignment="1">
      <alignment horizontal="center" vertical="top"/>
    </xf>
    <xf numFmtId="0" fontId="21" fillId="0" borderId="1" xfId="15323" applyFont="1" applyBorder="1" applyAlignment="1">
      <alignment horizontal="center" vertical="top"/>
    </xf>
    <xf numFmtId="0" fontId="20" fillId="0" borderId="2" xfId="15323" applyFont="1" applyBorder="1" applyAlignment="1">
      <alignment horizontal="center"/>
    </xf>
    <xf numFmtId="0" fontId="21" fillId="0" borderId="2" xfId="15323" applyFont="1" applyBorder="1" applyAlignment="1">
      <alignment horizontal="center"/>
    </xf>
    <xf numFmtId="0" fontId="18" fillId="0" borderId="1" xfId="15323" applyFont="1" applyBorder="1" applyAlignment="1">
      <alignment horizontal="center" vertical="top"/>
    </xf>
    <xf numFmtId="166" fontId="18" fillId="0" borderId="2" xfId="15323" applyNumberFormat="1" applyFont="1" applyBorder="1" applyAlignment="1">
      <alignment horizontal="center"/>
    </xf>
    <xf numFmtId="14" fontId="17" fillId="0" borderId="2" xfId="15323" applyNumberFormat="1" applyFont="1" applyBorder="1" applyAlignment="1">
      <alignment horizontal="center" vertical="top" wrapText="1"/>
    </xf>
    <xf numFmtId="14" fontId="17" fillId="0" borderId="2" xfId="15323" applyNumberFormat="1" applyFont="1" applyBorder="1" applyAlignment="1">
      <alignment horizontal="center"/>
    </xf>
    <xf numFmtId="14" fontId="17" fillId="0" borderId="1" xfId="15323" applyNumberFormat="1" applyFont="1" applyBorder="1" applyAlignment="1">
      <alignment horizontal="center"/>
    </xf>
    <xf numFmtId="14" fontId="20" fillId="0" borderId="1" xfId="15323" applyNumberFormat="1" applyFont="1" applyBorder="1" applyAlignment="1">
      <alignment horizontal="center" vertical="top"/>
    </xf>
    <xf numFmtId="14" fontId="17" fillId="0" borderId="4" xfId="15323" applyNumberFormat="1" applyFont="1" applyBorder="1" applyAlignment="1">
      <alignment horizontal="center"/>
    </xf>
    <xf numFmtId="14" fontId="17" fillId="0" borderId="1" xfId="15323" applyNumberFormat="1" applyFont="1" applyBorder="1" applyAlignment="1">
      <alignment horizontal="center" vertical="top"/>
    </xf>
    <xf numFmtId="14" fontId="17" fillId="0" borderId="7" xfId="15323" applyNumberFormat="1" applyFont="1" applyBorder="1" applyAlignment="1">
      <alignment horizontal="center" vertical="top" wrapText="1"/>
    </xf>
    <xf numFmtId="14" fontId="17" fillId="0" borderId="3" xfId="15323" applyNumberFormat="1" applyFont="1" applyBorder="1" applyAlignment="1">
      <alignment horizontal="center"/>
    </xf>
    <xf numFmtId="14" fontId="17" fillId="0" borderId="1" xfId="15323" applyNumberFormat="1" applyFont="1" applyBorder="1"/>
    <xf numFmtId="14" fontId="20" fillId="0" borderId="1" xfId="15323" applyNumberFormat="1" applyFont="1" applyBorder="1" applyAlignment="1">
      <alignment vertical="top" wrapText="1"/>
    </xf>
    <xf numFmtId="14" fontId="17" fillId="0" borderId="7" xfId="15323" applyNumberFormat="1" applyFont="1" applyBorder="1" applyAlignment="1">
      <alignment horizontal="center"/>
    </xf>
    <xf numFmtId="14" fontId="20" fillId="0" borderId="2" xfId="15323" applyNumberFormat="1" applyFont="1" applyBorder="1" applyAlignment="1">
      <alignment horizontal="center"/>
    </xf>
    <xf numFmtId="167" fontId="22" fillId="0" borderId="0" xfId="0" applyNumberFormat="1" applyFont="1"/>
    <xf numFmtId="0" fontId="0" fillId="0" borderId="0" xfId="0" applyBorder="1"/>
    <xf numFmtId="2" fontId="15" fillId="0" borderId="0" xfId="0" applyNumberFormat="1" applyFont="1" applyFill="1" applyBorder="1" applyAlignment="1">
      <alignment horizontal="center"/>
    </xf>
    <xf numFmtId="0" fontId="22" fillId="0" borderId="5" xfId="0" applyFont="1" applyBorder="1"/>
    <xf numFmtId="0" fontId="22" fillId="0" borderId="2" xfId="0" applyFont="1" applyBorder="1"/>
    <xf numFmtId="0" fontId="22" fillId="0" borderId="2" xfId="0" applyFont="1" applyBorder="1" applyAlignment="1">
      <alignment horizontal="left"/>
    </xf>
    <xf numFmtId="0" fontId="22" fillId="0" borderId="3" xfId="0" applyFont="1" applyBorder="1"/>
    <xf numFmtId="0" fontId="22" fillId="0" borderId="10" xfId="0" applyFont="1" applyBorder="1"/>
    <xf numFmtId="0" fontId="25" fillId="0" borderId="11" xfId="0" applyFont="1" applyBorder="1" applyAlignment="1">
      <alignment horizontal="left"/>
    </xf>
    <xf numFmtId="0" fontId="25" fillId="0" borderId="11" xfId="0" applyFont="1" applyBorder="1"/>
    <xf numFmtId="0" fontId="25" fillId="0" borderId="12" xfId="0" applyFont="1" applyBorder="1"/>
    <xf numFmtId="0" fontId="22" fillId="0" borderId="14" xfId="0" applyFont="1" applyBorder="1"/>
    <xf numFmtId="2" fontId="25" fillId="0" borderId="15" xfId="0" applyNumberFormat="1" applyFont="1" applyBorder="1"/>
    <xf numFmtId="0" fontId="22" fillId="0" borderId="17" xfId="0" applyFont="1" applyBorder="1"/>
    <xf numFmtId="17" fontId="25" fillId="0" borderId="18" xfId="0" applyNumberFormat="1" applyFont="1" applyBorder="1" applyAlignment="1">
      <alignment horizontal="left"/>
    </xf>
    <xf numFmtId="2" fontId="25" fillId="0" borderId="18" xfId="0" applyNumberFormat="1" applyFont="1" applyBorder="1"/>
    <xf numFmtId="2" fontId="25" fillId="0" borderId="19" xfId="0" applyNumberFormat="1" applyFont="1" applyBorder="1"/>
    <xf numFmtId="0" fontId="22" fillId="0" borderId="7" xfId="0" applyFont="1" applyBorder="1"/>
    <xf numFmtId="2" fontId="22" fillId="0" borderId="1" xfId="0" applyNumberFormat="1" applyFont="1" applyBorder="1"/>
    <xf numFmtId="2" fontId="22" fillId="0" borderId="11" xfId="0" applyNumberFormat="1" applyFont="1" applyBorder="1"/>
    <xf numFmtId="0" fontId="22" fillId="0" borderId="11" xfId="0" applyFont="1" applyBorder="1"/>
    <xf numFmtId="2" fontId="22" fillId="0" borderId="12" xfId="0" applyNumberFormat="1" applyFont="1" applyBorder="1"/>
    <xf numFmtId="2" fontId="22" fillId="0" borderId="15" xfId="0" applyNumberFormat="1" applyFont="1" applyBorder="1"/>
    <xf numFmtId="17" fontId="23" fillId="0" borderId="17" xfId="0" applyNumberFormat="1" applyFont="1" applyBorder="1" applyAlignment="1">
      <alignment horizontal="right"/>
    </xf>
    <xf numFmtId="2" fontId="22" fillId="0" borderId="18" xfId="0" applyNumberFormat="1" applyFont="1" applyBorder="1"/>
    <xf numFmtId="0" fontId="22" fillId="0" borderId="18" xfId="0" applyFont="1" applyBorder="1"/>
    <xf numFmtId="2" fontId="22" fillId="0" borderId="19" xfId="0" applyNumberFormat="1" applyFont="1" applyBorder="1"/>
    <xf numFmtId="0" fontId="30" fillId="0" borderId="10" xfId="0" applyFont="1" applyBorder="1"/>
    <xf numFmtId="2" fontId="30" fillId="0" borderId="11" xfId="0" applyNumberFormat="1" applyFont="1" applyBorder="1"/>
    <xf numFmtId="0" fontId="30" fillId="0" borderId="11" xfId="0" applyFont="1" applyBorder="1"/>
    <xf numFmtId="2" fontId="30" fillId="0" borderId="12" xfId="0" applyNumberFormat="1" applyFont="1" applyBorder="1"/>
    <xf numFmtId="0" fontId="30" fillId="0" borderId="0" xfId="0" applyFont="1"/>
    <xf numFmtId="0" fontId="30" fillId="0" borderId="14" xfId="0" applyFont="1" applyBorder="1"/>
    <xf numFmtId="2" fontId="30" fillId="0" borderId="1" xfId="0" applyNumberFormat="1" applyFont="1" applyBorder="1"/>
    <xf numFmtId="0" fontId="30" fillId="0" borderId="1" xfId="0" applyFont="1" applyBorder="1"/>
    <xf numFmtId="2" fontId="30" fillId="0" borderId="15" xfId="0" applyNumberFormat="1" applyFont="1" applyBorder="1"/>
    <xf numFmtId="17" fontId="30" fillId="0" borderId="17" xfId="0" applyNumberFormat="1" applyFont="1" applyBorder="1" applyAlignment="1">
      <alignment horizontal="right"/>
    </xf>
    <xf numFmtId="2" fontId="30" fillId="0" borderId="18" xfId="0" applyNumberFormat="1" applyFont="1" applyBorder="1"/>
    <xf numFmtId="0" fontId="30" fillId="0" borderId="18" xfId="0" applyFont="1" applyBorder="1"/>
    <xf numFmtId="2" fontId="30" fillId="0" borderId="19" xfId="0" applyNumberFormat="1" applyFont="1" applyBorder="1"/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7" fillId="0" borderId="1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166" fontId="17" fillId="0" borderId="1" xfId="15328" applyNumberFormat="1" applyFont="1" applyBorder="1" applyAlignment="1">
      <alignment horizontal="center" vertical="top" wrapText="1"/>
    </xf>
    <xf numFmtId="166" fontId="17" fillId="0" borderId="7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17" fillId="0" borderId="2" xfId="15328" applyNumberFormat="1" applyFont="1" applyBorder="1" applyAlignment="1">
      <alignment horizontal="center" vertical="top" wrapText="1"/>
    </xf>
    <xf numFmtId="166" fontId="18" fillId="0" borderId="1" xfId="15328" applyNumberFormat="1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17" fillId="0" borderId="7" xfId="15328" applyFont="1" applyBorder="1" applyAlignment="1">
      <alignment horizontal="center" vertical="top" wrapText="1"/>
    </xf>
    <xf numFmtId="166" fontId="17" fillId="0" borderId="1" xfId="15328" applyNumberFormat="1" applyFont="1" applyBorder="1" applyAlignment="1">
      <alignment horizontal="center" vertical="top" wrapText="1"/>
    </xf>
    <xf numFmtId="166" fontId="17" fillId="0" borderId="7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17" fillId="0" borderId="2" xfId="15328" applyNumberFormat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18" fillId="0" borderId="1" xfId="15328" applyNumberFormat="1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166" fontId="21" fillId="0" borderId="1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166" fontId="17" fillId="0" borderId="1" xfId="15328" applyNumberFormat="1" applyFont="1" applyBorder="1" applyAlignment="1">
      <alignment horizontal="center" vertical="top" wrapText="1"/>
    </xf>
    <xf numFmtId="166" fontId="17" fillId="0" borderId="7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17" fillId="0" borderId="2" xfId="15328" applyNumberFormat="1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17" fillId="0" borderId="7" xfId="15328" applyFont="1" applyBorder="1" applyAlignment="1">
      <alignment horizontal="center" vertical="top" wrapText="1"/>
    </xf>
    <xf numFmtId="166" fontId="17" fillId="0" borderId="1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17" fillId="0" borderId="2" xfId="15328" applyNumberFormat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18" fillId="0" borderId="1" xfId="15328" applyNumberFormat="1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166" fontId="21" fillId="0" borderId="1" xfId="15328" applyNumberFormat="1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17" fillId="0" borderId="7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0" fillId="0" borderId="25" xfId="15328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166" fontId="21" fillId="0" borderId="1" xfId="15328" applyNumberFormat="1" applyFont="1" applyBorder="1" applyAlignment="1">
      <alignment horizontal="center" vertical="top" wrapText="1"/>
    </xf>
    <xf numFmtId="166" fontId="20" fillId="0" borderId="3" xfId="15328" applyNumberFormat="1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9" fillId="0" borderId="2" xfId="15328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6" fontId="29" fillId="0" borderId="1" xfId="15328" applyNumberFormat="1" applyFont="1" applyBorder="1" applyAlignment="1">
      <alignment horizontal="center" vertical="top" wrapText="1"/>
    </xf>
    <xf numFmtId="166" fontId="21" fillId="0" borderId="2" xfId="15328" applyNumberFormat="1" applyFont="1" applyBorder="1" applyAlignment="1">
      <alignment horizontal="center" vertical="top" wrapText="1"/>
    </xf>
    <xf numFmtId="166" fontId="21" fillId="0" borderId="1" xfId="15328" applyNumberFormat="1" applyFont="1" applyBorder="1" applyAlignment="1">
      <alignment horizontal="center" vertical="top" wrapText="1"/>
    </xf>
    <xf numFmtId="166" fontId="29" fillId="0" borderId="3" xfId="15328" applyNumberFormat="1" applyFont="1" applyBorder="1" applyAlignment="1">
      <alignment horizontal="center" vertical="top" wrapText="1"/>
    </xf>
    <xf numFmtId="166" fontId="21" fillId="0" borderId="3" xfId="15328" applyNumberFormat="1" applyFont="1" applyBorder="1" applyAlignment="1">
      <alignment horizontal="center" vertical="top" wrapText="1"/>
    </xf>
    <xf numFmtId="0" fontId="28" fillId="0" borderId="1" xfId="15328" applyFont="1" applyBorder="1" applyAlignment="1">
      <alignment horizontal="center" vertical="top" wrapText="1"/>
    </xf>
    <xf numFmtId="166" fontId="29" fillId="0" borderId="2" xfId="15328" applyNumberFormat="1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0" fontId="20" fillId="0" borderId="3" xfId="15328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0" fillId="0" borderId="1" xfId="15328" applyFont="1" applyFill="1" applyBorder="1" applyAlignment="1">
      <alignment horizontal="center" vertical="top" wrapText="1"/>
    </xf>
    <xf numFmtId="0" fontId="20" fillId="0" borderId="3" xfId="15328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17" fillId="0" borderId="1" xfId="15328" quotePrefix="1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/>
    </xf>
    <xf numFmtId="166" fontId="21" fillId="0" borderId="1" xfId="15328" applyNumberFormat="1" applyFont="1" applyBorder="1" applyAlignment="1">
      <alignment horizontal="center"/>
    </xf>
    <xf numFmtId="0" fontId="20" fillId="0" borderId="2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/>
    </xf>
    <xf numFmtId="0" fontId="20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/>
    </xf>
    <xf numFmtId="166" fontId="20" fillId="0" borderId="2" xfId="15328" applyNumberFormat="1" applyFont="1" applyBorder="1" applyAlignment="1">
      <alignment horizontal="center"/>
    </xf>
    <xf numFmtId="166" fontId="21" fillId="0" borderId="1" xfId="15328" applyNumberFormat="1" applyFont="1" applyBorder="1" applyAlignment="1">
      <alignment horizontal="center"/>
    </xf>
    <xf numFmtId="166" fontId="21" fillId="0" borderId="2" xfId="15328" applyNumberFormat="1" applyFont="1" applyBorder="1" applyAlignment="1">
      <alignment horizontal="center"/>
    </xf>
    <xf numFmtId="0" fontId="20" fillId="0" borderId="2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/>
    </xf>
    <xf numFmtId="0" fontId="20" fillId="0" borderId="1" xfId="15328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/>
    </xf>
    <xf numFmtId="166" fontId="20" fillId="0" borderId="2" xfId="15328" applyNumberFormat="1" applyFont="1" applyBorder="1" applyAlignment="1">
      <alignment horizontal="center"/>
    </xf>
    <xf numFmtId="0" fontId="20" fillId="0" borderId="1" xfId="15328" applyFont="1" applyBorder="1" applyAlignment="1">
      <alignment horizontal="center" vertical="top"/>
    </xf>
    <xf numFmtId="0" fontId="20" fillId="0" borderId="2" xfId="15328" applyFont="1" applyBorder="1" applyAlignment="1">
      <alignment horizontal="center" vertical="top"/>
    </xf>
    <xf numFmtId="0" fontId="20" fillId="0" borderId="1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/>
    </xf>
    <xf numFmtId="0" fontId="20" fillId="0" borderId="2" xfId="15328" applyFont="1" applyBorder="1" applyAlignment="1">
      <alignment horizontal="center"/>
    </xf>
    <xf numFmtId="0" fontId="20" fillId="0" borderId="1" xfId="15328" applyFont="1" applyBorder="1" applyAlignment="1">
      <alignment horizontal="center" vertical="top"/>
    </xf>
    <xf numFmtId="0" fontId="20" fillId="0" borderId="2" xfId="15328" applyFont="1" applyBorder="1" applyAlignment="1">
      <alignment horizontal="center" vertical="top"/>
    </xf>
    <xf numFmtId="0" fontId="21" fillId="0" borderId="23" xfId="15328" applyFont="1" applyBorder="1" applyAlignment="1">
      <alignment horizontal="center" vertical="top" wrapText="1"/>
    </xf>
    <xf numFmtId="0" fontId="20" fillId="0" borderId="23" xfId="15328" applyFont="1" applyBorder="1" applyAlignment="1">
      <alignment horizontal="center" vertical="top" wrapText="1"/>
    </xf>
    <xf numFmtId="0" fontId="21" fillId="0" borderId="23" xfId="15328" applyFont="1" applyBorder="1" applyAlignment="1">
      <alignment horizontal="center" vertical="top" wrapText="1"/>
    </xf>
    <xf numFmtId="0" fontId="20" fillId="0" borderId="23" xfId="15328" applyFont="1" applyBorder="1" applyAlignment="1">
      <alignment horizontal="center" vertical="top" wrapText="1"/>
    </xf>
    <xf numFmtId="0" fontId="20" fillId="0" borderId="25" xfId="15328" applyFont="1" applyFill="1" applyBorder="1" applyAlignment="1">
      <alignment horizontal="center" vertical="top" wrapText="1"/>
    </xf>
    <xf numFmtId="14" fontId="17" fillId="0" borderId="1" xfId="15328" applyNumberFormat="1" applyFont="1" applyBorder="1" applyAlignment="1">
      <alignment horizontal="center" vertical="top" wrapText="1"/>
    </xf>
    <xf numFmtId="0" fontId="17" fillId="0" borderId="1" xfId="15328" applyFont="1" applyBorder="1" applyAlignment="1">
      <alignment horizontal="center" vertical="top"/>
    </xf>
    <xf numFmtId="0" fontId="17" fillId="0" borderId="1" xfId="15328" applyFont="1" applyBorder="1" applyAlignment="1">
      <alignment horizontal="center" vertical="top" wrapText="1"/>
    </xf>
    <xf numFmtId="0" fontId="20" fillId="0" borderId="26" xfId="15328" applyFont="1" applyBorder="1" applyAlignment="1">
      <alignment horizontal="center" vertical="top" wrapText="1"/>
    </xf>
    <xf numFmtId="0" fontId="17" fillId="0" borderId="1" xfId="15328" quotePrefix="1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7" fillId="0" borderId="2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0" fillId="0" borderId="23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0" fontId="21" fillId="0" borderId="23" xfId="15328" applyFont="1" applyBorder="1" applyAlignment="1">
      <alignment horizontal="center" vertical="top" wrapText="1"/>
    </xf>
    <xf numFmtId="0" fontId="17" fillId="0" borderId="7" xfId="15328" applyFont="1" applyBorder="1" applyAlignment="1">
      <alignment horizontal="center" vertical="top" wrapText="1"/>
    </xf>
    <xf numFmtId="166" fontId="17" fillId="0" borderId="1" xfId="15328" applyNumberFormat="1" applyFont="1" applyBorder="1" applyAlignment="1">
      <alignment horizontal="center" vertical="top" wrapText="1"/>
    </xf>
    <xf numFmtId="166" fontId="17" fillId="0" borderId="7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166" fontId="17" fillId="0" borderId="2" xfId="15328" applyNumberFormat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6" fontId="18" fillId="0" borderId="1" xfId="15328" applyNumberFormat="1" applyFont="1" applyBorder="1" applyAlignment="1">
      <alignment horizontal="center" vertical="top" wrapText="1"/>
    </xf>
    <xf numFmtId="0" fontId="29" fillId="0" borderId="2" xfId="15328" applyFont="1" applyBorder="1" applyAlignment="1">
      <alignment horizontal="center" vertical="top" wrapText="1"/>
    </xf>
    <xf numFmtId="166" fontId="20" fillId="0" borderId="2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6" fontId="20" fillId="0" borderId="1" xfId="15328" applyNumberFormat="1" applyFont="1" applyBorder="1" applyAlignment="1">
      <alignment horizontal="center" vertical="top" wrapText="1"/>
    </xf>
    <xf numFmtId="166" fontId="29" fillId="0" borderId="1" xfId="15328" applyNumberFormat="1" applyFont="1" applyBorder="1" applyAlignment="1">
      <alignment horizontal="center" vertical="top" wrapText="1"/>
    </xf>
    <xf numFmtId="0" fontId="20" fillId="0" borderId="1" xfId="15328" applyFont="1" applyFill="1" applyBorder="1" applyAlignment="1">
      <alignment horizontal="center" vertical="top" wrapText="1"/>
    </xf>
    <xf numFmtId="166" fontId="21" fillId="0" borderId="2" xfId="15328" applyNumberFormat="1" applyFont="1" applyBorder="1" applyAlignment="1">
      <alignment horizontal="center" vertical="top" wrapText="1"/>
    </xf>
    <xf numFmtId="166" fontId="21" fillId="0" borderId="1" xfId="15328" applyNumberFormat="1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/>
    </xf>
    <xf numFmtId="166" fontId="20" fillId="0" borderId="1" xfId="15328" applyNumberFormat="1" applyFont="1" applyBorder="1" applyAlignment="1">
      <alignment horizontal="center"/>
    </xf>
    <xf numFmtId="0" fontId="20" fillId="0" borderId="3" xfId="15328" applyFont="1" applyBorder="1" applyAlignment="1">
      <alignment horizontal="center" vertical="top" wrapText="1"/>
    </xf>
    <xf numFmtId="166" fontId="29" fillId="0" borderId="3" xfId="15328" applyNumberFormat="1" applyFont="1" applyBorder="1" applyAlignment="1">
      <alignment horizontal="center" vertical="top" wrapText="1"/>
    </xf>
    <xf numFmtId="166" fontId="20" fillId="0" borderId="3" xfId="15328" applyNumberFormat="1" applyFont="1" applyBorder="1" applyAlignment="1">
      <alignment horizontal="center" vertical="top" wrapText="1"/>
    </xf>
    <xf numFmtId="166" fontId="21" fillId="0" borderId="3" xfId="15328" applyNumberFormat="1" applyFont="1" applyBorder="1" applyAlignment="1">
      <alignment horizontal="center" vertical="top" wrapText="1"/>
    </xf>
    <xf numFmtId="0" fontId="28" fillId="0" borderId="1" xfId="15328" applyFont="1" applyBorder="1" applyAlignment="1">
      <alignment horizontal="center" vertical="top" wrapText="1"/>
    </xf>
    <xf numFmtId="166" fontId="29" fillId="0" borderId="2" xfId="15328" applyNumberFormat="1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/>
    </xf>
    <xf numFmtId="166" fontId="20" fillId="0" borderId="2" xfId="15328" applyNumberFormat="1" applyFont="1" applyBorder="1" applyAlignment="1">
      <alignment horizontal="center"/>
    </xf>
    <xf numFmtId="0" fontId="20" fillId="0" borderId="1" xfId="15328" applyFont="1" applyBorder="1" applyAlignment="1">
      <alignment horizontal="center" vertical="top"/>
    </xf>
    <xf numFmtId="166" fontId="21" fillId="0" borderId="1" xfId="15328" applyNumberFormat="1" applyFont="1" applyBorder="1" applyAlignment="1">
      <alignment horizontal="center"/>
    </xf>
    <xf numFmtId="166" fontId="21" fillId="0" borderId="2" xfId="15328" applyNumberFormat="1" applyFont="1" applyBorder="1" applyAlignment="1">
      <alignment horizontal="center"/>
    </xf>
    <xf numFmtId="0" fontId="21" fillId="0" borderId="2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/>
    </xf>
    <xf numFmtId="0" fontId="20" fillId="0" borderId="25" xfId="15328" applyFont="1" applyBorder="1" applyAlignment="1">
      <alignment horizontal="center" vertical="top" wrapText="1"/>
    </xf>
    <xf numFmtId="0" fontId="20" fillId="0" borderId="24" xfId="15328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14" fontId="17" fillId="0" borderId="2" xfId="15328" applyNumberFormat="1" applyFont="1" applyBorder="1" applyAlignment="1">
      <alignment horizontal="center" vertical="top" wrapText="1"/>
    </xf>
    <xf numFmtId="14" fontId="17" fillId="0" borderId="8" xfId="15328" applyNumberFormat="1" applyFont="1" applyBorder="1" applyAlignment="1">
      <alignment horizontal="center" vertical="top" wrapText="1"/>
    </xf>
    <xf numFmtId="14" fontId="17" fillId="0" borderId="1" xfId="15328" applyNumberFormat="1" applyFont="1" applyBorder="1" applyAlignment="1">
      <alignment horizontal="center"/>
    </xf>
    <xf numFmtId="14" fontId="1" fillId="0" borderId="1" xfId="15328" applyNumberFormat="1" applyBorder="1" applyAlignment="1">
      <alignment horizontal="center"/>
    </xf>
    <xf numFmtId="14" fontId="1" fillId="0" borderId="2" xfId="15328" applyNumberFormat="1" applyBorder="1" applyAlignment="1">
      <alignment horizontal="center"/>
    </xf>
    <xf numFmtId="14" fontId="17" fillId="0" borderId="1" xfId="15328" applyNumberFormat="1" applyFont="1" applyBorder="1" applyAlignment="1">
      <alignment horizontal="center" vertical="top"/>
    </xf>
    <xf numFmtId="14" fontId="17" fillId="0" borderId="2" xfId="15328" applyNumberFormat="1" applyFont="1" applyBorder="1" applyAlignment="1">
      <alignment horizontal="center" vertical="top"/>
    </xf>
    <xf numFmtId="14" fontId="20" fillId="0" borderId="25" xfId="15328" applyNumberFormat="1" applyFont="1" applyBorder="1" applyAlignment="1">
      <alignment horizontal="center" vertical="top"/>
    </xf>
    <xf numFmtId="14" fontId="17" fillId="0" borderId="24" xfId="15328" applyNumberFormat="1" applyFont="1" applyBorder="1" applyAlignment="1">
      <alignment horizontal="center" vertical="top"/>
    </xf>
    <xf numFmtId="14" fontId="20" fillId="0" borderId="2" xfId="15328" applyNumberFormat="1" applyFont="1" applyBorder="1" applyAlignment="1">
      <alignment horizontal="center" vertical="top" wrapText="1"/>
    </xf>
    <xf numFmtId="14" fontId="20" fillId="0" borderId="1" xfId="15328" applyNumberFormat="1" applyFont="1" applyBorder="1" applyAlignment="1">
      <alignment horizontal="center" vertical="top" wrapText="1"/>
    </xf>
    <xf numFmtId="14" fontId="20" fillId="0" borderId="3" xfId="15328" applyNumberFormat="1" applyFont="1" applyBorder="1" applyAlignment="1">
      <alignment horizontal="center" vertical="top" wrapText="1"/>
    </xf>
    <xf numFmtId="14" fontId="20" fillId="0" borderId="1" xfId="15328" applyNumberFormat="1" applyFont="1" applyBorder="1" applyAlignment="1">
      <alignment horizontal="center" vertical="top"/>
    </xf>
    <xf numFmtId="14" fontId="17" fillId="0" borderId="26" xfId="15328" applyNumberFormat="1" applyFont="1" applyBorder="1" applyAlignment="1">
      <alignment horizontal="center" vertical="top" wrapText="1"/>
    </xf>
    <xf numFmtId="14" fontId="17" fillId="0" borderId="5" xfId="15328" applyNumberFormat="1" applyFont="1" applyBorder="1" applyAlignment="1">
      <alignment horizontal="center" vertical="top" wrapText="1"/>
    </xf>
    <xf numFmtId="14" fontId="20" fillId="0" borderId="1" xfId="15328" applyNumberFormat="1" applyFont="1" applyBorder="1" applyAlignment="1">
      <alignment horizontal="center"/>
    </xf>
    <xf numFmtId="14" fontId="20" fillId="0" borderId="2" xfId="15328" applyNumberFormat="1" applyFont="1" applyBorder="1" applyAlignment="1">
      <alignment horizontal="center"/>
    </xf>
    <xf numFmtId="14" fontId="20" fillId="0" borderId="2" xfId="15328" applyNumberFormat="1" applyFont="1" applyBorder="1" applyAlignment="1">
      <alignment horizontal="center" vertical="top"/>
    </xf>
    <xf numFmtId="14" fontId="20" fillId="0" borderId="23" xfId="15328" applyNumberFormat="1" applyFont="1" applyBorder="1" applyAlignment="1">
      <alignment horizontal="center" vertical="top" wrapText="1"/>
    </xf>
    <xf numFmtId="0" fontId="0" fillId="0" borderId="0" xfId="0" applyFont="1" applyFill="1" applyBorder="1"/>
    <xf numFmtId="2" fontId="1" fillId="0" borderId="1" xfId="15328" applyNumberFormat="1" applyFill="1" applyBorder="1" applyAlignment="1">
      <alignment horizontal="center" vertical="center"/>
    </xf>
    <xf numFmtId="2" fontId="1" fillId="0" borderId="1" xfId="15328" applyNumberFormat="1" applyFont="1" applyFill="1" applyBorder="1" applyAlignment="1">
      <alignment horizontal="center" vertical="center"/>
    </xf>
    <xf numFmtId="0" fontId="1" fillId="0" borderId="1" xfId="15328" applyFont="1" applyBorder="1" applyAlignment="1">
      <alignment horizontal="center" vertical="center"/>
    </xf>
    <xf numFmtId="2" fontId="1" fillId="0" borderId="1" xfId="15328" applyNumberFormat="1" applyFill="1" applyBorder="1" applyAlignment="1">
      <alignment horizontal="center" vertical="center"/>
    </xf>
    <xf numFmtId="0" fontId="1" fillId="0" borderId="1" xfId="15328" applyFont="1" applyBorder="1" applyAlignment="1">
      <alignment horizontal="center" vertical="center"/>
    </xf>
    <xf numFmtId="14" fontId="1" fillId="0" borderId="1" xfId="15328" applyNumberFormat="1" applyBorder="1" applyAlignment="1">
      <alignment horizontal="center"/>
    </xf>
    <xf numFmtId="14" fontId="1" fillId="0" borderId="2" xfId="15328" applyNumberFormat="1" applyBorder="1" applyAlignment="1">
      <alignment horizontal="center"/>
    </xf>
    <xf numFmtId="2" fontId="1" fillId="0" borderId="1" xfId="15328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22" fillId="0" borderId="0" xfId="0" applyFont="1"/>
    <xf numFmtId="0" fontId="30" fillId="0" borderId="0" xfId="0" applyFont="1"/>
    <xf numFmtId="0" fontId="30" fillId="0" borderId="16" xfId="0" applyFont="1" applyBorder="1"/>
    <xf numFmtId="167" fontId="30" fillId="0" borderId="0" xfId="0" applyNumberFormat="1" applyFont="1"/>
    <xf numFmtId="17" fontId="23" fillId="0" borderId="21" xfId="0" applyNumberFormat="1" applyFont="1" applyBorder="1"/>
    <xf numFmtId="17" fontId="23" fillId="0" borderId="20" xfId="0" applyNumberFormat="1" applyFont="1" applyBorder="1"/>
    <xf numFmtId="17" fontId="23" fillId="0" borderId="9" xfId="0" applyNumberFormat="1" applyFont="1" applyBorder="1"/>
    <xf numFmtId="22" fontId="22" fillId="0" borderId="0" xfId="0" applyNumberFormat="1" applyFont="1"/>
    <xf numFmtId="0" fontId="26" fillId="0" borderId="1" xfId="0" applyFont="1" applyBorder="1"/>
    <xf numFmtId="0" fontId="24" fillId="0" borderId="6" xfId="0" applyFont="1" applyBorder="1" applyAlignment="1">
      <alignment horizontal="right"/>
    </xf>
    <xf numFmtId="0" fontId="24" fillId="0" borderId="0" xfId="0" applyFont="1" applyBorder="1" applyAlignment="1">
      <alignment horizontal="right"/>
    </xf>
    <xf numFmtId="0" fontId="24" fillId="0" borderId="8" xfId="0" applyFont="1" applyBorder="1" applyAlignment="1">
      <alignment horizontal="right"/>
    </xf>
    <xf numFmtId="0" fontId="24" fillId="0" borderId="13" xfId="0" applyFont="1" applyBorder="1" applyAlignment="1">
      <alignment horizontal="right"/>
    </xf>
    <xf numFmtId="0" fontId="24" fillId="0" borderId="22" xfId="0" applyFont="1" applyBorder="1" applyAlignment="1">
      <alignment horizontal="right"/>
    </xf>
    <xf numFmtId="0" fontId="24" fillId="0" borderId="4" xfId="0" applyFont="1" applyBorder="1" applyAlignment="1">
      <alignment horizontal="right"/>
    </xf>
  </cellXfs>
  <cellStyles count="15330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10" xfId="15322"/>
    <cellStyle name="Comma 11" xfId="15325"/>
    <cellStyle name="Comma 12" xfId="15329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07" xfId="15321"/>
    <cellStyle name="Normal 108" xfId="15323"/>
    <cellStyle name="Normal 109" xfId="15324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10" xfId="15326"/>
    <cellStyle name="Normal 111" xfId="15327"/>
    <cellStyle name="Normal 112" xfId="15328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9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2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4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01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02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119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24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187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08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20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1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224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6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58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0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5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08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17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47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2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05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4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26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38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79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topLeftCell="C1" workbookViewId="0">
      <selection activeCell="I13" sqref="I13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356" t="s">
        <v>58</v>
      </c>
      <c r="D3" s="356"/>
      <c r="E3" s="356"/>
      <c r="F3" s="356"/>
    </row>
    <row r="4" spans="2:6" x14ac:dyDescent="0.25">
      <c r="C4" s="356"/>
      <c r="D4" s="356"/>
      <c r="E4" s="356"/>
      <c r="F4" s="356"/>
    </row>
    <row r="6" spans="2:6" x14ac:dyDescent="0.25">
      <c r="B6" t="s">
        <v>51</v>
      </c>
      <c r="D6" s="1">
        <v>44566</v>
      </c>
      <c r="E6" t="s">
        <v>57</v>
      </c>
    </row>
    <row r="7" spans="2:6" x14ac:dyDescent="0.25">
      <c r="B7" t="s">
        <v>52</v>
      </c>
      <c r="D7" s="3" t="s">
        <v>240</v>
      </c>
      <c r="E7" t="s">
        <v>57</v>
      </c>
    </row>
  </sheetData>
  <mergeCells count="1">
    <mergeCell ref="C3:F4"/>
  </mergeCells>
  <phoneticPr fontId="1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topLeftCell="A7" zoomScale="110" zoomScaleNormal="110" workbookViewId="0">
      <selection activeCell="A30" sqref="A30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P1" t="str">
        <f>C3</f>
        <v>ALL</v>
      </c>
      <c r="Q1" t="str">
        <f>(P1&amp;P2)</f>
        <v>ALLL</v>
      </c>
      <c r="R1" t="str">
        <f>CONCATENATE(P3,P2)</f>
        <v>ALLL</v>
      </c>
    </row>
    <row r="2" spans="1:20" x14ac:dyDescent="0.25">
      <c r="P2" t="str">
        <f>C6</f>
        <v>L</v>
      </c>
    </row>
    <row r="3" spans="1:20" x14ac:dyDescent="0.25">
      <c r="B3" t="s">
        <v>45</v>
      </c>
      <c r="C3" t="s">
        <v>48</v>
      </c>
      <c r="P3" t="str">
        <f>C4</f>
        <v>ALL</v>
      </c>
    </row>
    <row r="4" spans="1:20" x14ac:dyDescent="0.25">
      <c r="B4" t="s">
        <v>46</v>
      </c>
      <c r="C4" t="s">
        <v>48</v>
      </c>
      <c r="I4" t="e">
        <f>STDEV(I5:I6)</f>
        <v>#DIV/0!</v>
      </c>
    </row>
    <row r="5" spans="1:20" x14ac:dyDescent="0.25">
      <c r="B5" t="s">
        <v>59</v>
      </c>
      <c r="C5" t="s">
        <v>26</v>
      </c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t="s">
        <v>0</v>
      </c>
      <c r="I6">
        <v>1</v>
      </c>
      <c r="L6">
        <f>STDEVA(I39:I63)</f>
        <v>0.2238302928559939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356"/>
      <c r="C7" s="356"/>
      <c r="Q7" t="s">
        <v>11</v>
      </c>
      <c r="R7" t="s">
        <v>60</v>
      </c>
      <c r="S7" t="s">
        <v>48</v>
      </c>
    </row>
    <row r="8" spans="1:20" x14ac:dyDescent="0.25">
      <c r="Q8" t="s">
        <v>9</v>
      </c>
      <c r="R8" t="s">
        <v>4</v>
      </c>
    </row>
    <row r="9" spans="1:20" x14ac:dyDescent="0.25">
      <c r="Q9" t="s">
        <v>31</v>
      </c>
      <c r="R9" t="s">
        <v>5</v>
      </c>
    </row>
    <row r="10" spans="1:20" ht="13" thickBot="1" x14ac:dyDescent="0.3">
      <c r="A10" t="str">
        <f>C3</f>
        <v>ALL</v>
      </c>
      <c r="B10" t="s">
        <v>49</v>
      </c>
      <c r="C10" t="str">
        <f>C4</f>
        <v>ALL</v>
      </c>
      <c r="E10" t="str">
        <f>C6</f>
        <v>L</v>
      </c>
      <c r="F10">
        <f>Quality!D6</f>
        <v>44566</v>
      </c>
      <c r="H10" t="s">
        <v>54</v>
      </c>
      <c r="I10" t="str">
        <f>Quality!D7</f>
        <v>05-31-2022</v>
      </c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 t="e">
        <f>+VLOOKUP($R$1,Norm!$I$6:$N$21,2,FALSE)</f>
        <v>#N/A</v>
      </c>
      <c r="H12" t="e">
        <f>+VLOOKUP($R$1,Norm!$I$6:$N$21,3,FALSE)</f>
        <v>#N/A</v>
      </c>
      <c r="I12" t="e">
        <f>+VLOOKUP($R$1,Norm!$I$6:$N$21,4,FALSE)</f>
        <v>#N/A</v>
      </c>
      <c r="J12" t="e">
        <f>+VLOOKUP($R$1,Norm!$I$6:$N$21,5,FALSE)</f>
        <v>#N/A</v>
      </c>
      <c r="K12" t="e">
        <f>+VLOOKUP($R$1,Norm!$I$6:$N$21,6,FALSE)</f>
        <v>#N/A</v>
      </c>
      <c r="L12" t="e">
        <f>+I12+H12</f>
        <v>#N/A</v>
      </c>
      <c r="M12" t="e">
        <f>+I12/H12</f>
        <v>#N/A</v>
      </c>
      <c r="Q12" t="s">
        <v>28</v>
      </c>
      <c r="R12" t="s">
        <v>62</v>
      </c>
    </row>
    <row r="13" spans="1:20" x14ac:dyDescent="0.25">
      <c r="A13" t="s">
        <v>65</v>
      </c>
      <c r="G13" t="e">
        <f>IF($P$1="ALL",VLOOKUP($R$1,Norm!$I$6:$N$25,2,FALSE ),VLOOKUP($Q$1,Norm!$A$6:$F$25,2,FALSE ))</f>
        <v>#N/A</v>
      </c>
      <c r="H13" t="e">
        <f>IF($P$1="ALL",VLOOKUP($R$1,Norm!$I$6:$N$25,3,FALSE ),VLOOKUP($Q$1,Norm!$A$6:$F$25,3,FALSE ))</f>
        <v>#N/A</v>
      </c>
      <c r="I13" t="e">
        <f>IF($P$1="ALL",VLOOKUP($R$1,Norm!$I$6:$N$25,4,FALSE ),VLOOKUP($Q$1,Norm!$A$6:$F$25,4,FALSE ))</f>
        <v>#N/A</v>
      </c>
      <c r="J13" t="e">
        <f>IF($P$1="ALL",VLOOKUP($R$1,Norm!$I$6:$N$25,5,FALSE ),VLOOKUP($Q$1,Norm!$A$6:$F$25,5,FALSE ))</f>
        <v>#N/A</v>
      </c>
      <c r="K13" t="e">
        <f>IF($P$1="ALL",VLOOKUP($R$1,Norm!$I$6:$N$25,6,FALSE ),VLOOKUP($Q$1,Norm!$A$6:$F$25,6,FALSE ))</f>
        <v>#N/A</v>
      </c>
      <c r="L13" t="e">
        <f>+I13+H13</f>
        <v>#N/A</v>
      </c>
      <c r="M13" t="e">
        <f>+I13/H13</f>
        <v>#N/A</v>
      </c>
      <c r="Q13" t="s">
        <v>146</v>
      </c>
      <c r="R13" t="s">
        <v>63</v>
      </c>
    </row>
    <row r="14" spans="1:20" hidden="1" x14ac:dyDescent="0.25">
      <c r="A14" t="s">
        <v>37</v>
      </c>
      <c r="L14">
        <f>+I14+H14</f>
        <v>0</v>
      </c>
      <c r="M14" t="e">
        <f>+I14/H14</f>
        <v>#DIV/0!</v>
      </c>
      <c r="Q14" t="s">
        <v>29</v>
      </c>
    </row>
    <row r="15" spans="1:20" x14ac:dyDescent="0.25">
      <c r="A15" t="s">
        <v>12</v>
      </c>
      <c r="G15">
        <f t="shared" ref="G15:L15" si="0">MAX(G19:G2909)</f>
        <v>64.739999999999995</v>
      </c>
      <c r="H15">
        <f t="shared" si="0"/>
        <v>9.2200000000000006</v>
      </c>
      <c r="I15">
        <f t="shared" si="0"/>
        <v>5.5</v>
      </c>
      <c r="J15">
        <f t="shared" si="0"/>
        <v>43.6</v>
      </c>
      <c r="K15">
        <f t="shared" si="0"/>
        <v>61.5</v>
      </c>
      <c r="L15">
        <f t="shared" si="0"/>
        <v>11.1</v>
      </c>
      <c r="M15">
        <f>+I15/H15</f>
        <v>0.59652928416485895</v>
      </c>
      <c r="Q15" t="s">
        <v>44</v>
      </c>
    </row>
    <row r="16" spans="1:20" x14ac:dyDescent="0.25">
      <c r="A16" t="s">
        <v>13</v>
      </c>
      <c r="G16">
        <f>MIN(G19:G2909)</f>
        <v>58.2</v>
      </c>
      <c r="H16">
        <f>MIN(H19:H2909)</f>
        <v>1.34</v>
      </c>
      <c r="I16">
        <f>MIN(I19:I2909)</f>
        <v>0.6</v>
      </c>
      <c r="J16">
        <f>MIN(J19:J2909)</f>
        <v>0</v>
      </c>
      <c r="K16">
        <f>MIN(K19:K2909)</f>
        <v>2.521008403361344</v>
      </c>
      <c r="L16">
        <f>H16+I16</f>
        <v>1.94</v>
      </c>
      <c r="M16">
        <f>+I16/H16</f>
        <v>0.44776119402985071</v>
      </c>
      <c r="N16" t="s">
        <v>147</v>
      </c>
      <c r="O16" t="s">
        <v>149</v>
      </c>
      <c r="P16" t="s">
        <v>150</v>
      </c>
      <c r="Q16" t="s">
        <v>146</v>
      </c>
    </row>
    <row r="17" spans="1:32" ht="13" thickBot="1" x14ac:dyDescent="0.3">
      <c r="A17" t="s">
        <v>14</v>
      </c>
      <c r="G17">
        <f>IFERROR(AVERAGE(G19:G4011),)</f>
        <v>62.49585657370524</v>
      </c>
      <c r="H17">
        <f>IFERROR(AVERAGE(H19:H4011),)</f>
        <v>3.448247011952192</v>
      </c>
      <c r="I17">
        <f>IFERROR(AVERAGE(I19:I4011),)</f>
        <v>2.4032270916334664</v>
      </c>
      <c r="J17">
        <f>IFERROR(AVERAGE(J19:J4011),)</f>
        <v>11.191736729033302</v>
      </c>
      <c r="K17">
        <f>IFERROR(AVERAGE(K19:K4011),)</f>
        <v>18.704563266307549</v>
      </c>
      <c r="L17">
        <f>IFERROR(I17+H17,)</f>
        <v>5.8514741035856588</v>
      </c>
      <c r="M17">
        <f>IFERROR(I17/H17,)</f>
        <v>0.69694168755993569</v>
      </c>
      <c r="N17">
        <f>COUNTIF(G19:G4038,"&gt;0")</f>
        <v>251</v>
      </c>
      <c r="O17">
        <f>COUNTIFS(L19:L1279,"&gt;5.7")</f>
        <v>126</v>
      </c>
      <c r="P17">
        <f>O17/N17%</f>
        <v>50.199203187251001</v>
      </c>
    </row>
    <row r="18" spans="1:32" ht="17.25" customHeight="1" x14ac:dyDescent="0.25">
      <c r="A18" t="s">
        <v>53</v>
      </c>
      <c r="G18">
        <f>IFERROR(STDEVA(G19:G4898)," ")</f>
        <v>1.0895674202850476</v>
      </c>
      <c r="H18">
        <f>IFERROR(STDEVA(H19:H4898)," ")</f>
        <v>1.3629089898966258</v>
      </c>
      <c r="I18">
        <f>IFERROR(STDEVA(I19:I4898)," ")</f>
        <v>0.81085161664949545</v>
      </c>
      <c r="J18">
        <f>IFERROR(STDEVA(J19:J4898)," ")</f>
        <v>8.8042848834943097</v>
      </c>
      <c r="K18">
        <f>IFERROR(STDEVA(K19:K4898)," ")</f>
        <v>7.8656141404401776</v>
      </c>
      <c r="L18">
        <f t="array" ref="L18">STDEVA(IF(L19:L1000&gt;0,L19:L1000))</f>
        <v>1.6322778618626126</v>
      </c>
      <c r="M18">
        <f>IFERROR(STDEVA(M19:M4898)," ")</f>
        <v>0.22780903728593152</v>
      </c>
      <c r="P18">
        <f>5.8</f>
        <v>5.8</v>
      </c>
    </row>
    <row r="19" spans="1:32" x14ac:dyDescent="0.25">
      <c r="A19">
        <v>1</v>
      </c>
      <c r="B19" s="1">
        <v>44682</v>
      </c>
      <c r="C19" t="s">
        <v>3</v>
      </c>
      <c r="D19" t="s">
        <v>27</v>
      </c>
      <c r="E19" t="s">
        <v>26</v>
      </c>
      <c r="F19" t="s">
        <v>0</v>
      </c>
      <c r="G19">
        <v>61.78</v>
      </c>
      <c r="H19">
        <v>4.7699999999999996</v>
      </c>
      <c r="I19">
        <v>2.92</v>
      </c>
      <c r="J19">
        <v>14.8</v>
      </c>
      <c r="K19">
        <v>61.5</v>
      </c>
      <c r="L19">
        <f t="shared" ref="L19:L50" si="1">+I19+H19</f>
        <v>7.6899999999999995</v>
      </c>
      <c r="M19">
        <f t="shared" ref="M19:M50" si="2">+I19/IF(H19 = 0,1,H19)</f>
        <v>0.61215932914046123</v>
      </c>
      <c r="R19" s="356" t="s">
        <v>3</v>
      </c>
      <c r="S19" s="356"/>
      <c r="T19" s="356" t="s">
        <v>4</v>
      </c>
      <c r="U19" s="356"/>
      <c r="V19" s="356"/>
      <c r="W19" s="356"/>
      <c r="AA19" s="356" t="s">
        <v>30</v>
      </c>
      <c r="AB19" s="356"/>
      <c r="AC19" s="356" t="s">
        <v>60</v>
      </c>
      <c r="AD19" s="356"/>
      <c r="AE19" s="356" t="s">
        <v>48</v>
      </c>
      <c r="AF19" s="356"/>
    </row>
    <row r="20" spans="1:32" x14ac:dyDescent="0.25">
      <c r="A20">
        <v>2</v>
      </c>
      <c r="B20" s="1">
        <v>44684</v>
      </c>
      <c r="C20" t="s">
        <v>3</v>
      </c>
      <c r="D20" t="s">
        <v>27</v>
      </c>
      <c r="E20" t="s">
        <v>26</v>
      </c>
      <c r="F20" t="s">
        <v>0</v>
      </c>
      <c r="G20">
        <v>62.71</v>
      </c>
      <c r="H20">
        <v>3.51</v>
      </c>
      <c r="I20">
        <v>3.07</v>
      </c>
      <c r="J20">
        <v>16.600000000000001</v>
      </c>
      <c r="K20">
        <v>32.1</v>
      </c>
      <c r="L20">
        <f t="shared" si="1"/>
        <v>6.58</v>
      </c>
      <c r="M20">
        <f t="shared" si="2"/>
        <v>0.87464387464387461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44684</v>
      </c>
      <c r="C21" t="s">
        <v>3</v>
      </c>
      <c r="D21" t="s">
        <v>27</v>
      </c>
      <c r="E21" t="s">
        <v>26</v>
      </c>
      <c r="F21" t="s">
        <v>0</v>
      </c>
      <c r="G21">
        <v>62.83</v>
      </c>
      <c r="H21">
        <v>3.59</v>
      </c>
      <c r="I21">
        <v>2.91</v>
      </c>
      <c r="J21">
        <v>13.4</v>
      </c>
      <c r="K21">
        <v>27.6</v>
      </c>
      <c r="L21">
        <f t="shared" si="1"/>
        <v>6.5</v>
      </c>
      <c r="M21">
        <f t="shared" si="2"/>
        <v>0.81058495821727028</v>
      </c>
      <c r="Q21" t="s">
        <v>27</v>
      </c>
    </row>
    <row r="22" spans="1:32" x14ac:dyDescent="0.25">
      <c r="A22">
        <v>4</v>
      </c>
      <c r="B22" s="1">
        <v>44685</v>
      </c>
      <c r="C22" t="s">
        <v>3</v>
      </c>
      <c r="D22" t="s">
        <v>27</v>
      </c>
      <c r="E22" t="s">
        <v>26</v>
      </c>
      <c r="F22" t="s">
        <v>0</v>
      </c>
      <c r="G22">
        <v>62.76</v>
      </c>
      <c r="H22">
        <v>3.73</v>
      </c>
      <c r="I22">
        <v>2.78</v>
      </c>
      <c r="J22">
        <v>15.6</v>
      </c>
      <c r="K22">
        <v>31.5</v>
      </c>
      <c r="L22">
        <f t="shared" si="1"/>
        <v>6.51</v>
      </c>
      <c r="M22">
        <f t="shared" si="2"/>
        <v>0.74530831099195705</v>
      </c>
      <c r="Q22" t="s">
        <v>2</v>
      </c>
    </row>
    <row r="23" spans="1:32" x14ac:dyDescent="0.25">
      <c r="A23">
        <v>5</v>
      </c>
      <c r="B23" s="1">
        <v>44686</v>
      </c>
      <c r="C23" t="s">
        <v>3</v>
      </c>
      <c r="D23" t="s">
        <v>27</v>
      </c>
      <c r="E23" t="s">
        <v>26</v>
      </c>
      <c r="F23" t="s">
        <v>0</v>
      </c>
      <c r="G23">
        <v>62.39</v>
      </c>
      <c r="H23">
        <v>4.22</v>
      </c>
      <c r="I23">
        <v>2.71</v>
      </c>
      <c r="J23">
        <v>12.3</v>
      </c>
      <c r="K23">
        <v>26.5</v>
      </c>
      <c r="L23">
        <f t="shared" si="1"/>
        <v>6.93</v>
      </c>
      <c r="M23">
        <f t="shared" si="2"/>
        <v>0.64218009478672988</v>
      </c>
      <c r="Q23" t="s">
        <v>11</v>
      </c>
    </row>
    <row r="24" spans="1:32" x14ac:dyDescent="0.25">
      <c r="A24">
        <v>6</v>
      </c>
      <c r="B24" s="1">
        <v>44688</v>
      </c>
      <c r="C24" t="s">
        <v>3</v>
      </c>
      <c r="D24" t="s">
        <v>27</v>
      </c>
      <c r="E24" t="s">
        <v>26</v>
      </c>
      <c r="F24" t="s">
        <v>0</v>
      </c>
      <c r="G24">
        <v>62.8</v>
      </c>
      <c r="H24">
        <v>3.6</v>
      </c>
      <c r="I24">
        <v>2.74</v>
      </c>
      <c r="J24">
        <v>9.5</v>
      </c>
      <c r="K24">
        <v>24.3</v>
      </c>
      <c r="L24">
        <f t="shared" si="1"/>
        <v>6.34</v>
      </c>
      <c r="M24">
        <f t="shared" si="2"/>
        <v>0.76111111111111118</v>
      </c>
      <c r="Q24" t="s">
        <v>10</v>
      </c>
    </row>
    <row r="25" spans="1:32" x14ac:dyDescent="0.25">
      <c r="A25">
        <v>7</v>
      </c>
      <c r="B25" s="1">
        <v>44689</v>
      </c>
      <c r="C25" t="s">
        <v>3</v>
      </c>
      <c r="D25" t="s">
        <v>27</v>
      </c>
      <c r="E25" t="s">
        <v>26</v>
      </c>
      <c r="F25" t="s">
        <v>0</v>
      </c>
      <c r="G25">
        <v>62.29</v>
      </c>
      <c r="H25">
        <v>3.86</v>
      </c>
      <c r="I25">
        <v>3.31</v>
      </c>
      <c r="J25">
        <v>12.4</v>
      </c>
      <c r="K25">
        <v>18.5</v>
      </c>
      <c r="L25">
        <f t="shared" si="1"/>
        <v>7.17</v>
      </c>
      <c r="M25">
        <f t="shared" si="2"/>
        <v>0.8575129533678757</v>
      </c>
      <c r="Q25" t="s">
        <v>31</v>
      </c>
    </row>
    <row r="26" spans="1:32" ht="12.75" customHeight="1" x14ac:dyDescent="0.25">
      <c r="A26">
        <v>8</v>
      </c>
      <c r="B26" s="1">
        <v>44693</v>
      </c>
      <c r="C26" t="s">
        <v>3</v>
      </c>
      <c r="D26" t="s">
        <v>27</v>
      </c>
      <c r="E26" t="s">
        <v>26</v>
      </c>
      <c r="F26" t="s">
        <v>0</v>
      </c>
      <c r="G26">
        <v>62.66</v>
      </c>
      <c r="H26">
        <v>3.76</v>
      </c>
      <c r="I26">
        <v>2.79</v>
      </c>
      <c r="J26">
        <v>11.2</v>
      </c>
      <c r="K26">
        <v>27.3</v>
      </c>
      <c r="L26">
        <f t="shared" si="1"/>
        <v>6.55</v>
      </c>
      <c r="M26">
        <f t="shared" si="2"/>
        <v>0.74202127659574468</v>
      </c>
      <c r="Q26" t="s">
        <v>9</v>
      </c>
    </row>
    <row r="27" spans="1:32" x14ac:dyDescent="0.25">
      <c r="A27">
        <v>9</v>
      </c>
      <c r="B27" s="1">
        <v>44694</v>
      </c>
      <c r="C27" t="s">
        <v>3</v>
      </c>
      <c r="D27" t="s">
        <v>27</v>
      </c>
      <c r="E27" t="s">
        <v>26</v>
      </c>
      <c r="F27" t="s">
        <v>0</v>
      </c>
      <c r="G27">
        <v>61.57</v>
      </c>
      <c r="H27">
        <v>5.96</v>
      </c>
      <c r="I27">
        <v>2.4500000000000002</v>
      </c>
      <c r="J27">
        <v>10.6</v>
      </c>
      <c r="K27">
        <v>29.2</v>
      </c>
      <c r="L27">
        <f t="shared" si="1"/>
        <v>8.41</v>
      </c>
      <c r="M27">
        <f t="shared" si="2"/>
        <v>0.41107382550335575</v>
      </c>
      <c r="Q27" t="s">
        <v>44</v>
      </c>
    </row>
    <row r="28" spans="1:32" x14ac:dyDescent="0.25">
      <c r="A28">
        <v>10</v>
      </c>
      <c r="B28" s="1">
        <v>44696</v>
      </c>
      <c r="C28" t="s">
        <v>3</v>
      </c>
      <c r="D28" t="s">
        <v>27</v>
      </c>
      <c r="E28" t="s">
        <v>26</v>
      </c>
      <c r="F28" t="s">
        <v>0</v>
      </c>
      <c r="G28">
        <v>62.41</v>
      </c>
      <c r="H28">
        <v>3.89</v>
      </c>
      <c r="I28">
        <v>3.02</v>
      </c>
      <c r="J28">
        <v>9.1</v>
      </c>
      <c r="K28">
        <v>28.5</v>
      </c>
      <c r="L28">
        <f t="shared" si="1"/>
        <v>6.91</v>
      </c>
      <c r="M28">
        <f t="shared" si="2"/>
        <v>0.7763496143958869</v>
      </c>
      <c r="Q28" t="s">
        <v>146</v>
      </c>
    </row>
    <row r="29" spans="1:32" x14ac:dyDescent="0.25">
      <c r="A29">
        <v>11</v>
      </c>
      <c r="B29" s="1">
        <v>44696</v>
      </c>
      <c r="C29" t="s">
        <v>3</v>
      </c>
      <c r="D29" t="s">
        <v>27</v>
      </c>
      <c r="E29" t="s">
        <v>26</v>
      </c>
      <c r="F29" t="s">
        <v>0</v>
      </c>
      <c r="G29">
        <v>62.87</v>
      </c>
      <c r="H29">
        <v>3.85</v>
      </c>
      <c r="I29">
        <v>2.4</v>
      </c>
      <c r="J29">
        <v>10.7</v>
      </c>
      <c r="K29">
        <v>25.2</v>
      </c>
      <c r="L29">
        <f t="shared" si="1"/>
        <v>6.25</v>
      </c>
      <c r="M29">
        <f t="shared" si="2"/>
        <v>0.62337662337662336</v>
      </c>
    </row>
    <row r="30" spans="1:32" x14ac:dyDescent="0.25">
      <c r="A30">
        <v>12</v>
      </c>
      <c r="B30" s="1">
        <v>44697</v>
      </c>
      <c r="C30" t="s">
        <v>3</v>
      </c>
      <c r="D30" t="s">
        <v>27</v>
      </c>
      <c r="E30" t="s">
        <v>26</v>
      </c>
      <c r="F30" t="s">
        <v>0</v>
      </c>
      <c r="G30">
        <v>62.14</v>
      </c>
      <c r="H30">
        <v>4.84</v>
      </c>
      <c r="I30">
        <v>2.64</v>
      </c>
      <c r="J30">
        <v>11.3</v>
      </c>
      <c r="K30">
        <v>27.2</v>
      </c>
      <c r="L30">
        <f t="shared" si="1"/>
        <v>7.48</v>
      </c>
      <c r="M30">
        <f t="shared" si="2"/>
        <v>0.54545454545454553</v>
      </c>
    </row>
    <row r="31" spans="1:32" x14ac:dyDescent="0.25">
      <c r="A31">
        <v>13</v>
      </c>
      <c r="B31" s="1">
        <v>44698</v>
      </c>
      <c r="C31" t="s">
        <v>3</v>
      </c>
      <c r="D31" t="s">
        <v>27</v>
      </c>
      <c r="E31" t="s">
        <v>26</v>
      </c>
      <c r="F31" t="s">
        <v>0</v>
      </c>
      <c r="G31">
        <v>62.91</v>
      </c>
      <c r="H31">
        <v>3.6</v>
      </c>
      <c r="I31">
        <v>2.59</v>
      </c>
      <c r="J31">
        <v>13.1</v>
      </c>
      <c r="K31">
        <v>26.3</v>
      </c>
      <c r="L31">
        <f t="shared" si="1"/>
        <v>6.1899999999999995</v>
      </c>
      <c r="M31">
        <f t="shared" si="2"/>
        <v>0.71944444444444444</v>
      </c>
      <c r="N31" t="s">
        <v>202</v>
      </c>
      <c r="Q31">
        <f ca="1">COUNTIF(OFFSET($F$18,1,1,$N$17,1),"&lt;"&amp;G13)</f>
        <v>0</v>
      </c>
    </row>
    <row r="32" spans="1:32" x14ac:dyDescent="0.25">
      <c r="A32">
        <v>14</v>
      </c>
      <c r="B32" s="1">
        <v>44699</v>
      </c>
      <c r="C32" t="s">
        <v>3</v>
      </c>
      <c r="D32" t="s">
        <v>27</v>
      </c>
      <c r="E32" t="s">
        <v>26</v>
      </c>
      <c r="F32" t="s">
        <v>0</v>
      </c>
      <c r="G32">
        <v>62.41</v>
      </c>
      <c r="H32">
        <v>4.5599999999999996</v>
      </c>
      <c r="I32">
        <v>2.44</v>
      </c>
      <c r="J32">
        <v>22.5</v>
      </c>
      <c r="K32">
        <v>19.2</v>
      </c>
      <c r="L32">
        <f t="shared" si="1"/>
        <v>7</v>
      </c>
      <c r="M32">
        <f t="shared" si="2"/>
        <v>0.53508771929824561</v>
      </c>
      <c r="N32" t="s">
        <v>203</v>
      </c>
      <c r="Q32">
        <f ca="1">COUNTIF(OFFSET($F$18,1,6,$N$17,1),"&gt;"&amp;L13)</f>
        <v>0</v>
      </c>
    </row>
    <row r="33" spans="1:32" x14ac:dyDescent="0.25">
      <c r="A33">
        <v>15</v>
      </c>
      <c r="B33" s="1">
        <v>44701</v>
      </c>
      <c r="C33" t="s">
        <v>3</v>
      </c>
      <c r="D33" t="s">
        <v>27</v>
      </c>
      <c r="E33" t="s">
        <v>26</v>
      </c>
      <c r="F33" t="s">
        <v>0</v>
      </c>
      <c r="G33">
        <v>62.92</v>
      </c>
      <c r="H33">
        <v>3.96</v>
      </c>
      <c r="I33">
        <v>2.42</v>
      </c>
      <c r="J33">
        <v>11.5</v>
      </c>
      <c r="K33">
        <v>26.3</v>
      </c>
      <c r="L33">
        <f t="shared" si="1"/>
        <v>6.38</v>
      </c>
      <c r="M33">
        <f t="shared" si="2"/>
        <v>0.61111111111111105</v>
      </c>
      <c r="N33" t="s">
        <v>204</v>
      </c>
      <c r="Q33">
        <f ca="1">COUNTIF(OFFSET($F$18,1,5,$N$17,1),"&gt;10")</f>
        <v>228</v>
      </c>
    </row>
    <row r="34" spans="1:32" x14ac:dyDescent="0.25">
      <c r="A34">
        <v>16</v>
      </c>
      <c r="B34" s="1">
        <v>44702</v>
      </c>
      <c r="C34" t="s">
        <v>3</v>
      </c>
      <c r="D34" t="s">
        <v>27</v>
      </c>
      <c r="E34" t="s">
        <v>26</v>
      </c>
      <c r="F34" t="s">
        <v>0</v>
      </c>
      <c r="G34">
        <v>61.5</v>
      </c>
      <c r="H34">
        <v>5.71</v>
      </c>
      <c r="I34">
        <v>2.68</v>
      </c>
      <c r="J34">
        <v>12.1</v>
      </c>
      <c r="K34">
        <v>24.3</v>
      </c>
      <c r="L34">
        <f t="shared" si="1"/>
        <v>8.39</v>
      </c>
      <c r="M34">
        <f t="shared" si="2"/>
        <v>0.46935201401050791</v>
      </c>
      <c r="N34" t="s">
        <v>205</v>
      </c>
      <c r="Q34">
        <f ca="1">COUNTIF(OFFSET($F$18,1,5,$N$17,1),"")</f>
        <v>0</v>
      </c>
    </row>
    <row r="35" spans="1:32" x14ac:dyDescent="0.25">
      <c r="A35">
        <v>17</v>
      </c>
      <c r="B35" s="1">
        <v>44703</v>
      </c>
      <c r="C35" t="s">
        <v>3</v>
      </c>
      <c r="D35" t="s">
        <v>27</v>
      </c>
      <c r="E35" t="s">
        <v>26</v>
      </c>
      <c r="F35" t="s">
        <v>0</v>
      </c>
      <c r="G35">
        <v>62.03</v>
      </c>
      <c r="H35">
        <v>5.23</v>
      </c>
      <c r="I35">
        <v>2.4</v>
      </c>
      <c r="J35">
        <v>15.3</v>
      </c>
      <c r="K35">
        <v>28.5</v>
      </c>
      <c r="L35">
        <f t="shared" si="1"/>
        <v>7.6300000000000008</v>
      </c>
      <c r="M35">
        <f t="shared" si="2"/>
        <v>0.45889101338432114</v>
      </c>
      <c r="S35" t="s">
        <v>216</v>
      </c>
      <c r="T35" s="356" t="s">
        <v>14</v>
      </c>
      <c r="U35" s="356"/>
      <c r="V35" s="356"/>
      <c r="W35" s="356"/>
      <c r="Z35" s="356" t="s">
        <v>206</v>
      </c>
      <c r="AA35" s="356"/>
      <c r="AB35" s="356" t="s">
        <v>207</v>
      </c>
      <c r="AC35" s="356"/>
      <c r="AD35" s="356" t="s">
        <v>208</v>
      </c>
      <c r="AE35" s="356"/>
      <c r="AF35" t="s">
        <v>212</v>
      </c>
    </row>
    <row r="36" spans="1:32" x14ac:dyDescent="0.25">
      <c r="A36">
        <v>18</v>
      </c>
      <c r="B36" s="1">
        <v>44704</v>
      </c>
      <c r="C36" t="s">
        <v>3</v>
      </c>
      <c r="D36" t="s">
        <v>27</v>
      </c>
      <c r="E36" t="s">
        <v>26</v>
      </c>
      <c r="F36" t="s">
        <v>0</v>
      </c>
      <c r="G36">
        <v>61.69</v>
      </c>
      <c r="H36">
        <v>5.65</v>
      </c>
      <c r="I36">
        <v>2.38</v>
      </c>
      <c r="J36">
        <v>14.3</v>
      </c>
      <c r="K36">
        <v>27.2</v>
      </c>
      <c r="L36">
        <f t="shared" si="1"/>
        <v>8.0300000000000011</v>
      </c>
      <c r="M36">
        <f t="shared" si="2"/>
        <v>0.42123893805309731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44707</v>
      </c>
      <c r="C37" t="s">
        <v>3</v>
      </c>
      <c r="D37" t="s">
        <v>27</v>
      </c>
      <c r="E37" t="s">
        <v>26</v>
      </c>
      <c r="F37" t="s">
        <v>0</v>
      </c>
      <c r="G37">
        <v>62.2</v>
      </c>
      <c r="H37">
        <v>4.8600000000000003</v>
      </c>
      <c r="I37">
        <v>2.54</v>
      </c>
      <c r="J37">
        <v>16.100000000000001</v>
      </c>
      <c r="K37">
        <v>26.5</v>
      </c>
      <c r="L37">
        <f t="shared" si="1"/>
        <v>7.4</v>
      </c>
      <c r="M37">
        <f t="shared" si="2"/>
        <v>0.52263374485596703</v>
      </c>
      <c r="S37">
        <f>$N$17</f>
        <v>251</v>
      </c>
      <c r="T37">
        <f>$G$17</f>
        <v>62.49585657370524</v>
      </c>
      <c r="U37">
        <f>$H$17</f>
        <v>3.448247011952192</v>
      </c>
      <c r="V37">
        <f>$I$17</f>
        <v>2.4032270916334664</v>
      </c>
      <c r="W37">
        <f>L17</f>
        <v>5.8514741035856588</v>
      </c>
      <c r="X37">
        <f>$J$17</f>
        <v>11.191736729033302</v>
      </c>
      <c r="Y37">
        <f>$K$17</f>
        <v>18.704563266307549</v>
      </c>
      <c r="Z37">
        <f ca="1">$Q$31</f>
        <v>0</v>
      </c>
      <c r="AB37">
        <f ca="1">$Q$32</f>
        <v>0</v>
      </c>
      <c r="AD37">
        <f ca="1">$S$37-$Q$34</f>
        <v>251</v>
      </c>
      <c r="AE37">
        <f ca="1">$Q$33</f>
        <v>228</v>
      </c>
    </row>
    <row r="38" spans="1:32" x14ac:dyDescent="0.25">
      <c r="A38">
        <v>20</v>
      </c>
      <c r="B38" s="1">
        <v>44707</v>
      </c>
      <c r="C38" t="s">
        <v>3</v>
      </c>
      <c r="D38" t="s">
        <v>27</v>
      </c>
      <c r="E38" t="s">
        <v>26</v>
      </c>
      <c r="F38" t="s">
        <v>0</v>
      </c>
      <c r="G38">
        <v>62.77</v>
      </c>
      <c r="H38">
        <v>3.53</v>
      </c>
      <c r="I38">
        <v>2.86</v>
      </c>
      <c r="J38">
        <v>15.4</v>
      </c>
      <c r="K38">
        <v>27.7</v>
      </c>
      <c r="L38">
        <f t="shared" si="1"/>
        <v>6.39</v>
      </c>
      <c r="M38">
        <f t="shared" si="2"/>
        <v>0.8101983002832861</v>
      </c>
      <c r="P38">
        <f ca="1">SUM(OFFSET(F18,1,1,N17,1))</f>
        <v>15686.460000000015</v>
      </c>
    </row>
    <row r="39" spans="1:32" x14ac:dyDescent="0.25">
      <c r="A39">
        <v>21</v>
      </c>
      <c r="B39" s="1">
        <v>44708</v>
      </c>
      <c r="C39" t="s">
        <v>3</v>
      </c>
      <c r="D39" t="s">
        <v>27</v>
      </c>
      <c r="E39" t="s">
        <v>26</v>
      </c>
      <c r="F39" t="s">
        <v>0</v>
      </c>
      <c r="G39">
        <v>62.83</v>
      </c>
      <c r="H39">
        <v>3.47</v>
      </c>
      <c r="I39">
        <v>2.84</v>
      </c>
      <c r="J39">
        <v>12.4</v>
      </c>
      <c r="K39">
        <v>25.6</v>
      </c>
      <c r="L39">
        <f t="shared" si="1"/>
        <v>6.3100000000000005</v>
      </c>
      <c r="M39">
        <f t="shared" si="2"/>
        <v>0.81844380403458206</v>
      </c>
    </row>
    <row r="40" spans="1:32" x14ac:dyDescent="0.25">
      <c r="A40">
        <v>22</v>
      </c>
      <c r="B40" s="1">
        <v>44710</v>
      </c>
      <c r="C40" t="s">
        <v>3</v>
      </c>
      <c r="D40" t="s">
        <v>27</v>
      </c>
      <c r="E40" t="s">
        <v>26</v>
      </c>
      <c r="F40" t="s">
        <v>0</v>
      </c>
      <c r="G40">
        <v>62.87</v>
      </c>
      <c r="H40">
        <v>3.6</v>
      </c>
      <c r="I40">
        <v>2.7</v>
      </c>
      <c r="J40">
        <v>12.7</v>
      </c>
      <c r="K40">
        <v>24.3</v>
      </c>
      <c r="L40">
        <f t="shared" si="1"/>
        <v>6.3000000000000007</v>
      </c>
      <c r="M40">
        <f t="shared" si="2"/>
        <v>0.75</v>
      </c>
    </row>
    <row r="41" spans="1:32" x14ac:dyDescent="0.25">
      <c r="A41">
        <v>23</v>
      </c>
      <c r="B41" s="1">
        <v>44711</v>
      </c>
      <c r="C41" t="s">
        <v>3</v>
      </c>
      <c r="D41" t="s">
        <v>27</v>
      </c>
      <c r="E41" t="s">
        <v>26</v>
      </c>
      <c r="F41" t="s">
        <v>0</v>
      </c>
      <c r="G41">
        <v>61.85</v>
      </c>
      <c r="H41">
        <v>5.41</v>
      </c>
      <c r="I41">
        <v>2.4900000000000002</v>
      </c>
      <c r="J41">
        <v>7.3</v>
      </c>
      <c r="K41">
        <v>36.200000000000003</v>
      </c>
      <c r="L41">
        <f t="shared" si="1"/>
        <v>7.9</v>
      </c>
      <c r="M41">
        <f t="shared" si="2"/>
        <v>0.46025878003696863</v>
      </c>
    </row>
    <row r="42" spans="1:32" x14ac:dyDescent="0.25">
      <c r="A42">
        <v>24</v>
      </c>
      <c r="B42" s="1">
        <v>44689</v>
      </c>
      <c r="C42" t="s">
        <v>3</v>
      </c>
      <c r="D42" t="s">
        <v>44</v>
      </c>
      <c r="E42" t="s">
        <v>26</v>
      </c>
      <c r="F42" t="s">
        <v>0</v>
      </c>
      <c r="G42">
        <v>63.5</v>
      </c>
      <c r="H42">
        <v>2.81</v>
      </c>
      <c r="I42">
        <v>2.4</v>
      </c>
      <c r="J42">
        <v>6.1</v>
      </c>
      <c r="K42">
        <v>9.6999999999999993</v>
      </c>
      <c r="L42">
        <f t="shared" si="1"/>
        <v>5.21</v>
      </c>
      <c r="M42">
        <f t="shared" si="2"/>
        <v>0.85409252669039137</v>
      </c>
    </row>
    <row r="43" spans="1:32" x14ac:dyDescent="0.25">
      <c r="A43">
        <v>25</v>
      </c>
      <c r="B43" s="1">
        <v>44705</v>
      </c>
      <c r="C43" t="s">
        <v>3</v>
      </c>
      <c r="D43" t="s">
        <v>44</v>
      </c>
      <c r="E43" t="s">
        <v>26</v>
      </c>
      <c r="F43" t="s">
        <v>0</v>
      </c>
      <c r="G43">
        <v>63.7</v>
      </c>
      <c r="H43">
        <v>2.82</v>
      </c>
      <c r="I43">
        <v>2.14</v>
      </c>
      <c r="J43">
        <v>8.1999999999999993</v>
      </c>
      <c r="K43">
        <v>10.4</v>
      </c>
      <c r="L43">
        <f t="shared" si="1"/>
        <v>4.96</v>
      </c>
      <c r="M43">
        <f t="shared" si="2"/>
        <v>0.75886524822695045</v>
      </c>
    </row>
    <row r="44" spans="1:32" x14ac:dyDescent="0.25">
      <c r="A44">
        <v>26</v>
      </c>
      <c r="B44" s="1">
        <v>44682</v>
      </c>
      <c r="C44" t="s">
        <v>3</v>
      </c>
      <c r="D44" t="s">
        <v>2</v>
      </c>
      <c r="E44" t="s">
        <v>26</v>
      </c>
      <c r="F44" t="s">
        <v>0</v>
      </c>
      <c r="G44">
        <v>61.8</v>
      </c>
      <c r="H44">
        <v>4.7300000000000004</v>
      </c>
      <c r="I44">
        <v>2.84</v>
      </c>
      <c r="J44">
        <v>8.5</v>
      </c>
      <c r="K44">
        <v>34.4</v>
      </c>
      <c r="L44">
        <f t="shared" si="1"/>
        <v>7.57</v>
      </c>
      <c r="M44">
        <f t="shared" si="2"/>
        <v>0.60042283298097243</v>
      </c>
    </row>
    <row r="45" spans="1:32" x14ac:dyDescent="0.25">
      <c r="A45">
        <v>27</v>
      </c>
      <c r="B45" s="1">
        <v>44684</v>
      </c>
      <c r="C45" t="s">
        <v>3</v>
      </c>
      <c r="D45" t="s">
        <v>2</v>
      </c>
      <c r="E45" t="s">
        <v>26</v>
      </c>
      <c r="F45" t="s">
        <v>0</v>
      </c>
      <c r="G45">
        <v>60.5</v>
      </c>
      <c r="H45">
        <v>7.13</v>
      </c>
      <c r="I45">
        <v>2.71</v>
      </c>
      <c r="J45">
        <v>12.1</v>
      </c>
      <c r="K45">
        <v>30.7</v>
      </c>
      <c r="L45">
        <f t="shared" si="1"/>
        <v>9.84</v>
      </c>
      <c r="M45">
        <f t="shared" si="2"/>
        <v>0.38008415147265079</v>
      </c>
    </row>
    <row r="46" spans="1:32" x14ac:dyDescent="0.25">
      <c r="A46">
        <v>28</v>
      </c>
      <c r="B46" s="1">
        <v>44684</v>
      </c>
      <c r="C46" t="s">
        <v>3</v>
      </c>
      <c r="D46" t="s">
        <v>2</v>
      </c>
      <c r="E46" t="s">
        <v>26</v>
      </c>
      <c r="F46" t="s">
        <v>0</v>
      </c>
      <c r="G46">
        <v>61.87</v>
      </c>
      <c r="H46">
        <v>4.95</v>
      </c>
      <c r="I46">
        <v>2.74</v>
      </c>
      <c r="J46">
        <v>13.7</v>
      </c>
      <c r="K46">
        <v>25.3</v>
      </c>
      <c r="L46">
        <f t="shared" si="1"/>
        <v>7.69</v>
      </c>
      <c r="M46">
        <f t="shared" si="2"/>
        <v>0.55353535353535355</v>
      </c>
    </row>
    <row r="47" spans="1:32" x14ac:dyDescent="0.25">
      <c r="A47">
        <v>29</v>
      </c>
      <c r="B47" s="1">
        <v>44685</v>
      </c>
      <c r="C47" t="s">
        <v>3</v>
      </c>
      <c r="D47" t="s">
        <v>2</v>
      </c>
      <c r="E47" t="s">
        <v>26</v>
      </c>
      <c r="F47" t="s">
        <v>0</v>
      </c>
      <c r="G47">
        <v>61.4</v>
      </c>
      <c r="H47">
        <v>5.9</v>
      </c>
      <c r="I47">
        <v>2.65</v>
      </c>
      <c r="J47">
        <v>17.2</v>
      </c>
      <c r="K47">
        <v>24.5</v>
      </c>
      <c r="L47">
        <f t="shared" si="1"/>
        <v>8.5500000000000007</v>
      </c>
      <c r="M47">
        <f t="shared" si="2"/>
        <v>0.44915254237288132</v>
      </c>
    </row>
    <row r="48" spans="1:32" x14ac:dyDescent="0.25">
      <c r="A48">
        <v>30</v>
      </c>
      <c r="B48" s="1">
        <v>44687</v>
      </c>
      <c r="C48" t="s">
        <v>3</v>
      </c>
      <c r="D48" t="s">
        <v>2</v>
      </c>
      <c r="E48" t="s">
        <v>26</v>
      </c>
      <c r="F48" t="s">
        <v>0</v>
      </c>
      <c r="G48">
        <v>61.48</v>
      </c>
      <c r="H48">
        <v>5.35</v>
      </c>
      <c r="I48">
        <v>2.89</v>
      </c>
      <c r="J48">
        <v>14.5</v>
      </c>
      <c r="K48">
        <v>22.3</v>
      </c>
      <c r="L48">
        <f t="shared" si="1"/>
        <v>8.24</v>
      </c>
      <c r="M48">
        <f t="shared" si="2"/>
        <v>0.54018691588785051</v>
      </c>
    </row>
    <row r="49" spans="1:15" x14ac:dyDescent="0.25">
      <c r="A49">
        <v>31</v>
      </c>
      <c r="B49" s="1">
        <v>44687</v>
      </c>
      <c r="C49" t="s">
        <v>3</v>
      </c>
      <c r="D49" t="s">
        <v>2</v>
      </c>
      <c r="E49" t="s">
        <v>26</v>
      </c>
      <c r="F49" t="s">
        <v>0</v>
      </c>
      <c r="G49">
        <v>61.31</v>
      </c>
      <c r="H49">
        <v>5.61</v>
      </c>
      <c r="I49">
        <v>2.77</v>
      </c>
      <c r="J49">
        <v>13.6</v>
      </c>
      <c r="K49">
        <v>25.3</v>
      </c>
      <c r="L49">
        <f t="shared" si="1"/>
        <v>8.3800000000000008</v>
      </c>
      <c r="M49">
        <f t="shared" si="2"/>
        <v>0.49376114081996431</v>
      </c>
    </row>
    <row r="50" spans="1:15" x14ac:dyDescent="0.25">
      <c r="A50">
        <v>32</v>
      </c>
      <c r="B50" s="1">
        <v>44688</v>
      </c>
      <c r="C50" t="s">
        <v>3</v>
      </c>
      <c r="D50" t="s">
        <v>2</v>
      </c>
      <c r="E50" t="s">
        <v>26</v>
      </c>
      <c r="F50" t="s">
        <v>0</v>
      </c>
      <c r="G50">
        <v>62.09</v>
      </c>
      <c r="H50">
        <v>4.88</v>
      </c>
      <c r="I50">
        <v>2.67</v>
      </c>
      <c r="J50">
        <v>11.3</v>
      </c>
      <c r="K50">
        <v>29.2</v>
      </c>
      <c r="L50">
        <f t="shared" si="1"/>
        <v>7.55</v>
      </c>
      <c r="M50">
        <f t="shared" si="2"/>
        <v>0.54713114754098358</v>
      </c>
    </row>
    <row r="51" spans="1:15" x14ac:dyDescent="0.25">
      <c r="A51">
        <v>33</v>
      </c>
      <c r="B51" s="1">
        <v>44689</v>
      </c>
      <c r="C51" t="s">
        <v>3</v>
      </c>
      <c r="D51" t="s">
        <v>2</v>
      </c>
      <c r="E51" t="s">
        <v>26</v>
      </c>
      <c r="F51" t="s">
        <v>0</v>
      </c>
      <c r="G51">
        <v>61.69</v>
      </c>
      <c r="H51">
        <v>4.87</v>
      </c>
      <c r="I51">
        <v>3.06</v>
      </c>
      <c r="J51">
        <v>14.7</v>
      </c>
      <c r="K51">
        <v>23.6</v>
      </c>
      <c r="L51">
        <f t="shared" ref="L51:L82" si="3">+I51+H51</f>
        <v>7.93</v>
      </c>
      <c r="M51">
        <f t="shared" ref="M51:M82" si="4">+I51/IF(H51 = 0,1,H51)</f>
        <v>0.62833675564681724</v>
      </c>
    </row>
    <row r="52" spans="1:15" x14ac:dyDescent="0.25">
      <c r="A52">
        <v>34</v>
      </c>
      <c r="B52" s="1">
        <v>44693</v>
      </c>
      <c r="C52" t="s">
        <v>3</v>
      </c>
      <c r="D52" t="s">
        <v>2</v>
      </c>
      <c r="E52" t="s">
        <v>26</v>
      </c>
      <c r="F52" t="s">
        <v>0</v>
      </c>
      <c r="G52">
        <v>61.86</v>
      </c>
      <c r="H52">
        <v>4.83</v>
      </c>
      <c r="I52">
        <v>3.05</v>
      </c>
      <c r="J52">
        <v>11.4</v>
      </c>
      <c r="K52">
        <v>25.6</v>
      </c>
      <c r="L52">
        <f t="shared" si="3"/>
        <v>7.88</v>
      </c>
      <c r="M52">
        <f t="shared" si="4"/>
        <v>0.63146997929606619</v>
      </c>
    </row>
    <row r="53" spans="1:15" x14ac:dyDescent="0.25">
      <c r="A53">
        <v>35</v>
      </c>
      <c r="B53" s="1">
        <v>44695</v>
      </c>
      <c r="C53" t="s">
        <v>3</v>
      </c>
      <c r="D53" t="s">
        <v>2</v>
      </c>
      <c r="E53" t="s">
        <v>26</v>
      </c>
      <c r="F53" t="s">
        <v>0</v>
      </c>
      <c r="G53">
        <v>62.29</v>
      </c>
      <c r="H53">
        <v>4.17</v>
      </c>
      <c r="I53">
        <v>2.9</v>
      </c>
      <c r="J53">
        <v>16.3</v>
      </c>
      <c r="K53">
        <v>27.4</v>
      </c>
      <c r="L53">
        <f t="shared" si="3"/>
        <v>7.07</v>
      </c>
      <c r="M53">
        <f t="shared" si="4"/>
        <v>0.69544364508393286</v>
      </c>
    </row>
    <row r="54" spans="1:15" x14ac:dyDescent="0.25">
      <c r="A54">
        <v>36</v>
      </c>
      <c r="B54" s="1">
        <v>44696</v>
      </c>
      <c r="C54" t="s">
        <v>3</v>
      </c>
      <c r="D54" t="s">
        <v>2</v>
      </c>
      <c r="E54" t="s">
        <v>26</v>
      </c>
      <c r="F54" t="s">
        <v>0</v>
      </c>
      <c r="G54">
        <v>62.45</v>
      </c>
      <c r="H54">
        <v>4.12</v>
      </c>
      <c r="I54">
        <v>2.83</v>
      </c>
      <c r="J54">
        <v>12.7</v>
      </c>
      <c r="K54">
        <v>26.3</v>
      </c>
      <c r="L54">
        <f t="shared" si="3"/>
        <v>6.95</v>
      </c>
      <c r="M54">
        <f t="shared" si="4"/>
        <v>0.68689320388349517</v>
      </c>
      <c r="O54" t="s">
        <v>9</v>
      </c>
    </row>
    <row r="55" spans="1:15" x14ac:dyDescent="0.25">
      <c r="A55">
        <v>37</v>
      </c>
      <c r="B55" s="1">
        <v>44697</v>
      </c>
      <c r="C55" t="s">
        <v>3</v>
      </c>
      <c r="D55" t="s">
        <v>2</v>
      </c>
      <c r="E55" t="s">
        <v>26</v>
      </c>
      <c r="F55" t="s">
        <v>0</v>
      </c>
      <c r="G55">
        <v>62.13</v>
      </c>
      <c r="H55">
        <v>4.9000000000000004</v>
      </c>
      <c r="I55">
        <v>2.4</v>
      </c>
      <c r="J55">
        <v>14.3</v>
      </c>
      <c r="K55">
        <v>25.2</v>
      </c>
      <c r="L55">
        <f t="shared" si="3"/>
        <v>7.3000000000000007</v>
      </c>
      <c r="M55">
        <f t="shared" si="4"/>
        <v>0.48979591836734687</v>
      </c>
      <c r="O55" t="s">
        <v>11</v>
      </c>
    </row>
    <row r="56" spans="1:15" x14ac:dyDescent="0.25">
      <c r="A56">
        <v>38</v>
      </c>
      <c r="B56" s="1">
        <v>44697</v>
      </c>
      <c r="C56" t="s">
        <v>3</v>
      </c>
      <c r="D56" t="s">
        <v>2</v>
      </c>
      <c r="E56" t="s">
        <v>26</v>
      </c>
      <c r="F56" t="s">
        <v>0</v>
      </c>
      <c r="G56">
        <v>61.28</v>
      </c>
      <c r="H56">
        <v>6.16</v>
      </c>
      <c r="I56">
        <v>2.5499999999999998</v>
      </c>
      <c r="J56">
        <v>9.5</v>
      </c>
      <c r="K56">
        <v>29.7</v>
      </c>
      <c r="L56">
        <f t="shared" si="3"/>
        <v>8.7100000000000009</v>
      </c>
      <c r="M56">
        <f t="shared" si="4"/>
        <v>0.41396103896103892</v>
      </c>
      <c r="O56" t="s">
        <v>27</v>
      </c>
    </row>
    <row r="57" spans="1:15" x14ac:dyDescent="0.25">
      <c r="A57">
        <v>39</v>
      </c>
      <c r="B57" s="1">
        <v>44699</v>
      </c>
      <c r="C57" t="s">
        <v>3</v>
      </c>
      <c r="D57" t="s">
        <v>2</v>
      </c>
      <c r="E57" t="s">
        <v>26</v>
      </c>
      <c r="F57" t="s">
        <v>0</v>
      </c>
      <c r="G57">
        <v>61.29</v>
      </c>
      <c r="H57">
        <v>5.9</v>
      </c>
      <c r="I57">
        <v>2.71</v>
      </c>
      <c r="J57">
        <v>15.2</v>
      </c>
      <c r="K57">
        <v>26.3</v>
      </c>
      <c r="L57">
        <f t="shared" si="3"/>
        <v>8.61</v>
      </c>
      <c r="M57">
        <f t="shared" si="4"/>
        <v>0.45932203389830506</v>
      </c>
      <c r="O57" t="s">
        <v>2</v>
      </c>
    </row>
    <row r="58" spans="1:15" x14ac:dyDescent="0.25">
      <c r="A58">
        <v>40</v>
      </c>
      <c r="B58" s="1">
        <v>44699</v>
      </c>
      <c r="C58" t="s">
        <v>3</v>
      </c>
      <c r="D58" t="s">
        <v>2</v>
      </c>
      <c r="E58" t="s">
        <v>26</v>
      </c>
      <c r="F58" t="s">
        <v>0</v>
      </c>
      <c r="G58">
        <v>60.55</v>
      </c>
      <c r="H58">
        <v>6.88</v>
      </c>
      <c r="I58">
        <v>2.87</v>
      </c>
      <c r="J58">
        <v>13.7</v>
      </c>
      <c r="K58">
        <v>22.2</v>
      </c>
      <c r="L58">
        <f t="shared" si="3"/>
        <v>9.75</v>
      </c>
      <c r="M58">
        <f t="shared" si="4"/>
        <v>0.41715116279069769</v>
      </c>
      <c r="O58" t="s">
        <v>31</v>
      </c>
    </row>
    <row r="59" spans="1:15" x14ac:dyDescent="0.25">
      <c r="A59">
        <v>41</v>
      </c>
      <c r="B59" s="1">
        <v>44700</v>
      </c>
      <c r="C59" t="s">
        <v>3</v>
      </c>
      <c r="D59" t="s">
        <v>2</v>
      </c>
      <c r="E59" t="s">
        <v>26</v>
      </c>
      <c r="F59" t="s">
        <v>0</v>
      </c>
      <c r="G59">
        <v>62.21</v>
      </c>
      <c r="H59">
        <v>4.93</v>
      </c>
      <c r="I59">
        <v>2.46</v>
      </c>
      <c r="J59">
        <v>10.7</v>
      </c>
      <c r="K59">
        <v>22.2</v>
      </c>
      <c r="L59">
        <f t="shared" si="3"/>
        <v>7.39</v>
      </c>
      <c r="M59">
        <f t="shared" si="4"/>
        <v>0.49898580121703856</v>
      </c>
      <c r="O59" t="s">
        <v>146</v>
      </c>
    </row>
    <row r="60" spans="1:15" x14ac:dyDescent="0.25">
      <c r="A60">
        <v>42</v>
      </c>
      <c r="B60" s="1">
        <v>44701</v>
      </c>
      <c r="C60" t="s">
        <v>3</v>
      </c>
      <c r="D60" t="s">
        <v>2</v>
      </c>
      <c r="E60" t="s">
        <v>26</v>
      </c>
      <c r="F60" t="s">
        <v>0</v>
      </c>
      <c r="G60">
        <v>62.45</v>
      </c>
      <c r="H60">
        <v>4.55</v>
      </c>
      <c r="I60">
        <v>2.4900000000000002</v>
      </c>
      <c r="J60">
        <v>18.399999999999999</v>
      </c>
      <c r="K60">
        <v>24.5</v>
      </c>
      <c r="L60">
        <f t="shared" si="3"/>
        <v>7.04</v>
      </c>
      <c r="M60">
        <f t="shared" si="4"/>
        <v>0.54725274725274731</v>
      </c>
      <c r="O60" t="s">
        <v>10</v>
      </c>
    </row>
    <row r="61" spans="1:15" x14ac:dyDescent="0.25">
      <c r="A61">
        <v>43</v>
      </c>
      <c r="B61" s="1">
        <v>44702</v>
      </c>
      <c r="C61" t="s">
        <v>3</v>
      </c>
      <c r="D61" t="s">
        <v>2</v>
      </c>
      <c r="E61" t="s">
        <v>26</v>
      </c>
      <c r="F61" t="s">
        <v>0</v>
      </c>
      <c r="G61">
        <v>61.83</v>
      </c>
      <c r="H61">
        <v>4.96</v>
      </c>
      <c r="I61">
        <v>2.87</v>
      </c>
      <c r="J61">
        <v>12.2</v>
      </c>
      <c r="K61">
        <v>23.3</v>
      </c>
      <c r="L61">
        <f t="shared" si="3"/>
        <v>7.83</v>
      </c>
      <c r="M61">
        <f t="shared" si="4"/>
        <v>0.5786290322580645</v>
      </c>
      <c r="O61" t="s">
        <v>44</v>
      </c>
    </row>
    <row r="62" spans="1:15" x14ac:dyDescent="0.25">
      <c r="A62">
        <v>44</v>
      </c>
      <c r="B62" s="1">
        <v>44704</v>
      </c>
      <c r="C62" t="s">
        <v>3</v>
      </c>
      <c r="D62" t="s">
        <v>2</v>
      </c>
      <c r="E62" t="s">
        <v>26</v>
      </c>
      <c r="F62" t="s">
        <v>0</v>
      </c>
      <c r="G62">
        <v>62.24</v>
      </c>
      <c r="H62">
        <v>4.57</v>
      </c>
      <c r="I62">
        <v>2.62</v>
      </c>
      <c r="J62">
        <v>13.1</v>
      </c>
      <c r="K62">
        <v>26.4</v>
      </c>
      <c r="L62">
        <f t="shared" si="3"/>
        <v>7.19</v>
      </c>
      <c r="M62">
        <f t="shared" si="4"/>
        <v>0.57330415754923414</v>
      </c>
    </row>
    <row r="63" spans="1:15" x14ac:dyDescent="0.25">
      <c r="A63">
        <v>45</v>
      </c>
      <c r="B63" s="1">
        <v>44704</v>
      </c>
      <c r="C63" t="s">
        <v>3</v>
      </c>
      <c r="D63" t="s">
        <v>2</v>
      </c>
      <c r="E63" t="s">
        <v>26</v>
      </c>
      <c r="F63" t="s">
        <v>0</v>
      </c>
      <c r="G63">
        <v>61.35</v>
      </c>
      <c r="H63">
        <v>6.13</v>
      </c>
      <c r="I63">
        <v>2.4</v>
      </c>
      <c r="J63">
        <v>10.5</v>
      </c>
      <c r="K63">
        <v>30.3</v>
      </c>
      <c r="L63">
        <f t="shared" si="3"/>
        <v>8.5299999999999994</v>
      </c>
      <c r="M63">
        <f t="shared" si="4"/>
        <v>0.39151712887438822</v>
      </c>
      <c r="O63">
        <f>COUNTIF(D19:D405, O54)</f>
        <v>44</v>
      </c>
    </row>
    <row r="64" spans="1:15" x14ac:dyDescent="0.25">
      <c r="A64">
        <v>46</v>
      </c>
      <c r="B64" s="1">
        <v>44705</v>
      </c>
      <c r="C64" t="s">
        <v>3</v>
      </c>
      <c r="D64" t="s">
        <v>2</v>
      </c>
      <c r="E64" t="s">
        <v>26</v>
      </c>
      <c r="F64" t="s">
        <v>0</v>
      </c>
      <c r="G64">
        <v>61.37</v>
      </c>
      <c r="H64">
        <v>5.68</v>
      </c>
      <c r="I64">
        <v>2.91</v>
      </c>
      <c r="J64">
        <v>15.2</v>
      </c>
      <c r="K64">
        <v>25.5</v>
      </c>
      <c r="L64">
        <f t="shared" si="3"/>
        <v>8.59</v>
      </c>
      <c r="M64">
        <f t="shared" si="4"/>
        <v>0.51232394366197187</v>
      </c>
      <c r="O64">
        <f t="shared" ref="O64:O70" si="5">COUNTIF(D20:D406, O55)</f>
        <v>88</v>
      </c>
    </row>
    <row r="65" spans="1:15" x14ac:dyDescent="0.25">
      <c r="A65">
        <v>47</v>
      </c>
      <c r="B65" s="1">
        <v>44707</v>
      </c>
      <c r="C65" t="s">
        <v>3</v>
      </c>
      <c r="D65" t="s">
        <v>2</v>
      </c>
      <c r="E65" t="s">
        <v>26</v>
      </c>
      <c r="F65" t="s">
        <v>0</v>
      </c>
      <c r="G65">
        <v>62.28</v>
      </c>
      <c r="H65">
        <v>4.3</v>
      </c>
      <c r="I65">
        <v>2.89</v>
      </c>
      <c r="J65">
        <v>13.2</v>
      </c>
      <c r="K65">
        <v>31.5</v>
      </c>
      <c r="L65">
        <f t="shared" si="3"/>
        <v>7.1899999999999995</v>
      </c>
      <c r="M65">
        <f t="shared" si="4"/>
        <v>0.67209302325581399</v>
      </c>
      <c r="O65">
        <f t="shared" si="5"/>
        <v>21</v>
      </c>
    </row>
    <row r="66" spans="1:15" x14ac:dyDescent="0.25">
      <c r="A66">
        <v>48</v>
      </c>
      <c r="B66" s="1">
        <v>44708</v>
      </c>
      <c r="C66" t="s">
        <v>3</v>
      </c>
      <c r="D66" t="s">
        <v>2</v>
      </c>
      <c r="E66" t="s">
        <v>26</v>
      </c>
      <c r="F66" t="s">
        <v>0</v>
      </c>
      <c r="G66">
        <v>60.78</v>
      </c>
      <c r="H66">
        <v>7.12</v>
      </c>
      <c r="I66">
        <v>2.3199999999999998</v>
      </c>
      <c r="J66">
        <v>14.1</v>
      </c>
      <c r="K66">
        <v>29.5</v>
      </c>
      <c r="L66">
        <f t="shared" si="3"/>
        <v>9.44</v>
      </c>
      <c r="M66">
        <f t="shared" si="4"/>
        <v>0.32584269662921345</v>
      </c>
      <c r="O66">
        <f t="shared" si="5"/>
        <v>26</v>
      </c>
    </row>
    <row r="67" spans="1:15" x14ac:dyDescent="0.25">
      <c r="A67">
        <v>49</v>
      </c>
      <c r="B67" s="1">
        <v>44709</v>
      </c>
      <c r="C67" t="s">
        <v>3</v>
      </c>
      <c r="D67" t="s">
        <v>2</v>
      </c>
      <c r="E67" t="s">
        <v>26</v>
      </c>
      <c r="F67" t="s">
        <v>0</v>
      </c>
      <c r="G67">
        <v>61.97</v>
      </c>
      <c r="H67">
        <v>4.74</v>
      </c>
      <c r="I67">
        <v>2.85</v>
      </c>
      <c r="J67">
        <v>16.3</v>
      </c>
      <c r="K67">
        <v>28.5</v>
      </c>
      <c r="L67">
        <f t="shared" si="3"/>
        <v>7.59</v>
      </c>
      <c r="M67">
        <f t="shared" si="4"/>
        <v>0.60126582278481011</v>
      </c>
      <c r="O67">
        <f t="shared" si="5"/>
        <v>34</v>
      </c>
    </row>
    <row r="68" spans="1:15" x14ac:dyDescent="0.25">
      <c r="A68">
        <v>59</v>
      </c>
      <c r="B68" s="1">
        <v>44710</v>
      </c>
      <c r="C68" t="s">
        <v>3</v>
      </c>
      <c r="D68" t="s">
        <v>2</v>
      </c>
      <c r="E68" t="s">
        <v>26</v>
      </c>
      <c r="F68" t="s">
        <v>0</v>
      </c>
      <c r="G68">
        <v>62.03</v>
      </c>
      <c r="H68">
        <v>4.84</v>
      </c>
      <c r="I68">
        <v>2.6</v>
      </c>
      <c r="J68">
        <v>9.6999999999999993</v>
      </c>
      <c r="K68">
        <v>34.200000000000003</v>
      </c>
      <c r="L68">
        <f t="shared" si="3"/>
        <v>7.4399999999999995</v>
      </c>
      <c r="M68">
        <f t="shared" si="4"/>
        <v>0.53719008264462809</v>
      </c>
      <c r="O68">
        <f t="shared" si="5"/>
        <v>14</v>
      </c>
    </row>
    <row r="69" spans="1:15" x14ac:dyDescent="0.25">
      <c r="A69">
        <v>60</v>
      </c>
      <c r="B69" s="1">
        <v>44712</v>
      </c>
      <c r="C69" t="s">
        <v>3</v>
      </c>
      <c r="D69" t="s">
        <v>2</v>
      </c>
      <c r="E69" t="s">
        <v>26</v>
      </c>
      <c r="F69" t="s">
        <v>0</v>
      </c>
      <c r="G69">
        <v>62.45</v>
      </c>
      <c r="H69">
        <v>4.13</v>
      </c>
      <c r="I69">
        <v>2.81</v>
      </c>
      <c r="J69">
        <v>11.4</v>
      </c>
      <c r="K69">
        <v>28.4</v>
      </c>
      <c r="L69">
        <f t="shared" si="3"/>
        <v>6.9399999999999995</v>
      </c>
      <c r="M69">
        <f t="shared" si="4"/>
        <v>0.68038740920096852</v>
      </c>
      <c r="O69">
        <f t="shared" si="5"/>
        <v>20</v>
      </c>
    </row>
    <row r="70" spans="1:15" x14ac:dyDescent="0.25">
      <c r="A70">
        <v>61</v>
      </c>
      <c r="B70" s="1">
        <v>44695</v>
      </c>
      <c r="C70" t="s">
        <v>3</v>
      </c>
      <c r="D70" t="s">
        <v>9</v>
      </c>
      <c r="E70" t="s">
        <v>26</v>
      </c>
      <c r="F70" t="s">
        <v>0</v>
      </c>
      <c r="G70">
        <v>62.36</v>
      </c>
      <c r="H70">
        <v>3.42</v>
      </c>
      <c r="I70">
        <v>3.75</v>
      </c>
      <c r="J70">
        <v>13.2</v>
      </c>
      <c r="K70">
        <v>25.7</v>
      </c>
      <c r="L70">
        <f t="shared" si="3"/>
        <v>7.17</v>
      </c>
      <c r="M70">
        <f t="shared" si="4"/>
        <v>1.0964912280701755</v>
      </c>
      <c r="O70">
        <f t="shared" si="5"/>
        <v>2</v>
      </c>
    </row>
    <row r="71" spans="1:15" x14ac:dyDescent="0.25">
      <c r="A71">
        <v>62</v>
      </c>
      <c r="B71" s="1">
        <v>44695</v>
      </c>
      <c r="C71" t="s">
        <v>3</v>
      </c>
      <c r="D71" t="s">
        <v>9</v>
      </c>
      <c r="E71" t="s">
        <v>26</v>
      </c>
      <c r="F71" t="s">
        <v>0</v>
      </c>
      <c r="G71">
        <v>62.59</v>
      </c>
      <c r="H71">
        <v>3.36</v>
      </c>
      <c r="I71">
        <v>3.48</v>
      </c>
      <c r="J71">
        <v>11.3</v>
      </c>
      <c r="K71">
        <v>29.5</v>
      </c>
      <c r="L71">
        <f t="shared" si="3"/>
        <v>6.84</v>
      </c>
      <c r="M71">
        <f t="shared" si="4"/>
        <v>1.0357142857142858</v>
      </c>
    </row>
    <row r="72" spans="1:15" x14ac:dyDescent="0.25">
      <c r="A72">
        <v>63</v>
      </c>
      <c r="B72" s="1">
        <v>44701</v>
      </c>
      <c r="C72" t="s">
        <v>3</v>
      </c>
      <c r="D72" t="s">
        <v>9</v>
      </c>
      <c r="E72" t="s">
        <v>26</v>
      </c>
      <c r="F72" t="s">
        <v>0</v>
      </c>
      <c r="G72">
        <v>62.62</v>
      </c>
      <c r="H72">
        <v>3.7</v>
      </c>
      <c r="I72">
        <v>2.9</v>
      </c>
      <c r="J72">
        <v>10.5</v>
      </c>
      <c r="K72">
        <v>30.2</v>
      </c>
      <c r="L72">
        <f t="shared" si="3"/>
        <v>6.6</v>
      </c>
      <c r="M72">
        <f t="shared" si="4"/>
        <v>0.78378378378378377</v>
      </c>
    </row>
    <row r="73" spans="1:15" x14ac:dyDescent="0.25">
      <c r="A73">
        <v>64</v>
      </c>
      <c r="B73" s="1">
        <v>44682</v>
      </c>
      <c r="C73" t="s">
        <v>3</v>
      </c>
      <c r="D73" t="s">
        <v>11</v>
      </c>
      <c r="E73" t="s">
        <v>26</v>
      </c>
      <c r="F73" t="s">
        <v>0</v>
      </c>
      <c r="G73">
        <v>63.11</v>
      </c>
      <c r="H73">
        <v>3.46</v>
      </c>
      <c r="I73">
        <v>2.62</v>
      </c>
      <c r="J73">
        <v>10.5</v>
      </c>
      <c r="K73">
        <v>28.3</v>
      </c>
      <c r="L73">
        <f t="shared" si="3"/>
        <v>6.08</v>
      </c>
      <c r="M73">
        <f t="shared" si="4"/>
        <v>0.75722543352601157</v>
      </c>
    </row>
    <row r="74" spans="1:15" x14ac:dyDescent="0.25">
      <c r="A74">
        <v>65</v>
      </c>
      <c r="B74" s="1">
        <v>44684</v>
      </c>
      <c r="C74" t="s">
        <v>3</v>
      </c>
      <c r="D74" t="s">
        <v>11</v>
      </c>
      <c r="E74" t="s">
        <v>26</v>
      </c>
      <c r="F74" t="s">
        <v>0</v>
      </c>
      <c r="G74">
        <v>62.34</v>
      </c>
      <c r="H74">
        <v>4.38</v>
      </c>
      <c r="I74">
        <v>2.82</v>
      </c>
      <c r="J74">
        <v>15.2</v>
      </c>
      <c r="K74">
        <v>27.5</v>
      </c>
      <c r="L74">
        <f t="shared" si="3"/>
        <v>7.1999999999999993</v>
      </c>
      <c r="M74">
        <f t="shared" si="4"/>
        <v>0.64383561643835618</v>
      </c>
    </row>
    <row r="75" spans="1:15" x14ac:dyDescent="0.25">
      <c r="A75">
        <v>66</v>
      </c>
      <c r="B75" s="1">
        <v>44684</v>
      </c>
      <c r="C75" t="s">
        <v>3</v>
      </c>
      <c r="D75" t="s">
        <v>11</v>
      </c>
      <c r="E75" t="s">
        <v>26</v>
      </c>
      <c r="F75" t="s">
        <v>0</v>
      </c>
      <c r="G75">
        <v>62.51</v>
      </c>
      <c r="H75">
        <v>4.4000000000000004</v>
      </c>
      <c r="I75">
        <v>2.5499999999999998</v>
      </c>
      <c r="J75">
        <v>11.5</v>
      </c>
      <c r="K75">
        <v>24.4</v>
      </c>
      <c r="L75">
        <f t="shared" si="3"/>
        <v>6.95</v>
      </c>
      <c r="M75">
        <f t="shared" si="4"/>
        <v>0.57954545454545447</v>
      </c>
    </row>
    <row r="76" spans="1:15" x14ac:dyDescent="0.25">
      <c r="A76">
        <v>67</v>
      </c>
      <c r="B76" s="1">
        <v>44686</v>
      </c>
      <c r="C76" t="s">
        <v>3</v>
      </c>
      <c r="D76" t="s">
        <v>11</v>
      </c>
      <c r="E76" t="s">
        <v>26</v>
      </c>
      <c r="F76" t="s">
        <v>0</v>
      </c>
      <c r="G76">
        <v>62.81</v>
      </c>
      <c r="H76">
        <v>3.64</v>
      </c>
      <c r="I76">
        <v>2.89</v>
      </c>
      <c r="J76">
        <v>15.3</v>
      </c>
      <c r="K76">
        <v>25.5</v>
      </c>
      <c r="L76">
        <f t="shared" si="3"/>
        <v>6.53</v>
      </c>
      <c r="M76">
        <f t="shared" si="4"/>
        <v>0.79395604395604391</v>
      </c>
    </row>
    <row r="77" spans="1:15" x14ac:dyDescent="0.25">
      <c r="A77">
        <v>68</v>
      </c>
      <c r="B77" s="1">
        <v>44687</v>
      </c>
      <c r="C77" t="s">
        <v>3</v>
      </c>
      <c r="D77" t="s">
        <v>11</v>
      </c>
      <c r="E77" t="s">
        <v>26</v>
      </c>
      <c r="F77" t="s">
        <v>0</v>
      </c>
      <c r="G77">
        <v>61.85</v>
      </c>
      <c r="H77">
        <v>4.8899999999999997</v>
      </c>
      <c r="I77">
        <v>3.03</v>
      </c>
      <c r="J77">
        <v>16.3</v>
      </c>
      <c r="K77">
        <v>26.2</v>
      </c>
      <c r="L77">
        <f t="shared" si="3"/>
        <v>7.92</v>
      </c>
      <c r="M77">
        <f t="shared" si="4"/>
        <v>0.61963190184049077</v>
      </c>
    </row>
    <row r="78" spans="1:15" x14ac:dyDescent="0.25">
      <c r="A78">
        <v>69</v>
      </c>
      <c r="B78" s="1">
        <v>44688</v>
      </c>
      <c r="C78" t="s">
        <v>3</v>
      </c>
      <c r="D78" t="s">
        <v>11</v>
      </c>
      <c r="E78" t="s">
        <v>26</v>
      </c>
      <c r="F78" t="s">
        <v>0</v>
      </c>
      <c r="G78">
        <v>62.89</v>
      </c>
      <c r="H78">
        <v>3.4</v>
      </c>
      <c r="I78">
        <v>2.82</v>
      </c>
      <c r="J78">
        <v>12.3</v>
      </c>
      <c r="K78">
        <v>25.2</v>
      </c>
      <c r="L78">
        <f t="shared" si="3"/>
        <v>6.22</v>
      </c>
      <c r="M78">
        <f t="shared" si="4"/>
        <v>0.82941176470588229</v>
      </c>
    </row>
    <row r="79" spans="1:15" x14ac:dyDescent="0.25">
      <c r="A79">
        <v>70</v>
      </c>
      <c r="B79" s="1">
        <v>44689</v>
      </c>
      <c r="C79" t="s">
        <v>3</v>
      </c>
      <c r="D79" t="s">
        <v>11</v>
      </c>
      <c r="E79" t="s">
        <v>26</v>
      </c>
      <c r="F79" t="s">
        <v>0</v>
      </c>
      <c r="G79">
        <v>62.67</v>
      </c>
      <c r="H79">
        <v>3.57</v>
      </c>
      <c r="I79">
        <v>2.98</v>
      </c>
      <c r="J79">
        <v>15.5</v>
      </c>
      <c r="K79">
        <v>27.5</v>
      </c>
      <c r="L79">
        <f t="shared" si="3"/>
        <v>6.55</v>
      </c>
      <c r="M79">
        <f t="shared" si="4"/>
        <v>0.834733893557423</v>
      </c>
    </row>
    <row r="80" spans="1:15" x14ac:dyDescent="0.25">
      <c r="A80">
        <v>71</v>
      </c>
      <c r="B80" s="1">
        <v>44693</v>
      </c>
      <c r="C80" t="s">
        <v>3</v>
      </c>
      <c r="D80" t="s">
        <v>11</v>
      </c>
      <c r="E80" t="s">
        <v>26</v>
      </c>
      <c r="F80" t="s">
        <v>0</v>
      </c>
      <c r="G80">
        <v>62.84</v>
      </c>
      <c r="H80">
        <v>3.44</v>
      </c>
      <c r="I80">
        <v>2.85</v>
      </c>
      <c r="J80">
        <v>18.3</v>
      </c>
      <c r="K80">
        <v>27.5</v>
      </c>
      <c r="L80">
        <f t="shared" si="3"/>
        <v>6.29</v>
      </c>
      <c r="M80">
        <f t="shared" si="4"/>
        <v>0.82848837209302328</v>
      </c>
    </row>
    <row r="81" spans="1:13" x14ac:dyDescent="0.25">
      <c r="A81">
        <v>72</v>
      </c>
      <c r="B81" s="1">
        <v>44694</v>
      </c>
      <c r="C81" t="s">
        <v>3</v>
      </c>
      <c r="D81" t="s">
        <v>11</v>
      </c>
      <c r="E81" t="s">
        <v>26</v>
      </c>
      <c r="F81" t="s">
        <v>0</v>
      </c>
      <c r="G81">
        <v>62.68</v>
      </c>
      <c r="H81">
        <v>3.82</v>
      </c>
      <c r="I81">
        <v>2.7</v>
      </c>
      <c r="J81">
        <v>13.2</v>
      </c>
      <c r="K81">
        <v>26.5</v>
      </c>
      <c r="L81">
        <f t="shared" si="3"/>
        <v>6.52</v>
      </c>
      <c r="M81">
        <f t="shared" si="4"/>
        <v>0.70680628272251311</v>
      </c>
    </row>
    <row r="82" spans="1:13" x14ac:dyDescent="0.25">
      <c r="A82">
        <v>73</v>
      </c>
      <c r="B82" s="1">
        <v>44698</v>
      </c>
      <c r="C82" t="s">
        <v>3</v>
      </c>
      <c r="D82" t="s">
        <v>11</v>
      </c>
      <c r="E82" t="s">
        <v>26</v>
      </c>
      <c r="F82" t="s">
        <v>0</v>
      </c>
      <c r="G82">
        <v>62.57</v>
      </c>
      <c r="H82">
        <v>3.47</v>
      </c>
      <c r="I82">
        <v>3.19</v>
      </c>
      <c r="J82">
        <v>12.3</v>
      </c>
      <c r="K82">
        <v>23.5</v>
      </c>
      <c r="L82">
        <f t="shared" si="3"/>
        <v>6.66</v>
      </c>
      <c r="M82">
        <f t="shared" si="4"/>
        <v>0.91930835734870309</v>
      </c>
    </row>
    <row r="83" spans="1:13" x14ac:dyDescent="0.25">
      <c r="A83">
        <v>74</v>
      </c>
      <c r="B83" s="1">
        <v>44700</v>
      </c>
      <c r="C83" t="s">
        <v>3</v>
      </c>
      <c r="D83" t="s">
        <v>11</v>
      </c>
      <c r="E83" t="s">
        <v>26</v>
      </c>
      <c r="F83" t="s">
        <v>0</v>
      </c>
      <c r="G83">
        <v>62.9</v>
      </c>
      <c r="H83">
        <v>3.28</v>
      </c>
      <c r="I83">
        <v>2.93</v>
      </c>
      <c r="J83">
        <v>16.399999999999999</v>
      </c>
      <c r="K83">
        <v>26.5</v>
      </c>
      <c r="L83">
        <f t="shared" ref="L83:L114" si="6">+I83+H83</f>
        <v>6.21</v>
      </c>
      <c r="M83">
        <f t="shared" ref="M83:M114" si="7">+I83/IF(H83 = 0,1,H83)</f>
        <v>0.8932926829268294</v>
      </c>
    </row>
    <row r="84" spans="1:13" x14ac:dyDescent="0.25">
      <c r="A84">
        <v>75</v>
      </c>
      <c r="B84" s="1">
        <v>44701</v>
      </c>
      <c r="C84" t="s">
        <v>3</v>
      </c>
      <c r="D84" t="s">
        <v>11</v>
      </c>
      <c r="E84" t="s">
        <v>26</v>
      </c>
      <c r="F84" t="s">
        <v>0</v>
      </c>
      <c r="G84">
        <v>62.69</v>
      </c>
      <c r="H84">
        <v>3.34</v>
      </c>
      <c r="I84">
        <v>3.14</v>
      </c>
      <c r="J84">
        <v>14.5</v>
      </c>
      <c r="K84">
        <v>29.2</v>
      </c>
      <c r="L84">
        <f t="shared" si="6"/>
        <v>6.48</v>
      </c>
      <c r="M84">
        <f t="shared" si="7"/>
        <v>0.940119760479042</v>
      </c>
    </row>
    <row r="85" spans="1:13" x14ac:dyDescent="0.25">
      <c r="A85">
        <v>76</v>
      </c>
      <c r="B85" s="1">
        <v>44703</v>
      </c>
      <c r="C85" t="s">
        <v>3</v>
      </c>
      <c r="D85" t="s">
        <v>11</v>
      </c>
      <c r="E85" t="s">
        <v>26</v>
      </c>
      <c r="F85" t="s">
        <v>0</v>
      </c>
      <c r="G85">
        <v>62.71</v>
      </c>
      <c r="H85">
        <v>3.49</v>
      </c>
      <c r="I85">
        <v>3.07</v>
      </c>
      <c r="J85">
        <v>15.2</v>
      </c>
      <c r="K85">
        <v>22.7</v>
      </c>
      <c r="L85">
        <f t="shared" si="6"/>
        <v>6.5600000000000005</v>
      </c>
      <c r="M85">
        <f t="shared" si="7"/>
        <v>0.87965616045845263</v>
      </c>
    </row>
    <row r="86" spans="1:13" x14ac:dyDescent="0.25">
      <c r="A86">
        <v>77</v>
      </c>
      <c r="B86" s="1">
        <v>44703</v>
      </c>
      <c r="C86" t="s">
        <v>3</v>
      </c>
      <c r="D86" t="s">
        <v>11</v>
      </c>
      <c r="E86" t="s">
        <v>26</v>
      </c>
      <c r="F86" t="s">
        <v>0</v>
      </c>
      <c r="G86">
        <v>62.94</v>
      </c>
      <c r="H86">
        <v>3.43</v>
      </c>
      <c r="I86">
        <v>2.71</v>
      </c>
      <c r="J86">
        <v>18.600000000000001</v>
      </c>
      <c r="K86">
        <v>30.1</v>
      </c>
      <c r="L86">
        <f t="shared" si="6"/>
        <v>6.1400000000000006</v>
      </c>
      <c r="M86">
        <f t="shared" si="7"/>
        <v>0.79008746355685122</v>
      </c>
    </row>
    <row r="87" spans="1:13" x14ac:dyDescent="0.25">
      <c r="A87">
        <v>78</v>
      </c>
      <c r="B87" s="1">
        <v>44704</v>
      </c>
      <c r="C87" t="s">
        <v>3</v>
      </c>
      <c r="D87" t="s">
        <v>11</v>
      </c>
      <c r="E87" t="s">
        <v>26</v>
      </c>
      <c r="F87" t="s">
        <v>0</v>
      </c>
      <c r="G87">
        <v>62.66</v>
      </c>
      <c r="H87">
        <v>3.89</v>
      </c>
      <c r="I87">
        <v>2.65</v>
      </c>
      <c r="J87">
        <v>14.7</v>
      </c>
      <c r="K87">
        <v>32.200000000000003</v>
      </c>
      <c r="L87">
        <f t="shared" si="6"/>
        <v>6.54</v>
      </c>
      <c r="M87">
        <f t="shared" si="7"/>
        <v>0.68123393316195369</v>
      </c>
    </row>
    <row r="88" spans="1:13" x14ac:dyDescent="0.25">
      <c r="A88">
        <v>79</v>
      </c>
      <c r="B88" s="1">
        <v>44705</v>
      </c>
      <c r="C88" t="s">
        <v>3</v>
      </c>
      <c r="D88" t="s">
        <v>11</v>
      </c>
      <c r="E88" t="s">
        <v>26</v>
      </c>
      <c r="F88" t="s">
        <v>0</v>
      </c>
      <c r="G88">
        <v>62.92</v>
      </c>
      <c r="H88">
        <v>3.61</v>
      </c>
      <c r="I88">
        <v>2.77</v>
      </c>
      <c r="J88">
        <v>17.2</v>
      </c>
      <c r="K88">
        <v>28.5</v>
      </c>
      <c r="L88">
        <f t="shared" si="6"/>
        <v>6.38</v>
      </c>
      <c r="M88">
        <f t="shared" si="7"/>
        <v>0.76731301939058172</v>
      </c>
    </row>
    <row r="89" spans="1:13" x14ac:dyDescent="0.25">
      <c r="A89">
        <v>80</v>
      </c>
      <c r="B89" s="1">
        <v>44706</v>
      </c>
      <c r="C89" t="s">
        <v>3</v>
      </c>
      <c r="D89" t="s">
        <v>11</v>
      </c>
      <c r="E89" t="s">
        <v>26</v>
      </c>
      <c r="F89" t="s">
        <v>0</v>
      </c>
      <c r="G89">
        <v>62.59</v>
      </c>
      <c r="H89">
        <v>3.52</v>
      </c>
      <c r="I89">
        <v>3.31</v>
      </c>
      <c r="J89">
        <v>15.3</v>
      </c>
      <c r="K89">
        <v>30.2</v>
      </c>
      <c r="L89">
        <f t="shared" si="6"/>
        <v>6.83</v>
      </c>
      <c r="M89">
        <f t="shared" si="7"/>
        <v>0.94034090909090906</v>
      </c>
    </row>
    <row r="90" spans="1:13" x14ac:dyDescent="0.25">
      <c r="A90">
        <v>81</v>
      </c>
      <c r="B90" s="1">
        <v>44682</v>
      </c>
      <c r="C90" t="s">
        <v>4</v>
      </c>
      <c r="D90" t="s">
        <v>11</v>
      </c>
      <c r="E90" t="s">
        <v>26</v>
      </c>
      <c r="F90" t="s">
        <v>0</v>
      </c>
      <c r="G90">
        <v>59.8</v>
      </c>
      <c r="H90">
        <v>4.2</v>
      </c>
      <c r="I90">
        <v>3.5</v>
      </c>
      <c r="J90">
        <v>8.1</v>
      </c>
      <c r="K90">
        <v>20.7</v>
      </c>
      <c r="L90">
        <f t="shared" si="6"/>
        <v>7.7</v>
      </c>
      <c r="M90">
        <f t="shared" si="7"/>
        <v>0.83333333333333326</v>
      </c>
    </row>
    <row r="91" spans="1:13" x14ac:dyDescent="0.25">
      <c r="A91">
        <v>82</v>
      </c>
      <c r="B91" s="1">
        <v>44682</v>
      </c>
      <c r="C91" t="s">
        <v>4</v>
      </c>
      <c r="D91" t="s">
        <v>11</v>
      </c>
      <c r="E91" t="s">
        <v>26</v>
      </c>
      <c r="F91" t="s">
        <v>0</v>
      </c>
      <c r="G91">
        <v>61.5</v>
      </c>
      <c r="H91">
        <v>3.1</v>
      </c>
      <c r="I91">
        <v>1.9</v>
      </c>
      <c r="J91">
        <v>14.8</v>
      </c>
      <c r="K91">
        <v>26.8</v>
      </c>
      <c r="L91">
        <f t="shared" si="6"/>
        <v>5</v>
      </c>
      <c r="M91">
        <f t="shared" si="7"/>
        <v>0.61290322580645151</v>
      </c>
    </row>
    <row r="92" spans="1:13" x14ac:dyDescent="0.25">
      <c r="A92">
        <v>83</v>
      </c>
      <c r="B92" s="1">
        <v>44682</v>
      </c>
      <c r="C92" t="s">
        <v>4</v>
      </c>
      <c r="D92" t="s">
        <v>11</v>
      </c>
      <c r="E92" t="s">
        <v>26</v>
      </c>
      <c r="F92" t="s">
        <v>0</v>
      </c>
      <c r="G92">
        <v>62</v>
      </c>
      <c r="H92">
        <v>2.9</v>
      </c>
      <c r="I92">
        <v>2.6</v>
      </c>
      <c r="J92">
        <v>21.9</v>
      </c>
      <c r="K92">
        <v>11.2</v>
      </c>
      <c r="L92">
        <f t="shared" si="6"/>
        <v>5.5</v>
      </c>
      <c r="M92">
        <f t="shared" si="7"/>
        <v>0.89655172413793105</v>
      </c>
    </row>
    <row r="93" spans="1:13" x14ac:dyDescent="0.25">
      <c r="A93">
        <v>84</v>
      </c>
      <c r="B93" s="1">
        <v>44683</v>
      </c>
      <c r="C93" t="s">
        <v>4</v>
      </c>
      <c r="D93" t="s">
        <v>11</v>
      </c>
      <c r="E93" t="s">
        <v>26</v>
      </c>
      <c r="F93" t="s">
        <v>0</v>
      </c>
      <c r="G93">
        <v>61.1</v>
      </c>
      <c r="H93">
        <v>3.6</v>
      </c>
      <c r="I93">
        <v>2.8</v>
      </c>
      <c r="J93">
        <v>20.399999999999999</v>
      </c>
      <c r="K93">
        <v>12.6</v>
      </c>
      <c r="L93">
        <f t="shared" si="6"/>
        <v>6.4</v>
      </c>
      <c r="M93">
        <f t="shared" si="7"/>
        <v>0.77777777777777768</v>
      </c>
    </row>
    <row r="94" spans="1:13" x14ac:dyDescent="0.25">
      <c r="A94">
        <v>85</v>
      </c>
      <c r="B94" s="1">
        <v>44684</v>
      </c>
      <c r="C94" t="s">
        <v>4</v>
      </c>
      <c r="D94" t="s">
        <v>11</v>
      </c>
      <c r="E94" t="s">
        <v>26</v>
      </c>
      <c r="F94" t="s">
        <v>0</v>
      </c>
      <c r="G94">
        <v>62</v>
      </c>
      <c r="H94">
        <v>2.8</v>
      </c>
      <c r="I94">
        <v>2.1</v>
      </c>
      <c r="J94">
        <v>23.8</v>
      </c>
      <c r="K94">
        <v>14.5</v>
      </c>
      <c r="L94">
        <f t="shared" si="6"/>
        <v>4.9000000000000004</v>
      </c>
      <c r="M94">
        <f t="shared" si="7"/>
        <v>0.75000000000000011</v>
      </c>
    </row>
    <row r="95" spans="1:13" x14ac:dyDescent="0.25">
      <c r="A95">
        <v>86</v>
      </c>
      <c r="B95" s="1">
        <v>44684</v>
      </c>
      <c r="C95" t="s">
        <v>4</v>
      </c>
      <c r="D95" t="s">
        <v>11</v>
      </c>
      <c r="E95" t="s">
        <v>26</v>
      </c>
      <c r="F95" t="s">
        <v>0</v>
      </c>
      <c r="G95">
        <v>61.5</v>
      </c>
      <c r="H95">
        <v>2.6</v>
      </c>
      <c r="I95">
        <v>3.1</v>
      </c>
      <c r="J95">
        <v>25.2</v>
      </c>
      <c r="K95">
        <v>14.6</v>
      </c>
      <c r="L95">
        <f t="shared" si="6"/>
        <v>5.7</v>
      </c>
      <c r="M95">
        <f t="shared" si="7"/>
        <v>1.1923076923076923</v>
      </c>
    </row>
    <row r="96" spans="1:13" x14ac:dyDescent="0.25">
      <c r="A96">
        <v>87</v>
      </c>
      <c r="B96" s="1">
        <v>44685</v>
      </c>
      <c r="C96" t="s">
        <v>4</v>
      </c>
      <c r="D96" t="s">
        <v>11</v>
      </c>
      <c r="E96" t="s">
        <v>26</v>
      </c>
      <c r="F96" t="s">
        <v>0</v>
      </c>
      <c r="G96">
        <v>61.6</v>
      </c>
      <c r="H96">
        <v>2.9</v>
      </c>
      <c r="I96">
        <v>2.5</v>
      </c>
      <c r="J96">
        <v>34.1</v>
      </c>
      <c r="K96">
        <v>9</v>
      </c>
      <c r="L96">
        <f t="shared" si="6"/>
        <v>5.4</v>
      </c>
      <c r="M96">
        <f t="shared" si="7"/>
        <v>0.86206896551724144</v>
      </c>
    </row>
    <row r="97" spans="1:13" x14ac:dyDescent="0.25">
      <c r="A97">
        <v>88</v>
      </c>
      <c r="B97" s="1">
        <v>44685</v>
      </c>
      <c r="C97" t="s">
        <v>4</v>
      </c>
      <c r="D97" t="s">
        <v>11</v>
      </c>
      <c r="E97" t="s">
        <v>26</v>
      </c>
      <c r="F97" t="s">
        <v>0</v>
      </c>
      <c r="G97">
        <v>62.4</v>
      </c>
      <c r="H97">
        <v>2.4</v>
      </c>
      <c r="I97">
        <v>2.6</v>
      </c>
      <c r="J97">
        <v>29.6</v>
      </c>
      <c r="K97">
        <v>10.1</v>
      </c>
      <c r="L97">
        <f t="shared" si="6"/>
        <v>5</v>
      </c>
      <c r="M97">
        <f t="shared" si="7"/>
        <v>1.0833333333333335</v>
      </c>
    </row>
    <row r="98" spans="1:13" x14ac:dyDescent="0.25">
      <c r="A98">
        <v>89</v>
      </c>
      <c r="B98" s="1">
        <v>44686</v>
      </c>
      <c r="C98" t="s">
        <v>4</v>
      </c>
      <c r="D98" t="s">
        <v>11</v>
      </c>
      <c r="E98" t="s">
        <v>26</v>
      </c>
      <c r="F98" t="s">
        <v>0</v>
      </c>
      <c r="G98">
        <v>60.6</v>
      </c>
      <c r="H98">
        <v>3.7</v>
      </c>
      <c r="I98">
        <v>3.6</v>
      </c>
      <c r="J98">
        <v>31.9</v>
      </c>
      <c r="K98">
        <v>12.1</v>
      </c>
      <c r="L98">
        <f t="shared" si="6"/>
        <v>7.3000000000000007</v>
      </c>
      <c r="M98">
        <f t="shared" si="7"/>
        <v>0.97297297297297292</v>
      </c>
    </row>
    <row r="99" spans="1:13" x14ac:dyDescent="0.25">
      <c r="A99">
        <v>90</v>
      </c>
      <c r="B99" s="1">
        <v>44686</v>
      </c>
      <c r="C99" t="s">
        <v>4</v>
      </c>
      <c r="D99" t="s">
        <v>11</v>
      </c>
      <c r="E99" t="s">
        <v>26</v>
      </c>
      <c r="F99" t="s">
        <v>0</v>
      </c>
      <c r="G99">
        <v>61.6</v>
      </c>
      <c r="H99">
        <v>2.8</v>
      </c>
      <c r="I99">
        <v>2.2000000000000002</v>
      </c>
      <c r="J99">
        <v>26.2</v>
      </c>
      <c r="K99">
        <v>10.4</v>
      </c>
      <c r="L99">
        <f t="shared" si="6"/>
        <v>5</v>
      </c>
      <c r="M99">
        <f t="shared" si="7"/>
        <v>0.78571428571428581</v>
      </c>
    </row>
    <row r="100" spans="1:13" x14ac:dyDescent="0.25">
      <c r="A100">
        <v>91</v>
      </c>
      <c r="B100" s="1">
        <v>44686</v>
      </c>
      <c r="C100" t="s">
        <v>4</v>
      </c>
      <c r="D100" t="s">
        <v>11</v>
      </c>
      <c r="E100" t="s">
        <v>26</v>
      </c>
      <c r="F100" t="s">
        <v>0</v>
      </c>
      <c r="G100">
        <v>63.2</v>
      </c>
      <c r="H100">
        <v>1.5</v>
      </c>
      <c r="I100">
        <v>1.8</v>
      </c>
      <c r="J100">
        <v>8</v>
      </c>
      <c r="K100">
        <v>23.1</v>
      </c>
      <c r="L100">
        <f t="shared" si="6"/>
        <v>3.3</v>
      </c>
      <c r="M100">
        <f t="shared" si="7"/>
        <v>1.2</v>
      </c>
    </row>
    <row r="101" spans="1:13" x14ac:dyDescent="0.25">
      <c r="A101">
        <v>92</v>
      </c>
      <c r="B101" s="1">
        <v>44687</v>
      </c>
      <c r="C101" t="s">
        <v>4</v>
      </c>
      <c r="D101" t="s">
        <v>11</v>
      </c>
      <c r="E101" t="s">
        <v>26</v>
      </c>
      <c r="F101" t="s">
        <v>0</v>
      </c>
      <c r="G101">
        <v>62.7</v>
      </c>
      <c r="H101">
        <v>2.4</v>
      </c>
      <c r="I101">
        <v>2.2000000000000002</v>
      </c>
      <c r="J101">
        <v>20.6</v>
      </c>
      <c r="K101">
        <v>11.4</v>
      </c>
      <c r="L101">
        <f t="shared" si="6"/>
        <v>4.5999999999999996</v>
      </c>
      <c r="M101">
        <f t="shared" si="7"/>
        <v>0.91666666666666674</v>
      </c>
    </row>
    <row r="102" spans="1:13" x14ac:dyDescent="0.25">
      <c r="A102">
        <v>93</v>
      </c>
      <c r="B102" s="1">
        <v>44688</v>
      </c>
      <c r="C102" t="s">
        <v>4</v>
      </c>
      <c r="D102" t="s">
        <v>11</v>
      </c>
      <c r="E102" t="s">
        <v>26</v>
      </c>
      <c r="F102" t="s">
        <v>0</v>
      </c>
      <c r="G102">
        <v>62.4</v>
      </c>
      <c r="H102">
        <v>1.8</v>
      </c>
      <c r="I102">
        <v>3</v>
      </c>
      <c r="J102">
        <v>15.2</v>
      </c>
      <c r="K102">
        <v>14.1</v>
      </c>
      <c r="L102">
        <f t="shared" si="6"/>
        <v>4.8</v>
      </c>
      <c r="M102">
        <f t="shared" si="7"/>
        <v>1.6666666666666665</v>
      </c>
    </row>
    <row r="103" spans="1:13" x14ac:dyDescent="0.25">
      <c r="A103">
        <v>94</v>
      </c>
      <c r="B103" s="1">
        <v>44688</v>
      </c>
      <c r="C103" t="s">
        <v>4</v>
      </c>
      <c r="D103" t="s">
        <v>11</v>
      </c>
      <c r="E103" t="s">
        <v>26</v>
      </c>
      <c r="F103" t="s">
        <v>0</v>
      </c>
      <c r="G103">
        <v>62.8</v>
      </c>
      <c r="H103">
        <v>2.8</v>
      </c>
      <c r="I103">
        <v>3</v>
      </c>
      <c r="J103">
        <v>7.3</v>
      </c>
      <c r="K103">
        <v>14.3</v>
      </c>
      <c r="L103">
        <f t="shared" si="6"/>
        <v>5.8</v>
      </c>
      <c r="M103">
        <f t="shared" si="7"/>
        <v>1.0714285714285714</v>
      </c>
    </row>
    <row r="104" spans="1:13" x14ac:dyDescent="0.25">
      <c r="A104">
        <v>95</v>
      </c>
      <c r="B104" s="1">
        <v>44688</v>
      </c>
      <c r="C104" t="s">
        <v>4</v>
      </c>
      <c r="D104" t="s">
        <v>11</v>
      </c>
      <c r="E104" t="s">
        <v>26</v>
      </c>
      <c r="F104" t="s">
        <v>0</v>
      </c>
      <c r="G104">
        <v>62.2</v>
      </c>
      <c r="H104">
        <v>3.5</v>
      </c>
      <c r="I104">
        <v>2.4</v>
      </c>
      <c r="J104">
        <v>32</v>
      </c>
      <c r="K104">
        <v>11.6</v>
      </c>
      <c r="L104">
        <f t="shared" si="6"/>
        <v>5.9</v>
      </c>
      <c r="M104">
        <f t="shared" si="7"/>
        <v>0.68571428571428572</v>
      </c>
    </row>
    <row r="105" spans="1:13" x14ac:dyDescent="0.25">
      <c r="A105">
        <v>96</v>
      </c>
      <c r="B105" s="1">
        <v>44689</v>
      </c>
      <c r="C105" t="s">
        <v>4</v>
      </c>
      <c r="D105" t="s">
        <v>11</v>
      </c>
      <c r="E105" t="s">
        <v>26</v>
      </c>
      <c r="F105" t="s">
        <v>0</v>
      </c>
      <c r="G105">
        <v>61</v>
      </c>
      <c r="H105">
        <v>2.8</v>
      </c>
      <c r="I105">
        <v>2</v>
      </c>
      <c r="J105">
        <v>25</v>
      </c>
      <c r="K105">
        <v>14.7</v>
      </c>
      <c r="L105">
        <f t="shared" si="6"/>
        <v>4.8</v>
      </c>
      <c r="M105">
        <f t="shared" si="7"/>
        <v>0.7142857142857143</v>
      </c>
    </row>
    <row r="106" spans="1:13" x14ac:dyDescent="0.25">
      <c r="A106">
        <v>97</v>
      </c>
      <c r="B106" s="1">
        <v>44690</v>
      </c>
      <c r="C106" t="s">
        <v>4</v>
      </c>
      <c r="D106" t="s">
        <v>11</v>
      </c>
      <c r="E106" t="s">
        <v>26</v>
      </c>
      <c r="F106" t="s">
        <v>0</v>
      </c>
      <c r="G106">
        <v>63.6</v>
      </c>
      <c r="H106">
        <v>1.8</v>
      </c>
      <c r="I106">
        <v>2.4</v>
      </c>
      <c r="J106">
        <v>14.9</v>
      </c>
      <c r="K106">
        <v>18</v>
      </c>
      <c r="L106">
        <f t="shared" si="6"/>
        <v>4.2</v>
      </c>
      <c r="M106">
        <f t="shared" si="7"/>
        <v>1.3333333333333333</v>
      </c>
    </row>
    <row r="107" spans="1:13" x14ac:dyDescent="0.25">
      <c r="A107">
        <v>98</v>
      </c>
      <c r="B107" s="1">
        <v>44690</v>
      </c>
      <c r="C107" t="s">
        <v>4</v>
      </c>
      <c r="D107" t="s">
        <v>11</v>
      </c>
      <c r="E107" t="s">
        <v>26</v>
      </c>
      <c r="F107" t="s">
        <v>0</v>
      </c>
      <c r="G107">
        <v>63.3</v>
      </c>
      <c r="H107">
        <v>2</v>
      </c>
      <c r="I107">
        <v>2.8</v>
      </c>
      <c r="J107">
        <v>23.6</v>
      </c>
      <c r="K107">
        <v>15.1</v>
      </c>
      <c r="L107">
        <f t="shared" si="6"/>
        <v>4.8</v>
      </c>
      <c r="M107">
        <f t="shared" si="7"/>
        <v>1.4</v>
      </c>
    </row>
    <row r="108" spans="1:13" x14ac:dyDescent="0.25">
      <c r="A108">
        <v>99</v>
      </c>
      <c r="B108" s="1">
        <v>44691</v>
      </c>
      <c r="C108" t="s">
        <v>4</v>
      </c>
      <c r="D108" t="s">
        <v>11</v>
      </c>
      <c r="E108" t="s">
        <v>26</v>
      </c>
      <c r="F108" t="s">
        <v>0</v>
      </c>
      <c r="G108">
        <v>61.7</v>
      </c>
      <c r="H108">
        <v>2.2999999999999998</v>
      </c>
      <c r="I108">
        <v>2.8</v>
      </c>
      <c r="J108">
        <v>31.9</v>
      </c>
      <c r="K108">
        <v>11.4</v>
      </c>
      <c r="L108">
        <f t="shared" si="6"/>
        <v>5.0999999999999996</v>
      </c>
      <c r="M108">
        <f t="shared" si="7"/>
        <v>1.2173913043478262</v>
      </c>
    </row>
    <row r="109" spans="1:13" x14ac:dyDescent="0.25">
      <c r="A109">
        <v>100</v>
      </c>
      <c r="B109" s="1">
        <v>44691</v>
      </c>
      <c r="C109" t="s">
        <v>4</v>
      </c>
      <c r="D109" t="s">
        <v>11</v>
      </c>
      <c r="E109" t="s">
        <v>26</v>
      </c>
      <c r="F109" t="s">
        <v>0</v>
      </c>
      <c r="G109">
        <v>62.4</v>
      </c>
      <c r="H109">
        <v>1.8</v>
      </c>
      <c r="I109">
        <v>1.6</v>
      </c>
      <c r="J109">
        <v>23.6</v>
      </c>
      <c r="K109">
        <v>17.600000000000001</v>
      </c>
      <c r="L109">
        <f t="shared" si="6"/>
        <v>3.4000000000000004</v>
      </c>
      <c r="M109">
        <f t="shared" si="7"/>
        <v>0.88888888888888895</v>
      </c>
    </row>
    <row r="110" spans="1:13" x14ac:dyDescent="0.25">
      <c r="A110">
        <v>101</v>
      </c>
      <c r="B110" s="1">
        <v>44692</v>
      </c>
      <c r="C110" t="s">
        <v>4</v>
      </c>
      <c r="D110" t="s">
        <v>11</v>
      </c>
      <c r="E110" t="s">
        <v>26</v>
      </c>
      <c r="F110" t="s">
        <v>0</v>
      </c>
      <c r="G110">
        <v>62.2</v>
      </c>
      <c r="H110">
        <v>2.2999999999999998</v>
      </c>
      <c r="I110">
        <v>2.1</v>
      </c>
      <c r="J110">
        <v>20.7</v>
      </c>
      <c r="K110">
        <v>13.6</v>
      </c>
      <c r="L110">
        <f t="shared" si="6"/>
        <v>4.4000000000000004</v>
      </c>
      <c r="M110">
        <f t="shared" si="7"/>
        <v>0.91304347826086962</v>
      </c>
    </row>
    <row r="111" spans="1:13" x14ac:dyDescent="0.25">
      <c r="A111">
        <v>102</v>
      </c>
      <c r="B111" s="1">
        <v>44692</v>
      </c>
      <c r="C111" t="s">
        <v>4</v>
      </c>
      <c r="D111" t="s">
        <v>11</v>
      </c>
      <c r="E111" t="s">
        <v>26</v>
      </c>
      <c r="F111" t="s">
        <v>0</v>
      </c>
      <c r="G111">
        <v>62.9</v>
      </c>
      <c r="H111">
        <v>1.8</v>
      </c>
      <c r="I111">
        <v>2.2000000000000002</v>
      </c>
      <c r="J111">
        <v>25.9</v>
      </c>
      <c r="K111">
        <v>11.5</v>
      </c>
      <c r="L111">
        <f t="shared" si="6"/>
        <v>4</v>
      </c>
      <c r="M111">
        <f t="shared" si="7"/>
        <v>1.2222222222222223</v>
      </c>
    </row>
    <row r="112" spans="1:13" x14ac:dyDescent="0.25">
      <c r="A112">
        <v>103</v>
      </c>
      <c r="B112" s="1">
        <v>44693</v>
      </c>
      <c r="C112" t="s">
        <v>4</v>
      </c>
      <c r="D112" t="s">
        <v>11</v>
      </c>
      <c r="E112" t="s">
        <v>26</v>
      </c>
      <c r="F112" t="s">
        <v>0</v>
      </c>
      <c r="G112">
        <v>62.2</v>
      </c>
      <c r="H112">
        <v>3</v>
      </c>
      <c r="I112">
        <v>2.4</v>
      </c>
      <c r="J112">
        <v>30.6</v>
      </c>
      <c r="K112">
        <v>13.1</v>
      </c>
      <c r="L112">
        <f t="shared" si="6"/>
        <v>5.4</v>
      </c>
      <c r="M112">
        <f t="shared" si="7"/>
        <v>0.79999999999999993</v>
      </c>
    </row>
    <row r="113" spans="1:13" x14ac:dyDescent="0.25">
      <c r="A113">
        <v>104</v>
      </c>
      <c r="B113" s="1">
        <v>44693</v>
      </c>
      <c r="C113" t="s">
        <v>4</v>
      </c>
      <c r="D113" t="s">
        <v>11</v>
      </c>
      <c r="E113" t="s">
        <v>26</v>
      </c>
      <c r="F113" t="s">
        <v>0</v>
      </c>
      <c r="G113">
        <v>61</v>
      </c>
      <c r="H113">
        <v>5.6</v>
      </c>
      <c r="I113">
        <v>3</v>
      </c>
      <c r="J113">
        <v>2.5</v>
      </c>
      <c r="K113">
        <v>26</v>
      </c>
      <c r="L113">
        <f t="shared" si="6"/>
        <v>8.6</v>
      </c>
      <c r="M113">
        <f t="shared" si="7"/>
        <v>0.5357142857142857</v>
      </c>
    </row>
    <row r="114" spans="1:13" x14ac:dyDescent="0.25">
      <c r="A114">
        <v>105</v>
      </c>
      <c r="B114" s="1">
        <v>44694</v>
      </c>
      <c r="C114" t="s">
        <v>4</v>
      </c>
      <c r="D114" t="s">
        <v>11</v>
      </c>
      <c r="E114" t="s">
        <v>26</v>
      </c>
      <c r="F114" t="s">
        <v>0</v>
      </c>
      <c r="G114">
        <v>60.6</v>
      </c>
      <c r="H114">
        <v>6</v>
      </c>
      <c r="I114">
        <v>1.8</v>
      </c>
      <c r="J114">
        <v>23.3</v>
      </c>
      <c r="K114">
        <v>12.6</v>
      </c>
      <c r="L114">
        <f t="shared" si="6"/>
        <v>7.8</v>
      </c>
      <c r="M114">
        <f t="shared" si="7"/>
        <v>0.3</v>
      </c>
    </row>
    <row r="115" spans="1:13" x14ac:dyDescent="0.25">
      <c r="A115">
        <v>106</v>
      </c>
      <c r="B115" s="1">
        <v>44694</v>
      </c>
      <c r="C115" t="s">
        <v>4</v>
      </c>
      <c r="D115" t="s">
        <v>11</v>
      </c>
      <c r="E115" t="s">
        <v>26</v>
      </c>
      <c r="F115" t="s">
        <v>0</v>
      </c>
      <c r="G115">
        <v>59.8</v>
      </c>
      <c r="H115">
        <v>6.9</v>
      </c>
      <c r="I115">
        <v>1.9</v>
      </c>
      <c r="J115">
        <v>23.2</v>
      </c>
      <c r="K115">
        <v>14.7</v>
      </c>
      <c r="L115">
        <f t="shared" ref="L115:L146" si="8">+I115+H115</f>
        <v>8.8000000000000007</v>
      </c>
      <c r="M115">
        <f t="shared" ref="M115:M146" si="9">+I115/IF(H115 = 0,1,H115)</f>
        <v>0.27536231884057966</v>
      </c>
    </row>
    <row r="116" spans="1:13" x14ac:dyDescent="0.25">
      <c r="A116">
        <v>107</v>
      </c>
      <c r="B116" s="1">
        <v>44694</v>
      </c>
      <c r="C116" t="s">
        <v>4</v>
      </c>
      <c r="D116" t="s">
        <v>11</v>
      </c>
      <c r="E116" t="s">
        <v>26</v>
      </c>
      <c r="F116" t="s">
        <v>0</v>
      </c>
      <c r="G116">
        <v>59</v>
      </c>
      <c r="H116">
        <v>4.8</v>
      </c>
      <c r="I116">
        <v>4</v>
      </c>
      <c r="J116">
        <v>10</v>
      </c>
      <c r="K116">
        <v>22.5</v>
      </c>
      <c r="L116">
        <f t="shared" si="8"/>
        <v>8.8000000000000007</v>
      </c>
      <c r="M116">
        <f t="shared" si="9"/>
        <v>0.83333333333333337</v>
      </c>
    </row>
    <row r="117" spans="1:13" x14ac:dyDescent="0.25">
      <c r="A117">
        <v>108</v>
      </c>
      <c r="B117" s="1">
        <v>44695</v>
      </c>
      <c r="C117" t="s">
        <v>4</v>
      </c>
      <c r="D117" t="s">
        <v>11</v>
      </c>
      <c r="E117" t="s">
        <v>26</v>
      </c>
      <c r="F117" t="s">
        <v>0</v>
      </c>
      <c r="G117">
        <v>58.2</v>
      </c>
      <c r="H117">
        <v>8.6</v>
      </c>
      <c r="I117">
        <v>2.5</v>
      </c>
      <c r="J117">
        <v>23.7</v>
      </c>
      <c r="K117">
        <v>15.3</v>
      </c>
      <c r="L117">
        <f t="shared" si="8"/>
        <v>11.1</v>
      </c>
      <c r="M117">
        <f t="shared" si="9"/>
        <v>0.29069767441860467</v>
      </c>
    </row>
    <row r="118" spans="1:13" x14ac:dyDescent="0.25">
      <c r="A118">
        <v>109</v>
      </c>
      <c r="B118" s="1">
        <v>44696</v>
      </c>
      <c r="C118" t="s">
        <v>4</v>
      </c>
      <c r="D118" t="s">
        <v>11</v>
      </c>
      <c r="E118" t="s">
        <v>26</v>
      </c>
      <c r="F118" t="s">
        <v>0</v>
      </c>
      <c r="G118">
        <v>61.2</v>
      </c>
      <c r="H118">
        <v>4.0999999999999996</v>
      </c>
      <c r="I118">
        <v>2.5</v>
      </c>
      <c r="J118">
        <v>10.5</v>
      </c>
      <c r="K118">
        <v>34.200000000000003</v>
      </c>
      <c r="L118">
        <f t="shared" si="8"/>
        <v>6.6</v>
      </c>
      <c r="M118">
        <f t="shared" si="9"/>
        <v>0.60975609756097571</v>
      </c>
    </row>
    <row r="119" spans="1:13" x14ac:dyDescent="0.25">
      <c r="A119">
        <v>110</v>
      </c>
      <c r="B119" s="1">
        <v>44696</v>
      </c>
      <c r="C119" t="s">
        <v>4</v>
      </c>
      <c r="D119" t="s">
        <v>11</v>
      </c>
      <c r="E119" t="s">
        <v>26</v>
      </c>
      <c r="F119" t="s">
        <v>0</v>
      </c>
      <c r="G119">
        <v>63</v>
      </c>
      <c r="H119">
        <v>3</v>
      </c>
      <c r="I119">
        <v>1.5</v>
      </c>
      <c r="J119">
        <v>11.6</v>
      </c>
      <c r="K119">
        <v>39.9</v>
      </c>
      <c r="L119">
        <f t="shared" si="8"/>
        <v>4.5</v>
      </c>
      <c r="M119">
        <f t="shared" si="9"/>
        <v>0.5</v>
      </c>
    </row>
    <row r="120" spans="1:13" x14ac:dyDescent="0.25">
      <c r="A120">
        <v>111</v>
      </c>
      <c r="B120" s="1">
        <v>44696</v>
      </c>
      <c r="C120" t="s">
        <v>4</v>
      </c>
      <c r="D120" t="s">
        <v>11</v>
      </c>
      <c r="E120" t="s">
        <v>26</v>
      </c>
      <c r="F120" t="s">
        <v>0</v>
      </c>
      <c r="G120">
        <v>61</v>
      </c>
      <c r="H120">
        <v>4</v>
      </c>
      <c r="I120">
        <v>3.9</v>
      </c>
      <c r="J120">
        <v>7.6</v>
      </c>
      <c r="K120">
        <v>15</v>
      </c>
      <c r="L120">
        <f t="shared" si="8"/>
        <v>7.9</v>
      </c>
      <c r="M120">
        <f t="shared" si="9"/>
        <v>0.97499999999999998</v>
      </c>
    </row>
    <row r="121" spans="1:13" x14ac:dyDescent="0.25">
      <c r="A121">
        <v>112</v>
      </c>
      <c r="B121" s="1">
        <v>44697</v>
      </c>
      <c r="C121" t="s">
        <v>4</v>
      </c>
      <c r="D121" t="s">
        <v>11</v>
      </c>
      <c r="E121" t="s">
        <v>26</v>
      </c>
      <c r="F121" t="s">
        <v>0</v>
      </c>
      <c r="G121">
        <v>62.3</v>
      </c>
      <c r="H121">
        <v>4</v>
      </c>
      <c r="I121">
        <v>1.8</v>
      </c>
      <c r="J121">
        <v>29.7</v>
      </c>
      <c r="K121">
        <v>13.5</v>
      </c>
      <c r="L121">
        <f t="shared" si="8"/>
        <v>5.8</v>
      </c>
      <c r="M121">
        <f t="shared" si="9"/>
        <v>0.45</v>
      </c>
    </row>
    <row r="122" spans="1:13" x14ac:dyDescent="0.25">
      <c r="A122">
        <v>113</v>
      </c>
      <c r="B122" s="1">
        <v>44697</v>
      </c>
      <c r="C122" t="s">
        <v>4</v>
      </c>
      <c r="D122" t="s">
        <v>11</v>
      </c>
      <c r="E122" t="s">
        <v>26</v>
      </c>
      <c r="F122" t="s">
        <v>0</v>
      </c>
      <c r="G122">
        <v>62.2</v>
      </c>
      <c r="H122">
        <v>3.4</v>
      </c>
      <c r="I122">
        <v>1.6</v>
      </c>
      <c r="J122">
        <v>42.5</v>
      </c>
      <c r="K122">
        <v>8.9</v>
      </c>
      <c r="L122">
        <f t="shared" si="8"/>
        <v>5</v>
      </c>
      <c r="M122">
        <f t="shared" si="9"/>
        <v>0.4705882352941177</v>
      </c>
    </row>
    <row r="123" spans="1:13" x14ac:dyDescent="0.25">
      <c r="A123">
        <v>114</v>
      </c>
      <c r="B123" s="1">
        <v>44698</v>
      </c>
      <c r="C123" t="s">
        <v>4</v>
      </c>
      <c r="D123" t="s">
        <v>11</v>
      </c>
      <c r="E123" t="s">
        <v>26</v>
      </c>
      <c r="F123" t="s">
        <v>0</v>
      </c>
      <c r="G123">
        <v>61.8</v>
      </c>
      <c r="H123">
        <v>3.2</v>
      </c>
      <c r="I123">
        <v>1.6</v>
      </c>
      <c r="J123">
        <v>20.5</v>
      </c>
      <c r="K123">
        <v>9</v>
      </c>
      <c r="L123">
        <f t="shared" si="8"/>
        <v>4.8000000000000007</v>
      </c>
      <c r="M123">
        <f t="shared" si="9"/>
        <v>0.5</v>
      </c>
    </row>
    <row r="124" spans="1:13" x14ac:dyDescent="0.25">
      <c r="A124">
        <v>115</v>
      </c>
      <c r="B124" s="1">
        <v>44698</v>
      </c>
      <c r="C124" t="s">
        <v>4</v>
      </c>
      <c r="D124" t="s">
        <v>11</v>
      </c>
      <c r="E124" t="s">
        <v>26</v>
      </c>
      <c r="F124" t="s">
        <v>0</v>
      </c>
      <c r="G124">
        <v>60.3</v>
      </c>
      <c r="H124">
        <v>5.8</v>
      </c>
      <c r="I124">
        <v>2.2999999999999998</v>
      </c>
      <c r="J124">
        <v>24.8</v>
      </c>
      <c r="K124">
        <v>23.5</v>
      </c>
      <c r="L124">
        <f t="shared" si="8"/>
        <v>8.1</v>
      </c>
      <c r="M124">
        <f t="shared" si="9"/>
        <v>0.39655172413793099</v>
      </c>
    </row>
    <row r="125" spans="1:13" x14ac:dyDescent="0.25">
      <c r="A125">
        <v>116</v>
      </c>
      <c r="B125" s="1">
        <v>44698</v>
      </c>
      <c r="C125" t="s">
        <v>4</v>
      </c>
      <c r="D125" t="s">
        <v>11</v>
      </c>
      <c r="E125" t="s">
        <v>26</v>
      </c>
      <c r="F125" t="s">
        <v>0</v>
      </c>
      <c r="G125">
        <v>61.4</v>
      </c>
      <c r="H125">
        <v>3.5</v>
      </c>
      <c r="I125">
        <v>1.6</v>
      </c>
      <c r="J125">
        <v>12.4</v>
      </c>
      <c r="K125">
        <v>16.399999999999999</v>
      </c>
      <c r="L125">
        <f t="shared" si="8"/>
        <v>5.0999999999999996</v>
      </c>
      <c r="M125">
        <f t="shared" si="9"/>
        <v>0.45714285714285718</v>
      </c>
    </row>
    <row r="126" spans="1:13" x14ac:dyDescent="0.25">
      <c r="A126">
        <v>117</v>
      </c>
      <c r="B126" s="1">
        <v>44699</v>
      </c>
      <c r="C126" t="s">
        <v>4</v>
      </c>
      <c r="D126" t="s">
        <v>11</v>
      </c>
      <c r="E126" t="s">
        <v>26</v>
      </c>
      <c r="F126" t="s">
        <v>0</v>
      </c>
      <c r="G126">
        <v>62.4</v>
      </c>
      <c r="H126">
        <v>2</v>
      </c>
      <c r="I126">
        <v>3.1</v>
      </c>
      <c r="J126">
        <v>17.899999999999999</v>
      </c>
      <c r="K126">
        <v>15.6</v>
      </c>
      <c r="L126">
        <f t="shared" si="8"/>
        <v>5.0999999999999996</v>
      </c>
      <c r="M126">
        <f t="shared" si="9"/>
        <v>1.55</v>
      </c>
    </row>
    <row r="127" spans="1:13" x14ac:dyDescent="0.25">
      <c r="A127">
        <v>118</v>
      </c>
      <c r="B127" s="1">
        <v>44699</v>
      </c>
      <c r="C127" t="s">
        <v>4</v>
      </c>
      <c r="D127" t="s">
        <v>11</v>
      </c>
      <c r="E127" t="s">
        <v>26</v>
      </c>
      <c r="F127" t="s">
        <v>0</v>
      </c>
      <c r="G127">
        <v>62</v>
      </c>
      <c r="H127">
        <v>3.2</v>
      </c>
      <c r="I127">
        <v>2</v>
      </c>
      <c r="J127">
        <v>12.4</v>
      </c>
      <c r="K127">
        <v>17.8</v>
      </c>
      <c r="L127">
        <f t="shared" si="8"/>
        <v>5.2</v>
      </c>
      <c r="M127">
        <f t="shared" si="9"/>
        <v>0.625</v>
      </c>
    </row>
    <row r="128" spans="1:13" x14ac:dyDescent="0.25">
      <c r="A128">
        <v>119</v>
      </c>
      <c r="B128" s="1">
        <v>44699</v>
      </c>
      <c r="C128" t="s">
        <v>4</v>
      </c>
      <c r="D128" t="s">
        <v>11</v>
      </c>
      <c r="E128" t="s">
        <v>26</v>
      </c>
      <c r="F128" t="s">
        <v>0</v>
      </c>
      <c r="G128">
        <v>60.3</v>
      </c>
      <c r="H128">
        <v>6.8</v>
      </c>
      <c r="I128">
        <v>2.6</v>
      </c>
      <c r="J128">
        <v>8.5</v>
      </c>
      <c r="K128">
        <v>35.200000000000003</v>
      </c>
      <c r="L128">
        <f t="shared" si="8"/>
        <v>9.4</v>
      </c>
      <c r="M128">
        <f t="shared" si="9"/>
        <v>0.38235294117647062</v>
      </c>
    </row>
    <row r="129" spans="1:13" x14ac:dyDescent="0.25">
      <c r="A129">
        <v>120</v>
      </c>
      <c r="B129" s="1">
        <v>44700</v>
      </c>
      <c r="C129" t="s">
        <v>4</v>
      </c>
      <c r="D129" t="s">
        <v>11</v>
      </c>
      <c r="E129" t="s">
        <v>26</v>
      </c>
      <c r="F129" t="s">
        <v>0</v>
      </c>
      <c r="G129">
        <v>62.7</v>
      </c>
      <c r="H129">
        <v>2.4</v>
      </c>
      <c r="I129">
        <v>2.7</v>
      </c>
      <c r="J129">
        <v>24.9</v>
      </c>
      <c r="K129">
        <v>12.4</v>
      </c>
      <c r="L129">
        <f t="shared" si="8"/>
        <v>5.0999999999999996</v>
      </c>
      <c r="M129">
        <f t="shared" si="9"/>
        <v>1.1250000000000002</v>
      </c>
    </row>
    <row r="130" spans="1:13" x14ac:dyDescent="0.25">
      <c r="A130">
        <v>121</v>
      </c>
      <c r="B130" s="1">
        <v>44700</v>
      </c>
      <c r="C130" t="s">
        <v>4</v>
      </c>
      <c r="D130" t="s">
        <v>11</v>
      </c>
      <c r="E130" t="s">
        <v>26</v>
      </c>
      <c r="F130" t="s">
        <v>0</v>
      </c>
      <c r="G130">
        <v>62</v>
      </c>
      <c r="H130">
        <v>4.2</v>
      </c>
      <c r="I130">
        <v>1.8</v>
      </c>
      <c r="J130">
        <v>16.600000000000001</v>
      </c>
      <c r="K130">
        <v>14.4</v>
      </c>
      <c r="L130">
        <f t="shared" si="8"/>
        <v>6</v>
      </c>
      <c r="M130">
        <f t="shared" si="9"/>
        <v>0.42857142857142855</v>
      </c>
    </row>
    <row r="131" spans="1:13" x14ac:dyDescent="0.25">
      <c r="A131">
        <v>122</v>
      </c>
      <c r="B131" s="1">
        <v>44700</v>
      </c>
      <c r="C131" t="s">
        <v>4</v>
      </c>
      <c r="D131" t="s">
        <v>11</v>
      </c>
      <c r="E131" t="s">
        <v>26</v>
      </c>
      <c r="F131" t="s">
        <v>0</v>
      </c>
      <c r="G131">
        <v>62.1</v>
      </c>
      <c r="H131">
        <v>3</v>
      </c>
      <c r="I131">
        <v>2.7</v>
      </c>
      <c r="J131">
        <v>2.2000000000000002</v>
      </c>
      <c r="K131">
        <v>35.5</v>
      </c>
      <c r="L131">
        <f t="shared" si="8"/>
        <v>5.7</v>
      </c>
      <c r="M131">
        <f t="shared" si="9"/>
        <v>0.9</v>
      </c>
    </row>
    <row r="132" spans="1:13" x14ac:dyDescent="0.25">
      <c r="A132">
        <v>123</v>
      </c>
      <c r="B132" s="1">
        <v>44702</v>
      </c>
      <c r="C132" t="s">
        <v>4</v>
      </c>
      <c r="D132" t="s">
        <v>11</v>
      </c>
      <c r="E132" t="s">
        <v>26</v>
      </c>
      <c r="F132" t="s">
        <v>0</v>
      </c>
      <c r="G132">
        <v>63</v>
      </c>
      <c r="H132">
        <v>2</v>
      </c>
      <c r="I132">
        <v>4.8</v>
      </c>
      <c r="J132">
        <v>10.9</v>
      </c>
      <c r="K132">
        <v>22.8</v>
      </c>
      <c r="L132">
        <f t="shared" si="8"/>
        <v>6.8</v>
      </c>
      <c r="M132">
        <f t="shared" si="9"/>
        <v>2.4</v>
      </c>
    </row>
    <row r="133" spans="1:13" x14ac:dyDescent="0.25">
      <c r="A133">
        <v>124</v>
      </c>
      <c r="B133" s="1">
        <v>44702</v>
      </c>
      <c r="C133" t="s">
        <v>4</v>
      </c>
      <c r="D133" t="s">
        <v>11</v>
      </c>
      <c r="E133" t="s">
        <v>26</v>
      </c>
      <c r="F133" t="s">
        <v>0</v>
      </c>
      <c r="G133">
        <v>63.2</v>
      </c>
      <c r="H133">
        <v>1.5</v>
      </c>
      <c r="I133">
        <v>1.6</v>
      </c>
      <c r="J133">
        <v>26.9</v>
      </c>
      <c r="K133">
        <v>13.6</v>
      </c>
      <c r="L133">
        <f t="shared" si="8"/>
        <v>3.1</v>
      </c>
      <c r="M133">
        <f t="shared" si="9"/>
        <v>1.0666666666666667</v>
      </c>
    </row>
    <row r="134" spans="1:13" x14ac:dyDescent="0.25">
      <c r="A134">
        <v>125</v>
      </c>
      <c r="B134" s="1">
        <v>44703</v>
      </c>
      <c r="C134" t="s">
        <v>4</v>
      </c>
      <c r="D134" t="s">
        <v>11</v>
      </c>
      <c r="E134" t="s">
        <v>26</v>
      </c>
      <c r="F134" t="s">
        <v>0</v>
      </c>
      <c r="G134">
        <v>62.1</v>
      </c>
      <c r="H134">
        <v>3.9</v>
      </c>
      <c r="I134">
        <v>2.4</v>
      </c>
      <c r="J134">
        <v>7.8</v>
      </c>
      <c r="K134">
        <v>12.6</v>
      </c>
      <c r="L134">
        <f t="shared" si="8"/>
        <v>6.3</v>
      </c>
      <c r="M134">
        <f t="shared" si="9"/>
        <v>0.61538461538461542</v>
      </c>
    </row>
    <row r="135" spans="1:13" x14ac:dyDescent="0.25">
      <c r="A135">
        <v>126</v>
      </c>
      <c r="B135" s="1">
        <v>44704</v>
      </c>
      <c r="C135" t="s">
        <v>4</v>
      </c>
      <c r="D135" t="s">
        <v>11</v>
      </c>
      <c r="E135" t="s">
        <v>26</v>
      </c>
      <c r="F135" t="s">
        <v>0</v>
      </c>
      <c r="G135">
        <v>62</v>
      </c>
      <c r="H135">
        <v>3.8</v>
      </c>
      <c r="I135">
        <v>3</v>
      </c>
      <c r="J135">
        <v>17.5</v>
      </c>
      <c r="K135">
        <v>14.1</v>
      </c>
      <c r="L135">
        <f t="shared" si="8"/>
        <v>6.8</v>
      </c>
      <c r="M135">
        <f t="shared" si="9"/>
        <v>0.78947368421052633</v>
      </c>
    </row>
    <row r="136" spans="1:13" x14ac:dyDescent="0.25">
      <c r="A136">
        <v>127</v>
      </c>
      <c r="B136" s="1">
        <v>44705</v>
      </c>
      <c r="C136" t="s">
        <v>4</v>
      </c>
      <c r="D136" t="s">
        <v>11</v>
      </c>
      <c r="E136" t="s">
        <v>26</v>
      </c>
      <c r="F136" t="s">
        <v>0</v>
      </c>
      <c r="G136">
        <v>62.9</v>
      </c>
      <c r="H136">
        <v>1.8</v>
      </c>
      <c r="I136">
        <v>2</v>
      </c>
      <c r="J136">
        <v>32.799999999999997</v>
      </c>
      <c r="K136">
        <v>9.6</v>
      </c>
      <c r="L136">
        <f t="shared" si="8"/>
        <v>3.8</v>
      </c>
      <c r="M136">
        <f t="shared" si="9"/>
        <v>1.1111111111111112</v>
      </c>
    </row>
    <row r="137" spans="1:13" x14ac:dyDescent="0.25">
      <c r="A137">
        <v>128</v>
      </c>
      <c r="B137" s="1">
        <v>44705</v>
      </c>
      <c r="C137" t="s">
        <v>4</v>
      </c>
      <c r="D137" t="s">
        <v>11</v>
      </c>
      <c r="E137" t="s">
        <v>26</v>
      </c>
      <c r="F137" t="s">
        <v>0</v>
      </c>
      <c r="G137">
        <v>60.9</v>
      </c>
      <c r="H137">
        <v>5.0999999999999996</v>
      </c>
      <c r="I137">
        <v>1.2</v>
      </c>
      <c r="J137">
        <v>21.3</v>
      </c>
      <c r="K137">
        <v>12.7</v>
      </c>
      <c r="L137">
        <f t="shared" si="8"/>
        <v>6.3</v>
      </c>
      <c r="M137">
        <f t="shared" si="9"/>
        <v>0.23529411764705882</v>
      </c>
    </row>
    <row r="138" spans="1:13" x14ac:dyDescent="0.25">
      <c r="A138">
        <v>129</v>
      </c>
      <c r="B138" s="1">
        <v>44706</v>
      </c>
      <c r="C138" t="s">
        <v>4</v>
      </c>
      <c r="D138" t="s">
        <v>11</v>
      </c>
      <c r="E138" t="s">
        <v>26</v>
      </c>
      <c r="F138" t="s">
        <v>0</v>
      </c>
      <c r="G138">
        <v>63.1</v>
      </c>
      <c r="H138">
        <v>2.4</v>
      </c>
      <c r="I138">
        <v>2</v>
      </c>
      <c r="J138">
        <v>38</v>
      </c>
      <c r="K138">
        <v>7.7</v>
      </c>
      <c r="L138">
        <f t="shared" si="8"/>
        <v>4.4000000000000004</v>
      </c>
      <c r="M138">
        <f t="shared" si="9"/>
        <v>0.83333333333333337</v>
      </c>
    </row>
    <row r="139" spans="1:13" x14ac:dyDescent="0.25">
      <c r="A139">
        <v>130</v>
      </c>
      <c r="B139" s="1">
        <v>44706</v>
      </c>
      <c r="C139" t="s">
        <v>4</v>
      </c>
      <c r="D139" t="s">
        <v>11</v>
      </c>
      <c r="E139" t="s">
        <v>26</v>
      </c>
      <c r="F139" t="s">
        <v>0</v>
      </c>
      <c r="G139">
        <v>61.5</v>
      </c>
      <c r="H139">
        <v>5.2</v>
      </c>
      <c r="I139">
        <v>1.4</v>
      </c>
      <c r="J139">
        <v>30.4</v>
      </c>
      <c r="K139">
        <v>10</v>
      </c>
      <c r="L139">
        <f t="shared" si="8"/>
        <v>6.6</v>
      </c>
      <c r="M139">
        <f t="shared" si="9"/>
        <v>0.26923076923076922</v>
      </c>
    </row>
    <row r="140" spans="1:13" x14ac:dyDescent="0.25">
      <c r="A140">
        <v>131</v>
      </c>
      <c r="B140" s="1">
        <v>44706</v>
      </c>
      <c r="C140" t="s">
        <v>4</v>
      </c>
      <c r="D140" t="s">
        <v>11</v>
      </c>
      <c r="E140" t="s">
        <v>26</v>
      </c>
      <c r="F140" t="s">
        <v>0</v>
      </c>
      <c r="G140">
        <v>62.5</v>
      </c>
      <c r="H140">
        <v>1.8</v>
      </c>
      <c r="I140">
        <v>1.6</v>
      </c>
      <c r="J140">
        <v>14.2</v>
      </c>
      <c r="K140">
        <v>13.9</v>
      </c>
      <c r="L140">
        <f t="shared" si="8"/>
        <v>3.4000000000000004</v>
      </c>
      <c r="M140">
        <f t="shared" si="9"/>
        <v>0.88888888888888895</v>
      </c>
    </row>
    <row r="141" spans="1:13" x14ac:dyDescent="0.25">
      <c r="A141">
        <v>132</v>
      </c>
      <c r="B141" s="1">
        <v>44707</v>
      </c>
      <c r="C141" t="s">
        <v>4</v>
      </c>
      <c r="D141" t="s">
        <v>11</v>
      </c>
      <c r="E141" t="s">
        <v>26</v>
      </c>
      <c r="F141" t="s">
        <v>0</v>
      </c>
      <c r="G141">
        <v>63.5</v>
      </c>
      <c r="H141">
        <v>2</v>
      </c>
      <c r="I141">
        <v>1.6</v>
      </c>
      <c r="J141">
        <v>5.7</v>
      </c>
      <c r="K141">
        <v>15.7</v>
      </c>
      <c r="L141">
        <f t="shared" si="8"/>
        <v>3.6</v>
      </c>
      <c r="M141">
        <f t="shared" si="9"/>
        <v>0.8</v>
      </c>
    </row>
    <row r="142" spans="1:13" x14ac:dyDescent="0.25">
      <c r="A142">
        <v>133</v>
      </c>
      <c r="B142" s="1">
        <v>44707</v>
      </c>
      <c r="C142" t="s">
        <v>4</v>
      </c>
      <c r="D142" t="s">
        <v>11</v>
      </c>
      <c r="E142" t="s">
        <v>26</v>
      </c>
      <c r="F142" t="s">
        <v>0</v>
      </c>
      <c r="G142">
        <v>62</v>
      </c>
      <c r="H142">
        <v>2.9</v>
      </c>
      <c r="I142">
        <v>2.4</v>
      </c>
      <c r="J142">
        <v>19.399999999999999</v>
      </c>
      <c r="K142">
        <v>7.3</v>
      </c>
      <c r="L142">
        <f t="shared" si="8"/>
        <v>5.3</v>
      </c>
      <c r="M142">
        <f t="shared" si="9"/>
        <v>0.82758620689655171</v>
      </c>
    </row>
    <row r="143" spans="1:13" x14ac:dyDescent="0.25">
      <c r="A143">
        <v>134</v>
      </c>
      <c r="B143" s="1">
        <v>44708</v>
      </c>
      <c r="C143" t="s">
        <v>4</v>
      </c>
      <c r="D143" t="s">
        <v>11</v>
      </c>
      <c r="E143" t="s">
        <v>26</v>
      </c>
      <c r="F143" t="s">
        <v>0</v>
      </c>
      <c r="G143">
        <v>61.9</v>
      </c>
      <c r="H143">
        <v>2</v>
      </c>
      <c r="I143">
        <v>4.9000000000000004</v>
      </c>
      <c r="J143">
        <v>16.399999999999999</v>
      </c>
      <c r="K143">
        <v>14.7</v>
      </c>
      <c r="L143">
        <f t="shared" si="8"/>
        <v>6.9</v>
      </c>
      <c r="M143">
        <f t="shared" si="9"/>
        <v>2.4500000000000002</v>
      </c>
    </row>
    <row r="144" spans="1:13" x14ac:dyDescent="0.25">
      <c r="A144">
        <v>135</v>
      </c>
      <c r="B144" s="1">
        <v>44708</v>
      </c>
      <c r="C144" t="s">
        <v>4</v>
      </c>
      <c r="D144" t="s">
        <v>11</v>
      </c>
      <c r="E144" t="s">
        <v>26</v>
      </c>
      <c r="F144" t="s">
        <v>0</v>
      </c>
      <c r="G144">
        <v>60.8</v>
      </c>
      <c r="H144">
        <v>2.5</v>
      </c>
      <c r="I144">
        <v>4.3</v>
      </c>
      <c r="J144">
        <v>20.100000000000001</v>
      </c>
      <c r="K144">
        <v>15.2</v>
      </c>
      <c r="L144">
        <f t="shared" si="8"/>
        <v>6.8</v>
      </c>
      <c r="M144">
        <f t="shared" si="9"/>
        <v>1.72</v>
      </c>
    </row>
    <row r="145" spans="1:13" x14ac:dyDescent="0.25">
      <c r="A145">
        <v>136</v>
      </c>
      <c r="B145" s="1">
        <v>44709</v>
      </c>
      <c r="C145" t="s">
        <v>4</v>
      </c>
      <c r="D145" t="s">
        <v>11</v>
      </c>
      <c r="E145" t="s">
        <v>26</v>
      </c>
      <c r="F145" t="s">
        <v>0</v>
      </c>
      <c r="G145">
        <v>62.9</v>
      </c>
      <c r="H145">
        <v>2.1</v>
      </c>
      <c r="I145">
        <v>2.8</v>
      </c>
      <c r="J145">
        <v>23.2</v>
      </c>
      <c r="K145">
        <v>15</v>
      </c>
      <c r="L145">
        <f t="shared" si="8"/>
        <v>4.9000000000000004</v>
      </c>
      <c r="M145">
        <f t="shared" si="9"/>
        <v>1.3333333333333333</v>
      </c>
    </row>
    <row r="146" spans="1:13" x14ac:dyDescent="0.25">
      <c r="A146">
        <v>137</v>
      </c>
      <c r="B146" s="1">
        <v>44709</v>
      </c>
      <c r="C146" t="s">
        <v>4</v>
      </c>
      <c r="D146" t="s">
        <v>11</v>
      </c>
      <c r="E146" t="s">
        <v>26</v>
      </c>
      <c r="F146" t="s">
        <v>0</v>
      </c>
      <c r="G146">
        <v>61.5</v>
      </c>
      <c r="H146">
        <v>4.5999999999999996</v>
      </c>
      <c r="I146">
        <v>1.5</v>
      </c>
      <c r="J146">
        <v>29</v>
      </c>
      <c r="K146">
        <v>19.8</v>
      </c>
      <c r="L146">
        <f t="shared" si="8"/>
        <v>6.1</v>
      </c>
      <c r="M146">
        <f t="shared" si="9"/>
        <v>0.32608695652173914</v>
      </c>
    </row>
    <row r="147" spans="1:13" x14ac:dyDescent="0.25">
      <c r="A147">
        <v>138</v>
      </c>
      <c r="B147" s="1">
        <v>44710</v>
      </c>
      <c r="C147" t="s">
        <v>4</v>
      </c>
      <c r="D147" t="s">
        <v>11</v>
      </c>
      <c r="E147" t="s">
        <v>26</v>
      </c>
      <c r="F147" t="s">
        <v>0</v>
      </c>
      <c r="G147">
        <v>61</v>
      </c>
      <c r="H147">
        <v>5.7</v>
      </c>
      <c r="I147">
        <v>1.3</v>
      </c>
      <c r="J147">
        <v>23.1</v>
      </c>
      <c r="K147">
        <v>13.1</v>
      </c>
      <c r="L147">
        <f t="shared" ref="L147:L152" si="10">+I147+H147</f>
        <v>7</v>
      </c>
      <c r="M147">
        <f t="shared" ref="M147:M152" si="11">+I147/IF(H147 = 0,1,H147)</f>
        <v>0.22807017543859648</v>
      </c>
    </row>
    <row r="148" spans="1:13" x14ac:dyDescent="0.25">
      <c r="A148">
        <v>139</v>
      </c>
      <c r="B148" s="1">
        <v>44710</v>
      </c>
      <c r="C148" t="s">
        <v>4</v>
      </c>
      <c r="D148" t="s">
        <v>11</v>
      </c>
      <c r="E148" t="s">
        <v>26</v>
      </c>
      <c r="F148" t="s">
        <v>0</v>
      </c>
      <c r="G148">
        <v>61.7</v>
      </c>
      <c r="H148">
        <v>5.2</v>
      </c>
      <c r="I148">
        <v>1.6</v>
      </c>
      <c r="J148">
        <v>43.6</v>
      </c>
      <c r="K148">
        <v>16.7</v>
      </c>
      <c r="L148">
        <f t="shared" si="10"/>
        <v>6.8000000000000007</v>
      </c>
      <c r="M148">
        <f t="shared" si="11"/>
        <v>0.30769230769230771</v>
      </c>
    </row>
    <row r="149" spans="1:13" x14ac:dyDescent="0.25">
      <c r="A149">
        <v>140</v>
      </c>
      <c r="B149" s="1">
        <v>44710</v>
      </c>
      <c r="C149" t="s">
        <v>4</v>
      </c>
      <c r="D149" t="s">
        <v>11</v>
      </c>
      <c r="E149" t="s">
        <v>26</v>
      </c>
      <c r="F149" t="s">
        <v>0</v>
      </c>
      <c r="G149">
        <v>61</v>
      </c>
      <c r="H149">
        <v>3.9</v>
      </c>
      <c r="I149">
        <v>2.6</v>
      </c>
      <c r="J149">
        <v>6.5</v>
      </c>
      <c r="K149">
        <v>13.7</v>
      </c>
      <c r="L149">
        <f t="shared" si="10"/>
        <v>6.5</v>
      </c>
      <c r="M149">
        <f t="shared" si="11"/>
        <v>0.66666666666666674</v>
      </c>
    </row>
    <row r="150" spans="1:13" x14ac:dyDescent="0.25">
      <c r="A150">
        <v>141</v>
      </c>
      <c r="B150" s="1">
        <v>44711</v>
      </c>
      <c r="C150" t="s">
        <v>4</v>
      </c>
      <c r="D150" t="s">
        <v>11</v>
      </c>
      <c r="E150" t="s">
        <v>26</v>
      </c>
      <c r="F150" t="s">
        <v>0</v>
      </c>
      <c r="G150">
        <v>61.5</v>
      </c>
      <c r="H150">
        <v>4</v>
      </c>
      <c r="I150">
        <v>2.5</v>
      </c>
      <c r="J150">
        <v>18.2</v>
      </c>
      <c r="K150">
        <v>11.8</v>
      </c>
      <c r="L150">
        <f t="shared" si="10"/>
        <v>6.5</v>
      </c>
      <c r="M150">
        <f t="shared" si="11"/>
        <v>0.625</v>
      </c>
    </row>
    <row r="151" spans="1:13" x14ac:dyDescent="0.25">
      <c r="A151">
        <v>142</v>
      </c>
      <c r="B151" s="1">
        <v>44711</v>
      </c>
      <c r="C151" t="s">
        <v>4</v>
      </c>
      <c r="D151" t="s">
        <v>11</v>
      </c>
      <c r="E151" t="s">
        <v>26</v>
      </c>
      <c r="F151" t="s">
        <v>0</v>
      </c>
      <c r="G151">
        <v>62.9</v>
      </c>
      <c r="H151">
        <v>2.9</v>
      </c>
      <c r="I151">
        <v>0.6</v>
      </c>
      <c r="J151">
        <v>19.7</v>
      </c>
      <c r="K151">
        <v>21.2</v>
      </c>
      <c r="L151">
        <f t="shared" si="10"/>
        <v>3.5</v>
      </c>
      <c r="M151">
        <f t="shared" si="11"/>
        <v>0.20689655172413793</v>
      </c>
    </row>
    <row r="152" spans="1:13" x14ac:dyDescent="0.25">
      <c r="A152">
        <v>143</v>
      </c>
      <c r="B152" s="1">
        <v>44712</v>
      </c>
      <c r="C152" t="s">
        <v>4</v>
      </c>
      <c r="D152" t="s">
        <v>11</v>
      </c>
      <c r="E152" t="s">
        <v>26</v>
      </c>
      <c r="F152" t="s">
        <v>0</v>
      </c>
      <c r="G152">
        <v>62.7</v>
      </c>
      <c r="H152">
        <v>3.3</v>
      </c>
      <c r="I152">
        <v>2</v>
      </c>
      <c r="J152">
        <v>11.1</v>
      </c>
      <c r="K152">
        <v>19.899999999999999</v>
      </c>
      <c r="L152">
        <f t="shared" si="10"/>
        <v>5.3</v>
      </c>
      <c r="M152">
        <f t="shared" si="11"/>
        <v>0.60606060606060608</v>
      </c>
    </row>
    <row r="153" spans="1:13" x14ac:dyDescent="0.25">
      <c r="A153">
        <v>144</v>
      </c>
      <c r="B153" s="1">
        <v>44682</v>
      </c>
      <c r="C153" t="s">
        <v>4</v>
      </c>
      <c r="D153" t="s">
        <v>9</v>
      </c>
      <c r="E153" t="s">
        <v>26</v>
      </c>
      <c r="F153" t="s">
        <v>0</v>
      </c>
      <c r="G153">
        <v>63.5</v>
      </c>
      <c r="H153">
        <v>1.8</v>
      </c>
      <c r="I153">
        <v>2</v>
      </c>
      <c r="J153">
        <v>7.8</v>
      </c>
      <c r="K153">
        <v>9.1999999999999993</v>
      </c>
      <c r="L153">
        <f t="shared" ref="L153:L190" si="12">+I153+H153</f>
        <v>3.8</v>
      </c>
      <c r="M153">
        <f t="shared" ref="M153:M190" si="13">+I153/IF(H153 = 0,1,H153)</f>
        <v>1.1111111111111112</v>
      </c>
    </row>
    <row r="154" spans="1:13" x14ac:dyDescent="0.25">
      <c r="A154">
        <v>145</v>
      </c>
      <c r="B154" s="1">
        <v>44684</v>
      </c>
      <c r="C154" t="s">
        <v>4</v>
      </c>
      <c r="D154" t="s">
        <v>9</v>
      </c>
      <c r="E154" t="s">
        <v>26</v>
      </c>
      <c r="F154" t="s">
        <v>0</v>
      </c>
      <c r="G154">
        <v>62.3</v>
      </c>
      <c r="H154">
        <v>2.4</v>
      </c>
      <c r="I154">
        <v>2.4</v>
      </c>
      <c r="J154">
        <v>19.3</v>
      </c>
      <c r="K154">
        <v>12.6</v>
      </c>
      <c r="L154">
        <f t="shared" si="12"/>
        <v>4.8</v>
      </c>
      <c r="M154">
        <f t="shared" si="13"/>
        <v>1</v>
      </c>
    </row>
    <row r="155" spans="1:13" x14ac:dyDescent="0.25">
      <c r="A155">
        <v>146</v>
      </c>
      <c r="B155" s="1">
        <v>44682</v>
      </c>
      <c r="C155" t="s">
        <v>30</v>
      </c>
      <c r="D155" t="s">
        <v>11</v>
      </c>
      <c r="E155" t="s">
        <v>26</v>
      </c>
      <c r="F155" t="s">
        <v>0</v>
      </c>
      <c r="G155">
        <v>64.010000000000005</v>
      </c>
      <c r="H155">
        <v>1.98</v>
      </c>
      <c r="I155">
        <v>1.77</v>
      </c>
      <c r="J155">
        <v>0</v>
      </c>
      <c r="K155">
        <v>16.312056737588652</v>
      </c>
      <c r="L155">
        <f t="shared" si="12"/>
        <v>3.75</v>
      </c>
      <c r="M155">
        <f t="shared" si="13"/>
        <v>0.89393939393939392</v>
      </c>
    </row>
    <row r="156" spans="1:13" x14ac:dyDescent="0.25">
      <c r="A156">
        <v>147</v>
      </c>
      <c r="B156" s="1">
        <v>44683</v>
      </c>
      <c r="C156" t="s">
        <v>30</v>
      </c>
      <c r="D156" t="s">
        <v>9</v>
      </c>
      <c r="E156" t="s">
        <v>26</v>
      </c>
      <c r="F156" t="s">
        <v>0</v>
      </c>
      <c r="G156">
        <v>62.38</v>
      </c>
      <c r="H156">
        <v>5.39</v>
      </c>
      <c r="I156">
        <v>1.1200000000000001</v>
      </c>
      <c r="J156">
        <v>0</v>
      </c>
      <c r="K156">
        <v>16.091954022988503</v>
      </c>
      <c r="L156">
        <f t="shared" si="12"/>
        <v>6.51</v>
      </c>
      <c r="M156">
        <f t="shared" si="13"/>
        <v>0.20779220779220783</v>
      </c>
    </row>
    <row r="157" spans="1:13" x14ac:dyDescent="0.25">
      <c r="A157">
        <v>148</v>
      </c>
      <c r="B157" s="1">
        <v>44683</v>
      </c>
      <c r="C157" t="s">
        <v>30</v>
      </c>
      <c r="D157" t="s">
        <v>11</v>
      </c>
      <c r="E157" t="s">
        <v>26</v>
      </c>
      <c r="F157" t="s">
        <v>0</v>
      </c>
      <c r="G157">
        <v>64.23</v>
      </c>
      <c r="H157">
        <v>2.17</v>
      </c>
      <c r="I157">
        <v>1.26</v>
      </c>
      <c r="J157">
        <v>10.576923076923077</v>
      </c>
      <c r="K157">
        <v>3.8461538461538463</v>
      </c>
      <c r="L157">
        <f t="shared" si="12"/>
        <v>3.4299999999999997</v>
      </c>
      <c r="M157">
        <f t="shared" si="13"/>
        <v>0.58064516129032262</v>
      </c>
    </row>
    <row r="158" spans="1:13" x14ac:dyDescent="0.25">
      <c r="A158">
        <v>149</v>
      </c>
      <c r="B158" s="1">
        <v>44684</v>
      </c>
      <c r="C158" t="s">
        <v>30</v>
      </c>
      <c r="D158" t="s">
        <v>9</v>
      </c>
      <c r="E158" t="s">
        <v>26</v>
      </c>
      <c r="F158" t="s">
        <v>0</v>
      </c>
      <c r="G158">
        <v>63.5</v>
      </c>
      <c r="H158">
        <v>2.77</v>
      </c>
      <c r="I158">
        <v>1.85</v>
      </c>
      <c r="J158">
        <v>0</v>
      </c>
      <c r="K158">
        <v>17.177914110429448</v>
      </c>
      <c r="L158">
        <f t="shared" si="12"/>
        <v>4.62</v>
      </c>
      <c r="M158">
        <f t="shared" si="13"/>
        <v>0.66787003610108309</v>
      </c>
    </row>
    <row r="159" spans="1:13" x14ac:dyDescent="0.25">
      <c r="A159">
        <v>150</v>
      </c>
      <c r="B159" s="1">
        <v>44685</v>
      </c>
      <c r="C159" t="s">
        <v>30</v>
      </c>
      <c r="D159" t="s">
        <v>9</v>
      </c>
      <c r="E159" t="s">
        <v>26</v>
      </c>
      <c r="F159" t="s">
        <v>0</v>
      </c>
      <c r="G159">
        <v>64.13</v>
      </c>
      <c r="H159">
        <v>2.06</v>
      </c>
      <c r="I159">
        <v>1.42</v>
      </c>
      <c r="J159">
        <v>8.3333333333333339</v>
      </c>
      <c r="K159">
        <v>12.500000000000002</v>
      </c>
      <c r="L159">
        <f t="shared" si="12"/>
        <v>3.48</v>
      </c>
      <c r="M159">
        <f t="shared" si="13"/>
        <v>0.68932038834951448</v>
      </c>
    </row>
    <row r="160" spans="1:13" x14ac:dyDescent="0.25">
      <c r="A160">
        <v>151</v>
      </c>
      <c r="B160" s="1">
        <v>44685</v>
      </c>
      <c r="C160" t="s">
        <v>30</v>
      </c>
      <c r="D160" t="s">
        <v>9</v>
      </c>
      <c r="E160" t="s">
        <v>26</v>
      </c>
      <c r="F160" t="s">
        <v>0</v>
      </c>
      <c r="G160">
        <v>63.89</v>
      </c>
      <c r="H160">
        <v>2.4900000000000002</v>
      </c>
      <c r="I160">
        <v>1.49</v>
      </c>
      <c r="J160">
        <v>10.714285714285715</v>
      </c>
      <c r="K160">
        <v>3.5714285714285721</v>
      </c>
      <c r="L160">
        <f t="shared" si="12"/>
        <v>3.9800000000000004</v>
      </c>
      <c r="M160">
        <f t="shared" si="13"/>
        <v>0.59839357429718865</v>
      </c>
    </row>
    <row r="161" spans="1:13" x14ac:dyDescent="0.25">
      <c r="A161">
        <v>152</v>
      </c>
      <c r="B161" s="1">
        <v>44686</v>
      </c>
      <c r="C161" t="s">
        <v>30</v>
      </c>
      <c r="D161" t="s">
        <v>11</v>
      </c>
      <c r="E161" t="s">
        <v>26</v>
      </c>
      <c r="F161" t="s">
        <v>0</v>
      </c>
      <c r="G161">
        <v>63.48</v>
      </c>
      <c r="H161">
        <v>3.09</v>
      </c>
      <c r="I161">
        <v>1.72</v>
      </c>
      <c r="J161">
        <v>0</v>
      </c>
      <c r="K161">
        <v>20.000000000000004</v>
      </c>
      <c r="L161">
        <f t="shared" si="12"/>
        <v>4.8099999999999996</v>
      </c>
      <c r="M161">
        <f t="shared" si="13"/>
        <v>0.55663430420711979</v>
      </c>
    </row>
    <row r="162" spans="1:13" x14ac:dyDescent="0.25">
      <c r="A162">
        <v>153</v>
      </c>
      <c r="B162" s="1">
        <v>44687</v>
      </c>
      <c r="C162" t="s">
        <v>30</v>
      </c>
      <c r="D162" t="s">
        <v>9</v>
      </c>
      <c r="E162" t="s">
        <v>26</v>
      </c>
      <c r="F162" t="s">
        <v>0</v>
      </c>
      <c r="G162">
        <v>64.739999999999995</v>
      </c>
      <c r="H162">
        <v>1.83</v>
      </c>
      <c r="I162">
        <v>1.07</v>
      </c>
      <c r="J162">
        <v>0</v>
      </c>
      <c r="K162">
        <v>20.833333333333332</v>
      </c>
      <c r="L162">
        <f t="shared" si="12"/>
        <v>2.9000000000000004</v>
      </c>
      <c r="M162">
        <f t="shared" si="13"/>
        <v>0.58469945355191255</v>
      </c>
    </row>
    <row r="163" spans="1:13" x14ac:dyDescent="0.25">
      <c r="A163">
        <v>154</v>
      </c>
      <c r="B163" s="1">
        <v>44687</v>
      </c>
      <c r="C163" t="s">
        <v>30</v>
      </c>
      <c r="D163" t="s">
        <v>9</v>
      </c>
      <c r="E163" t="s">
        <v>26</v>
      </c>
      <c r="F163" t="s">
        <v>0</v>
      </c>
      <c r="G163">
        <v>59.32</v>
      </c>
      <c r="H163">
        <v>9.2200000000000006</v>
      </c>
      <c r="I163">
        <v>1.08</v>
      </c>
      <c r="J163">
        <v>0</v>
      </c>
      <c r="K163">
        <v>17.829457364341089</v>
      </c>
      <c r="L163">
        <f t="shared" si="12"/>
        <v>10.3</v>
      </c>
      <c r="M163">
        <f t="shared" si="13"/>
        <v>0.11713665943600868</v>
      </c>
    </row>
    <row r="164" spans="1:13" x14ac:dyDescent="0.25">
      <c r="A164">
        <v>155</v>
      </c>
      <c r="B164" s="1">
        <v>44689</v>
      </c>
      <c r="C164" t="s">
        <v>30</v>
      </c>
      <c r="D164" t="s">
        <v>9</v>
      </c>
      <c r="E164" t="s">
        <v>26</v>
      </c>
      <c r="F164" t="s">
        <v>0</v>
      </c>
      <c r="G164">
        <v>63.79</v>
      </c>
      <c r="H164">
        <v>2.92</v>
      </c>
      <c r="I164">
        <v>1.0900000000000001</v>
      </c>
      <c r="J164">
        <v>0</v>
      </c>
      <c r="K164">
        <v>18.90243902439024</v>
      </c>
      <c r="L164">
        <f t="shared" si="12"/>
        <v>4.01</v>
      </c>
      <c r="M164">
        <f t="shared" si="13"/>
        <v>0.37328767123287676</v>
      </c>
    </row>
    <row r="165" spans="1:13" x14ac:dyDescent="0.25">
      <c r="A165">
        <v>156</v>
      </c>
      <c r="B165" s="1">
        <v>44689</v>
      </c>
      <c r="C165" t="s">
        <v>30</v>
      </c>
      <c r="D165" t="s">
        <v>9</v>
      </c>
      <c r="E165" t="s">
        <v>26</v>
      </c>
      <c r="F165" t="s">
        <v>0</v>
      </c>
      <c r="G165">
        <v>63.18</v>
      </c>
      <c r="H165">
        <v>3.86</v>
      </c>
      <c r="I165">
        <v>1.03</v>
      </c>
      <c r="J165">
        <v>8.8888888888888893</v>
      </c>
      <c r="K165">
        <v>17.777777777777779</v>
      </c>
      <c r="L165">
        <f t="shared" si="12"/>
        <v>4.8899999999999997</v>
      </c>
      <c r="M165">
        <f t="shared" si="13"/>
        <v>0.26683937823834197</v>
      </c>
    </row>
    <row r="166" spans="1:13" x14ac:dyDescent="0.25">
      <c r="A166">
        <v>157</v>
      </c>
      <c r="B166" s="1">
        <v>44691</v>
      </c>
      <c r="C166" t="s">
        <v>30</v>
      </c>
      <c r="D166" t="s">
        <v>9</v>
      </c>
      <c r="E166" t="s">
        <v>26</v>
      </c>
      <c r="F166" t="s">
        <v>0</v>
      </c>
      <c r="G166">
        <v>62.43</v>
      </c>
      <c r="H166">
        <v>4.32</v>
      </c>
      <c r="I166">
        <v>1.78</v>
      </c>
      <c r="J166">
        <v>0</v>
      </c>
      <c r="K166">
        <v>18.253968253968257</v>
      </c>
      <c r="L166">
        <f t="shared" si="12"/>
        <v>6.1000000000000005</v>
      </c>
      <c r="M166">
        <f t="shared" si="13"/>
        <v>0.41203703703703703</v>
      </c>
    </row>
    <row r="167" spans="1:13" x14ac:dyDescent="0.25">
      <c r="A167">
        <v>158</v>
      </c>
      <c r="B167" s="1">
        <v>44691</v>
      </c>
      <c r="C167" t="s">
        <v>30</v>
      </c>
      <c r="D167" t="s">
        <v>9</v>
      </c>
      <c r="E167" t="s">
        <v>26</v>
      </c>
      <c r="F167" t="s">
        <v>0</v>
      </c>
      <c r="G167">
        <v>64.260000000000005</v>
      </c>
      <c r="H167">
        <v>2.38</v>
      </c>
      <c r="I167">
        <v>1.0900000000000001</v>
      </c>
      <c r="J167">
        <v>10.714285714285715</v>
      </c>
      <c r="K167">
        <v>14.285714285714288</v>
      </c>
      <c r="L167">
        <f t="shared" si="12"/>
        <v>3.4699999999999998</v>
      </c>
      <c r="M167">
        <f t="shared" si="13"/>
        <v>0.45798319327731096</v>
      </c>
    </row>
    <row r="168" spans="1:13" x14ac:dyDescent="0.25">
      <c r="A168">
        <v>159</v>
      </c>
      <c r="B168" s="1">
        <v>44691</v>
      </c>
      <c r="C168" t="s">
        <v>30</v>
      </c>
      <c r="D168" t="s">
        <v>9</v>
      </c>
      <c r="E168" t="s">
        <v>26</v>
      </c>
      <c r="F168" t="s">
        <v>0</v>
      </c>
      <c r="G168">
        <v>64.41</v>
      </c>
      <c r="H168">
        <v>2.4500000000000002</v>
      </c>
      <c r="I168">
        <v>1.06</v>
      </c>
      <c r="J168">
        <v>0</v>
      </c>
      <c r="K168">
        <v>21.1864406779661</v>
      </c>
      <c r="L168">
        <f t="shared" si="12"/>
        <v>3.5100000000000002</v>
      </c>
      <c r="M168">
        <f t="shared" si="13"/>
        <v>0.43265306122448977</v>
      </c>
    </row>
    <row r="169" spans="1:13" x14ac:dyDescent="0.25">
      <c r="A169">
        <v>160</v>
      </c>
      <c r="B169" s="1">
        <v>44692</v>
      </c>
      <c r="C169" t="s">
        <v>30</v>
      </c>
      <c r="D169" t="s">
        <v>9</v>
      </c>
      <c r="E169" t="s">
        <v>26</v>
      </c>
      <c r="F169" t="s">
        <v>0</v>
      </c>
      <c r="G169">
        <v>63.16</v>
      </c>
      <c r="H169">
        <v>3.6</v>
      </c>
      <c r="I169">
        <v>1.57</v>
      </c>
      <c r="J169">
        <v>0</v>
      </c>
      <c r="K169">
        <v>12.727272727272727</v>
      </c>
      <c r="L169">
        <f t="shared" si="12"/>
        <v>5.17</v>
      </c>
      <c r="M169">
        <f t="shared" si="13"/>
        <v>0.43611111111111112</v>
      </c>
    </row>
    <row r="170" spans="1:13" x14ac:dyDescent="0.25">
      <c r="A170">
        <v>161</v>
      </c>
      <c r="B170" s="1">
        <v>44693</v>
      </c>
      <c r="C170" t="s">
        <v>30</v>
      </c>
      <c r="D170" t="s">
        <v>9</v>
      </c>
      <c r="E170" t="s">
        <v>26</v>
      </c>
      <c r="F170" t="s">
        <v>0</v>
      </c>
      <c r="G170">
        <v>64.56</v>
      </c>
      <c r="H170">
        <v>2.09</v>
      </c>
      <c r="I170">
        <v>1.27</v>
      </c>
      <c r="J170">
        <v>0</v>
      </c>
      <c r="K170">
        <v>8.1761006289308167</v>
      </c>
      <c r="L170">
        <f t="shared" si="12"/>
        <v>3.36</v>
      </c>
      <c r="M170">
        <f t="shared" si="13"/>
        <v>0.60765550239234456</v>
      </c>
    </row>
    <row r="171" spans="1:13" x14ac:dyDescent="0.25">
      <c r="A171">
        <v>162</v>
      </c>
      <c r="B171" s="1">
        <v>44693</v>
      </c>
      <c r="C171" t="s">
        <v>30</v>
      </c>
      <c r="D171" t="s">
        <v>11</v>
      </c>
      <c r="E171" t="s">
        <v>26</v>
      </c>
      <c r="F171" t="s">
        <v>0</v>
      </c>
      <c r="G171">
        <v>64.25</v>
      </c>
      <c r="H171">
        <v>2.85</v>
      </c>
      <c r="I171">
        <v>1.07</v>
      </c>
      <c r="J171">
        <v>7.4074074074074066</v>
      </c>
      <c r="K171">
        <v>5.1851851851851851</v>
      </c>
      <c r="L171">
        <f t="shared" si="12"/>
        <v>3.92</v>
      </c>
      <c r="M171">
        <f t="shared" si="13"/>
        <v>0.37543859649122807</v>
      </c>
    </row>
    <row r="172" spans="1:13" x14ac:dyDescent="0.25">
      <c r="A172">
        <v>163</v>
      </c>
      <c r="B172" s="1">
        <v>44694</v>
      </c>
      <c r="C172" t="s">
        <v>30</v>
      </c>
      <c r="D172" t="s">
        <v>9</v>
      </c>
      <c r="E172" t="s">
        <v>26</v>
      </c>
      <c r="F172" t="s">
        <v>0</v>
      </c>
      <c r="G172">
        <v>64.55</v>
      </c>
      <c r="H172">
        <v>1.84</v>
      </c>
      <c r="I172">
        <v>1.05</v>
      </c>
      <c r="J172">
        <v>9.2592592592592595</v>
      </c>
      <c r="K172">
        <v>7.4074074074074074</v>
      </c>
      <c r="L172">
        <f t="shared" si="12"/>
        <v>2.89</v>
      </c>
      <c r="M172">
        <f t="shared" si="13"/>
        <v>0.57065217391304346</v>
      </c>
    </row>
    <row r="173" spans="1:13" x14ac:dyDescent="0.25">
      <c r="A173">
        <v>164</v>
      </c>
      <c r="B173" s="1">
        <v>44695</v>
      </c>
      <c r="C173" t="s">
        <v>30</v>
      </c>
      <c r="D173" t="s">
        <v>11</v>
      </c>
      <c r="E173" t="s">
        <v>26</v>
      </c>
      <c r="F173" t="s">
        <v>0</v>
      </c>
      <c r="G173">
        <v>64.430000000000007</v>
      </c>
      <c r="H173">
        <v>2.17</v>
      </c>
      <c r="I173">
        <v>1.06</v>
      </c>
      <c r="J173">
        <v>0</v>
      </c>
      <c r="K173">
        <v>18.518518518518519</v>
      </c>
      <c r="L173">
        <f t="shared" si="12"/>
        <v>3.23</v>
      </c>
      <c r="M173">
        <f t="shared" si="13"/>
        <v>0.48847926267281111</v>
      </c>
    </row>
    <row r="174" spans="1:13" x14ac:dyDescent="0.25">
      <c r="A174">
        <v>165</v>
      </c>
      <c r="B174" s="1">
        <v>44695</v>
      </c>
      <c r="C174" t="s">
        <v>30</v>
      </c>
      <c r="D174" t="s">
        <v>9</v>
      </c>
      <c r="E174" t="s">
        <v>26</v>
      </c>
      <c r="F174" t="s">
        <v>0</v>
      </c>
      <c r="G174">
        <v>62.85</v>
      </c>
      <c r="H174">
        <v>3.96</v>
      </c>
      <c r="I174">
        <v>1.75</v>
      </c>
      <c r="J174">
        <v>0</v>
      </c>
      <c r="K174">
        <v>19.801980198019802</v>
      </c>
      <c r="L174">
        <f t="shared" si="12"/>
        <v>5.71</v>
      </c>
      <c r="M174">
        <f t="shared" si="13"/>
        <v>0.44191919191919193</v>
      </c>
    </row>
    <row r="175" spans="1:13" x14ac:dyDescent="0.25">
      <c r="A175">
        <v>166</v>
      </c>
      <c r="B175" s="1">
        <v>44696</v>
      </c>
      <c r="C175" t="s">
        <v>30</v>
      </c>
      <c r="D175" t="s">
        <v>9</v>
      </c>
      <c r="E175" t="s">
        <v>26</v>
      </c>
      <c r="F175" t="s">
        <v>0</v>
      </c>
      <c r="G175">
        <v>64.11</v>
      </c>
      <c r="H175">
        <v>1.95</v>
      </c>
      <c r="I175">
        <v>1.62</v>
      </c>
      <c r="J175">
        <v>0</v>
      </c>
      <c r="K175">
        <v>15.596330275229359</v>
      </c>
      <c r="L175">
        <f t="shared" si="12"/>
        <v>3.5700000000000003</v>
      </c>
      <c r="M175">
        <f t="shared" si="13"/>
        <v>0.83076923076923082</v>
      </c>
    </row>
    <row r="176" spans="1:13" x14ac:dyDescent="0.25">
      <c r="A176">
        <v>167</v>
      </c>
      <c r="B176" s="1">
        <v>44696</v>
      </c>
      <c r="C176" t="s">
        <v>30</v>
      </c>
      <c r="D176" t="s">
        <v>9</v>
      </c>
      <c r="E176" t="s">
        <v>26</v>
      </c>
      <c r="F176" t="s">
        <v>0</v>
      </c>
      <c r="G176">
        <v>64.45</v>
      </c>
      <c r="H176">
        <v>1.34</v>
      </c>
      <c r="I176">
        <v>1.66</v>
      </c>
      <c r="J176">
        <v>12.765957446808512</v>
      </c>
      <c r="K176">
        <v>13.475177304964539</v>
      </c>
      <c r="L176">
        <f t="shared" si="12"/>
        <v>3</v>
      </c>
      <c r="M176">
        <f t="shared" si="13"/>
        <v>1.2388059701492535</v>
      </c>
    </row>
    <row r="177" spans="1:13" x14ac:dyDescent="0.25">
      <c r="A177">
        <v>168</v>
      </c>
      <c r="B177" s="1">
        <v>44696</v>
      </c>
      <c r="C177" t="s">
        <v>30</v>
      </c>
      <c r="D177" t="s">
        <v>9</v>
      </c>
      <c r="E177" t="s">
        <v>26</v>
      </c>
      <c r="F177" t="s">
        <v>0</v>
      </c>
      <c r="G177">
        <v>63.47</v>
      </c>
      <c r="H177">
        <v>3.02</v>
      </c>
      <c r="I177">
        <v>1.47</v>
      </c>
      <c r="J177">
        <v>0</v>
      </c>
      <c r="K177">
        <v>12.500000000000002</v>
      </c>
      <c r="L177">
        <f t="shared" si="12"/>
        <v>4.49</v>
      </c>
      <c r="M177">
        <f t="shared" si="13"/>
        <v>0.48675496688741721</v>
      </c>
    </row>
    <row r="178" spans="1:13" x14ac:dyDescent="0.25">
      <c r="A178">
        <v>169</v>
      </c>
      <c r="B178" s="1">
        <v>44697</v>
      </c>
      <c r="C178" t="s">
        <v>30</v>
      </c>
      <c r="D178" t="s">
        <v>9</v>
      </c>
      <c r="E178" t="s">
        <v>26</v>
      </c>
      <c r="F178" t="s">
        <v>0</v>
      </c>
      <c r="G178">
        <v>64.25</v>
      </c>
      <c r="H178">
        <v>1.49</v>
      </c>
      <c r="I178">
        <v>1.76</v>
      </c>
      <c r="J178">
        <v>10.869565217391305</v>
      </c>
      <c r="K178">
        <v>16.666666666666668</v>
      </c>
      <c r="L178">
        <f t="shared" si="12"/>
        <v>3.25</v>
      </c>
      <c r="M178">
        <f t="shared" si="13"/>
        <v>1.1812080536912752</v>
      </c>
    </row>
    <row r="179" spans="1:13" x14ac:dyDescent="0.25">
      <c r="A179">
        <v>170</v>
      </c>
      <c r="B179" s="1">
        <v>44697</v>
      </c>
      <c r="C179" t="s">
        <v>30</v>
      </c>
      <c r="D179" t="s">
        <v>9</v>
      </c>
      <c r="E179" t="s">
        <v>26</v>
      </c>
      <c r="F179" t="s">
        <v>0</v>
      </c>
      <c r="G179">
        <v>64.28</v>
      </c>
      <c r="H179">
        <v>1.82</v>
      </c>
      <c r="I179">
        <v>1.48</v>
      </c>
      <c r="J179">
        <v>0</v>
      </c>
      <c r="K179">
        <v>23.571428571428577</v>
      </c>
      <c r="L179">
        <f t="shared" si="12"/>
        <v>3.3</v>
      </c>
      <c r="M179">
        <f t="shared" si="13"/>
        <v>0.81318681318681318</v>
      </c>
    </row>
    <row r="180" spans="1:13" x14ac:dyDescent="0.25">
      <c r="A180">
        <v>171</v>
      </c>
      <c r="B180" s="1">
        <v>44698</v>
      </c>
      <c r="C180" t="s">
        <v>30</v>
      </c>
      <c r="D180" t="s">
        <v>9</v>
      </c>
      <c r="E180" t="s">
        <v>26</v>
      </c>
      <c r="F180" t="s">
        <v>0</v>
      </c>
      <c r="G180">
        <v>63.95</v>
      </c>
      <c r="H180">
        <v>1.92</v>
      </c>
      <c r="I180">
        <v>1.74</v>
      </c>
      <c r="J180">
        <v>8.8435374149659864</v>
      </c>
      <c r="K180">
        <v>5.7823129251700687</v>
      </c>
      <c r="L180">
        <f t="shared" si="12"/>
        <v>3.66</v>
      </c>
      <c r="M180">
        <f t="shared" si="13"/>
        <v>0.90625</v>
      </c>
    </row>
    <row r="181" spans="1:13" x14ac:dyDescent="0.25">
      <c r="A181">
        <v>172</v>
      </c>
      <c r="B181" s="1">
        <v>44698</v>
      </c>
      <c r="C181" t="s">
        <v>30</v>
      </c>
      <c r="D181" t="s">
        <v>9</v>
      </c>
      <c r="E181" t="s">
        <v>26</v>
      </c>
      <c r="F181" t="s">
        <v>0</v>
      </c>
      <c r="G181">
        <v>64.3</v>
      </c>
      <c r="H181">
        <v>1.85</v>
      </c>
      <c r="I181">
        <v>1.44</v>
      </c>
      <c r="J181">
        <v>0</v>
      </c>
      <c r="K181">
        <v>17.857142857142861</v>
      </c>
      <c r="L181">
        <f t="shared" si="12"/>
        <v>3.29</v>
      </c>
      <c r="M181">
        <f t="shared" si="13"/>
        <v>0.77837837837837831</v>
      </c>
    </row>
    <row r="182" spans="1:13" x14ac:dyDescent="0.25">
      <c r="A182">
        <v>173</v>
      </c>
      <c r="B182" s="1">
        <v>44699</v>
      </c>
      <c r="C182" t="s">
        <v>30</v>
      </c>
      <c r="D182" t="s">
        <v>9</v>
      </c>
      <c r="E182" t="s">
        <v>26</v>
      </c>
      <c r="F182" t="s">
        <v>0</v>
      </c>
      <c r="G182">
        <v>64.48</v>
      </c>
      <c r="H182">
        <v>2.09</v>
      </c>
      <c r="I182">
        <v>1.0900000000000001</v>
      </c>
      <c r="J182">
        <v>0</v>
      </c>
      <c r="K182">
        <v>10.191082802547772</v>
      </c>
      <c r="L182">
        <f t="shared" si="12"/>
        <v>3.1799999999999997</v>
      </c>
      <c r="M182">
        <f t="shared" si="13"/>
        <v>0.52153110047846896</v>
      </c>
    </row>
    <row r="183" spans="1:13" x14ac:dyDescent="0.25">
      <c r="A183">
        <v>174</v>
      </c>
      <c r="B183" s="1">
        <v>44701</v>
      </c>
      <c r="C183" t="s">
        <v>30</v>
      </c>
      <c r="D183" t="s">
        <v>9</v>
      </c>
      <c r="E183" t="s">
        <v>26</v>
      </c>
      <c r="F183" t="s">
        <v>0</v>
      </c>
      <c r="G183">
        <v>63.92</v>
      </c>
      <c r="H183">
        <v>3.36</v>
      </c>
      <c r="I183">
        <v>1.0900000000000001</v>
      </c>
      <c r="J183">
        <v>0</v>
      </c>
      <c r="K183">
        <v>17.391304347826086</v>
      </c>
      <c r="L183">
        <f t="shared" si="12"/>
        <v>4.45</v>
      </c>
      <c r="M183">
        <f t="shared" si="13"/>
        <v>0.32440476190476192</v>
      </c>
    </row>
    <row r="184" spans="1:13" x14ac:dyDescent="0.25">
      <c r="A184">
        <v>175</v>
      </c>
      <c r="B184" s="1">
        <v>44701</v>
      </c>
      <c r="C184" t="s">
        <v>30</v>
      </c>
      <c r="D184" t="s">
        <v>9</v>
      </c>
      <c r="E184" t="s">
        <v>26</v>
      </c>
      <c r="F184" t="s">
        <v>0</v>
      </c>
      <c r="G184">
        <v>64.180000000000007</v>
      </c>
      <c r="H184">
        <v>1.94</v>
      </c>
      <c r="I184">
        <v>2.09</v>
      </c>
      <c r="J184">
        <v>0</v>
      </c>
      <c r="K184">
        <v>22.155688622754493</v>
      </c>
      <c r="L184">
        <f t="shared" si="12"/>
        <v>4.0299999999999994</v>
      </c>
      <c r="M184">
        <f t="shared" si="13"/>
        <v>1.0773195876288659</v>
      </c>
    </row>
    <row r="185" spans="1:13" x14ac:dyDescent="0.25">
      <c r="A185">
        <v>176</v>
      </c>
      <c r="B185" s="1">
        <v>44702</v>
      </c>
      <c r="C185" t="s">
        <v>30</v>
      </c>
      <c r="D185" t="s">
        <v>9</v>
      </c>
      <c r="E185" t="s">
        <v>26</v>
      </c>
      <c r="F185" t="s">
        <v>0</v>
      </c>
      <c r="G185">
        <v>63.9</v>
      </c>
      <c r="H185">
        <v>3.12</v>
      </c>
      <c r="I185">
        <v>1.04</v>
      </c>
      <c r="J185">
        <v>0</v>
      </c>
      <c r="K185">
        <v>9.79020979020979</v>
      </c>
      <c r="L185">
        <f t="shared" si="12"/>
        <v>4.16</v>
      </c>
      <c r="M185">
        <f t="shared" si="13"/>
        <v>0.33333333333333331</v>
      </c>
    </row>
    <row r="186" spans="1:13" x14ac:dyDescent="0.25">
      <c r="A186">
        <v>177</v>
      </c>
      <c r="B186" s="1">
        <v>44703</v>
      </c>
      <c r="C186" t="s">
        <v>30</v>
      </c>
      <c r="D186" t="s">
        <v>11</v>
      </c>
      <c r="E186" t="s">
        <v>26</v>
      </c>
      <c r="F186" t="s">
        <v>0</v>
      </c>
      <c r="G186">
        <v>64.47</v>
      </c>
      <c r="H186">
        <v>1.92</v>
      </c>
      <c r="I186">
        <v>1.17</v>
      </c>
      <c r="J186">
        <v>0</v>
      </c>
      <c r="K186">
        <v>2.521008403361344</v>
      </c>
      <c r="L186">
        <f t="shared" si="12"/>
        <v>3.09</v>
      </c>
      <c r="M186">
        <f t="shared" si="13"/>
        <v>0.609375</v>
      </c>
    </row>
    <row r="187" spans="1:13" x14ac:dyDescent="0.25">
      <c r="A187">
        <v>178</v>
      </c>
      <c r="B187" s="1">
        <v>44703</v>
      </c>
      <c r="C187" t="s">
        <v>30</v>
      </c>
      <c r="D187" t="s">
        <v>9</v>
      </c>
      <c r="E187" t="s">
        <v>26</v>
      </c>
      <c r="F187" t="s">
        <v>0</v>
      </c>
      <c r="G187">
        <v>63.57</v>
      </c>
      <c r="H187">
        <v>2.35</v>
      </c>
      <c r="I187">
        <v>1.9</v>
      </c>
      <c r="J187">
        <v>0</v>
      </c>
      <c r="K187">
        <v>21.621621621621621</v>
      </c>
      <c r="L187">
        <f t="shared" si="12"/>
        <v>4.25</v>
      </c>
      <c r="M187">
        <f t="shared" si="13"/>
        <v>0.80851063829787229</v>
      </c>
    </row>
    <row r="188" spans="1:13" x14ac:dyDescent="0.25">
      <c r="A188">
        <v>179</v>
      </c>
      <c r="B188" s="1">
        <v>44704</v>
      </c>
      <c r="C188" t="s">
        <v>30</v>
      </c>
      <c r="D188" t="s">
        <v>9</v>
      </c>
      <c r="E188" t="s">
        <v>26</v>
      </c>
      <c r="F188" t="s">
        <v>0</v>
      </c>
      <c r="G188">
        <v>63.57</v>
      </c>
      <c r="H188">
        <v>4.34</v>
      </c>
      <c r="I188">
        <v>1.08</v>
      </c>
      <c r="J188">
        <v>0</v>
      </c>
      <c r="K188">
        <v>14.410480349344976</v>
      </c>
      <c r="L188">
        <f t="shared" si="12"/>
        <v>5.42</v>
      </c>
      <c r="M188">
        <f t="shared" si="13"/>
        <v>0.24884792626728114</v>
      </c>
    </row>
    <row r="189" spans="1:13" x14ac:dyDescent="0.25">
      <c r="A189">
        <v>180</v>
      </c>
      <c r="B189" s="1">
        <v>44704</v>
      </c>
      <c r="C189" t="s">
        <v>30</v>
      </c>
      <c r="D189" t="s">
        <v>11</v>
      </c>
      <c r="E189" t="s">
        <v>26</v>
      </c>
      <c r="F189" t="s">
        <v>0</v>
      </c>
      <c r="G189">
        <v>64.55</v>
      </c>
      <c r="H189">
        <v>2.2200000000000002</v>
      </c>
      <c r="I189">
        <v>1.04</v>
      </c>
      <c r="J189">
        <v>0</v>
      </c>
      <c r="K189">
        <v>22</v>
      </c>
      <c r="L189">
        <f t="shared" si="12"/>
        <v>3.2600000000000002</v>
      </c>
      <c r="M189">
        <f t="shared" si="13"/>
        <v>0.46846846846846846</v>
      </c>
    </row>
    <row r="190" spans="1:13" x14ac:dyDescent="0.25">
      <c r="A190">
        <v>181</v>
      </c>
      <c r="B190" s="1">
        <v>44705</v>
      </c>
      <c r="C190" t="s">
        <v>30</v>
      </c>
      <c r="D190" t="s">
        <v>9</v>
      </c>
      <c r="E190" t="s">
        <v>26</v>
      </c>
      <c r="F190" t="s">
        <v>0</v>
      </c>
      <c r="G190">
        <v>63.68</v>
      </c>
      <c r="H190">
        <v>2.7</v>
      </c>
      <c r="I190">
        <v>1.52</v>
      </c>
      <c r="J190">
        <v>8.9430894308943092</v>
      </c>
      <c r="K190">
        <v>13.821138211382113</v>
      </c>
      <c r="L190">
        <f t="shared" si="12"/>
        <v>4.2200000000000006</v>
      </c>
      <c r="M190">
        <f t="shared" si="13"/>
        <v>0.56296296296296289</v>
      </c>
    </row>
    <row r="191" spans="1:13" x14ac:dyDescent="0.25">
      <c r="A191">
        <v>182</v>
      </c>
      <c r="B191" s="1">
        <v>44706</v>
      </c>
      <c r="C191" t="s">
        <v>30</v>
      </c>
      <c r="D191" t="s">
        <v>9</v>
      </c>
      <c r="E191" t="s">
        <v>26</v>
      </c>
      <c r="F191" t="s">
        <v>0</v>
      </c>
      <c r="G191">
        <v>61.87</v>
      </c>
      <c r="H191">
        <v>6.85</v>
      </c>
      <c r="I191">
        <v>1.1499999999999999</v>
      </c>
      <c r="J191">
        <v>0</v>
      </c>
      <c r="K191">
        <v>8.695652173913043</v>
      </c>
      <c r="L191">
        <f t="shared" ref="L191:L226" si="14">+I191+H191</f>
        <v>8</v>
      </c>
      <c r="M191">
        <f t="shared" ref="M191:M254" si="15">+I191/IF(H191 = 0,1,H191)</f>
        <v>0.16788321167883211</v>
      </c>
    </row>
    <row r="192" spans="1:13" x14ac:dyDescent="0.25">
      <c r="A192">
        <v>183</v>
      </c>
      <c r="B192" s="1">
        <v>44707</v>
      </c>
      <c r="C192" t="s">
        <v>30</v>
      </c>
      <c r="D192" t="s">
        <v>9</v>
      </c>
      <c r="E192" t="s">
        <v>26</v>
      </c>
      <c r="F192" t="s">
        <v>0</v>
      </c>
      <c r="G192">
        <v>63.74</v>
      </c>
      <c r="H192">
        <v>2.93</v>
      </c>
      <c r="I192">
        <v>1.25</v>
      </c>
      <c r="J192">
        <v>0</v>
      </c>
      <c r="K192">
        <v>11.504424778761063</v>
      </c>
      <c r="L192">
        <f t="shared" si="14"/>
        <v>4.18</v>
      </c>
      <c r="M192">
        <f t="shared" si="15"/>
        <v>0.42662116040955628</v>
      </c>
    </row>
    <row r="193" spans="1:13" x14ac:dyDescent="0.25">
      <c r="A193">
        <v>184</v>
      </c>
      <c r="B193" s="1">
        <v>44707</v>
      </c>
      <c r="C193" t="s">
        <v>30</v>
      </c>
      <c r="D193" t="s">
        <v>11</v>
      </c>
      <c r="E193" t="s">
        <v>26</v>
      </c>
      <c r="F193" t="s">
        <v>0</v>
      </c>
      <c r="G193">
        <v>63.95</v>
      </c>
      <c r="H193">
        <v>2.67</v>
      </c>
      <c r="I193">
        <v>1.43</v>
      </c>
      <c r="J193">
        <v>9.0090090090090094</v>
      </c>
      <c r="K193">
        <v>5.4054054054054053</v>
      </c>
      <c r="L193">
        <f t="shared" si="14"/>
        <v>4.0999999999999996</v>
      </c>
      <c r="M193">
        <f t="shared" si="15"/>
        <v>0.53558052434456926</v>
      </c>
    </row>
    <row r="194" spans="1:13" x14ac:dyDescent="0.25">
      <c r="A194">
        <v>185</v>
      </c>
      <c r="B194" s="1">
        <v>44709</v>
      </c>
      <c r="C194" t="s">
        <v>30</v>
      </c>
      <c r="D194" t="s">
        <v>9</v>
      </c>
      <c r="E194" t="s">
        <v>26</v>
      </c>
      <c r="F194" t="s">
        <v>0</v>
      </c>
      <c r="G194">
        <v>64.42</v>
      </c>
      <c r="H194">
        <v>2.2400000000000002</v>
      </c>
      <c r="I194">
        <v>1.06</v>
      </c>
      <c r="J194">
        <v>0</v>
      </c>
      <c r="K194">
        <v>17.431192660550462</v>
      </c>
      <c r="L194">
        <f t="shared" si="14"/>
        <v>3.3000000000000003</v>
      </c>
      <c r="M194">
        <f t="shared" si="15"/>
        <v>0.4732142857142857</v>
      </c>
    </row>
    <row r="195" spans="1:13" x14ac:dyDescent="0.25">
      <c r="A195">
        <v>186</v>
      </c>
      <c r="B195" s="1">
        <v>44709</v>
      </c>
      <c r="C195" t="s">
        <v>30</v>
      </c>
      <c r="D195" t="s">
        <v>9</v>
      </c>
      <c r="E195" t="s">
        <v>26</v>
      </c>
      <c r="F195" t="s">
        <v>0</v>
      </c>
      <c r="G195">
        <v>62.2</v>
      </c>
      <c r="H195">
        <v>5.7</v>
      </c>
      <c r="I195">
        <v>1.1499999999999999</v>
      </c>
      <c r="J195">
        <v>0</v>
      </c>
      <c r="K195">
        <v>14.689265536723166</v>
      </c>
      <c r="L195">
        <f t="shared" si="14"/>
        <v>6.85</v>
      </c>
      <c r="M195">
        <f t="shared" si="15"/>
        <v>0.20175438596491227</v>
      </c>
    </row>
    <row r="196" spans="1:13" x14ac:dyDescent="0.25">
      <c r="A196">
        <v>187</v>
      </c>
      <c r="B196" s="1">
        <v>44710</v>
      </c>
      <c r="C196" t="s">
        <v>30</v>
      </c>
      <c r="D196" t="s">
        <v>9</v>
      </c>
      <c r="E196" t="s">
        <v>26</v>
      </c>
      <c r="F196" t="s">
        <v>0</v>
      </c>
      <c r="G196">
        <v>64.41</v>
      </c>
      <c r="H196">
        <v>1.96</v>
      </c>
      <c r="I196">
        <v>1.26</v>
      </c>
      <c r="J196">
        <v>6.7307692307692308</v>
      </c>
      <c r="K196">
        <v>14.903846153846153</v>
      </c>
      <c r="L196">
        <f t="shared" si="14"/>
        <v>3.2199999999999998</v>
      </c>
      <c r="M196">
        <f t="shared" si="15"/>
        <v>0.6428571428571429</v>
      </c>
    </row>
    <row r="197" spans="1:13" x14ac:dyDescent="0.25">
      <c r="A197">
        <v>188</v>
      </c>
      <c r="B197" s="1">
        <v>44710</v>
      </c>
      <c r="C197" t="s">
        <v>30</v>
      </c>
      <c r="D197" t="s">
        <v>9</v>
      </c>
      <c r="E197" t="s">
        <v>26</v>
      </c>
      <c r="F197" t="s">
        <v>0</v>
      </c>
      <c r="G197">
        <v>62.83</v>
      </c>
      <c r="H197">
        <v>5.0999999999999996</v>
      </c>
      <c r="I197">
        <v>1.07</v>
      </c>
      <c r="J197">
        <v>0</v>
      </c>
      <c r="K197">
        <v>21.53846153846154</v>
      </c>
      <c r="L197">
        <f t="shared" si="14"/>
        <v>6.17</v>
      </c>
      <c r="M197">
        <f t="shared" si="15"/>
        <v>0.20980392156862748</v>
      </c>
    </row>
    <row r="198" spans="1:13" x14ac:dyDescent="0.25">
      <c r="A198">
        <v>189</v>
      </c>
      <c r="B198" s="1">
        <v>44710</v>
      </c>
      <c r="C198" t="s">
        <v>30</v>
      </c>
      <c r="D198" t="s">
        <v>9</v>
      </c>
      <c r="E198" t="s">
        <v>26</v>
      </c>
      <c r="F198" t="s">
        <v>0</v>
      </c>
      <c r="G198">
        <v>64.12</v>
      </c>
      <c r="H198">
        <v>2.0499999999999998</v>
      </c>
      <c r="I198">
        <v>1.39</v>
      </c>
      <c r="J198">
        <v>0</v>
      </c>
      <c r="K198">
        <v>15.306122448979592</v>
      </c>
      <c r="L198">
        <f t="shared" si="14"/>
        <v>3.4399999999999995</v>
      </c>
      <c r="M198">
        <f t="shared" si="15"/>
        <v>0.67804878048780493</v>
      </c>
    </row>
    <row r="199" spans="1:13" x14ac:dyDescent="0.25">
      <c r="A199">
        <v>190</v>
      </c>
      <c r="B199" s="1">
        <v>44711</v>
      </c>
      <c r="C199" t="s">
        <v>30</v>
      </c>
      <c r="D199" t="s">
        <v>9</v>
      </c>
      <c r="E199" t="s">
        <v>26</v>
      </c>
      <c r="F199" t="s">
        <v>0</v>
      </c>
      <c r="G199">
        <v>63.64</v>
      </c>
      <c r="H199">
        <v>3.38</v>
      </c>
      <c r="I199">
        <v>1.08</v>
      </c>
      <c r="J199">
        <v>7.3529411764705888</v>
      </c>
      <c r="K199">
        <v>6.6176470588235299</v>
      </c>
      <c r="L199">
        <f t="shared" si="14"/>
        <v>4.46</v>
      </c>
      <c r="M199">
        <f t="shared" si="15"/>
        <v>0.31952662721893493</v>
      </c>
    </row>
    <row r="200" spans="1:13" x14ac:dyDescent="0.25">
      <c r="A200">
        <v>191</v>
      </c>
      <c r="B200" s="1">
        <v>44711</v>
      </c>
      <c r="C200" t="s">
        <v>30</v>
      </c>
      <c r="D200" t="s">
        <v>9</v>
      </c>
      <c r="E200" t="s">
        <v>26</v>
      </c>
      <c r="F200" t="s">
        <v>0</v>
      </c>
      <c r="G200">
        <v>64.53</v>
      </c>
      <c r="H200">
        <v>1.68</v>
      </c>
      <c r="I200">
        <v>1.22</v>
      </c>
      <c r="J200">
        <v>10.416666666666668</v>
      </c>
      <c r="K200">
        <v>10.416666666666668</v>
      </c>
      <c r="L200">
        <f t="shared" si="14"/>
        <v>2.9</v>
      </c>
      <c r="M200">
        <f t="shared" si="15"/>
        <v>0.72619047619047616</v>
      </c>
    </row>
    <row r="201" spans="1:13" x14ac:dyDescent="0.25">
      <c r="A201">
        <v>192</v>
      </c>
      <c r="B201" s="1">
        <v>44712</v>
      </c>
      <c r="C201" t="s">
        <v>30</v>
      </c>
      <c r="D201" t="s">
        <v>9</v>
      </c>
      <c r="E201" t="s">
        <v>26</v>
      </c>
      <c r="F201" t="s">
        <v>0</v>
      </c>
      <c r="G201">
        <v>61.18</v>
      </c>
      <c r="H201">
        <v>6.05</v>
      </c>
      <c r="I201">
        <v>2.42</v>
      </c>
      <c r="J201">
        <v>0</v>
      </c>
      <c r="K201">
        <v>18.000000000000004</v>
      </c>
      <c r="L201">
        <f t="shared" si="14"/>
        <v>8.4699999999999989</v>
      </c>
      <c r="M201">
        <f t="shared" si="15"/>
        <v>0.4</v>
      </c>
    </row>
    <row r="202" spans="1:13" x14ac:dyDescent="0.25">
      <c r="A202">
        <v>193</v>
      </c>
      <c r="B202" s="1">
        <v>44683</v>
      </c>
      <c r="C202" t="s">
        <v>5</v>
      </c>
      <c r="D202" t="s">
        <v>31</v>
      </c>
      <c r="E202" t="s">
        <v>26</v>
      </c>
      <c r="F202" t="s">
        <v>0</v>
      </c>
      <c r="G202">
        <v>63.2</v>
      </c>
      <c r="H202">
        <v>2.5</v>
      </c>
      <c r="I202">
        <v>2.2000000000000002</v>
      </c>
      <c r="J202">
        <v>3</v>
      </c>
      <c r="K202">
        <v>16</v>
      </c>
      <c r="L202">
        <f t="shared" si="14"/>
        <v>4.7</v>
      </c>
      <c r="M202">
        <f t="shared" si="15"/>
        <v>0.88000000000000012</v>
      </c>
    </row>
    <row r="203" spans="1:13" x14ac:dyDescent="0.25">
      <c r="A203">
        <v>194</v>
      </c>
      <c r="B203" s="1">
        <v>44684</v>
      </c>
      <c r="C203" t="s">
        <v>5</v>
      </c>
      <c r="D203" t="s">
        <v>31</v>
      </c>
      <c r="E203" t="s">
        <v>26</v>
      </c>
      <c r="F203" t="s">
        <v>0</v>
      </c>
      <c r="G203">
        <v>63.2</v>
      </c>
      <c r="H203">
        <v>2.5</v>
      </c>
      <c r="I203">
        <v>2.1</v>
      </c>
      <c r="J203">
        <v>3</v>
      </c>
      <c r="K203">
        <v>14</v>
      </c>
      <c r="L203">
        <f t="shared" si="14"/>
        <v>4.5999999999999996</v>
      </c>
      <c r="M203">
        <f t="shared" si="15"/>
        <v>0.84000000000000008</v>
      </c>
    </row>
    <row r="204" spans="1:13" x14ac:dyDescent="0.25">
      <c r="A204">
        <v>195</v>
      </c>
      <c r="B204" s="1">
        <v>44685</v>
      </c>
      <c r="C204" t="s">
        <v>5</v>
      </c>
      <c r="D204" t="s">
        <v>31</v>
      </c>
      <c r="E204" t="s">
        <v>26</v>
      </c>
      <c r="F204" t="s">
        <v>0</v>
      </c>
      <c r="G204">
        <v>63.1</v>
      </c>
      <c r="H204">
        <v>2.4</v>
      </c>
      <c r="I204">
        <v>2.4</v>
      </c>
      <c r="J204">
        <v>5</v>
      </c>
      <c r="K204">
        <v>16</v>
      </c>
      <c r="L204">
        <f t="shared" si="14"/>
        <v>4.8</v>
      </c>
      <c r="M204">
        <f t="shared" si="15"/>
        <v>1</v>
      </c>
    </row>
    <row r="205" spans="1:13" x14ac:dyDescent="0.25">
      <c r="A205">
        <v>196</v>
      </c>
      <c r="B205" s="1">
        <v>44687</v>
      </c>
      <c r="C205" t="s">
        <v>5</v>
      </c>
      <c r="D205" t="s">
        <v>31</v>
      </c>
      <c r="E205" t="s">
        <v>26</v>
      </c>
      <c r="F205" t="s">
        <v>0</v>
      </c>
      <c r="G205">
        <v>63.3</v>
      </c>
      <c r="H205">
        <v>2.4</v>
      </c>
      <c r="I205">
        <v>2.1</v>
      </c>
      <c r="J205">
        <v>3</v>
      </c>
      <c r="K205">
        <v>20</v>
      </c>
      <c r="L205">
        <f t="shared" si="14"/>
        <v>4.5</v>
      </c>
      <c r="M205">
        <f t="shared" si="15"/>
        <v>0.87500000000000011</v>
      </c>
    </row>
    <row r="206" spans="1:13" x14ac:dyDescent="0.25">
      <c r="A206">
        <v>197</v>
      </c>
      <c r="B206" s="1">
        <v>44688</v>
      </c>
      <c r="C206" t="s">
        <v>5</v>
      </c>
      <c r="D206" t="s">
        <v>31</v>
      </c>
      <c r="E206" t="s">
        <v>26</v>
      </c>
      <c r="F206" t="s">
        <v>0</v>
      </c>
      <c r="G206">
        <v>63.1</v>
      </c>
      <c r="H206">
        <v>2.5</v>
      </c>
      <c r="I206">
        <v>2.2999999999999998</v>
      </c>
      <c r="J206">
        <v>2</v>
      </c>
      <c r="K206">
        <v>17</v>
      </c>
      <c r="L206">
        <f t="shared" si="14"/>
        <v>4.8</v>
      </c>
      <c r="M206">
        <f t="shared" si="15"/>
        <v>0.91999999999999993</v>
      </c>
    </row>
    <row r="207" spans="1:13" x14ac:dyDescent="0.25">
      <c r="A207">
        <v>198</v>
      </c>
      <c r="B207" s="1">
        <v>44689</v>
      </c>
      <c r="C207" t="s">
        <v>5</v>
      </c>
      <c r="D207" t="s">
        <v>31</v>
      </c>
      <c r="E207" t="s">
        <v>26</v>
      </c>
      <c r="F207" t="s">
        <v>0</v>
      </c>
      <c r="G207">
        <v>63.3</v>
      </c>
      <c r="H207">
        <v>2.2999999999999998</v>
      </c>
      <c r="I207">
        <v>2.2000000000000002</v>
      </c>
      <c r="J207">
        <v>2</v>
      </c>
      <c r="K207">
        <v>12</v>
      </c>
      <c r="L207">
        <f t="shared" si="14"/>
        <v>4.5</v>
      </c>
      <c r="M207">
        <f t="shared" si="15"/>
        <v>0.95652173913043492</v>
      </c>
    </row>
    <row r="208" spans="1:13" x14ac:dyDescent="0.25">
      <c r="A208">
        <v>199</v>
      </c>
      <c r="B208" s="1">
        <v>44689</v>
      </c>
      <c r="C208" t="s">
        <v>5</v>
      </c>
      <c r="D208" t="s">
        <v>31</v>
      </c>
      <c r="E208" t="s">
        <v>26</v>
      </c>
      <c r="F208" t="s">
        <v>0</v>
      </c>
      <c r="G208">
        <v>63.1</v>
      </c>
      <c r="H208">
        <v>2.2999999999999998</v>
      </c>
      <c r="I208">
        <v>2.5</v>
      </c>
      <c r="J208">
        <v>4</v>
      </c>
      <c r="K208">
        <v>9</v>
      </c>
      <c r="L208">
        <f t="shared" si="14"/>
        <v>4.8</v>
      </c>
      <c r="M208">
        <f t="shared" si="15"/>
        <v>1.0869565217391306</v>
      </c>
    </row>
    <row r="209" spans="1:13" x14ac:dyDescent="0.25">
      <c r="A209">
        <v>200</v>
      </c>
      <c r="B209" s="1">
        <v>44691</v>
      </c>
      <c r="C209" t="s">
        <v>5</v>
      </c>
      <c r="D209" t="s">
        <v>31</v>
      </c>
      <c r="E209" t="s">
        <v>26</v>
      </c>
      <c r="F209" t="s">
        <v>0</v>
      </c>
      <c r="G209">
        <v>63.2</v>
      </c>
      <c r="H209">
        <v>2.4</v>
      </c>
      <c r="I209">
        <v>2.2000000000000002</v>
      </c>
      <c r="J209">
        <v>2</v>
      </c>
      <c r="K209">
        <v>12</v>
      </c>
      <c r="L209">
        <f t="shared" si="14"/>
        <v>4.5999999999999996</v>
      </c>
      <c r="M209">
        <f t="shared" si="15"/>
        <v>0.91666666666666674</v>
      </c>
    </row>
    <row r="210" spans="1:13" x14ac:dyDescent="0.25">
      <c r="A210">
        <v>201</v>
      </c>
      <c r="B210" s="1">
        <v>44691</v>
      </c>
      <c r="C210" t="s">
        <v>5</v>
      </c>
      <c r="D210" t="s">
        <v>31</v>
      </c>
      <c r="E210" t="s">
        <v>26</v>
      </c>
      <c r="F210" t="s">
        <v>0</v>
      </c>
      <c r="G210">
        <v>63.1</v>
      </c>
      <c r="H210">
        <v>2.5</v>
      </c>
      <c r="I210">
        <v>2.2999999999999998</v>
      </c>
      <c r="J210">
        <v>3</v>
      </c>
      <c r="K210">
        <v>12</v>
      </c>
      <c r="L210">
        <f t="shared" si="14"/>
        <v>4.8</v>
      </c>
      <c r="M210">
        <f t="shared" si="15"/>
        <v>0.91999999999999993</v>
      </c>
    </row>
    <row r="211" spans="1:13" x14ac:dyDescent="0.25">
      <c r="A211">
        <v>202</v>
      </c>
      <c r="B211" s="1">
        <v>44692</v>
      </c>
      <c r="C211" t="s">
        <v>5</v>
      </c>
      <c r="D211" t="s">
        <v>31</v>
      </c>
      <c r="E211" t="s">
        <v>26</v>
      </c>
      <c r="F211" t="s">
        <v>0</v>
      </c>
      <c r="G211">
        <v>63.2</v>
      </c>
      <c r="H211">
        <v>2.5</v>
      </c>
      <c r="I211">
        <v>2.2000000000000002</v>
      </c>
      <c r="J211">
        <v>4</v>
      </c>
      <c r="K211">
        <v>7</v>
      </c>
      <c r="L211">
        <f t="shared" si="14"/>
        <v>4.7</v>
      </c>
      <c r="M211">
        <f t="shared" si="15"/>
        <v>0.88000000000000012</v>
      </c>
    </row>
    <row r="212" spans="1:13" x14ac:dyDescent="0.25">
      <c r="A212">
        <v>203</v>
      </c>
      <c r="B212" s="1">
        <v>44694</v>
      </c>
      <c r="C212" t="s">
        <v>5</v>
      </c>
      <c r="D212" t="s">
        <v>31</v>
      </c>
      <c r="E212" t="s">
        <v>26</v>
      </c>
      <c r="F212" t="s">
        <v>0</v>
      </c>
      <c r="G212">
        <v>63.3</v>
      </c>
      <c r="H212">
        <v>2.4</v>
      </c>
      <c r="I212">
        <v>2.2000000000000002</v>
      </c>
      <c r="J212">
        <v>4</v>
      </c>
      <c r="K212">
        <v>14</v>
      </c>
      <c r="L212">
        <f t="shared" si="14"/>
        <v>4.5999999999999996</v>
      </c>
      <c r="M212">
        <f t="shared" si="15"/>
        <v>0.91666666666666674</v>
      </c>
    </row>
    <row r="213" spans="1:13" x14ac:dyDescent="0.25">
      <c r="A213">
        <v>204</v>
      </c>
      <c r="B213" s="1">
        <v>44695</v>
      </c>
      <c r="C213" t="s">
        <v>5</v>
      </c>
      <c r="D213" t="s">
        <v>31</v>
      </c>
      <c r="E213" t="s">
        <v>26</v>
      </c>
      <c r="F213" t="s">
        <v>0</v>
      </c>
      <c r="G213">
        <v>63.1</v>
      </c>
      <c r="H213">
        <v>2.6</v>
      </c>
      <c r="I213">
        <v>2.1</v>
      </c>
      <c r="J213">
        <v>5</v>
      </c>
      <c r="K213">
        <v>19</v>
      </c>
      <c r="L213">
        <f t="shared" si="14"/>
        <v>4.7</v>
      </c>
      <c r="M213">
        <f t="shared" si="15"/>
        <v>0.80769230769230771</v>
      </c>
    </row>
    <row r="214" spans="1:13" x14ac:dyDescent="0.25">
      <c r="A214">
        <v>205</v>
      </c>
      <c r="B214" s="1">
        <v>44696</v>
      </c>
      <c r="C214" t="s">
        <v>5</v>
      </c>
      <c r="D214" t="s">
        <v>31</v>
      </c>
      <c r="E214" t="s">
        <v>26</v>
      </c>
      <c r="F214" t="s">
        <v>0</v>
      </c>
      <c r="G214">
        <v>63.2</v>
      </c>
      <c r="H214">
        <v>2.2999999999999998</v>
      </c>
      <c r="I214">
        <v>2.4</v>
      </c>
      <c r="J214">
        <v>3</v>
      </c>
      <c r="K214">
        <v>13</v>
      </c>
      <c r="L214">
        <f t="shared" si="14"/>
        <v>4.6999999999999993</v>
      </c>
      <c r="M214">
        <f t="shared" si="15"/>
        <v>1.0434782608695652</v>
      </c>
    </row>
    <row r="215" spans="1:13" x14ac:dyDescent="0.25">
      <c r="A215">
        <v>206</v>
      </c>
      <c r="B215" s="1">
        <v>44697</v>
      </c>
      <c r="C215" t="s">
        <v>5</v>
      </c>
      <c r="D215" t="s">
        <v>31</v>
      </c>
      <c r="E215" t="s">
        <v>26</v>
      </c>
      <c r="F215" t="s">
        <v>0</v>
      </c>
      <c r="G215">
        <v>63.3</v>
      </c>
      <c r="H215">
        <v>2.4</v>
      </c>
      <c r="I215">
        <v>2.2999999999999998</v>
      </c>
      <c r="J215">
        <v>4</v>
      </c>
      <c r="K215">
        <v>15</v>
      </c>
      <c r="L215">
        <f t="shared" si="14"/>
        <v>4.6999999999999993</v>
      </c>
      <c r="M215">
        <f t="shared" si="15"/>
        <v>0.95833333333333326</v>
      </c>
    </row>
    <row r="216" spans="1:13" x14ac:dyDescent="0.25">
      <c r="A216">
        <v>207</v>
      </c>
      <c r="B216" s="1">
        <v>44697</v>
      </c>
      <c r="C216" t="s">
        <v>5</v>
      </c>
      <c r="D216" t="s">
        <v>31</v>
      </c>
      <c r="E216" t="s">
        <v>26</v>
      </c>
      <c r="F216" t="s">
        <v>0</v>
      </c>
      <c r="G216">
        <v>63.3</v>
      </c>
      <c r="H216">
        <v>2.4</v>
      </c>
      <c r="I216">
        <v>2.2000000000000002</v>
      </c>
      <c r="J216">
        <v>2</v>
      </c>
      <c r="K216">
        <v>13</v>
      </c>
      <c r="L216">
        <f t="shared" si="14"/>
        <v>4.5999999999999996</v>
      </c>
      <c r="M216">
        <f t="shared" si="15"/>
        <v>0.91666666666666674</v>
      </c>
    </row>
    <row r="217" spans="1:13" x14ac:dyDescent="0.25">
      <c r="A217">
        <v>208</v>
      </c>
      <c r="B217" s="1">
        <v>44698</v>
      </c>
      <c r="C217" t="s">
        <v>5</v>
      </c>
      <c r="D217" t="s">
        <v>31</v>
      </c>
      <c r="E217" t="s">
        <v>26</v>
      </c>
      <c r="F217" t="s">
        <v>0</v>
      </c>
      <c r="G217">
        <v>62.7</v>
      </c>
      <c r="H217">
        <v>2.6</v>
      </c>
      <c r="I217">
        <v>2.7</v>
      </c>
      <c r="J217">
        <v>9</v>
      </c>
      <c r="K217">
        <v>14</v>
      </c>
      <c r="L217">
        <f t="shared" si="14"/>
        <v>5.3000000000000007</v>
      </c>
      <c r="M217">
        <f t="shared" si="15"/>
        <v>1.0384615384615385</v>
      </c>
    </row>
    <row r="218" spans="1:13" x14ac:dyDescent="0.25">
      <c r="A218">
        <v>209</v>
      </c>
      <c r="B218" s="1">
        <v>44698</v>
      </c>
      <c r="C218" t="s">
        <v>5</v>
      </c>
      <c r="D218" t="s">
        <v>31</v>
      </c>
      <c r="E218" t="s">
        <v>26</v>
      </c>
      <c r="F218" t="s">
        <v>0</v>
      </c>
      <c r="G218">
        <v>63.2</v>
      </c>
      <c r="H218">
        <v>2.5</v>
      </c>
      <c r="I218">
        <v>2.2000000000000002</v>
      </c>
      <c r="J218">
        <v>3</v>
      </c>
      <c r="K218">
        <v>17</v>
      </c>
      <c r="L218">
        <f t="shared" si="14"/>
        <v>4.7</v>
      </c>
      <c r="M218">
        <f t="shared" si="15"/>
        <v>0.88000000000000012</v>
      </c>
    </row>
    <row r="219" spans="1:13" x14ac:dyDescent="0.25">
      <c r="A219">
        <v>210</v>
      </c>
      <c r="B219" s="1">
        <v>44698</v>
      </c>
      <c r="C219" t="s">
        <v>5</v>
      </c>
      <c r="D219" t="s">
        <v>31</v>
      </c>
      <c r="E219" t="s">
        <v>26</v>
      </c>
      <c r="F219" t="s">
        <v>0</v>
      </c>
      <c r="G219">
        <v>63.1</v>
      </c>
      <c r="H219">
        <v>2.7</v>
      </c>
      <c r="I219">
        <v>2.1</v>
      </c>
      <c r="J219">
        <v>2</v>
      </c>
      <c r="K219">
        <v>18</v>
      </c>
      <c r="L219">
        <f t="shared" si="14"/>
        <v>4.8000000000000007</v>
      </c>
      <c r="M219">
        <f t="shared" si="15"/>
        <v>0.77777777777777779</v>
      </c>
    </row>
    <row r="220" spans="1:13" x14ac:dyDescent="0.25">
      <c r="A220">
        <v>211</v>
      </c>
      <c r="B220" s="1">
        <v>44699</v>
      </c>
      <c r="C220" t="s">
        <v>5</v>
      </c>
      <c r="D220" t="s">
        <v>31</v>
      </c>
      <c r="E220" t="s">
        <v>26</v>
      </c>
      <c r="F220" t="s">
        <v>0</v>
      </c>
      <c r="G220">
        <v>63.3</v>
      </c>
      <c r="H220">
        <v>2.4</v>
      </c>
      <c r="I220">
        <v>2.2000000000000002</v>
      </c>
      <c r="J220">
        <v>4</v>
      </c>
      <c r="K220">
        <v>17</v>
      </c>
      <c r="L220">
        <f t="shared" si="14"/>
        <v>4.5999999999999996</v>
      </c>
      <c r="M220">
        <f t="shared" si="15"/>
        <v>0.91666666666666674</v>
      </c>
    </row>
    <row r="221" spans="1:13" x14ac:dyDescent="0.25">
      <c r="A221">
        <v>212</v>
      </c>
      <c r="B221" s="1">
        <v>44700</v>
      </c>
      <c r="C221" t="s">
        <v>5</v>
      </c>
      <c r="D221" t="s">
        <v>31</v>
      </c>
      <c r="E221" t="s">
        <v>26</v>
      </c>
      <c r="F221" t="s">
        <v>0</v>
      </c>
      <c r="G221">
        <v>63.1</v>
      </c>
      <c r="H221">
        <v>2.6</v>
      </c>
      <c r="I221">
        <v>2.2000000000000002</v>
      </c>
      <c r="J221">
        <v>2</v>
      </c>
      <c r="K221">
        <v>18</v>
      </c>
      <c r="L221">
        <f t="shared" si="14"/>
        <v>4.8000000000000007</v>
      </c>
      <c r="M221">
        <f t="shared" si="15"/>
        <v>0.84615384615384615</v>
      </c>
    </row>
    <row r="222" spans="1:13" x14ac:dyDescent="0.25">
      <c r="A222">
        <v>213</v>
      </c>
      <c r="B222" s="1">
        <v>44701</v>
      </c>
      <c r="C222" t="s">
        <v>5</v>
      </c>
      <c r="D222" t="s">
        <v>31</v>
      </c>
      <c r="E222" t="s">
        <v>26</v>
      </c>
      <c r="F222" t="s">
        <v>0</v>
      </c>
      <c r="G222">
        <v>63.2</v>
      </c>
      <c r="H222">
        <v>2.2999999999999998</v>
      </c>
      <c r="I222">
        <v>2.4</v>
      </c>
      <c r="J222">
        <v>5</v>
      </c>
      <c r="K222">
        <v>22</v>
      </c>
      <c r="L222">
        <f t="shared" si="14"/>
        <v>4.6999999999999993</v>
      </c>
      <c r="M222">
        <f t="shared" si="15"/>
        <v>1.0434782608695652</v>
      </c>
    </row>
    <row r="223" spans="1:13" x14ac:dyDescent="0.25">
      <c r="A223">
        <v>214</v>
      </c>
      <c r="B223" s="1">
        <v>44703</v>
      </c>
      <c r="C223" t="s">
        <v>5</v>
      </c>
      <c r="D223" t="s">
        <v>31</v>
      </c>
      <c r="E223" t="s">
        <v>26</v>
      </c>
      <c r="F223" t="s">
        <v>0</v>
      </c>
      <c r="G223">
        <v>63.1</v>
      </c>
      <c r="H223">
        <v>2.5</v>
      </c>
      <c r="I223">
        <v>2.2999999999999998</v>
      </c>
      <c r="J223">
        <v>2</v>
      </c>
      <c r="K223">
        <v>14</v>
      </c>
      <c r="L223">
        <f t="shared" si="14"/>
        <v>4.8</v>
      </c>
      <c r="M223">
        <f t="shared" si="15"/>
        <v>0.91999999999999993</v>
      </c>
    </row>
    <row r="224" spans="1:13" x14ac:dyDescent="0.25">
      <c r="A224">
        <v>215</v>
      </c>
      <c r="B224" s="1">
        <v>44703</v>
      </c>
      <c r="C224" t="s">
        <v>5</v>
      </c>
      <c r="D224" t="s">
        <v>31</v>
      </c>
      <c r="E224" t="s">
        <v>26</v>
      </c>
      <c r="F224" t="s">
        <v>0</v>
      </c>
      <c r="G224">
        <v>63.2</v>
      </c>
      <c r="H224">
        <v>2.5</v>
      </c>
      <c r="I224">
        <v>2.1</v>
      </c>
      <c r="J224">
        <v>4</v>
      </c>
      <c r="K224">
        <v>12</v>
      </c>
      <c r="L224">
        <f t="shared" si="14"/>
        <v>4.5999999999999996</v>
      </c>
      <c r="M224">
        <f t="shared" si="15"/>
        <v>0.84000000000000008</v>
      </c>
    </row>
    <row r="225" spans="1:13" x14ac:dyDescent="0.25">
      <c r="A225">
        <v>216</v>
      </c>
      <c r="B225" s="1">
        <v>44705</v>
      </c>
      <c r="C225" t="s">
        <v>5</v>
      </c>
      <c r="D225" t="s">
        <v>31</v>
      </c>
      <c r="E225" t="s">
        <v>26</v>
      </c>
      <c r="F225" t="s">
        <v>0</v>
      </c>
      <c r="G225">
        <v>63.1</v>
      </c>
      <c r="H225">
        <v>2.6</v>
      </c>
      <c r="I225">
        <v>2.1</v>
      </c>
      <c r="J225">
        <v>2</v>
      </c>
      <c r="K225">
        <v>16</v>
      </c>
      <c r="L225">
        <f t="shared" si="14"/>
        <v>4.7</v>
      </c>
      <c r="M225">
        <f t="shared" si="15"/>
        <v>0.80769230769230771</v>
      </c>
    </row>
    <row r="226" spans="1:13" x14ac:dyDescent="0.25">
      <c r="A226">
        <v>217</v>
      </c>
      <c r="B226" s="1">
        <v>44705</v>
      </c>
      <c r="C226" t="s">
        <v>5</v>
      </c>
      <c r="D226" t="s">
        <v>31</v>
      </c>
      <c r="E226" t="s">
        <v>26</v>
      </c>
      <c r="F226" t="s">
        <v>0</v>
      </c>
      <c r="G226">
        <v>63.2</v>
      </c>
      <c r="H226">
        <v>2.4</v>
      </c>
      <c r="I226">
        <v>2.2000000000000002</v>
      </c>
      <c r="J226">
        <v>2</v>
      </c>
      <c r="K226">
        <v>14</v>
      </c>
      <c r="L226">
        <f t="shared" si="14"/>
        <v>4.5999999999999996</v>
      </c>
      <c r="M226">
        <f t="shared" si="15"/>
        <v>0.91666666666666674</v>
      </c>
    </row>
    <row r="227" spans="1:13" x14ac:dyDescent="0.25">
      <c r="A227">
        <v>218</v>
      </c>
      <c r="B227" s="1">
        <v>44706</v>
      </c>
      <c r="C227" t="s">
        <v>5</v>
      </c>
      <c r="D227" t="s">
        <v>31</v>
      </c>
      <c r="E227" t="s">
        <v>26</v>
      </c>
      <c r="F227" t="s">
        <v>0</v>
      </c>
      <c r="G227">
        <v>63.2</v>
      </c>
      <c r="H227">
        <v>2.2999999999999998</v>
      </c>
      <c r="I227">
        <v>2.2999999999999998</v>
      </c>
      <c r="J227">
        <v>2</v>
      </c>
      <c r="K227">
        <v>12</v>
      </c>
      <c r="L227">
        <f t="shared" ref="L227:L279" si="16">+I227+H227</f>
        <v>4.5999999999999996</v>
      </c>
      <c r="M227">
        <f t="shared" si="15"/>
        <v>1</v>
      </c>
    </row>
    <row r="228" spans="1:13" x14ac:dyDescent="0.25">
      <c r="A228">
        <v>219</v>
      </c>
      <c r="B228" s="1">
        <v>44707</v>
      </c>
      <c r="C228" t="s">
        <v>5</v>
      </c>
      <c r="D228" t="s">
        <v>31</v>
      </c>
      <c r="E228" t="s">
        <v>26</v>
      </c>
      <c r="F228" t="s">
        <v>0</v>
      </c>
      <c r="G228">
        <v>63.1</v>
      </c>
      <c r="H228">
        <v>2.5</v>
      </c>
      <c r="I228">
        <v>2.2999999999999998</v>
      </c>
      <c r="J228">
        <v>2</v>
      </c>
      <c r="K228">
        <v>13</v>
      </c>
      <c r="L228">
        <f t="shared" si="16"/>
        <v>4.8</v>
      </c>
      <c r="M228">
        <f t="shared" si="15"/>
        <v>0.91999999999999993</v>
      </c>
    </row>
    <row r="229" spans="1:13" x14ac:dyDescent="0.25">
      <c r="A229">
        <v>220</v>
      </c>
      <c r="B229" s="1">
        <v>44708</v>
      </c>
      <c r="C229" t="s">
        <v>5</v>
      </c>
      <c r="D229" t="s">
        <v>31</v>
      </c>
      <c r="E229" t="s">
        <v>26</v>
      </c>
      <c r="F229" t="s">
        <v>0</v>
      </c>
      <c r="G229">
        <v>63.2</v>
      </c>
      <c r="H229">
        <v>2.2000000000000002</v>
      </c>
      <c r="I229">
        <v>2.4</v>
      </c>
      <c r="J229">
        <v>2</v>
      </c>
      <c r="K229">
        <v>10</v>
      </c>
      <c r="L229">
        <f t="shared" si="16"/>
        <v>4.5999999999999996</v>
      </c>
      <c r="M229">
        <f t="shared" si="15"/>
        <v>1.0909090909090908</v>
      </c>
    </row>
    <row r="230" spans="1:13" x14ac:dyDescent="0.25">
      <c r="A230">
        <v>221</v>
      </c>
      <c r="B230" s="1">
        <v>44709</v>
      </c>
      <c r="C230" t="s">
        <v>5</v>
      </c>
      <c r="D230" t="s">
        <v>31</v>
      </c>
      <c r="E230" t="s">
        <v>26</v>
      </c>
      <c r="F230" t="s">
        <v>0</v>
      </c>
      <c r="G230">
        <v>63.3</v>
      </c>
      <c r="H230">
        <v>2.1</v>
      </c>
      <c r="I230">
        <v>2.4</v>
      </c>
      <c r="J230">
        <v>2</v>
      </c>
      <c r="K230">
        <v>18</v>
      </c>
      <c r="L230">
        <f t="shared" si="16"/>
        <v>4.5</v>
      </c>
      <c r="M230">
        <f t="shared" si="15"/>
        <v>1.1428571428571428</v>
      </c>
    </row>
    <row r="231" spans="1:13" x14ac:dyDescent="0.25">
      <c r="A231">
        <v>222</v>
      </c>
      <c r="B231" s="1">
        <v>44710</v>
      </c>
      <c r="C231" t="s">
        <v>5</v>
      </c>
      <c r="D231" t="s">
        <v>31</v>
      </c>
      <c r="E231" t="s">
        <v>26</v>
      </c>
      <c r="F231" t="s">
        <v>0</v>
      </c>
      <c r="G231">
        <v>63.1</v>
      </c>
      <c r="H231">
        <v>2.2000000000000002</v>
      </c>
      <c r="I231">
        <v>2.5</v>
      </c>
      <c r="J231">
        <v>3</v>
      </c>
      <c r="K231">
        <v>13</v>
      </c>
      <c r="L231">
        <f t="shared" si="16"/>
        <v>4.7</v>
      </c>
      <c r="M231">
        <f t="shared" si="15"/>
        <v>1.1363636363636362</v>
      </c>
    </row>
    <row r="232" spans="1:13" x14ac:dyDescent="0.25">
      <c r="A232">
        <v>223</v>
      </c>
      <c r="B232" s="1">
        <v>44710</v>
      </c>
      <c r="C232" t="s">
        <v>5</v>
      </c>
      <c r="D232" t="s">
        <v>31</v>
      </c>
      <c r="E232" t="s">
        <v>26</v>
      </c>
      <c r="F232" t="s">
        <v>0</v>
      </c>
      <c r="G232">
        <v>63.2</v>
      </c>
      <c r="H232">
        <v>2.2000000000000002</v>
      </c>
      <c r="I232">
        <v>2.4</v>
      </c>
      <c r="J232">
        <v>2</v>
      </c>
      <c r="K232">
        <v>12</v>
      </c>
      <c r="L232">
        <f t="shared" si="16"/>
        <v>4.5999999999999996</v>
      </c>
      <c r="M232">
        <f t="shared" si="15"/>
        <v>1.0909090909090908</v>
      </c>
    </row>
    <row r="233" spans="1:13" x14ac:dyDescent="0.25">
      <c r="A233">
        <v>224</v>
      </c>
      <c r="B233" s="1">
        <v>44711</v>
      </c>
      <c r="C233" t="s">
        <v>5</v>
      </c>
      <c r="D233" t="s">
        <v>31</v>
      </c>
      <c r="E233" t="s">
        <v>26</v>
      </c>
      <c r="F233" t="s">
        <v>0</v>
      </c>
      <c r="G233">
        <v>63.1</v>
      </c>
      <c r="H233">
        <v>2.2999999999999998</v>
      </c>
      <c r="I233">
        <v>2.4</v>
      </c>
      <c r="J233">
        <v>3</v>
      </c>
      <c r="K233">
        <v>15</v>
      </c>
      <c r="L233">
        <f t="shared" si="16"/>
        <v>4.6999999999999993</v>
      </c>
      <c r="M233">
        <f t="shared" si="15"/>
        <v>1.0434782608695652</v>
      </c>
    </row>
    <row r="234" spans="1:13" x14ac:dyDescent="0.25">
      <c r="A234">
        <v>225</v>
      </c>
      <c r="B234" s="1">
        <v>44712</v>
      </c>
      <c r="C234" t="s">
        <v>5</v>
      </c>
      <c r="D234" t="s">
        <v>31</v>
      </c>
      <c r="E234" t="s">
        <v>26</v>
      </c>
      <c r="F234" t="s">
        <v>0</v>
      </c>
      <c r="G234">
        <v>63.3</v>
      </c>
      <c r="H234">
        <v>2.2000000000000002</v>
      </c>
      <c r="I234">
        <v>2.2999999999999998</v>
      </c>
      <c r="J234">
        <v>3</v>
      </c>
      <c r="K234">
        <v>20</v>
      </c>
      <c r="L234">
        <f t="shared" si="16"/>
        <v>4.5</v>
      </c>
      <c r="M234">
        <f t="shared" si="15"/>
        <v>1.0454545454545452</v>
      </c>
    </row>
    <row r="235" spans="1:13" x14ac:dyDescent="0.25">
      <c r="A235">
        <v>226</v>
      </c>
      <c r="B235" s="1">
        <v>44712</v>
      </c>
      <c r="C235" t="s">
        <v>5</v>
      </c>
      <c r="D235" t="s">
        <v>31</v>
      </c>
      <c r="E235" t="s">
        <v>26</v>
      </c>
      <c r="F235" t="s">
        <v>0</v>
      </c>
      <c r="G235">
        <v>63.2</v>
      </c>
      <c r="H235">
        <v>2.6</v>
      </c>
      <c r="I235">
        <v>2</v>
      </c>
      <c r="J235">
        <v>1</v>
      </c>
      <c r="K235">
        <v>14</v>
      </c>
      <c r="L235">
        <f t="shared" si="16"/>
        <v>4.5999999999999996</v>
      </c>
      <c r="M235">
        <f t="shared" si="15"/>
        <v>0.76923076923076916</v>
      </c>
    </row>
    <row r="236" spans="1:13" x14ac:dyDescent="0.25">
      <c r="A236">
        <v>227</v>
      </c>
      <c r="B236" s="1">
        <v>44682</v>
      </c>
      <c r="C236" t="s">
        <v>5</v>
      </c>
      <c r="D236" t="s">
        <v>10</v>
      </c>
      <c r="E236" t="s">
        <v>26</v>
      </c>
      <c r="F236" t="s">
        <v>0</v>
      </c>
      <c r="G236">
        <v>62.2</v>
      </c>
      <c r="H236">
        <v>2</v>
      </c>
      <c r="I236">
        <v>4</v>
      </c>
      <c r="J236">
        <v>15</v>
      </c>
      <c r="K236">
        <v>23</v>
      </c>
      <c r="L236">
        <f t="shared" si="16"/>
        <v>6</v>
      </c>
      <c r="M236">
        <f t="shared" si="15"/>
        <v>2</v>
      </c>
    </row>
    <row r="237" spans="1:13" x14ac:dyDescent="0.25">
      <c r="A237">
        <v>228</v>
      </c>
      <c r="B237" s="1">
        <v>44684</v>
      </c>
      <c r="C237" t="s">
        <v>5</v>
      </c>
      <c r="D237" t="s">
        <v>10</v>
      </c>
      <c r="E237" t="s">
        <v>26</v>
      </c>
      <c r="F237" t="s">
        <v>0</v>
      </c>
      <c r="G237">
        <v>61.4</v>
      </c>
      <c r="H237">
        <v>3.4</v>
      </c>
      <c r="I237">
        <v>3.9</v>
      </c>
      <c r="J237">
        <v>12</v>
      </c>
      <c r="K237">
        <v>18</v>
      </c>
      <c r="L237">
        <f t="shared" si="16"/>
        <v>7.3</v>
      </c>
      <c r="M237">
        <f t="shared" si="15"/>
        <v>1.1470588235294117</v>
      </c>
    </row>
    <row r="238" spans="1:13" x14ac:dyDescent="0.25">
      <c r="A238">
        <v>229</v>
      </c>
      <c r="B238" s="1">
        <v>44685</v>
      </c>
      <c r="C238" t="s">
        <v>5</v>
      </c>
      <c r="D238" t="s">
        <v>10</v>
      </c>
      <c r="E238" t="s">
        <v>26</v>
      </c>
      <c r="F238" t="s">
        <v>0</v>
      </c>
      <c r="G238">
        <v>61.5</v>
      </c>
      <c r="H238">
        <v>3.4</v>
      </c>
      <c r="I238">
        <v>3.6</v>
      </c>
      <c r="J238">
        <v>20</v>
      </c>
      <c r="K238">
        <v>16</v>
      </c>
      <c r="L238">
        <f t="shared" si="16"/>
        <v>7</v>
      </c>
      <c r="M238">
        <f t="shared" si="15"/>
        <v>1.0588235294117647</v>
      </c>
    </row>
    <row r="239" spans="1:13" x14ac:dyDescent="0.25">
      <c r="A239">
        <v>230</v>
      </c>
      <c r="B239" s="1">
        <v>44686</v>
      </c>
      <c r="C239" t="s">
        <v>5</v>
      </c>
      <c r="D239" t="s">
        <v>10</v>
      </c>
      <c r="E239" t="s">
        <v>26</v>
      </c>
      <c r="F239" t="s">
        <v>0</v>
      </c>
      <c r="G239">
        <v>62.1</v>
      </c>
      <c r="H239">
        <v>2.5</v>
      </c>
      <c r="I239">
        <v>3.7</v>
      </c>
      <c r="J239">
        <v>15</v>
      </c>
      <c r="K239">
        <v>13</v>
      </c>
      <c r="L239">
        <f t="shared" si="16"/>
        <v>6.2</v>
      </c>
      <c r="M239">
        <f t="shared" si="15"/>
        <v>1.48</v>
      </c>
    </row>
    <row r="240" spans="1:13" x14ac:dyDescent="0.25">
      <c r="A240">
        <v>231</v>
      </c>
      <c r="B240" s="1">
        <v>44688</v>
      </c>
      <c r="C240" t="s">
        <v>5</v>
      </c>
      <c r="D240" t="s">
        <v>10</v>
      </c>
      <c r="E240" t="s">
        <v>26</v>
      </c>
      <c r="F240" t="s">
        <v>0</v>
      </c>
      <c r="G240">
        <v>60.6</v>
      </c>
      <c r="H240">
        <v>5.0999999999999996</v>
      </c>
      <c r="I240">
        <v>2.2999999999999998</v>
      </c>
      <c r="J240">
        <v>20</v>
      </c>
      <c r="K240">
        <v>17</v>
      </c>
      <c r="L240">
        <f t="shared" si="16"/>
        <v>7.3999999999999995</v>
      </c>
      <c r="M240">
        <f t="shared" si="15"/>
        <v>0.45098039215686275</v>
      </c>
    </row>
    <row r="241" spans="1:13" x14ac:dyDescent="0.25">
      <c r="A241">
        <v>232</v>
      </c>
      <c r="B241" s="1">
        <v>44689</v>
      </c>
      <c r="C241" t="s">
        <v>5</v>
      </c>
      <c r="D241" t="s">
        <v>10</v>
      </c>
      <c r="E241" t="s">
        <v>26</v>
      </c>
      <c r="F241" t="s">
        <v>0</v>
      </c>
      <c r="G241">
        <v>62.1</v>
      </c>
      <c r="H241">
        <v>2.2000000000000002</v>
      </c>
      <c r="I241">
        <v>4</v>
      </c>
      <c r="J241">
        <v>15</v>
      </c>
      <c r="K241">
        <v>12</v>
      </c>
      <c r="L241">
        <f t="shared" si="16"/>
        <v>6.2</v>
      </c>
      <c r="M241">
        <f t="shared" si="15"/>
        <v>1.8181818181818181</v>
      </c>
    </row>
    <row r="242" spans="1:13" x14ac:dyDescent="0.25">
      <c r="A242">
        <v>233</v>
      </c>
      <c r="B242" s="1">
        <v>44692</v>
      </c>
      <c r="C242" t="s">
        <v>5</v>
      </c>
      <c r="D242" t="s">
        <v>10</v>
      </c>
      <c r="E242" t="s">
        <v>26</v>
      </c>
      <c r="F242" t="s">
        <v>0</v>
      </c>
      <c r="G242">
        <v>61.5</v>
      </c>
      <c r="H242">
        <v>3.8</v>
      </c>
      <c r="I242">
        <v>3.2</v>
      </c>
      <c r="J242">
        <v>5</v>
      </c>
      <c r="K242">
        <v>23</v>
      </c>
      <c r="L242">
        <f t="shared" si="16"/>
        <v>7</v>
      </c>
      <c r="M242">
        <f t="shared" si="15"/>
        <v>0.8421052631578948</v>
      </c>
    </row>
    <row r="243" spans="1:13" x14ac:dyDescent="0.25">
      <c r="A243">
        <v>234</v>
      </c>
      <c r="B243" s="1">
        <v>44693</v>
      </c>
      <c r="C243" t="s">
        <v>5</v>
      </c>
      <c r="D243" t="s">
        <v>10</v>
      </c>
      <c r="E243" t="s">
        <v>26</v>
      </c>
      <c r="F243" t="s">
        <v>0</v>
      </c>
      <c r="G243">
        <v>61.6</v>
      </c>
      <c r="H243">
        <v>4.7</v>
      </c>
      <c r="I243">
        <v>2.2000000000000002</v>
      </c>
      <c r="J243">
        <v>20</v>
      </c>
      <c r="K243">
        <v>15</v>
      </c>
      <c r="L243">
        <f t="shared" si="16"/>
        <v>6.9</v>
      </c>
      <c r="M243">
        <f t="shared" si="15"/>
        <v>0.46808510638297873</v>
      </c>
    </row>
    <row r="244" spans="1:13" x14ac:dyDescent="0.25">
      <c r="A244">
        <v>235</v>
      </c>
      <c r="B244" s="1">
        <v>44694</v>
      </c>
      <c r="C244" t="s">
        <v>5</v>
      </c>
      <c r="D244" t="s">
        <v>10</v>
      </c>
      <c r="E244" t="s">
        <v>26</v>
      </c>
      <c r="F244" t="s">
        <v>0</v>
      </c>
      <c r="G244">
        <v>61.9</v>
      </c>
      <c r="H244">
        <v>3.1</v>
      </c>
      <c r="I244">
        <v>3.5</v>
      </c>
      <c r="J244">
        <v>10</v>
      </c>
      <c r="K244">
        <v>13</v>
      </c>
      <c r="L244">
        <f t="shared" si="16"/>
        <v>6.6</v>
      </c>
      <c r="M244">
        <f t="shared" si="15"/>
        <v>1.129032258064516</v>
      </c>
    </row>
    <row r="245" spans="1:13" x14ac:dyDescent="0.25">
      <c r="A245">
        <v>236</v>
      </c>
      <c r="B245" s="1">
        <v>44695</v>
      </c>
      <c r="C245" t="s">
        <v>5</v>
      </c>
      <c r="D245" t="s">
        <v>10</v>
      </c>
      <c r="E245" t="s">
        <v>26</v>
      </c>
      <c r="F245" t="s">
        <v>0</v>
      </c>
      <c r="G245">
        <v>60.1</v>
      </c>
      <c r="H245">
        <v>5.9</v>
      </c>
      <c r="I245">
        <v>2</v>
      </c>
      <c r="J245">
        <v>15</v>
      </c>
      <c r="K245">
        <v>14</v>
      </c>
      <c r="L245">
        <f t="shared" si="16"/>
        <v>7.9</v>
      </c>
      <c r="M245">
        <f t="shared" si="15"/>
        <v>0.33898305084745761</v>
      </c>
    </row>
    <row r="246" spans="1:13" x14ac:dyDescent="0.25">
      <c r="A246">
        <v>237</v>
      </c>
      <c r="B246" s="1">
        <v>44696</v>
      </c>
      <c r="C246" t="s">
        <v>5</v>
      </c>
      <c r="D246" t="s">
        <v>10</v>
      </c>
      <c r="E246" t="s">
        <v>26</v>
      </c>
      <c r="F246" t="s">
        <v>0</v>
      </c>
      <c r="G246">
        <v>61.2</v>
      </c>
      <c r="H246">
        <v>3.8</v>
      </c>
      <c r="I246">
        <v>3.8</v>
      </c>
      <c r="J246">
        <v>11</v>
      </c>
      <c r="K246">
        <v>11</v>
      </c>
      <c r="L246">
        <f t="shared" si="16"/>
        <v>7.6</v>
      </c>
      <c r="M246">
        <f t="shared" si="15"/>
        <v>1</v>
      </c>
    </row>
    <row r="247" spans="1:13" x14ac:dyDescent="0.25">
      <c r="A247">
        <v>238</v>
      </c>
      <c r="B247" s="1">
        <v>44698</v>
      </c>
      <c r="C247" t="s">
        <v>5</v>
      </c>
      <c r="D247" t="s">
        <v>10</v>
      </c>
      <c r="E247" t="s">
        <v>26</v>
      </c>
      <c r="F247" t="s">
        <v>0</v>
      </c>
      <c r="G247">
        <v>61.4</v>
      </c>
      <c r="H247">
        <v>3</v>
      </c>
      <c r="I247">
        <v>4.0999999999999996</v>
      </c>
      <c r="J247">
        <v>12</v>
      </c>
      <c r="K247">
        <v>15</v>
      </c>
      <c r="L247">
        <f t="shared" si="16"/>
        <v>7.1</v>
      </c>
      <c r="M247">
        <f t="shared" si="15"/>
        <v>1.3666666666666665</v>
      </c>
    </row>
    <row r="248" spans="1:13" x14ac:dyDescent="0.25">
      <c r="A248">
        <v>239</v>
      </c>
      <c r="B248" s="1">
        <v>44700</v>
      </c>
      <c r="C248" t="s">
        <v>5</v>
      </c>
      <c r="D248" t="s">
        <v>10</v>
      </c>
      <c r="E248" t="s">
        <v>26</v>
      </c>
      <c r="F248" t="s">
        <v>0</v>
      </c>
      <c r="G248">
        <v>61</v>
      </c>
      <c r="H248">
        <v>3.3</v>
      </c>
      <c r="I248">
        <v>4.3</v>
      </c>
      <c r="J248">
        <v>10</v>
      </c>
      <c r="K248">
        <v>17</v>
      </c>
      <c r="L248">
        <f t="shared" si="16"/>
        <v>7.6</v>
      </c>
      <c r="M248">
        <f t="shared" si="15"/>
        <v>1.303030303030303</v>
      </c>
    </row>
    <row r="249" spans="1:13" x14ac:dyDescent="0.25">
      <c r="A249">
        <v>240</v>
      </c>
      <c r="B249" s="1">
        <v>44701</v>
      </c>
      <c r="C249" t="s">
        <v>5</v>
      </c>
      <c r="D249" t="s">
        <v>10</v>
      </c>
      <c r="E249" t="s">
        <v>26</v>
      </c>
      <c r="F249" t="s">
        <v>0</v>
      </c>
      <c r="G249">
        <v>61.5</v>
      </c>
      <c r="H249">
        <v>2.2000000000000002</v>
      </c>
      <c r="I249">
        <v>4.9000000000000004</v>
      </c>
      <c r="J249">
        <v>12</v>
      </c>
      <c r="K249">
        <v>15</v>
      </c>
      <c r="L249">
        <f t="shared" si="16"/>
        <v>7.1000000000000005</v>
      </c>
      <c r="M249">
        <f t="shared" si="15"/>
        <v>2.2272727272727271</v>
      </c>
    </row>
    <row r="250" spans="1:13" x14ac:dyDescent="0.25">
      <c r="A250">
        <v>241</v>
      </c>
      <c r="B250" s="1">
        <v>44702</v>
      </c>
      <c r="C250" t="s">
        <v>5</v>
      </c>
      <c r="D250" t="s">
        <v>10</v>
      </c>
      <c r="E250" t="s">
        <v>26</v>
      </c>
      <c r="F250" t="s">
        <v>0</v>
      </c>
      <c r="G250">
        <v>61.2</v>
      </c>
      <c r="H250">
        <v>2</v>
      </c>
      <c r="I250">
        <v>5.5</v>
      </c>
      <c r="J250">
        <v>6</v>
      </c>
      <c r="K250">
        <v>26</v>
      </c>
      <c r="L250">
        <f t="shared" si="16"/>
        <v>7.5</v>
      </c>
      <c r="M250">
        <f t="shared" si="15"/>
        <v>2.75</v>
      </c>
    </row>
    <row r="251" spans="1:13" x14ac:dyDescent="0.25">
      <c r="A251">
        <v>242</v>
      </c>
      <c r="B251" s="1">
        <v>44703</v>
      </c>
      <c r="C251" t="s">
        <v>5</v>
      </c>
      <c r="D251" t="s">
        <v>10</v>
      </c>
      <c r="E251" t="s">
        <v>26</v>
      </c>
      <c r="F251" t="s">
        <v>0</v>
      </c>
      <c r="G251">
        <v>61</v>
      </c>
      <c r="H251">
        <v>3.8</v>
      </c>
      <c r="I251">
        <v>4</v>
      </c>
      <c r="J251">
        <v>13</v>
      </c>
      <c r="K251">
        <v>12</v>
      </c>
      <c r="L251">
        <f t="shared" si="16"/>
        <v>7.8</v>
      </c>
      <c r="M251">
        <f t="shared" si="15"/>
        <v>1.0526315789473684</v>
      </c>
    </row>
    <row r="252" spans="1:13" x14ac:dyDescent="0.25">
      <c r="A252">
        <v>243</v>
      </c>
      <c r="B252" s="1">
        <v>44706</v>
      </c>
      <c r="C252" t="s">
        <v>5</v>
      </c>
      <c r="D252" t="s">
        <v>10</v>
      </c>
      <c r="E252" t="s">
        <v>26</v>
      </c>
      <c r="F252" t="s">
        <v>0</v>
      </c>
      <c r="G252">
        <v>61.3</v>
      </c>
      <c r="H252">
        <v>4.3</v>
      </c>
      <c r="I252">
        <v>3.1</v>
      </c>
      <c r="J252">
        <v>18</v>
      </c>
      <c r="K252">
        <v>23</v>
      </c>
      <c r="L252">
        <f t="shared" si="16"/>
        <v>7.4</v>
      </c>
      <c r="M252">
        <f t="shared" si="15"/>
        <v>0.72093023255813959</v>
      </c>
    </row>
    <row r="253" spans="1:13" x14ac:dyDescent="0.25">
      <c r="A253">
        <v>244</v>
      </c>
      <c r="B253" s="1">
        <v>44707</v>
      </c>
      <c r="C253" t="s">
        <v>5</v>
      </c>
      <c r="D253" t="s">
        <v>10</v>
      </c>
      <c r="E253" t="s">
        <v>26</v>
      </c>
      <c r="F253" t="s">
        <v>0</v>
      </c>
      <c r="G253">
        <v>60.5</v>
      </c>
      <c r="H253">
        <v>4</v>
      </c>
      <c r="I253">
        <v>4.5</v>
      </c>
      <c r="J253">
        <v>18</v>
      </c>
      <c r="K253">
        <v>12</v>
      </c>
      <c r="L253">
        <f t="shared" si="16"/>
        <v>8.5</v>
      </c>
      <c r="M253">
        <f t="shared" si="15"/>
        <v>1.125</v>
      </c>
    </row>
    <row r="254" spans="1:13" x14ac:dyDescent="0.25">
      <c r="A254">
        <v>245</v>
      </c>
      <c r="B254" s="1">
        <v>44709</v>
      </c>
      <c r="C254" t="s">
        <v>5</v>
      </c>
      <c r="D254" t="s">
        <v>10</v>
      </c>
      <c r="E254" t="s">
        <v>26</v>
      </c>
      <c r="F254" t="s">
        <v>0</v>
      </c>
      <c r="G254">
        <v>61.5</v>
      </c>
      <c r="H254">
        <v>3.6</v>
      </c>
      <c r="I254">
        <v>3.5</v>
      </c>
      <c r="J254">
        <v>5</v>
      </c>
      <c r="K254">
        <v>18</v>
      </c>
      <c r="L254">
        <f t="shared" si="16"/>
        <v>7.1</v>
      </c>
      <c r="M254">
        <f t="shared" si="15"/>
        <v>0.97222222222222221</v>
      </c>
    </row>
    <row r="255" spans="1:13" x14ac:dyDescent="0.25">
      <c r="A255">
        <v>246</v>
      </c>
      <c r="B255" s="1">
        <v>44710</v>
      </c>
      <c r="C255" t="s">
        <v>5</v>
      </c>
      <c r="D255" t="s">
        <v>10</v>
      </c>
      <c r="E255" t="s">
        <v>26</v>
      </c>
      <c r="F255" t="s">
        <v>0</v>
      </c>
      <c r="G255">
        <v>61.5</v>
      </c>
      <c r="H255">
        <v>3.2</v>
      </c>
      <c r="I255">
        <v>3.9</v>
      </c>
      <c r="J255">
        <v>4</v>
      </c>
      <c r="K255">
        <v>21</v>
      </c>
      <c r="L255">
        <f t="shared" si="16"/>
        <v>7.1</v>
      </c>
      <c r="M255">
        <f t="shared" ref="M255:M318" si="17">+I255/IF(H255 = 0,1,H255)</f>
        <v>1.21875</v>
      </c>
    </row>
    <row r="256" spans="1:13" x14ac:dyDescent="0.25">
      <c r="A256">
        <v>247</v>
      </c>
      <c r="B256" s="1">
        <v>44683</v>
      </c>
      <c r="C256" t="s">
        <v>5</v>
      </c>
      <c r="D256" t="s">
        <v>146</v>
      </c>
      <c r="E256" t="s">
        <v>26</v>
      </c>
      <c r="F256" t="s">
        <v>0</v>
      </c>
      <c r="G256">
        <v>62.7</v>
      </c>
      <c r="H256">
        <v>2.5</v>
      </c>
      <c r="I256">
        <v>2.8</v>
      </c>
      <c r="J256">
        <v>4</v>
      </c>
      <c r="K256">
        <v>15</v>
      </c>
      <c r="L256">
        <f t="shared" si="16"/>
        <v>5.3</v>
      </c>
      <c r="M256">
        <f t="shared" si="17"/>
        <v>1.1199999999999999</v>
      </c>
    </row>
    <row r="257" spans="1:13" x14ac:dyDescent="0.25">
      <c r="A257">
        <v>248</v>
      </c>
      <c r="B257" s="1">
        <v>44687</v>
      </c>
      <c r="C257" t="s">
        <v>5</v>
      </c>
      <c r="D257" t="s">
        <v>146</v>
      </c>
      <c r="E257" t="s">
        <v>26</v>
      </c>
      <c r="F257" t="s">
        <v>0</v>
      </c>
      <c r="G257">
        <v>62.6</v>
      </c>
      <c r="H257">
        <v>2.6</v>
      </c>
      <c r="I257">
        <v>2.9</v>
      </c>
      <c r="J257">
        <v>6</v>
      </c>
      <c r="K257">
        <v>13</v>
      </c>
      <c r="L257">
        <f t="shared" si="16"/>
        <v>5.5</v>
      </c>
      <c r="M257">
        <f t="shared" si="17"/>
        <v>1.1153846153846154</v>
      </c>
    </row>
    <row r="258" spans="1:13" x14ac:dyDescent="0.25">
      <c r="A258">
        <v>249</v>
      </c>
      <c r="B258" s="1">
        <v>44689</v>
      </c>
      <c r="C258" t="s">
        <v>5</v>
      </c>
      <c r="D258" t="s">
        <v>146</v>
      </c>
      <c r="E258" t="s">
        <v>26</v>
      </c>
      <c r="F258" t="s">
        <v>0</v>
      </c>
      <c r="G258">
        <v>62.7</v>
      </c>
      <c r="H258">
        <v>2.6</v>
      </c>
      <c r="I258">
        <v>2.7</v>
      </c>
      <c r="J258">
        <v>4</v>
      </c>
      <c r="K258">
        <v>17</v>
      </c>
      <c r="L258">
        <f t="shared" si="16"/>
        <v>5.3000000000000007</v>
      </c>
      <c r="M258">
        <f t="shared" si="17"/>
        <v>1.0384615384615385</v>
      </c>
    </row>
    <row r="259" spans="1:13" x14ac:dyDescent="0.25">
      <c r="A259">
        <v>250</v>
      </c>
      <c r="B259" s="1">
        <v>44692</v>
      </c>
      <c r="C259" t="s">
        <v>5</v>
      </c>
      <c r="D259" t="s">
        <v>146</v>
      </c>
      <c r="E259" t="s">
        <v>26</v>
      </c>
      <c r="F259" t="s">
        <v>0</v>
      </c>
      <c r="G259">
        <v>62.7</v>
      </c>
      <c r="H259">
        <v>3.2</v>
      </c>
      <c r="I259">
        <v>2.2000000000000002</v>
      </c>
      <c r="J259">
        <v>4</v>
      </c>
      <c r="K259">
        <v>14</v>
      </c>
      <c r="L259">
        <f t="shared" si="16"/>
        <v>5.4</v>
      </c>
      <c r="M259">
        <f t="shared" si="17"/>
        <v>0.6875</v>
      </c>
    </row>
    <row r="260" spans="1:13" x14ac:dyDescent="0.25">
      <c r="A260">
        <v>251</v>
      </c>
      <c r="B260" s="1">
        <v>44695</v>
      </c>
      <c r="C260" t="s">
        <v>5</v>
      </c>
      <c r="D260" t="s">
        <v>146</v>
      </c>
      <c r="E260" t="s">
        <v>26</v>
      </c>
      <c r="F260" t="s">
        <v>0</v>
      </c>
      <c r="G260">
        <v>62.8</v>
      </c>
      <c r="H260">
        <v>3</v>
      </c>
      <c r="I260">
        <v>2.2999999999999998</v>
      </c>
      <c r="J260">
        <v>7</v>
      </c>
      <c r="K260">
        <v>14</v>
      </c>
      <c r="L260">
        <f t="shared" si="16"/>
        <v>5.3</v>
      </c>
      <c r="M260">
        <f t="shared" si="17"/>
        <v>0.76666666666666661</v>
      </c>
    </row>
    <row r="261" spans="1:13" x14ac:dyDescent="0.25">
      <c r="A261">
        <v>252</v>
      </c>
      <c r="B261" s="1">
        <v>44696</v>
      </c>
      <c r="C261" t="s">
        <v>5</v>
      </c>
      <c r="D261" t="s">
        <v>146</v>
      </c>
      <c r="E261" t="s">
        <v>26</v>
      </c>
      <c r="F261" t="s">
        <v>0</v>
      </c>
      <c r="G261">
        <v>62.8</v>
      </c>
      <c r="H261">
        <v>2.6</v>
      </c>
      <c r="I261">
        <v>2.7</v>
      </c>
      <c r="J261">
        <v>6</v>
      </c>
      <c r="K261">
        <v>14</v>
      </c>
      <c r="L261">
        <f t="shared" si="16"/>
        <v>5.3000000000000007</v>
      </c>
      <c r="M261">
        <f t="shared" si="17"/>
        <v>1.0384615384615385</v>
      </c>
    </row>
    <row r="262" spans="1:13" x14ac:dyDescent="0.25">
      <c r="A262">
        <v>253</v>
      </c>
      <c r="B262" s="1">
        <v>44700</v>
      </c>
      <c r="C262" t="s">
        <v>5</v>
      </c>
      <c r="D262" t="s">
        <v>146</v>
      </c>
      <c r="E262" t="s">
        <v>26</v>
      </c>
      <c r="F262" t="s">
        <v>0</v>
      </c>
      <c r="G262">
        <v>62.7</v>
      </c>
      <c r="H262">
        <v>2.5</v>
      </c>
      <c r="I262">
        <v>2.8</v>
      </c>
      <c r="J262">
        <v>5</v>
      </c>
      <c r="K262">
        <v>13</v>
      </c>
      <c r="L262">
        <f t="shared" si="16"/>
        <v>5.3</v>
      </c>
      <c r="M262">
        <f t="shared" si="17"/>
        <v>1.1199999999999999</v>
      </c>
    </row>
    <row r="263" spans="1:13" x14ac:dyDescent="0.25">
      <c r="A263">
        <v>254</v>
      </c>
      <c r="B263" s="1">
        <v>44703</v>
      </c>
      <c r="C263" t="s">
        <v>5</v>
      </c>
      <c r="D263" t="s">
        <v>146</v>
      </c>
      <c r="E263" t="s">
        <v>26</v>
      </c>
      <c r="F263" t="s">
        <v>0</v>
      </c>
      <c r="G263">
        <v>62.5</v>
      </c>
      <c r="H263">
        <v>3.1</v>
      </c>
      <c r="I263">
        <v>2.6</v>
      </c>
      <c r="J263">
        <v>3</v>
      </c>
      <c r="K263">
        <v>22</v>
      </c>
      <c r="L263">
        <f t="shared" si="16"/>
        <v>5.7</v>
      </c>
      <c r="M263">
        <f t="shared" si="17"/>
        <v>0.83870967741935487</v>
      </c>
    </row>
    <row r="264" spans="1:13" x14ac:dyDescent="0.25">
      <c r="A264">
        <v>255</v>
      </c>
      <c r="B264" s="1">
        <v>44704</v>
      </c>
      <c r="C264" t="s">
        <v>5</v>
      </c>
      <c r="D264" t="s">
        <v>146</v>
      </c>
      <c r="E264" t="s">
        <v>26</v>
      </c>
      <c r="F264" t="s">
        <v>0</v>
      </c>
      <c r="G264">
        <v>62.5</v>
      </c>
      <c r="H264">
        <v>3.3</v>
      </c>
      <c r="I264">
        <v>2.2000000000000002</v>
      </c>
      <c r="J264">
        <v>6</v>
      </c>
      <c r="K264">
        <v>14</v>
      </c>
      <c r="L264">
        <f t="shared" si="16"/>
        <v>5.5</v>
      </c>
      <c r="M264">
        <f t="shared" si="17"/>
        <v>0.66666666666666674</v>
      </c>
    </row>
    <row r="265" spans="1:13" x14ac:dyDescent="0.25">
      <c r="A265">
        <v>256</v>
      </c>
      <c r="B265" s="1">
        <v>44706</v>
      </c>
      <c r="C265" t="s">
        <v>5</v>
      </c>
      <c r="D265" t="s">
        <v>146</v>
      </c>
      <c r="E265" t="s">
        <v>26</v>
      </c>
      <c r="F265" t="s">
        <v>0</v>
      </c>
      <c r="G265">
        <v>62.7</v>
      </c>
      <c r="H265">
        <v>3.2</v>
      </c>
      <c r="I265">
        <v>2.1</v>
      </c>
      <c r="J265">
        <v>5</v>
      </c>
      <c r="K265">
        <v>16</v>
      </c>
      <c r="L265">
        <f t="shared" si="16"/>
        <v>5.3000000000000007</v>
      </c>
      <c r="M265">
        <f t="shared" si="17"/>
        <v>0.65625</v>
      </c>
    </row>
    <row r="266" spans="1:13" x14ac:dyDescent="0.25">
      <c r="A266">
        <v>257</v>
      </c>
      <c r="B266" s="1">
        <v>44707</v>
      </c>
      <c r="C266" t="s">
        <v>5</v>
      </c>
      <c r="D266" t="s">
        <v>146</v>
      </c>
      <c r="E266" t="s">
        <v>26</v>
      </c>
      <c r="F266" t="s">
        <v>0</v>
      </c>
      <c r="G266">
        <v>62.2</v>
      </c>
      <c r="H266">
        <v>2.8</v>
      </c>
      <c r="I266">
        <v>3.1</v>
      </c>
      <c r="J266">
        <v>4</v>
      </c>
      <c r="K266">
        <v>43</v>
      </c>
      <c r="L266">
        <f t="shared" si="16"/>
        <v>5.9</v>
      </c>
      <c r="M266">
        <f t="shared" si="17"/>
        <v>1.1071428571428572</v>
      </c>
    </row>
    <row r="267" spans="1:13" x14ac:dyDescent="0.25">
      <c r="A267">
        <v>258</v>
      </c>
      <c r="B267" s="1">
        <v>44708</v>
      </c>
      <c r="C267" t="s">
        <v>5</v>
      </c>
      <c r="D267" t="s">
        <v>146</v>
      </c>
      <c r="E267" t="s">
        <v>26</v>
      </c>
      <c r="F267" t="s">
        <v>0</v>
      </c>
      <c r="G267">
        <v>62.6</v>
      </c>
      <c r="H267">
        <v>2.9</v>
      </c>
      <c r="I267">
        <v>2.6</v>
      </c>
      <c r="J267">
        <v>2</v>
      </c>
      <c r="K267">
        <v>12</v>
      </c>
      <c r="L267">
        <f t="shared" si="16"/>
        <v>5.5</v>
      </c>
      <c r="M267">
        <f t="shared" si="17"/>
        <v>0.89655172413793105</v>
      </c>
    </row>
    <row r="268" spans="1:13" x14ac:dyDescent="0.25">
      <c r="A268">
        <v>259</v>
      </c>
      <c r="B268" s="1">
        <v>44710</v>
      </c>
      <c r="C268" t="s">
        <v>5</v>
      </c>
      <c r="D268" t="s">
        <v>146</v>
      </c>
      <c r="E268" t="s">
        <v>26</v>
      </c>
      <c r="F268" t="s">
        <v>0</v>
      </c>
      <c r="G268">
        <v>62.7</v>
      </c>
      <c r="H268">
        <v>2.9</v>
      </c>
      <c r="I268">
        <v>2.5</v>
      </c>
      <c r="J268">
        <v>1</v>
      </c>
      <c r="K268">
        <v>11</v>
      </c>
      <c r="L268">
        <f t="shared" si="16"/>
        <v>5.4</v>
      </c>
      <c r="M268">
        <f t="shared" si="17"/>
        <v>0.86206896551724144</v>
      </c>
    </row>
    <row r="269" spans="1:13" x14ac:dyDescent="0.25">
      <c r="A269">
        <v>260</v>
      </c>
      <c r="B269" s="1">
        <v>44712</v>
      </c>
      <c r="C269" t="s">
        <v>5</v>
      </c>
      <c r="D269" t="s">
        <v>146</v>
      </c>
      <c r="E269" t="s">
        <v>26</v>
      </c>
      <c r="F269" t="s">
        <v>0</v>
      </c>
      <c r="G269">
        <v>62.7</v>
      </c>
      <c r="H269">
        <v>2.7</v>
      </c>
      <c r="I269">
        <v>2.6</v>
      </c>
      <c r="J269">
        <v>3</v>
      </c>
      <c r="K269">
        <v>13</v>
      </c>
      <c r="L269">
        <f t="shared" si="16"/>
        <v>5.3000000000000007</v>
      </c>
      <c r="M269">
        <f t="shared" si="17"/>
        <v>0.96296296296296291</v>
      </c>
    </row>
    <row r="270" spans="1:13" x14ac:dyDescent="0.25">
      <c r="A270">
        <v>261</v>
      </c>
      <c r="B270" s="1"/>
      <c r="L270">
        <f t="shared" si="16"/>
        <v>0</v>
      </c>
      <c r="M270">
        <f t="shared" si="17"/>
        <v>0</v>
      </c>
    </row>
    <row r="271" spans="1:13" x14ac:dyDescent="0.25">
      <c r="A271">
        <v>262</v>
      </c>
      <c r="B271" s="1"/>
      <c r="L271">
        <f t="shared" si="16"/>
        <v>0</v>
      </c>
      <c r="M271">
        <f t="shared" si="17"/>
        <v>0</v>
      </c>
    </row>
    <row r="272" spans="1:13" x14ac:dyDescent="0.25">
      <c r="A272">
        <v>263</v>
      </c>
      <c r="B272" s="1"/>
      <c r="L272">
        <f t="shared" si="16"/>
        <v>0</v>
      </c>
      <c r="M272">
        <f t="shared" si="17"/>
        <v>0</v>
      </c>
    </row>
    <row r="273" spans="1:13" x14ac:dyDescent="0.25">
      <c r="A273">
        <v>264</v>
      </c>
      <c r="B273" s="1"/>
      <c r="L273">
        <f t="shared" si="16"/>
        <v>0</v>
      </c>
      <c r="M273">
        <f t="shared" si="17"/>
        <v>0</v>
      </c>
    </row>
    <row r="274" spans="1:13" x14ac:dyDescent="0.25">
      <c r="A274">
        <v>265</v>
      </c>
      <c r="B274" s="1"/>
      <c r="L274">
        <f t="shared" si="16"/>
        <v>0</v>
      </c>
      <c r="M274">
        <f t="shared" si="17"/>
        <v>0</v>
      </c>
    </row>
    <row r="275" spans="1:13" x14ac:dyDescent="0.25">
      <c r="A275">
        <v>266</v>
      </c>
      <c r="B275" s="1"/>
      <c r="L275">
        <f t="shared" si="16"/>
        <v>0</v>
      </c>
      <c r="M275">
        <f t="shared" si="17"/>
        <v>0</v>
      </c>
    </row>
    <row r="276" spans="1:13" x14ac:dyDescent="0.25">
      <c r="A276">
        <v>267</v>
      </c>
      <c r="B276" s="1"/>
      <c r="L276">
        <f t="shared" si="16"/>
        <v>0</v>
      </c>
      <c r="M276">
        <f t="shared" si="17"/>
        <v>0</v>
      </c>
    </row>
    <row r="277" spans="1:13" x14ac:dyDescent="0.25">
      <c r="A277">
        <v>268</v>
      </c>
      <c r="B277" s="1"/>
      <c r="L277">
        <f t="shared" si="16"/>
        <v>0</v>
      </c>
      <c r="M277">
        <f t="shared" si="17"/>
        <v>0</v>
      </c>
    </row>
    <row r="278" spans="1:13" x14ac:dyDescent="0.25">
      <c r="A278">
        <v>269</v>
      </c>
      <c r="B278" s="1"/>
      <c r="L278">
        <f t="shared" si="16"/>
        <v>0</v>
      </c>
      <c r="M278">
        <f t="shared" si="17"/>
        <v>0</v>
      </c>
    </row>
    <row r="279" spans="1:13" x14ac:dyDescent="0.25">
      <c r="A279">
        <v>270</v>
      </c>
      <c r="B279" s="1"/>
      <c r="L279">
        <f t="shared" si="16"/>
        <v>0</v>
      </c>
      <c r="M279">
        <f t="shared" si="17"/>
        <v>0</v>
      </c>
    </row>
    <row r="280" spans="1:13" x14ac:dyDescent="0.25">
      <c r="A280">
        <v>271</v>
      </c>
      <c r="B280" s="1"/>
      <c r="L280">
        <f t="shared" ref="L280:L343" si="18">+I280+H280</f>
        <v>0</v>
      </c>
      <c r="M280">
        <f t="shared" si="17"/>
        <v>0</v>
      </c>
    </row>
    <row r="281" spans="1:13" x14ac:dyDescent="0.25">
      <c r="A281">
        <v>272</v>
      </c>
      <c r="B281" s="1"/>
      <c r="L281">
        <f t="shared" si="18"/>
        <v>0</v>
      </c>
      <c r="M281">
        <f t="shared" si="17"/>
        <v>0</v>
      </c>
    </row>
    <row r="282" spans="1:13" x14ac:dyDescent="0.25">
      <c r="A282">
        <v>273</v>
      </c>
      <c r="B282" s="1"/>
      <c r="L282">
        <f t="shared" si="18"/>
        <v>0</v>
      </c>
      <c r="M282">
        <f t="shared" si="17"/>
        <v>0</v>
      </c>
    </row>
    <row r="283" spans="1:13" x14ac:dyDescent="0.25">
      <c r="A283">
        <v>274</v>
      </c>
      <c r="B283" s="1"/>
      <c r="L283">
        <f t="shared" si="18"/>
        <v>0</v>
      </c>
      <c r="M283">
        <f t="shared" si="17"/>
        <v>0</v>
      </c>
    </row>
    <row r="284" spans="1:13" x14ac:dyDescent="0.25">
      <c r="A284">
        <v>275</v>
      </c>
      <c r="B284" s="1"/>
      <c r="L284">
        <f t="shared" si="18"/>
        <v>0</v>
      </c>
      <c r="M284">
        <f t="shared" si="17"/>
        <v>0</v>
      </c>
    </row>
    <row r="285" spans="1:13" x14ac:dyDescent="0.25">
      <c r="A285">
        <v>276</v>
      </c>
      <c r="B285" s="1"/>
      <c r="L285">
        <f t="shared" si="18"/>
        <v>0</v>
      </c>
      <c r="M285">
        <f t="shared" si="17"/>
        <v>0</v>
      </c>
    </row>
    <row r="286" spans="1:13" x14ac:dyDescent="0.25">
      <c r="A286">
        <v>277</v>
      </c>
      <c r="B286" s="1"/>
      <c r="L286">
        <f t="shared" si="18"/>
        <v>0</v>
      </c>
      <c r="M286">
        <f t="shared" si="17"/>
        <v>0</v>
      </c>
    </row>
    <row r="287" spans="1:13" x14ac:dyDescent="0.25">
      <c r="A287">
        <v>278</v>
      </c>
      <c r="B287" s="1"/>
      <c r="L287">
        <f t="shared" si="18"/>
        <v>0</v>
      </c>
      <c r="M287">
        <f t="shared" si="17"/>
        <v>0</v>
      </c>
    </row>
    <row r="288" spans="1:13" x14ac:dyDescent="0.25">
      <c r="A288">
        <v>279</v>
      </c>
      <c r="B288" s="1"/>
      <c r="L288">
        <f t="shared" si="18"/>
        <v>0</v>
      </c>
      <c r="M288">
        <f t="shared" si="17"/>
        <v>0</v>
      </c>
    </row>
    <row r="289" spans="1:13" x14ac:dyDescent="0.25">
      <c r="A289">
        <v>280</v>
      </c>
      <c r="B289" s="1"/>
      <c r="L289">
        <f t="shared" si="18"/>
        <v>0</v>
      </c>
      <c r="M289">
        <f t="shared" si="17"/>
        <v>0</v>
      </c>
    </row>
    <row r="290" spans="1:13" x14ac:dyDescent="0.25">
      <c r="A290">
        <v>281</v>
      </c>
      <c r="B290" s="1"/>
      <c r="L290">
        <f t="shared" si="18"/>
        <v>0</v>
      </c>
      <c r="M290">
        <f t="shared" si="17"/>
        <v>0</v>
      </c>
    </row>
    <row r="291" spans="1:13" x14ac:dyDescent="0.25">
      <c r="A291">
        <v>282</v>
      </c>
      <c r="B291" s="1"/>
      <c r="L291">
        <f t="shared" si="18"/>
        <v>0</v>
      </c>
      <c r="M291">
        <f t="shared" si="17"/>
        <v>0</v>
      </c>
    </row>
    <row r="292" spans="1:13" x14ac:dyDescent="0.25">
      <c r="A292">
        <v>283</v>
      </c>
      <c r="B292" s="1"/>
      <c r="L292">
        <f t="shared" si="18"/>
        <v>0</v>
      </c>
      <c r="M292">
        <f t="shared" si="17"/>
        <v>0</v>
      </c>
    </row>
    <row r="293" spans="1:13" x14ac:dyDescent="0.25">
      <c r="A293">
        <v>284</v>
      </c>
      <c r="B293" s="1"/>
      <c r="L293">
        <f t="shared" si="18"/>
        <v>0</v>
      </c>
      <c r="M293">
        <f t="shared" si="17"/>
        <v>0</v>
      </c>
    </row>
    <row r="294" spans="1:13" x14ac:dyDescent="0.25">
      <c r="A294">
        <v>285</v>
      </c>
      <c r="B294" s="1"/>
      <c r="L294">
        <f t="shared" si="18"/>
        <v>0</v>
      </c>
      <c r="M294">
        <f t="shared" si="17"/>
        <v>0</v>
      </c>
    </row>
    <row r="295" spans="1:13" x14ac:dyDescent="0.25">
      <c r="A295">
        <v>286</v>
      </c>
      <c r="B295" s="1"/>
      <c r="L295">
        <f t="shared" si="18"/>
        <v>0</v>
      </c>
      <c r="M295">
        <f t="shared" si="17"/>
        <v>0</v>
      </c>
    </row>
    <row r="296" spans="1:13" x14ac:dyDescent="0.25">
      <c r="A296">
        <v>287</v>
      </c>
      <c r="B296" s="1"/>
      <c r="L296">
        <f t="shared" si="18"/>
        <v>0</v>
      </c>
      <c r="M296">
        <f t="shared" si="17"/>
        <v>0</v>
      </c>
    </row>
    <row r="297" spans="1:13" x14ac:dyDescent="0.25">
      <c r="A297">
        <v>288</v>
      </c>
      <c r="B297" s="1"/>
      <c r="L297">
        <f t="shared" si="18"/>
        <v>0</v>
      </c>
      <c r="M297">
        <f t="shared" si="17"/>
        <v>0</v>
      </c>
    </row>
    <row r="298" spans="1:13" x14ac:dyDescent="0.25">
      <c r="A298">
        <v>289</v>
      </c>
      <c r="B298" s="1"/>
      <c r="L298">
        <f t="shared" si="18"/>
        <v>0</v>
      </c>
      <c r="M298">
        <f t="shared" si="17"/>
        <v>0</v>
      </c>
    </row>
    <row r="299" spans="1:13" x14ac:dyDescent="0.25">
      <c r="A299">
        <v>290</v>
      </c>
      <c r="B299" s="1"/>
      <c r="L299">
        <f t="shared" si="18"/>
        <v>0</v>
      </c>
      <c r="M299">
        <f t="shared" si="17"/>
        <v>0</v>
      </c>
    </row>
    <row r="300" spans="1:13" x14ac:dyDescent="0.25">
      <c r="A300">
        <v>291</v>
      </c>
      <c r="B300" s="1"/>
      <c r="L300">
        <f t="shared" si="18"/>
        <v>0</v>
      </c>
      <c r="M300">
        <f t="shared" si="17"/>
        <v>0</v>
      </c>
    </row>
    <row r="301" spans="1:13" x14ac:dyDescent="0.25">
      <c r="A301">
        <v>292</v>
      </c>
      <c r="B301" s="1"/>
      <c r="L301">
        <f t="shared" si="18"/>
        <v>0</v>
      </c>
      <c r="M301">
        <f t="shared" si="17"/>
        <v>0</v>
      </c>
    </row>
    <row r="302" spans="1:13" x14ac:dyDescent="0.25">
      <c r="A302">
        <v>293</v>
      </c>
      <c r="B302" s="1"/>
      <c r="L302">
        <f t="shared" si="18"/>
        <v>0</v>
      </c>
      <c r="M302">
        <f t="shared" si="17"/>
        <v>0</v>
      </c>
    </row>
    <row r="303" spans="1:13" x14ac:dyDescent="0.25">
      <c r="A303">
        <v>294</v>
      </c>
      <c r="B303" s="1"/>
      <c r="L303">
        <f t="shared" si="18"/>
        <v>0</v>
      </c>
      <c r="M303">
        <f t="shared" si="17"/>
        <v>0</v>
      </c>
    </row>
    <row r="304" spans="1:13" x14ac:dyDescent="0.25">
      <c r="A304">
        <v>295</v>
      </c>
      <c r="B304" s="1"/>
      <c r="L304">
        <f t="shared" si="18"/>
        <v>0</v>
      </c>
      <c r="M304">
        <f t="shared" si="17"/>
        <v>0</v>
      </c>
    </row>
    <row r="305" spans="1:13" x14ac:dyDescent="0.25">
      <c r="A305">
        <v>296</v>
      </c>
      <c r="B305" s="1"/>
      <c r="L305">
        <f t="shared" si="18"/>
        <v>0</v>
      </c>
      <c r="M305">
        <f t="shared" si="17"/>
        <v>0</v>
      </c>
    </row>
    <row r="306" spans="1:13" x14ac:dyDescent="0.25">
      <c r="A306">
        <v>297</v>
      </c>
      <c r="B306" s="1"/>
      <c r="L306">
        <f t="shared" si="18"/>
        <v>0</v>
      </c>
      <c r="M306">
        <f t="shared" si="17"/>
        <v>0</v>
      </c>
    </row>
    <row r="307" spans="1:13" x14ac:dyDescent="0.25">
      <c r="A307">
        <v>298</v>
      </c>
      <c r="B307" s="1"/>
      <c r="L307">
        <f t="shared" si="18"/>
        <v>0</v>
      </c>
      <c r="M307">
        <f t="shared" si="17"/>
        <v>0</v>
      </c>
    </row>
    <row r="308" spans="1:13" x14ac:dyDescent="0.25">
      <c r="A308">
        <v>299</v>
      </c>
      <c r="B308" s="1"/>
      <c r="L308">
        <f t="shared" si="18"/>
        <v>0</v>
      </c>
      <c r="M308">
        <f t="shared" si="17"/>
        <v>0</v>
      </c>
    </row>
    <row r="309" spans="1:13" x14ac:dyDescent="0.25">
      <c r="A309">
        <v>300</v>
      </c>
      <c r="B309" s="1"/>
      <c r="L309">
        <f t="shared" si="18"/>
        <v>0</v>
      </c>
      <c r="M309">
        <f t="shared" si="17"/>
        <v>0</v>
      </c>
    </row>
    <row r="310" spans="1:13" x14ac:dyDescent="0.25">
      <c r="A310">
        <v>301</v>
      </c>
      <c r="B310" s="1"/>
      <c r="L310">
        <f t="shared" si="18"/>
        <v>0</v>
      </c>
      <c r="M310">
        <f t="shared" si="17"/>
        <v>0</v>
      </c>
    </row>
    <row r="311" spans="1:13" x14ac:dyDescent="0.25">
      <c r="A311">
        <v>302</v>
      </c>
      <c r="B311" s="1"/>
      <c r="L311">
        <f t="shared" si="18"/>
        <v>0</v>
      </c>
      <c r="M311">
        <f t="shared" si="17"/>
        <v>0</v>
      </c>
    </row>
    <row r="312" spans="1:13" x14ac:dyDescent="0.25">
      <c r="A312">
        <v>303</v>
      </c>
      <c r="B312" s="1"/>
      <c r="L312">
        <f t="shared" si="18"/>
        <v>0</v>
      </c>
      <c r="M312">
        <f t="shared" si="17"/>
        <v>0</v>
      </c>
    </row>
    <row r="313" spans="1:13" x14ac:dyDescent="0.25">
      <c r="A313">
        <v>304</v>
      </c>
      <c r="B313" s="1"/>
      <c r="L313">
        <f t="shared" si="18"/>
        <v>0</v>
      </c>
      <c r="M313">
        <f t="shared" si="17"/>
        <v>0</v>
      </c>
    </row>
    <row r="314" spans="1:13" x14ac:dyDescent="0.25">
      <c r="A314">
        <v>305</v>
      </c>
      <c r="B314" s="1"/>
      <c r="L314">
        <f t="shared" si="18"/>
        <v>0</v>
      </c>
      <c r="M314">
        <f t="shared" si="17"/>
        <v>0</v>
      </c>
    </row>
    <row r="315" spans="1:13" x14ac:dyDescent="0.25">
      <c r="A315">
        <v>306</v>
      </c>
      <c r="B315" s="1"/>
      <c r="L315">
        <f t="shared" si="18"/>
        <v>0</v>
      </c>
      <c r="M315">
        <f t="shared" si="17"/>
        <v>0</v>
      </c>
    </row>
    <row r="316" spans="1:13" x14ac:dyDescent="0.25">
      <c r="A316">
        <v>307</v>
      </c>
      <c r="B316" s="1"/>
      <c r="L316">
        <f t="shared" si="18"/>
        <v>0</v>
      </c>
      <c r="M316">
        <f t="shared" si="17"/>
        <v>0</v>
      </c>
    </row>
    <row r="317" spans="1:13" x14ac:dyDescent="0.25">
      <c r="A317">
        <v>308</v>
      </c>
      <c r="B317" s="1"/>
      <c r="L317">
        <f t="shared" si="18"/>
        <v>0</v>
      </c>
      <c r="M317">
        <f t="shared" si="17"/>
        <v>0</v>
      </c>
    </row>
    <row r="318" spans="1:13" x14ac:dyDescent="0.25">
      <c r="A318">
        <v>309</v>
      </c>
      <c r="B318" s="1"/>
      <c r="L318">
        <f t="shared" si="18"/>
        <v>0</v>
      </c>
      <c r="M318">
        <f t="shared" si="17"/>
        <v>0</v>
      </c>
    </row>
    <row r="319" spans="1:13" x14ac:dyDescent="0.25">
      <c r="A319">
        <v>310</v>
      </c>
      <c r="B319" s="1"/>
      <c r="L319">
        <f t="shared" si="18"/>
        <v>0</v>
      </c>
      <c r="M319">
        <f t="shared" ref="M319:M382" si="19">+I319/IF(H319 = 0,1,H319)</f>
        <v>0</v>
      </c>
    </row>
    <row r="320" spans="1:13" x14ac:dyDescent="0.25">
      <c r="A320">
        <v>311</v>
      </c>
      <c r="B320" s="1"/>
      <c r="L320">
        <f t="shared" si="18"/>
        <v>0</v>
      </c>
      <c r="M320">
        <f t="shared" si="19"/>
        <v>0</v>
      </c>
    </row>
    <row r="321" spans="1:13" x14ac:dyDescent="0.25">
      <c r="A321">
        <v>312</v>
      </c>
      <c r="B321" s="1"/>
      <c r="L321">
        <f t="shared" si="18"/>
        <v>0</v>
      </c>
      <c r="M321">
        <f t="shared" si="19"/>
        <v>0</v>
      </c>
    </row>
    <row r="322" spans="1:13" x14ac:dyDescent="0.25">
      <c r="A322">
        <v>313</v>
      </c>
      <c r="B322" s="1"/>
      <c r="L322">
        <f t="shared" si="18"/>
        <v>0</v>
      </c>
      <c r="M322">
        <f t="shared" si="19"/>
        <v>0</v>
      </c>
    </row>
    <row r="323" spans="1:13" x14ac:dyDescent="0.25">
      <c r="A323">
        <v>314</v>
      </c>
      <c r="B323" s="1"/>
      <c r="L323">
        <f t="shared" si="18"/>
        <v>0</v>
      </c>
      <c r="M323">
        <f t="shared" si="19"/>
        <v>0</v>
      </c>
    </row>
    <row r="324" spans="1:13" x14ac:dyDescent="0.25">
      <c r="A324">
        <v>315</v>
      </c>
      <c r="B324" s="1"/>
      <c r="L324">
        <f t="shared" si="18"/>
        <v>0</v>
      </c>
      <c r="M324">
        <f t="shared" si="19"/>
        <v>0</v>
      </c>
    </row>
    <row r="325" spans="1:13" x14ac:dyDescent="0.25">
      <c r="A325">
        <v>316</v>
      </c>
      <c r="B325" s="1"/>
      <c r="L325">
        <f t="shared" si="18"/>
        <v>0</v>
      </c>
      <c r="M325">
        <f t="shared" si="19"/>
        <v>0</v>
      </c>
    </row>
    <row r="326" spans="1:13" x14ac:dyDescent="0.25">
      <c r="A326">
        <v>317</v>
      </c>
      <c r="B326" s="1"/>
      <c r="L326">
        <f t="shared" si="18"/>
        <v>0</v>
      </c>
      <c r="M326">
        <f t="shared" si="19"/>
        <v>0</v>
      </c>
    </row>
    <row r="327" spans="1:13" x14ac:dyDescent="0.25">
      <c r="A327">
        <v>318</v>
      </c>
      <c r="B327" s="1"/>
      <c r="L327">
        <f t="shared" si="18"/>
        <v>0</v>
      </c>
      <c r="M327">
        <f t="shared" si="19"/>
        <v>0</v>
      </c>
    </row>
    <row r="328" spans="1:13" x14ac:dyDescent="0.25">
      <c r="A328">
        <v>319</v>
      </c>
      <c r="B328" s="1"/>
      <c r="L328">
        <f t="shared" si="18"/>
        <v>0</v>
      </c>
      <c r="M328">
        <f t="shared" si="19"/>
        <v>0</v>
      </c>
    </row>
    <row r="329" spans="1:13" x14ac:dyDescent="0.25">
      <c r="A329">
        <v>320</v>
      </c>
      <c r="B329" s="1"/>
      <c r="L329">
        <f t="shared" si="18"/>
        <v>0</v>
      </c>
      <c r="M329">
        <f t="shared" si="19"/>
        <v>0</v>
      </c>
    </row>
    <row r="330" spans="1:13" x14ac:dyDescent="0.25">
      <c r="A330">
        <v>321</v>
      </c>
      <c r="B330" s="1"/>
      <c r="L330">
        <f t="shared" si="18"/>
        <v>0</v>
      </c>
      <c r="M330">
        <f t="shared" si="19"/>
        <v>0</v>
      </c>
    </row>
    <row r="331" spans="1:13" x14ac:dyDescent="0.25">
      <c r="A331">
        <v>322</v>
      </c>
      <c r="B331" s="1"/>
      <c r="L331">
        <f t="shared" si="18"/>
        <v>0</v>
      </c>
      <c r="M331">
        <f t="shared" si="19"/>
        <v>0</v>
      </c>
    </row>
    <row r="332" spans="1:13" x14ac:dyDescent="0.25">
      <c r="A332">
        <v>323</v>
      </c>
      <c r="B332" s="1"/>
      <c r="L332">
        <f t="shared" si="18"/>
        <v>0</v>
      </c>
      <c r="M332">
        <f t="shared" si="19"/>
        <v>0</v>
      </c>
    </row>
    <row r="333" spans="1:13" x14ac:dyDescent="0.25">
      <c r="A333">
        <v>324</v>
      </c>
      <c r="B333" s="1"/>
      <c r="L333">
        <f t="shared" si="18"/>
        <v>0</v>
      </c>
      <c r="M333">
        <f t="shared" si="19"/>
        <v>0</v>
      </c>
    </row>
    <row r="334" spans="1:13" x14ac:dyDescent="0.25">
      <c r="A334">
        <v>325</v>
      </c>
      <c r="B334" s="1"/>
      <c r="L334">
        <f t="shared" si="18"/>
        <v>0</v>
      </c>
      <c r="M334">
        <f t="shared" si="19"/>
        <v>0</v>
      </c>
    </row>
    <row r="335" spans="1:13" x14ac:dyDescent="0.25">
      <c r="A335">
        <v>326</v>
      </c>
      <c r="B335" s="1"/>
      <c r="L335">
        <f t="shared" si="18"/>
        <v>0</v>
      </c>
      <c r="M335">
        <f t="shared" si="19"/>
        <v>0</v>
      </c>
    </row>
    <row r="336" spans="1:13" x14ac:dyDescent="0.25">
      <c r="A336">
        <v>327</v>
      </c>
      <c r="B336" s="1"/>
      <c r="L336">
        <f t="shared" si="18"/>
        <v>0</v>
      </c>
      <c r="M336">
        <f t="shared" si="19"/>
        <v>0</v>
      </c>
    </row>
    <row r="337" spans="1:13" x14ac:dyDescent="0.25">
      <c r="A337">
        <v>328</v>
      </c>
      <c r="B337" s="1"/>
      <c r="L337">
        <f t="shared" si="18"/>
        <v>0</v>
      </c>
      <c r="M337">
        <f t="shared" si="19"/>
        <v>0</v>
      </c>
    </row>
    <row r="338" spans="1:13" x14ac:dyDescent="0.25">
      <c r="A338">
        <v>329</v>
      </c>
      <c r="B338" s="1"/>
      <c r="L338">
        <f t="shared" si="18"/>
        <v>0</v>
      </c>
      <c r="M338">
        <f t="shared" si="19"/>
        <v>0</v>
      </c>
    </row>
    <row r="339" spans="1:13" x14ac:dyDescent="0.25">
      <c r="A339">
        <v>330</v>
      </c>
      <c r="B339" s="1"/>
      <c r="L339">
        <f t="shared" si="18"/>
        <v>0</v>
      </c>
      <c r="M339">
        <f t="shared" si="19"/>
        <v>0</v>
      </c>
    </row>
    <row r="340" spans="1:13" x14ac:dyDescent="0.25">
      <c r="A340">
        <v>331</v>
      </c>
      <c r="B340" s="1"/>
      <c r="L340">
        <f t="shared" si="18"/>
        <v>0</v>
      </c>
      <c r="M340">
        <f t="shared" si="19"/>
        <v>0</v>
      </c>
    </row>
    <row r="341" spans="1:13" x14ac:dyDescent="0.25">
      <c r="A341">
        <v>332</v>
      </c>
      <c r="B341" s="1"/>
      <c r="L341">
        <f t="shared" si="18"/>
        <v>0</v>
      </c>
      <c r="M341">
        <f t="shared" si="19"/>
        <v>0</v>
      </c>
    </row>
    <row r="342" spans="1:13" x14ac:dyDescent="0.25">
      <c r="A342">
        <v>333</v>
      </c>
      <c r="B342" s="1"/>
      <c r="L342">
        <f t="shared" si="18"/>
        <v>0</v>
      </c>
      <c r="M342">
        <f t="shared" si="19"/>
        <v>0</v>
      </c>
    </row>
    <row r="343" spans="1:13" x14ac:dyDescent="0.25">
      <c r="A343">
        <v>334</v>
      </c>
      <c r="B343" s="1"/>
      <c r="L343">
        <f t="shared" si="18"/>
        <v>0</v>
      </c>
      <c r="M343">
        <f t="shared" si="19"/>
        <v>0</v>
      </c>
    </row>
    <row r="344" spans="1:13" x14ac:dyDescent="0.25">
      <c r="A344">
        <v>335</v>
      </c>
      <c r="B344" s="1"/>
      <c r="L344">
        <f t="shared" ref="L344:L407" si="20">+I344+H344</f>
        <v>0</v>
      </c>
      <c r="M344">
        <f t="shared" si="19"/>
        <v>0</v>
      </c>
    </row>
    <row r="345" spans="1:13" x14ac:dyDescent="0.25">
      <c r="A345">
        <v>336</v>
      </c>
      <c r="B345" s="1"/>
      <c r="L345">
        <f t="shared" si="20"/>
        <v>0</v>
      </c>
      <c r="M345">
        <f t="shared" si="19"/>
        <v>0</v>
      </c>
    </row>
    <row r="346" spans="1:13" x14ac:dyDescent="0.25">
      <c r="A346">
        <v>337</v>
      </c>
      <c r="B346" s="1"/>
      <c r="L346">
        <f t="shared" si="20"/>
        <v>0</v>
      </c>
      <c r="M346">
        <f t="shared" si="19"/>
        <v>0</v>
      </c>
    </row>
    <row r="347" spans="1:13" x14ac:dyDescent="0.25">
      <c r="A347">
        <v>338</v>
      </c>
      <c r="B347" s="1"/>
      <c r="L347">
        <f t="shared" si="20"/>
        <v>0</v>
      </c>
      <c r="M347">
        <f t="shared" si="19"/>
        <v>0</v>
      </c>
    </row>
    <row r="348" spans="1:13" x14ac:dyDescent="0.25">
      <c r="A348">
        <v>339</v>
      </c>
      <c r="B348" s="1"/>
      <c r="L348">
        <f t="shared" si="20"/>
        <v>0</v>
      </c>
      <c r="M348">
        <f t="shared" si="19"/>
        <v>0</v>
      </c>
    </row>
    <row r="349" spans="1:13" x14ac:dyDescent="0.25">
      <c r="A349">
        <v>340</v>
      </c>
      <c r="B349" s="1"/>
      <c r="L349">
        <f t="shared" si="20"/>
        <v>0</v>
      </c>
      <c r="M349">
        <f t="shared" si="19"/>
        <v>0</v>
      </c>
    </row>
    <row r="350" spans="1:13" x14ac:dyDescent="0.25">
      <c r="A350">
        <v>341</v>
      </c>
      <c r="B350" s="1"/>
      <c r="L350">
        <f t="shared" si="20"/>
        <v>0</v>
      </c>
      <c r="M350">
        <f t="shared" si="19"/>
        <v>0</v>
      </c>
    </row>
    <row r="351" spans="1:13" x14ac:dyDescent="0.25">
      <c r="A351">
        <v>342</v>
      </c>
      <c r="B351" s="1"/>
      <c r="L351">
        <f t="shared" si="20"/>
        <v>0</v>
      </c>
      <c r="M351">
        <f t="shared" si="19"/>
        <v>0</v>
      </c>
    </row>
    <row r="352" spans="1:13" x14ac:dyDescent="0.25">
      <c r="A352">
        <v>343</v>
      </c>
      <c r="B352" s="1"/>
      <c r="L352">
        <f t="shared" si="20"/>
        <v>0</v>
      </c>
      <c r="M352">
        <f t="shared" si="19"/>
        <v>0</v>
      </c>
    </row>
    <row r="353" spans="1:13" x14ac:dyDescent="0.25">
      <c r="A353">
        <v>344</v>
      </c>
      <c r="B353" s="1"/>
      <c r="L353">
        <f t="shared" si="20"/>
        <v>0</v>
      </c>
      <c r="M353">
        <f t="shared" si="19"/>
        <v>0</v>
      </c>
    </row>
    <row r="354" spans="1:13" x14ac:dyDescent="0.25">
      <c r="A354">
        <v>345</v>
      </c>
      <c r="B354" s="1"/>
      <c r="L354">
        <f t="shared" si="20"/>
        <v>0</v>
      </c>
      <c r="M354">
        <f t="shared" si="19"/>
        <v>0</v>
      </c>
    </row>
    <row r="355" spans="1:13" x14ac:dyDescent="0.25">
      <c r="A355">
        <v>346</v>
      </c>
      <c r="B355" s="1"/>
      <c r="L355">
        <f t="shared" si="20"/>
        <v>0</v>
      </c>
      <c r="M355">
        <f t="shared" si="19"/>
        <v>0</v>
      </c>
    </row>
    <row r="356" spans="1:13" x14ac:dyDescent="0.25">
      <c r="A356">
        <v>347</v>
      </c>
      <c r="B356" s="1"/>
      <c r="L356">
        <f t="shared" si="20"/>
        <v>0</v>
      </c>
      <c r="M356">
        <f t="shared" si="19"/>
        <v>0</v>
      </c>
    </row>
    <row r="357" spans="1:13" x14ac:dyDescent="0.25">
      <c r="A357">
        <v>348</v>
      </c>
      <c r="B357" s="1"/>
      <c r="L357">
        <f t="shared" si="20"/>
        <v>0</v>
      </c>
      <c r="M357">
        <f t="shared" si="19"/>
        <v>0</v>
      </c>
    </row>
    <row r="358" spans="1:13" x14ac:dyDescent="0.25">
      <c r="A358">
        <v>349</v>
      </c>
      <c r="B358" s="1"/>
      <c r="L358">
        <f t="shared" si="20"/>
        <v>0</v>
      </c>
      <c r="M358">
        <f t="shared" si="19"/>
        <v>0</v>
      </c>
    </row>
    <row r="359" spans="1:13" x14ac:dyDescent="0.25">
      <c r="A359">
        <v>350</v>
      </c>
      <c r="B359" s="1"/>
      <c r="L359">
        <f t="shared" si="20"/>
        <v>0</v>
      </c>
      <c r="M359">
        <f t="shared" si="19"/>
        <v>0</v>
      </c>
    </row>
    <row r="360" spans="1:13" x14ac:dyDescent="0.25">
      <c r="A360">
        <v>351</v>
      </c>
      <c r="B360" s="1"/>
      <c r="L360">
        <f t="shared" si="20"/>
        <v>0</v>
      </c>
      <c r="M360">
        <f t="shared" si="19"/>
        <v>0</v>
      </c>
    </row>
    <row r="361" spans="1:13" x14ac:dyDescent="0.25">
      <c r="A361">
        <v>352</v>
      </c>
      <c r="B361" s="1"/>
      <c r="L361">
        <f t="shared" si="20"/>
        <v>0</v>
      </c>
      <c r="M361">
        <f t="shared" si="19"/>
        <v>0</v>
      </c>
    </row>
    <row r="362" spans="1:13" x14ac:dyDescent="0.25">
      <c r="A362">
        <v>353</v>
      </c>
      <c r="B362" s="1"/>
      <c r="L362">
        <f t="shared" si="20"/>
        <v>0</v>
      </c>
      <c r="M362">
        <f t="shared" si="19"/>
        <v>0</v>
      </c>
    </row>
    <row r="363" spans="1:13" x14ac:dyDescent="0.25">
      <c r="A363">
        <v>354</v>
      </c>
      <c r="B363" s="1"/>
      <c r="L363">
        <f t="shared" si="20"/>
        <v>0</v>
      </c>
      <c r="M363">
        <f t="shared" si="19"/>
        <v>0</v>
      </c>
    </row>
    <row r="364" spans="1:13" x14ac:dyDescent="0.25">
      <c r="A364">
        <v>355</v>
      </c>
      <c r="B364" s="1"/>
      <c r="L364">
        <f t="shared" si="20"/>
        <v>0</v>
      </c>
      <c r="M364">
        <f t="shared" si="19"/>
        <v>0</v>
      </c>
    </row>
    <row r="365" spans="1:13" x14ac:dyDescent="0.25">
      <c r="A365">
        <v>356</v>
      </c>
      <c r="B365" s="1"/>
      <c r="L365">
        <f t="shared" si="20"/>
        <v>0</v>
      </c>
      <c r="M365">
        <f t="shared" si="19"/>
        <v>0</v>
      </c>
    </row>
    <row r="366" spans="1:13" x14ac:dyDescent="0.25">
      <c r="A366">
        <v>357</v>
      </c>
      <c r="B366" s="1"/>
      <c r="L366">
        <f t="shared" si="20"/>
        <v>0</v>
      </c>
      <c r="M366">
        <f t="shared" si="19"/>
        <v>0</v>
      </c>
    </row>
    <row r="367" spans="1:13" x14ac:dyDescent="0.25">
      <c r="A367">
        <v>358</v>
      </c>
      <c r="B367" s="1"/>
      <c r="L367">
        <f t="shared" si="20"/>
        <v>0</v>
      </c>
      <c r="M367">
        <f t="shared" si="19"/>
        <v>0</v>
      </c>
    </row>
    <row r="368" spans="1:13" x14ac:dyDescent="0.25">
      <c r="A368">
        <v>359</v>
      </c>
      <c r="B368" s="1"/>
      <c r="L368">
        <f t="shared" si="20"/>
        <v>0</v>
      </c>
      <c r="M368">
        <f t="shared" si="19"/>
        <v>0</v>
      </c>
    </row>
    <row r="369" spans="1:13" x14ac:dyDescent="0.25">
      <c r="A369">
        <v>360</v>
      </c>
      <c r="B369" s="1"/>
      <c r="L369">
        <f t="shared" si="20"/>
        <v>0</v>
      </c>
      <c r="M369">
        <f t="shared" si="19"/>
        <v>0</v>
      </c>
    </row>
    <row r="370" spans="1:13" x14ac:dyDescent="0.25">
      <c r="A370">
        <v>361</v>
      </c>
      <c r="B370" s="1"/>
      <c r="L370">
        <f t="shared" si="20"/>
        <v>0</v>
      </c>
      <c r="M370">
        <f t="shared" si="19"/>
        <v>0</v>
      </c>
    </row>
    <row r="371" spans="1:13" x14ac:dyDescent="0.25">
      <c r="A371">
        <v>362</v>
      </c>
      <c r="B371" s="1"/>
      <c r="L371">
        <f t="shared" si="20"/>
        <v>0</v>
      </c>
      <c r="M371">
        <f t="shared" si="19"/>
        <v>0</v>
      </c>
    </row>
    <row r="372" spans="1:13" x14ac:dyDescent="0.25">
      <c r="A372">
        <v>363</v>
      </c>
      <c r="B372" s="1"/>
      <c r="L372">
        <f t="shared" si="20"/>
        <v>0</v>
      </c>
      <c r="M372">
        <f t="shared" si="19"/>
        <v>0</v>
      </c>
    </row>
    <row r="373" spans="1:13" x14ac:dyDescent="0.25">
      <c r="A373">
        <v>364</v>
      </c>
      <c r="B373" s="1"/>
      <c r="L373">
        <f t="shared" si="20"/>
        <v>0</v>
      </c>
      <c r="M373">
        <f t="shared" si="19"/>
        <v>0</v>
      </c>
    </row>
    <row r="374" spans="1:13" x14ac:dyDescent="0.25">
      <c r="A374">
        <v>365</v>
      </c>
      <c r="B374" s="1"/>
      <c r="L374">
        <f t="shared" si="20"/>
        <v>0</v>
      </c>
      <c r="M374">
        <f t="shared" si="19"/>
        <v>0</v>
      </c>
    </row>
    <row r="375" spans="1:13" x14ac:dyDescent="0.25">
      <c r="A375">
        <v>366</v>
      </c>
      <c r="B375" s="1"/>
      <c r="L375">
        <f t="shared" si="20"/>
        <v>0</v>
      </c>
      <c r="M375">
        <f t="shared" si="19"/>
        <v>0</v>
      </c>
    </row>
    <row r="376" spans="1:13" x14ac:dyDescent="0.25">
      <c r="A376">
        <v>367</v>
      </c>
      <c r="B376" s="1"/>
      <c r="L376">
        <f t="shared" si="20"/>
        <v>0</v>
      </c>
      <c r="M376">
        <f t="shared" si="19"/>
        <v>0</v>
      </c>
    </row>
    <row r="377" spans="1:13" x14ac:dyDescent="0.25">
      <c r="A377">
        <v>368</v>
      </c>
      <c r="B377" s="1"/>
      <c r="L377">
        <f t="shared" si="20"/>
        <v>0</v>
      </c>
      <c r="M377">
        <f t="shared" si="19"/>
        <v>0</v>
      </c>
    </row>
    <row r="378" spans="1:13" x14ac:dyDescent="0.25">
      <c r="A378">
        <v>369</v>
      </c>
      <c r="B378" s="1"/>
      <c r="L378">
        <f t="shared" si="20"/>
        <v>0</v>
      </c>
      <c r="M378">
        <f t="shared" si="19"/>
        <v>0</v>
      </c>
    </row>
    <row r="379" spans="1:13" x14ac:dyDescent="0.25">
      <c r="A379">
        <v>370</v>
      </c>
      <c r="B379" s="1"/>
      <c r="L379">
        <f t="shared" si="20"/>
        <v>0</v>
      </c>
      <c r="M379">
        <f t="shared" si="19"/>
        <v>0</v>
      </c>
    </row>
    <row r="380" spans="1:13" x14ac:dyDescent="0.25">
      <c r="A380">
        <v>371</v>
      </c>
      <c r="B380" s="1"/>
      <c r="L380">
        <f t="shared" si="20"/>
        <v>0</v>
      </c>
      <c r="M380">
        <f t="shared" si="19"/>
        <v>0</v>
      </c>
    </row>
    <row r="381" spans="1:13" x14ac:dyDescent="0.25">
      <c r="A381">
        <v>372</v>
      </c>
      <c r="B381" s="1"/>
      <c r="L381">
        <f t="shared" si="20"/>
        <v>0</v>
      </c>
      <c r="M381">
        <f t="shared" si="19"/>
        <v>0</v>
      </c>
    </row>
    <row r="382" spans="1:13" x14ac:dyDescent="0.25">
      <c r="A382">
        <v>373</v>
      </c>
      <c r="B382" s="1"/>
      <c r="L382">
        <f t="shared" si="20"/>
        <v>0</v>
      </c>
      <c r="M382">
        <f t="shared" si="19"/>
        <v>0</v>
      </c>
    </row>
    <row r="383" spans="1:13" x14ac:dyDescent="0.25">
      <c r="A383">
        <v>374</v>
      </c>
      <c r="B383" s="1"/>
      <c r="L383">
        <f t="shared" si="20"/>
        <v>0</v>
      </c>
      <c r="M383">
        <f t="shared" ref="M383:M446" si="21">+I383/IF(H383 = 0,1,H383)</f>
        <v>0</v>
      </c>
    </row>
    <row r="384" spans="1:13" x14ac:dyDescent="0.25">
      <c r="A384">
        <v>375</v>
      </c>
      <c r="B384" s="1"/>
      <c r="L384">
        <f t="shared" si="20"/>
        <v>0</v>
      </c>
      <c r="M384">
        <f t="shared" si="21"/>
        <v>0</v>
      </c>
    </row>
    <row r="385" spans="1:13" x14ac:dyDescent="0.25">
      <c r="A385">
        <v>376</v>
      </c>
      <c r="B385" s="1"/>
      <c r="L385">
        <f t="shared" si="20"/>
        <v>0</v>
      </c>
      <c r="M385">
        <f t="shared" si="21"/>
        <v>0</v>
      </c>
    </row>
    <row r="386" spans="1:13" x14ac:dyDescent="0.25">
      <c r="A386">
        <v>377</v>
      </c>
      <c r="B386" s="1"/>
      <c r="L386">
        <f t="shared" si="20"/>
        <v>0</v>
      </c>
      <c r="M386">
        <f t="shared" si="21"/>
        <v>0</v>
      </c>
    </row>
    <row r="387" spans="1:13" x14ac:dyDescent="0.25">
      <c r="A387">
        <v>378</v>
      </c>
      <c r="B387" s="1"/>
      <c r="L387">
        <f t="shared" si="20"/>
        <v>0</v>
      </c>
      <c r="M387">
        <f t="shared" si="21"/>
        <v>0</v>
      </c>
    </row>
    <row r="388" spans="1:13" x14ac:dyDescent="0.25">
      <c r="A388">
        <v>379</v>
      </c>
      <c r="B388" s="1"/>
      <c r="L388">
        <f t="shared" si="20"/>
        <v>0</v>
      </c>
      <c r="M388">
        <f t="shared" si="21"/>
        <v>0</v>
      </c>
    </row>
    <row r="389" spans="1:13" x14ac:dyDescent="0.25">
      <c r="A389">
        <v>380</v>
      </c>
      <c r="B389" s="1"/>
      <c r="L389">
        <f t="shared" si="20"/>
        <v>0</v>
      </c>
      <c r="M389">
        <f t="shared" si="21"/>
        <v>0</v>
      </c>
    </row>
    <row r="390" spans="1:13" x14ac:dyDescent="0.25">
      <c r="A390">
        <v>381</v>
      </c>
      <c r="B390" s="1"/>
      <c r="L390">
        <f t="shared" si="20"/>
        <v>0</v>
      </c>
      <c r="M390">
        <f t="shared" si="21"/>
        <v>0</v>
      </c>
    </row>
    <row r="391" spans="1:13" x14ac:dyDescent="0.25">
      <c r="A391">
        <v>382</v>
      </c>
      <c r="B391" s="1"/>
      <c r="L391">
        <f t="shared" si="20"/>
        <v>0</v>
      </c>
      <c r="M391">
        <f t="shared" si="21"/>
        <v>0</v>
      </c>
    </row>
    <row r="392" spans="1:13" x14ac:dyDescent="0.25">
      <c r="A392">
        <v>383</v>
      </c>
      <c r="B392" s="1"/>
      <c r="L392">
        <f t="shared" si="20"/>
        <v>0</v>
      </c>
      <c r="M392">
        <f t="shared" si="21"/>
        <v>0</v>
      </c>
    </row>
    <row r="393" spans="1:13" x14ac:dyDescent="0.25">
      <c r="A393">
        <v>384</v>
      </c>
      <c r="B393" s="1"/>
      <c r="L393">
        <f t="shared" si="20"/>
        <v>0</v>
      </c>
      <c r="M393">
        <f t="shared" si="21"/>
        <v>0</v>
      </c>
    </row>
    <row r="394" spans="1:13" x14ac:dyDescent="0.25">
      <c r="A394">
        <v>385</v>
      </c>
      <c r="B394" s="1"/>
      <c r="L394">
        <f t="shared" si="20"/>
        <v>0</v>
      </c>
      <c r="M394">
        <f t="shared" si="21"/>
        <v>0</v>
      </c>
    </row>
    <row r="395" spans="1:13" x14ac:dyDescent="0.25">
      <c r="A395">
        <v>386</v>
      </c>
      <c r="B395" s="1"/>
      <c r="L395">
        <f t="shared" si="20"/>
        <v>0</v>
      </c>
      <c r="M395">
        <f t="shared" si="21"/>
        <v>0</v>
      </c>
    </row>
    <row r="396" spans="1:13" x14ac:dyDescent="0.25">
      <c r="A396">
        <v>387</v>
      </c>
      <c r="B396" s="1"/>
      <c r="L396">
        <f t="shared" si="20"/>
        <v>0</v>
      </c>
      <c r="M396">
        <f t="shared" si="21"/>
        <v>0</v>
      </c>
    </row>
    <row r="397" spans="1:13" x14ac:dyDescent="0.25">
      <c r="A397">
        <v>388</v>
      </c>
      <c r="B397" s="1"/>
      <c r="L397">
        <f t="shared" si="20"/>
        <v>0</v>
      </c>
      <c r="M397">
        <f t="shared" si="21"/>
        <v>0</v>
      </c>
    </row>
    <row r="398" spans="1:13" x14ac:dyDescent="0.25">
      <c r="A398">
        <v>389</v>
      </c>
      <c r="B398" s="1"/>
      <c r="L398">
        <f t="shared" si="20"/>
        <v>0</v>
      </c>
      <c r="M398">
        <f t="shared" si="21"/>
        <v>0</v>
      </c>
    </row>
    <row r="399" spans="1:13" x14ac:dyDescent="0.25">
      <c r="A399">
        <v>390</v>
      </c>
      <c r="B399" s="1"/>
      <c r="L399">
        <f t="shared" si="20"/>
        <v>0</v>
      </c>
      <c r="M399">
        <f t="shared" si="21"/>
        <v>0</v>
      </c>
    </row>
    <row r="400" spans="1:13" x14ac:dyDescent="0.25">
      <c r="A400">
        <v>391</v>
      </c>
      <c r="B400" s="1"/>
      <c r="L400">
        <f t="shared" si="20"/>
        <v>0</v>
      </c>
      <c r="M400">
        <f t="shared" si="21"/>
        <v>0</v>
      </c>
    </row>
    <row r="401" spans="1:13" x14ac:dyDescent="0.25">
      <c r="A401">
        <v>392</v>
      </c>
      <c r="B401" s="1"/>
      <c r="L401">
        <f t="shared" si="20"/>
        <v>0</v>
      </c>
      <c r="M401">
        <f t="shared" si="21"/>
        <v>0</v>
      </c>
    </row>
    <row r="402" spans="1:13" x14ac:dyDescent="0.25">
      <c r="A402">
        <v>393</v>
      </c>
      <c r="B402" s="1"/>
      <c r="L402">
        <f t="shared" si="20"/>
        <v>0</v>
      </c>
      <c r="M402">
        <f t="shared" si="21"/>
        <v>0</v>
      </c>
    </row>
    <row r="403" spans="1:13" x14ac:dyDescent="0.25">
      <c r="A403">
        <v>394</v>
      </c>
      <c r="B403" s="1"/>
      <c r="L403">
        <f t="shared" si="20"/>
        <v>0</v>
      </c>
      <c r="M403">
        <f t="shared" si="21"/>
        <v>0</v>
      </c>
    </row>
    <row r="404" spans="1:13" x14ac:dyDescent="0.25">
      <c r="A404">
        <v>395</v>
      </c>
      <c r="B404" s="1"/>
      <c r="L404">
        <f t="shared" si="20"/>
        <v>0</v>
      </c>
      <c r="M404">
        <f t="shared" si="21"/>
        <v>0</v>
      </c>
    </row>
    <row r="405" spans="1:13" x14ac:dyDescent="0.25">
      <c r="A405">
        <v>396</v>
      </c>
      <c r="L405">
        <f t="shared" si="20"/>
        <v>0</v>
      </c>
      <c r="M405">
        <f t="shared" si="21"/>
        <v>0</v>
      </c>
    </row>
    <row r="406" spans="1:13" x14ac:dyDescent="0.25">
      <c r="A406">
        <v>397</v>
      </c>
      <c r="L406">
        <f t="shared" si="20"/>
        <v>0</v>
      </c>
      <c r="M406">
        <f t="shared" si="21"/>
        <v>0</v>
      </c>
    </row>
    <row r="407" spans="1:13" x14ac:dyDescent="0.25">
      <c r="A407">
        <v>398</v>
      </c>
      <c r="L407">
        <f t="shared" si="20"/>
        <v>0</v>
      </c>
      <c r="M407">
        <f t="shared" si="21"/>
        <v>0</v>
      </c>
    </row>
    <row r="408" spans="1:13" x14ac:dyDescent="0.25">
      <c r="A408">
        <v>399</v>
      </c>
      <c r="L408">
        <f t="shared" ref="L408:L471" si="22">+I408+H408</f>
        <v>0</v>
      </c>
      <c r="M408">
        <f t="shared" si="21"/>
        <v>0</v>
      </c>
    </row>
    <row r="409" spans="1:13" x14ac:dyDescent="0.25">
      <c r="A409">
        <v>400</v>
      </c>
      <c r="L409">
        <f t="shared" si="22"/>
        <v>0</v>
      </c>
      <c r="M409">
        <f t="shared" si="21"/>
        <v>0</v>
      </c>
    </row>
    <row r="410" spans="1:13" x14ac:dyDescent="0.25">
      <c r="A410">
        <v>401</v>
      </c>
      <c r="L410">
        <f t="shared" si="22"/>
        <v>0</v>
      </c>
      <c r="M410">
        <f t="shared" si="21"/>
        <v>0</v>
      </c>
    </row>
    <row r="411" spans="1:13" x14ac:dyDescent="0.25">
      <c r="A411">
        <v>402</v>
      </c>
      <c r="L411">
        <f t="shared" si="22"/>
        <v>0</v>
      </c>
      <c r="M411">
        <f t="shared" si="21"/>
        <v>0</v>
      </c>
    </row>
    <row r="412" spans="1:13" x14ac:dyDescent="0.25">
      <c r="A412">
        <v>403</v>
      </c>
      <c r="L412">
        <f t="shared" si="22"/>
        <v>0</v>
      </c>
      <c r="M412">
        <f t="shared" si="21"/>
        <v>0</v>
      </c>
    </row>
    <row r="413" spans="1:13" x14ac:dyDescent="0.25">
      <c r="A413">
        <v>404</v>
      </c>
      <c r="L413">
        <f t="shared" si="22"/>
        <v>0</v>
      </c>
      <c r="M413">
        <f t="shared" si="21"/>
        <v>0</v>
      </c>
    </row>
    <row r="414" spans="1:13" x14ac:dyDescent="0.25">
      <c r="A414">
        <v>405</v>
      </c>
      <c r="L414">
        <f t="shared" si="22"/>
        <v>0</v>
      </c>
      <c r="M414">
        <f t="shared" si="21"/>
        <v>0</v>
      </c>
    </row>
    <row r="415" spans="1:13" x14ac:dyDescent="0.25">
      <c r="A415">
        <v>406</v>
      </c>
      <c r="L415">
        <f t="shared" si="22"/>
        <v>0</v>
      </c>
      <c r="M415">
        <f t="shared" si="21"/>
        <v>0</v>
      </c>
    </row>
    <row r="416" spans="1:13" x14ac:dyDescent="0.25">
      <c r="A416">
        <v>407</v>
      </c>
      <c r="L416">
        <f t="shared" si="22"/>
        <v>0</v>
      </c>
      <c r="M416">
        <f t="shared" si="21"/>
        <v>0</v>
      </c>
    </row>
    <row r="417" spans="1:13" x14ac:dyDescent="0.25">
      <c r="A417">
        <v>408</v>
      </c>
      <c r="L417">
        <f t="shared" si="22"/>
        <v>0</v>
      </c>
      <c r="M417">
        <f t="shared" si="21"/>
        <v>0</v>
      </c>
    </row>
    <row r="418" spans="1:13" x14ac:dyDescent="0.25">
      <c r="A418">
        <v>409</v>
      </c>
      <c r="L418">
        <f t="shared" si="22"/>
        <v>0</v>
      </c>
      <c r="M418">
        <f t="shared" si="21"/>
        <v>0</v>
      </c>
    </row>
    <row r="419" spans="1:13" x14ac:dyDescent="0.25">
      <c r="A419">
        <v>410</v>
      </c>
      <c r="L419">
        <f t="shared" si="22"/>
        <v>0</v>
      </c>
      <c r="M419">
        <f t="shared" si="21"/>
        <v>0</v>
      </c>
    </row>
    <row r="420" spans="1:13" x14ac:dyDescent="0.25">
      <c r="A420">
        <v>411</v>
      </c>
      <c r="L420">
        <f t="shared" si="22"/>
        <v>0</v>
      </c>
      <c r="M420">
        <f t="shared" si="21"/>
        <v>0</v>
      </c>
    </row>
    <row r="421" spans="1:13" x14ac:dyDescent="0.25">
      <c r="A421">
        <v>412</v>
      </c>
      <c r="L421">
        <f t="shared" si="22"/>
        <v>0</v>
      </c>
      <c r="M421">
        <f t="shared" si="21"/>
        <v>0</v>
      </c>
    </row>
    <row r="422" spans="1:13" x14ac:dyDescent="0.25">
      <c r="A422">
        <v>413</v>
      </c>
      <c r="L422">
        <f t="shared" si="22"/>
        <v>0</v>
      </c>
      <c r="M422">
        <f t="shared" si="21"/>
        <v>0</v>
      </c>
    </row>
    <row r="423" spans="1:13" x14ac:dyDescent="0.25">
      <c r="A423">
        <v>414</v>
      </c>
      <c r="L423">
        <f t="shared" si="22"/>
        <v>0</v>
      </c>
      <c r="M423">
        <f t="shared" si="21"/>
        <v>0</v>
      </c>
    </row>
    <row r="424" spans="1:13" x14ac:dyDescent="0.25">
      <c r="A424">
        <v>415</v>
      </c>
      <c r="L424">
        <f t="shared" si="22"/>
        <v>0</v>
      </c>
      <c r="M424">
        <f t="shared" si="21"/>
        <v>0</v>
      </c>
    </row>
    <row r="425" spans="1:13" x14ac:dyDescent="0.25">
      <c r="A425">
        <v>416</v>
      </c>
      <c r="L425">
        <f t="shared" si="22"/>
        <v>0</v>
      </c>
      <c r="M425">
        <f t="shared" si="21"/>
        <v>0</v>
      </c>
    </row>
    <row r="426" spans="1:13" x14ac:dyDescent="0.25">
      <c r="A426">
        <v>417</v>
      </c>
      <c r="L426">
        <f t="shared" si="22"/>
        <v>0</v>
      </c>
      <c r="M426">
        <f t="shared" si="21"/>
        <v>0</v>
      </c>
    </row>
    <row r="427" spans="1:13" x14ac:dyDescent="0.25">
      <c r="A427">
        <v>418</v>
      </c>
      <c r="L427">
        <f t="shared" si="22"/>
        <v>0</v>
      </c>
      <c r="M427">
        <f t="shared" si="21"/>
        <v>0</v>
      </c>
    </row>
    <row r="428" spans="1:13" x14ac:dyDescent="0.25">
      <c r="A428">
        <v>419</v>
      </c>
      <c r="L428">
        <f t="shared" si="22"/>
        <v>0</v>
      </c>
      <c r="M428">
        <f t="shared" si="21"/>
        <v>0</v>
      </c>
    </row>
    <row r="429" spans="1:13" x14ac:dyDescent="0.25">
      <c r="A429">
        <v>420</v>
      </c>
      <c r="L429">
        <f t="shared" si="22"/>
        <v>0</v>
      </c>
      <c r="M429">
        <f t="shared" si="21"/>
        <v>0</v>
      </c>
    </row>
    <row r="430" spans="1:13" x14ac:dyDescent="0.25">
      <c r="A430">
        <v>421</v>
      </c>
      <c r="L430">
        <f t="shared" si="22"/>
        <v>0</v>
      </c>
      <c r="M430">
        <f t="shared" si="21"/>
        <v>0</v>
      </c>
    </row>
    <row r="431" spans="1:13" x14ac:dyDescent="0.25">
      <c r="A431">
        <v>422</v>
      </c>
      <c r="L431">
        <f t="shared" si="22"/>
        <v>0</v>
      </c>
      <c r="M431">
        <f t="shared" si="21"/>
        <v>0</v>
      </c>
    </row>
    <row r="432" spans="1:13" x14ac:dyDescent="0.25">
      <c r="A432">
        <v>423</v>
      </c>
      <c r="L432">
        <f t="shared" si="22"/>
        <v>0</v>
      </c>
      <c r="M432">
        <f t="shared" si="21"/>
        <v>0</v>
      </c>
    </row>
    <row r="433" spans="1:13" x14ac:dyDescent="0.25">
      <c r="A433">
        <v>424</v>
      </c>
      <c r="L433">
        <f t="shared" si="22"/>
        <v>0</v>
      </c>
      <c r="M433">
        <f t="shared" si="21"/>
        <v>0</v>
      </c>
    </row>
    <row r="434" spans="1:13" x14ac:dyDescent="0.25">
      <c r="A434">
        <v>425</v>
      </c>
      <c r="L434">
        <f t="shared" si="22"/>
        <v>0</v>
      </c>
      <c r="M434">
        <f t="shared" si="21"/>
        <v>0</v>
      </c>
    </row>
    <row r="435" spans="1:13" x14ac:dyDescent="0.25">
      <c r="A435">
        <v>426</v>
      </c>
      <c r="L435">
        <f t="shared" si="22"/>
        <v>0</v>
      </c>
      <c r="M435">
        <f t="shared" si="21"/>
        <v>0</v>
      </c>
    </row>
    <row r="436" spans="1:13" x14ac:dyDescent="0.25">
      <c r="A436">
        <v>427</v>
      </c>
      <c r="L436">
        <f t="shared" si="22"/>
        <v>0</v>
      </c>
      <c r="M436">
        <f t="shared" si="21"/>
        <v>0</v>
      </c>
    </row>
    <row r="437" spans="1:13" x14ac:dyDescent="0.25">
      <c r="A437">
        <v>428</v>
      </c>
      <c r="L437">
        <f t="shared" si="22"/>
        <v>0</v>
      </c>
      <c r="M437">
        <f t="shared" si="21"/>
        <v>0</v>
      </c>
    </row>
    <row r="438" spans="1:13" x14ac:dyDescent="0.25">
      <c r="A438">
        <v>429</v>
      </c>
      <c r="L438">
        <f t="shared" si="22"/>
        <v>0</v>
      </c>
      <c r="M438">
        <f t="shared" si="21"/>
        <v>0</v>
      </c>
    </row>
    <row r="439" spans="1:13" x14ac:dyDescent="0.25">
      <c r="A439">
        <v>430</v>
      </c>
      <c r="L439">
        <f t="shared" si="22"/>
        <v>0</v>
      </c>
      <c r="M439">
        <f t="shared" si="21"/>
        <v>0</v>
      </c>
    </row>
    <row r="440" spans="1:13" x14ac:dyDescent="0.25">
      <c r="A440">
        <v>431</v>
      </c>
      <c r="L440">
        <f t="shared" si="22"/>
        <v>0</v>
      </c>
      <c r="M440">
        <f t="shared" si="21"/>
        <v>0</v>
      </c>
    </row>
    <row r="441" spans="1:13" x14ac:dyDescent="0.25">
      <c r="A441">
        <v>432</v>
      </c>
      <c r="L441">
        <f t="shared" si="22"/>
        <v>0</v>
      </c>
      <c r="M441">
        <f t="shared" si="21"/>
        <v>0</v>
      </c>
    </row>
    <row r="442" spans="1:13" x14ac:dyDescent="0.25">
      <c r="A442">
        <v>433</v>
      </c>
      <c r="L442">
        <f t="shared" si="22"/>
        <v>0</v>
      </c>
      <c r="M442">
        <f t="shared" si="21"/>
        <v>0</v>
      </c>
    </row>
    <row r="443" spans="1:13" x14ac:dyDescent="0.25">
      <c r="A443">
        <v>434</v>
      </c>
      <c r="L443">
        <f t="shared" si="22"/>
        <v>0</v>
      </c>
      <c r="M443">
        <f t="shared" si="21"/>
        <v>0</v>
      </c>
    </row>
    <row r="444" spans="1:13" x14ac:dyDescent="0.25">
      <c r="A444">
        <v>435</v>
      </c>
      <c r="L444">
        <f t="shared" si="22"/>
        <v>0</v>
      </c>
      <c r="M444">
        <f t="shared" si="21"/>
        <v>0</v>
      </c>
    </row>
    <row r="445" spans="1:13" x14ac:dyDescent="0.25">
      <c r="A445">
        <v>436</v>
      </c>
      <c r="L445">
        <f t="shared" si="22"/>
        <v>0</v>
      </c>
      <c r="M445">
        <f t="shared" si="21"/>
        <v>0</v>
      </c>
    </row>
    <row r="446" spans="1:13" x14ac:dyDescent="0.25">
      <c r="A446">
        <v>437</v>
      </c>
      <c r="L446">
        <f t="shared" si="22"/>
        <v>0</v>
      </c>
      <c r="M446">
        <f t="shared" si="21"/>
        <v>0</v>
      </c>
    </row>
    <row r="447" spans="1:13" x14ac:dyDescent="0.25">
      <c r="A447">
        <v>438</v>
      </c>
      <c r="L447">
        <f t="shared" si="22"/>
        <v>0</v>
      </c>
      <c r="M447">
        <f t="shared" ref="M447:M510" si="23">+I447/IF(H447 = 0,1,H447)</f>
        <v>0</v>
      </c>
    </row>
    <row r="448" spans="1:13" x14ac:dyDescent="0.25">
      <c r="A448">
        <v>439</v>
      </c>
      <c r="L448">
        <f t="shared" si="22"/>
        <v>0</v>
      </c>
      <c r="M448">
        <f t="shared" si="23"/>
        <v>0</v>
      </c>
    </row>
    <row r="449" spans="1:13" x14ac:dyDescent="0.25">
      <c r="A449">
        <v>440</v>
      </c>
      <c r="L449">
        <f t="shared" si="22"/>
        <v>0</v>
      </c>
      <c r="M449">
        <f t="shared" si="23"/>
        <v>0</v>
      </c>
    </row>
    <row r="450" spans="1:13" x14ac:dyDescent="0.25">
      <c r="A450">
        <v>441</v>
      </c>
      <c r="L450">
        <f t="shared" si="22"/>
        <v>0</v>
      </c>
      <c r="M450">
        <f t="shared" si="23"/>
        <v>0</v>
      </c>
    </row>
    <row r="451" spans="1:13" x14ac:dyDescent="0.25">
      <c r="A451">
        <v>442</v>
      </c>
      <c r="L451">
        <f t="shared" si="22"/>
        <v>0</v>
      </c>
      <c r="M451">
        <f t="shared" si="23"/>
        <v>0</v>
      </c>
    </row>
    <row r="452" spans="1:13" x14ac:dyDescent="0.25">
      <c r="A452">
        <v>443</v>
      </c>
      <c r="L452">
        <f t="shared" si="22"/>
        <v>0</v>
      </c>
      <c r="M452">
        <f t="shared" si="23"/>
        <v>0</v>
      </c>
    </row>
    <row r="453" spans="1:13" x14ac:dyDescent="0.25">
      <c r="A453">
        <v>444</v>
      </c>
      <c r="L453">
        <f t="shared" si="22"/>
        <v>0</v>
      </c>
      <c r="M453">
        <f t="shared" si="23"/>
        <v>0</v>
      </c>
    </row>
    <row r="454" spans="1:13" x14ac:dyDescent="0.25">
      <c r="A454">
        <v>445</v>
      </c>
      <c r="L454">
        <f t="shared" si="22"/>
        <v>0</v>
      </c>
      <c r="M454">
        <f t="shared" si="23"/>
        <v>0</v>
      </c>
    </row>
    <row r="455" spans="1:13" x14ac:dyDescent="0.25">
      <c r="A455">
        <v>446</v>
      </c>
      <c r="L455">
        <f t="shared" si="22"/>
        <v>0</v>
      </c>
      <c r="M455">
        <f t="shared" si="23"/>
        <v>0</v>
      </c>
    </row>
    <row r="456" spans="1:13" x14ac:dyDescent="0.25">
      <c r="A456">
        <v>447</v>
      </c>
      <c r="L456">
        <f t="shared" si="22"/>
        <v>0</v>
      </c>
      <c r="M456">
        <f t="shared" si="23"/>
        <v>0</v>
      </c>
    </row>
    <row r="457" spans="1:13" x14ac:dyDescent="0.25">
      <c r="A457">
        <v>448</v>
      </c>
      <c r="L457">
        <f t="shared" si="22"/>
        <v>0</v>
      </c>
      <c r="M457">
        <f t="shared" si="23"/>
        <v>0</v>
      </c>
    </row>
    <row r="458" spans="1:13" x14ac:dyDescent="0.25">
      <c r="A458">
        <v>449</v>
      </c>
      <c r="L458">
        <f t="shared" si="22"/>
        <v>0</v>
      </c>
      <c r="M458">
        <f t="shared" si="23"/>
        <v>0</v>
      </c>
    </row>
    <row r="459" spans="1:13" x14ac:dyDescent="0.25">
      <c r="A459">
        <v>450</v>
      </c>
      <c r="L459">
        <f t="shared" si="22"/>
        <v>0</v>
      </c>
      <c r="M459">
        <f t="shared" si="23"/>
        <v>0</v>
      </c>
    </row>
    <row r="460" spans="1:13" x14ac:dyDescent="0.25">
      <c r="A460">
        <v>451</v>
      </c>
      <c r="L460">
        <f t="shared" si="22"/>
        <v>0</v>
      </c>
      <c r="M460">
        <f t="shared" si="23"/>
        <v>0</v>
      </c>
    </row>
    <row r="461" spans="1:13" x14ac:dyDescent="0.25">
      <c r="A461">
        <v>452</v>
      </c>
      <c r="L461">
        <f t="shared" si="22"/>
        <v>0</v>
      </c>
      <c r="M461">
        <f t="shared" si="23"/>
        <v>0</v>
      </c>
    </row>
    <row r="462" spans="1:13" x14ac:dyDescent="0.25">
      <c r="A462">
        <v>453</v>
      </c>
      <c r="L462">
        <f t="shared" si="22"/>
        <v>0</v>
      </c>
      <c r="M462">
        <f t="shared" si="23"/>
        <v>0</v>
      </c>
    </row>
    <row r="463" spans="1:13" x14ac:dyDescent="0.25">
      <c r="A463">
        <v>454</v>
      </c>
      <c r="L463">
        <f t="shared" si="22"/>
        <v>0</v>
      </c>
      <c r="M463">
        <f t="shared" si="23"/>
        <v>0</v>
      </c>
    </row>
    <row r="464" spans="1:13" x14ac:dyDescent="0.25">
      <c r="A464">
        <v>455</v>
      </c>
      <c r="L464">
        <f t="shared" si="22"/>
        <v>0</v>
      </c>
      <c r="M464">
        <f t="shared" si="23"/>
        <v>0</v>
      </c>
    </row>
    <row r="465" spans="1:13" x14ac:dyDescent="0.25">
      <c r="A465">
        <v>456</v>
      </c>
      <c r="L465">
        <f t="shared" si="22"/>
        <v>0</v>
      </c>
      <c r="M465">
        <f t="shared" si="23"/>
        <v>0</v>
      </c>
    </row>
    <row r="466" spans="1:13" x14ac:dyDescent="0.25">
      <c r="A466">
        <v>457</v>
      </c>
      <c r="L466">
        <f t="shared" si="22"/>
        <v>0</v>
      </c>
      <c r="M466">
        <f t="shared" si="23"/>
        <v>0</v>
      </c>
    </row>
    <row r="467" spans="1:13" x14ac:dyDescent="0.25">
      <c r="A467">
        <v>458</v>
      </c>
      <c r="L467">
        <f t="shared" si="22"/>
        <v>0</v>
      </c>
      <c r="M467">
        <f t="shared" si="23"/>
        <v>0</v>
      </c>
    </row>
    <row r="468" spans="1:13" x14ac:dyDescent="0.25">
      <c r="A468">
        <v>459</v>
      </c>
      <c r="L468">
        <f t="shared" si="22"/>
        <v>0</v>
      </c>
      <c r="M468">
        <f t="shared" si="23"/>
        <v>0</v>
      </c>
    </row>
    <row r="469" spans="1:13" x14ac:dyDescent="0.25">
      <c r="A469">
        <v>460</v>
      </c>
      <c r="L469">
        <f t="shared" si="22"/>
        <v>0</v>
      </c>
      <c r="M469">
        <f t="shared" si="23"/>
        <v>0</v>
      </c>
    </row>
    <row r="470" spans="1:13" x14ac:dyDescent="0.25">
      <c r="A470">
        <v>461</v>
      </c>
      <c r="L470">
        <f t="shared" si="22"/>
        <v>0</v>
      </c>
      <c r="M470">
        <f t="shared" si="23"/>
        <v>0</v>
      </c>
    </row>
    <row r="471" spans="1:13" x14ac:dyDescent="0.25">
      <c r="A471">
        <v>462</v>
      </c>
      <c r="L471">
        <f t="shared" si="22"/>
        <v>0</v>
      </c>
      <c r="M471">
        <f t="shared" si="23"/>
        <v>0</v>
      </c>
    </row>
    <row r="472" spans="1:13" x14ac:dyDescent="0.25">
      <c r="A472">
        <v>463</v>
      </c>
      <c r="L472">
        <f t="shared" ref="L472:L535" si="24">+I472+H472</f>
        <v>0</v>
      </c>
      <c r="M472">
        <f t="shared" si="23"/>
        <v>0</v>
      </c>
    </row>
    <row r="473" spans="1:13" x14ac:dyDescent="0.25">
      <c r="A473">
        <v>464</v>
      </c>
      <c r="L473">
        <f t="shared" si="24"/>
        <v>0</v>
      </c>
      <c r="M473">
        <f t="shared" si="23"/>
        <v>0</v>
      </c>
    </row>
    <row r="474" spans="1:13" x14ac:dyDescent="0.25">
      <c r="A474">
        <v>465</v>
      </c>
      <c r="L474">
        <f t="shared" si="24"/>
        <v>0</v>
      </c>
      <c r="M474">
        <f t="shared" si="23"/>
        <v>0</v>
      </c>
    </row>
    <row r="475" spans="1:13" x14ac:dyDescent="0.25">
      <c r="A475">
        <v>466</v>
      </c>
      <c r="L475">
        <f t="shared" si="24"/>
        <v>0</v>
      </c>
      <c r="M475">
        <f t="shared" si="23"/>
        <v>0</v>
      </c>
    </row>
    <row r="476" spans="1:13" x14ac:dyDescent="0.25">
      <c r="A476">
        <v>467</v>
      </c>
      <c r="L476">
        <f t="shared" si="24"/>
        <v>0</v>
      </c>
      <c r="M476">
        <f t="shared" si="23"/>
        <v>0</v>
      </c>
    </row>
    <row r="477" spans="1:13" x14ac:dyDescent="0.25">
      <c r="A477">
        <v>468</v>
      </c>
      <c r="L477">
        <f t="shared" si="24"/>
        <v>0</v>
      </c>
      <c r="M477">
        <f t="shared" si="23"/>
        <v>0</v>
      </c>
    </row>
    <row r="478" spans="1:13" x14ac:dyDescent="0.25">
      <c r="A478">
        <v>469</v>
      </c>
      <c r="L478">
        <f t="shared" si="24"/>
        <v>0</v>
      </c>
      <c r="M478">
        <f t="shared" si="23"/>
        <v>0</v>
      </c>
    </row>
    <row r="479" spans="1:13" x14ac:dyDescent="0.25">
      <c r="A479">
        <v>470</v>
      </c>
      <c r="L479">
        <f t="shared" si="24"/>
        <v>0</v>
      </c>
      <c r="M479">
        <f t="shared" si="23"/>
        <v>0</v>
      </c>
    </row>
    <row r="480" spans="1:13" x14ac:dyDescent="0.25">
      <c r="A480">
        <v>471</v>
      </c>
      <c r="L480">
        <f t="shared" si="24"/>
        <v>0</v>
      </c>
      <c r="M480">
        <f t="shared" si="23"/>
        <v>0</v>
      </c>
    </row>
    <row r="481" spans="1:13" x14ac:dyDescent="0.25">
      <c r="A481">
        <v>472</v>
      </c>
      <c r="L481">
        <f t="shared" si="24"/>
        <v>0</v>
      </c>
      <c r="M481">
        <f t="shared" si="23"/>
        <v>0</v>
      </c>
    </row>
    <row r="482" spans="1:13" x14ac:dyDescent="0.25">
      <c r="A482">
        <v>473</v>
      </c>
      <c r="L482">
        <f t="shared" si="24"/>
        <v>0</v>
      </c>
      <c r="M482">
        <f t="shared" si="23"/>
        <v>0</v>
      </c>
    </row>
    <row r="483" spans="1:13" x14ac:dyDescent="0.25">
      <c r="A483">
        <v>474</v>
      </c>
      <c r="L483">
        <f t="shared" si="24"/>
        <v>0</v>
      </c>
      <c r="M483">
        <f t="shared" si="23"/>
        <v>0</v>
      </c>
    </row>
    <row r="484" spans="1:13" x14ac:dyDescent="0.25">
      <c r="A484">
        <v>475</v>
      </c>
      <c r="L484">
        <f t="shared" si="24"/>
        <v>0</v>
      </c>
      <c r="M484">
        <f t="shared" si="23"/>
        <v>0</v>
      </c>
    </row>
    <row r="485" spans="1:13" x14ac:dyDescent="0.25">
      <c r="A485">
        <v>476</v>
      </c>
      <c r="L485">
        <f t="shared" si="24"/>
        <v>0</v>
      </c>
      <c r="M485">
        <f t="shared" si="23"/>
        <v>0</v>
      </c>
    </row>
    <row r="486" spans="1:13" x14ac:dyDescent="0.25">
      <c r="A486">
        <v>477</v>
      </c>
      <c r="L486">
        <f t="shared" si="24"/>
        <v>0</v>
      </c>
      <c r="M486">
        <f t="shared" si="23"/>
        <v>0</v>
      </c>
    </row>
    <row r="487" spans="1:13" x14ac:dyDescent="0.25">
      <c r="A487">
        <v>478</v>
      </c>
      <c r="L487">
        <f t="shared" si="24"/>
        <v>0</v>
      </c>
      <c r="M487">
        <f t="shared" si="23"/>
        <v>0</v>
      </c>
    </row>
    <row r="488" spans="1:13" x14ac:dyDescent="0.25">
      <c r="A488">
        <v>479</v>
      </c>
      <c r="L488">
        <f t="shared" si="24"/>
        <v>0</v>
      </c>
      <c r="M488">
        <f t="shared" si="23"/>
        <v>0</v>
      </c>
    </row>
    <row r="489" spans="1:13" x14ac:dyDescent="0.25">
      <c r="A489">
        <v>480</v>
      </c>
      <c r="L489">
        <f t="shared" si="24"/>
        <v>0</v>
      </c>
      <c r="M489">
        <f t="shared" si="23"/>
        <v>0</v>
      </c>
    </row>
    <row r="490" spans="1:13" x14ac:dyDescent="0.25">
      <c r="A490">
        <v>481</v>
      </c>
      <c r="L490">
        <f t="shared" si="24"/>
        <v>0</v>
      </c>
      <c r="M490">
        <f t="shared" si="23"/>
        <v>0</v>
      </c>
    </row>
    <row r="491" spans="1:13" x14ac:dyDescent="0.25">
      <c r="A491">
        <v>482</v>
      </c>
      <c r="L491">
        <f t="shared" si="24"/>
        <v>0</v>
      </c>
      <c r="M491">
        <f t="shared" si="23"/>
        <v>0</v>
      </c>
    </row>
    <row r="492" spans="1:13" x14ac:dyDescent="0.25">
      <c r="A492">
        <v>483</v>
      </c>
      <c r="L492">
        <f t="shared" si="24"/>
        <v>0</v>
      </c>
      <c r="M492">
        <f t="shared" si="23"/>
        <v>0</v>
      </c>
    </row>
    <row r="493" spans="1:13" x14ac:dyDescent="0.25">
      <c r="A493">
        <v>484</v>
      </c>
      <c r="L493">
        <f t="shared" si="24"/>
        <v>0</v>
      </c>
      <c r="M493">
        <f t="shared" si="23"/>
        <v>0</v>
      </c>
    </row>
    <row r="494" spans="1:13" x14ac:dyDescent="0.25">
      <c r="A494">
        <v>485</v>
      </c>
      <c r="L494">
        <f t="shared" si="24"/>
        <v>0</v>
      </c>
      <c r="M494">
        <f t="shared" si="23"/>
        <v>0</v>
      </c>
    </row>
    <row r="495" spans="1:13" x14ac:dyDescent="0.25">
      <c r="A495">
        <v>486</v>
      </c>
      <c r="L495">
        <f t="shared" si="24"/>
        <v>0</v>
      </c>
      <c r="M495">
        <f t="shared" si="23"/>
        <v>0</v>
      </c>
    </row>
    <row r="496" spans="1:13" x14ac:dyDescent="0.25">
      <c r="A496">
        <v>487</v>
      </c>
      <c r="L496">
        <f t="shared" si="24"/>
        <v>0</v>
      </c>
      <c r="M496">
        <f t="shared" si="23"/>
        <v>0</v>
      </c>
    </row>
    <row r="497" spans="1:13" x14ac:dyDescent="0.25">
      <c r="A497">
        <v>488</v>
      </c>
      <c r="L497">
        <f t="shared" si="24"/>
        <v>0</v>
      </c>
      <c r="M497">
        <f t="shared" si="23"/>
        <v>0</v>
      </c>
    </row>
    <row r="498" spans="1:13" x14ac:dyDescent="0.25">
      <c r="A498">
        <v>489</v>
      </c>
      <c r="L498">
        <f t="shared" si="24"/>
        <v>0</v>
      </c>
      <c r="M498">
        <f t="shared" si="23"/>
        <v>0</v>
      </c>
    </row>
    <row r="499" spans="1:13" x14ac:dyDescent="0.25">
      <c r="A499">
        <v>490</v>
      </c>
      <c r="L499">
        <f t="shared" si="24"/>
        <v>0</v>
      </c>
      <c r="M499">
        <f t="shared" si="23"/>
        <v>0</v>
      </c>
    </row>
    <row r="500" spans="1:13" x14ac:dyDescent="0.25">
      <c r="A500">
        <v>491</v>
      </c>
      <c r="L500">
        <f t="shared" si="24"/>
        <v>0</v>
      </c>
      <c r="M500">
        <f t="shared" si="23"/>
        <v>0</v>
      </c>
    </row>
    <row r="501" spans="1:13" x14ac:dyDescent="0.25">
      <c r="A501">
        <v>492</v>
      </c>
      <c r="L501">
        <f t="shared" si="24"/>
        <v>0</v>
      </c>
      <c r="M501">
        <f t="shared" si="23"/>
        <v>0</v>
      </c>
    </row>
    <row r="502" spans="1:13" x14ac:dyDescent="0.25">
      <c r="A502">
        <v>493</v>
      </c>
      <c r="L502">
        <f t="shared" si="24"/>
        <v>0</v>
      </c>
      <c r="M502">
        <f t="shared" si="23"/>
        <v>0</v>
      </c>
    </row>
    <row r="503" spans="1:13" x14ac:dyDescent="0.25">
      <c r="A503">
        <v>494</v>
      </c>
      <c r="L503">
        <f t="shared" si="24"/>
        <v>0</v>
      </c>
      <c r="M503">
        <f t="shared" si="23"/>
        <v>0</v>
      </c>
    </row>
    <row r="504" spans="1:13" x14ac:dyDescent="0.25">
      <c r="A504">
        <v>495</v>
      </c>
      <c r="L504">
        <f t="shared" si="24"/>
        <v>0</v>
      </c>
      <c r="M504">
        <f t="shared" si="23"/>
        <v>0</v>
      </c>
    </row>
    <row r="505" spans="1:13" x14ac:dyDescent="0.25">
      <c r="A505">
        <v>496</v>
      </c>
      <c r="L505">
        <f t="shared" si="24"/>
        <v>0</v>
      </c>
      <c r="M505">
        <f t="shared" si="23"/>
        <v>0</v>
      </c>
    </row>
    <row r="506" spans="1:13" x14ac:dyDescent="0.25">
      <c r="A506">
        <v>497</v>
      </c>
      <c r="L506">
        <f t="shared" si="24"/>
        <v>0</v>
      </c>
      <c r="M506">
        <f t="shared" si="23"/>
        <v>0</v>
      </c>
    </row>
    <row r="507" spans="1:13" x14ac:dyDescent="0.25">
      <c r="A507">
        <v>498</v>
      </c>
      <c r="L507">
        <f t="shared" si="24"/>
        <v>0</v>
      </c>
      <c r="M507">
        <f t="shared" si="23"/>
        <v>0</v>
      </c>
    </row>
    <row r="508" spans="1:13" x14ac:dyDescent="0.25">
      <c r="A508">
        <v>499</v>
      </c>
      <c r="L508">
        <f t="shared" si="24"/>
        <v>0</v>
      </c>
      <c r="M508">
        <f t="shared" si="23"/>
        <v>0</v>
      </c>
    </row>
    <row r="509" spans="1:13" x14ac:dyDescent="0.25">
      <c r="A509">
        <v>500</v>
      </c>
      <c r="L509">
        <f t="shared" si="24"/>
        <v>0</v>
      </c>
      <c r="M509">
        <f t="shared" si="23"/>
        <v>0</v>
      </c>
    </row>
    <row r="510" spans="1:13" x14ac:dyDescent="0.25">
      <c r="A510">
        <v>501</v>
      </c>
      <c r="L510">
        <f t="shared" si="24"/>
        <v>0</v>
      </c>
      <c r="M510">
        <f t="shared" si="23"/>
        <v>0</v>
      </c>
    </row>
    <row r="511" spans="1:13" x14ac:dyDescent="0.25">
      <c r="A511">
        <v>502</v>
      </c>
      <c r="L511">
        <f t="shared" si="24"/>
        <v>0</v>
      </c>
      <c r="M511">
        <f t="shared" ref="M511:M574" si="25">+I511/IF(H511 = 0,1,H511)</f>
        <v>0</v>
      </c>
    </row>
    <row r="512" spans="1:13" x14ac:dyDescent="0.25">
      <c r="A512">
        <v>503</v>
      </c>
      <c r="L512">
        <f t="shared" si="24"/>
        <v>0</v>
      </c>
      <c r="M512">
        <f t="shared" si="25"/>
        <v>0</v>
      </c>
    </row>
    <row r="513" spans="1:13" x14ac:dyDescent="0.25">
      <c r="A513">
        <v>504</v>
      </c>
      <c r="L513">
        <f t="shared" si="24"/>
        <v>0</v>
      </c>
      <c r="M513">
        <f t="shared" si="25"/>
        <v>0</v>
      </c>
    </row>
    <row r="514" spans="1:13" x14ac:dyDescent="0.25">
      <c r="A514">
        <v>505</v>
      </c>
      <c r="L514">
        <f t="shared" si="24"/>
        <v>0</v>
      </c>
      <c r="M514">
        <f t="shared" si="25"/>
        <v>0</v>
      </c>
    </row>
    <row r="515" spans="1:13" x14ac:dyDescent="0.25">
      <c r="A515">
        <v>506</v>
      </c>
      <c r="L515">
        <f t="shared" si="24"/>
        <v>0</v>
      </c>
      <c r="M515">
        <f t="shared" si="25"/>
        <v>0</v>
      </c>
    </row>
    <row r="516" spans="1:13" x14ac:dyDescent="0.25">
      <c r="A516">
        <v>507</v>
      </c>
      <c r="L516">
        <f t="shared" si="24"/>
        <v>0</v>
      </c>
      <c r="M516">
        <f t="shared" si="25"/>
        <v>0</v>
      </c>
    </row>
    <row r="517" spans="1:13" x14ac:dyDescent="0.25">
      <c r="A517">
        <v>508</v>
      </c>
      <c r="L517">
        <f t="shared" si="24"/>
        <v>0</v>
      </c>
      <c r="M517">
        <f t="shared" si="25"/>
        <v>0</v>
      </c>
    </row>
    <row r="518" spans="1:13" x14ac:dyDescent="0.25">
      <c r="A518">
        <v>509</v>
      </c>
      <c r="L518">
        <f t="shared" si="24"/>
        <v>0</v>
      </c>
      <c r="M518">
        <f t="shared" si="25"/>
        <v>0</v>
      </c>
    </row>
    <row r="519" spans="1:13" x14ac:dyDescent="0.25">
      <c r="A519">
        <v>510</v>
      </c>
      <c r="L519">
        <f t="shared" si="24"/>
        <v>0</v>
      </c>
      <c r="M519">
        <f t="shared" si="25"/>
        <v>0</v>
      </c>
    </row>
    <row r="520" spans="1:13" x14ac:dyDescent="0.25">
      <c r="A520">
        <v>511</v>
      </c>
      <c r="L520">
        <f t="shared" si="24"/>
        <v>0</v>
      </c>
      <c r="M520">
        <f t="shared" si="25"/>
        <v>0</v>
      </c>
    </row>
    <row r="521" spans="1:13" x14ac:dyDescent="0.25">
      <c r="A521">
        <v>512</v>
      </c>
      <c r="L521">
        <f t="shared" si="24"/>
        <v>0</v>
      </c>
      <c r="M521">
        <f t="shared" si="25"/>
        <v>0</v>
      </c>
    </row>
    <row r="522" spans="1:13" x14ac:dyDescent="0.25">
      <c r="A522">
        <v>513</v>
      </c>
      <c r="L522">
        <f t="shared" si="24"/>
        <v>0</v>
      </c>
      <c r="M522">
        <f t="shared" si="25"/>
        <v>0</v>
      </c>
    </row>
    <row r="523" spans="1:13" x14ac:dyDescent="0.25">
      <c r="A523">
        <v>514</v>
      </c>
      <c r="L523">
        <f t="shared" si="24"/>
        <v>0</v>
      </c>
      <c r="M523">
        <f t="shared" si="25"/>
        <v>0</v>
      </c>
    </row>
    <row r="524" spans="1:13" x14ac:dyDescent="0.25">
      <c r="A524">
        <v>515</v>
      </c>
      <c r="L524">
        <f t="shared" si="24"/>
        <v>0</v>
      </c>
      <c r="M524">
        <f t="shared" si="25"/>
        <v>0</v>
      </c>
    </row>
    <row r="525" spans="1:13" x14ac:dyDescent="0.25">
      <c r="A525">
        <v>516</v>
      </c>
      <c r="L525">
        <f t="shared" si="24"/>
        <v>0</v>
      </c>
      <c r="M525">
        <f t="shared" si="25"/>
        <v>0</v>
      </c>
    </row>
    <row r="526" spans="1:13" x14ac:dyDescent="0.25">
      <c r="A526">
        <v>517</v>
      </c>
      <c r="L526">
        <f t="shared" si="24"/>
        <v>0</v>
      </c>
      <c r="M526">
        <f t="shared" si="25"/>
        <v>0</v>
      </c>
    </row>
    <row r="527" spans="1:13" x14ac:dyDescent="0.25">
      <c r="A527">
        <v>518</v>
      </c>
      <c r="L527">
        <f t="shared" si="24"/>
        <v>0</v>
      </c>
      <c r="M527">
        <f t="shared" si="25"/>
        <v>0</v>
      </c>
    </row>
    <row r="528" spans="1:13" x14ac:dyDescent="0.25">
      <c r="A528">
        <v>519</v>
      </c>
      <c r="L528">
        <f t="shared" si="24"/>
        <v>0</v>
      </c>
      <c r="M528">
        <f t="shared" si="25"/>
        <v>0</v>
      </c>
    </row>
    <row r="529" spans="1:13" x14ac:dyDescent="0.25">
      <c r="A529">
        <v>520</v>
      </c>
      <c r="L529">
        <f t="shared" si="24"/>
        <v>0</v>
      </c>
      <c r="M529">
        <f t="shared" si="25"/>
        <v>0</v>
      </c>
    </row>
    <row r="530" spans="1:13" x14ac:dyDescent="0.25">
      <c r="A530">
        <v>521</v>
      </c>
      <c r="L530">
        <f t="shared" si="24"/>
        <v>0</v>
      </c>
      <c r="M530">
        <f t="shared" si="25"/>
        <v>0</v>
      </c>
    </row>
    <row r="531" spans="1:13" x14ac:dyDescent="0.25">
      <c r="A531">
        <v>522</v>
      </c>
      <c r="L531">
        <f t="shared" si="24"/>
        <v>0</v>
      </c>
      <c r="M531">
        <f t="shared" si="25"/>
        <v>0</v>
      </c>
    </row>
    <row r="532" spans="1:13" x14ac:dyDescent="0.25">
      <c r="A532">
        <v>523</v>
      </c>
      <c r="L532">
        <f t="shared" si="24"/>
        <v>0</v>
      </c>
      <c r="M532">
        <f t="shared" si="25"/>
        <v>0</v>
      </c>
    </row>
    <row r="533" spans="1:13" x14ac:dyDescent="0.25">
      <c r="A533">
        <v>524</v>
      </c>
      <c r="L533">
        <f t="shared" si="24"/>
        <v>0</v>
      </c>
      <c r="M533">
        <f t="shared" si="25"/>
        <v>0</v>
      </c>
    </row>
    <row r="534" spans="1:13" x14ac:dyDescent="0.25">
      <c r="A534">
        <v>525</v>
      </c>
      <c r="L534">
        <f t="shared" si="24"/>
        <v>0</v>
      </c>
      <c r="M534">
        <f t="shared" si="25"/>
        <v>0</v>
      </c>
    </row>
    <row r="535" spans="1:13" x14ac:dyDescent="0.25">
      <c r="A535">
        <v>526</v>
      </c>
      <c r="L535">
        <f t="shared" si="24"/>
        <v>0</v>
      </c>
      <c r="M535">
        <f t="shared" si="25"/>
        <v>0</v>
      </c>
    </row>
    <row r="536" spans="1:13" x14ac:dyDescent="0.25">
      <c r="A536">
        <v>527</v>
      </c>
      <c r="L536">
        <f t="shared" ref="L536:L544" si="26">+I536+H536</f>
        <v>0</v>
      </c>
      <c r="M536">
        <f t="shared" si="25"/>
        <v>0</v>
      </c>
    </row>
    <row r="537" spans="1:13" x14ac:dyDescent="0.25">
      <c r="A537">
        <v>528</v>
      </c>
      <c r="L537">
        <f t="shared" si="26"/>
        <v>0</v>
      </c>
      <c r="M537">
        <f t="shared" si="25"/>
        <v>0</v>
      </c>
    </row>
    <row r="538" spans="1:13" x14ac:dyDescent="0.25">
      <c r="A538">
        <v>529</v>
      </c>
      <c r="L538">
        <f t="shared" si="26"/>
        <v>0</v>
      </c>
      <c r="M538">
        <f t="shared" si="25"/>
        <v>0</v>
      </c>
    </row>
    <row r="539" spans="1:13" x14ac:dyDescent="0.25">
      <c r="A539">
        <v>530</v>
      </c>
      <c r="L539">
        <f t="shared" si="26"/>
        <v>0</v>
      </c>
      <c r="M539">
        <f t="shared" si="25"/>
        <v>0</v>
      </c>
    </row>
    <row r="540" spans="1:13" x14ac:dyDescent="0.25">
      <c r="A540">
        <v>531</v>
      </c>
      <c r="L540">
        <f t="shared" si="26"/>
        <v>0</v>
      </c>
      <c r="M540">
        <f t="shared" si="25"/>
        <v>0</v>
      </c>
    </row>
    <row r="541" spans="1:13" x14ac:dyDescent="0.25">
      <c r="A541">
        <v>532</v>
      </c>
      <c r="L541">
        <f t="shared" si="26"/>
        <v>0</v>
      </c>
      <c r="M541">
        <f t="shared" si="25"/>
        <v>0</v>
      </c>
    </row>
    <row r="542" spans="1:13" x14ac:dyDescent="0.25">
      <c r="A542">
        <v>533</v>
      </c>
      <c r="L542">
        <f t="shared" si="26"/>
        <v>0</v>
      </c>
      <c r="M542">
        <f t="shared" si="25"/>
        <v>0</v>
      </c>
    </row>
    <row r="543" spans="1:13" x14ac:dyDescent="0.25">
      <c r="A543">
        <v>534</v>
      </c>
      <c r="L543">
        <f t="shared" si="26"/>
        <v>0</v>
      </c>
      <c r="M543">
        <f t="shared" si="25"/>
        <v>0</v>
      </c>
    </row>
    <row r="544" spans="1:13" x14ac:dyDescent="0.25">
      <c r="A544">
        <v>535</v>
      </c>
      <c r="L544">
        <f t="shared" si="26"/>
        <v>0</v>
      </c>
      <c r="M544">
        <f t="shared" si="25"/>
        <v>0</v>
      </c>
    </row>
    <row r="545" spans="1:13" x14ac:dyDescent="0.25">
      <c r="A545">
        <v>536</v>
      </c>
      <c r="L545">
        <f t="shared" ref="L545:L608" si="27">+I545+H545</f>
        <v>0</v>
      </c>
      <c r="M545">
        <f t="shared" si="25"/>
        <v>0</v>
      </c>
    </row>
    <row r="546" spans="1:13" x14ac:dyDescent="0.25">
      <c r="A546">
        <v>537</v>
      </c>
      <c r="L546">
        <f t="shared" si="27"/>
        <v>0</v>
      </c>
      <c r="M546">
        <f t="shared" si="25"/>
        <v>0</v>
      </c>
    </row>
    <row r="547" spans="1:13" x14ac:dyDescent="0.25">
      <c r="A547">
        <v>538</v>
      </c>
      <c r="L547">
        <f t="shared" si="27"/>
        <v>0</v>
      </c>
      <c r="M547">
        <f t="shared" si="25"/>
        <v>0</v>
      </c>
    </row>
    <row r="548" spans="1:13" x14ac:dyDescent="0.25">
      <c r="A548">
        <v>539</v>
      </c>
      <c r="L548">
        <f t="shared" si="27"/>
        <v>0</v>
      </c>
      <c r="M548">
        <f t="shared" si="25"/>
        <v>0</v>
      </c>
    </row>
    <row r="549" spans="1:13" x14ac:dyDescent="0.25">
      <c r="A549">
        <v>540</v>
      </c>
      <c r="L549">
        <f t="shared" si="27"/>
        <v>0</v>
      </c>
      <c r="M549">
        <f t="shared" si="25"/>
        <v>0</v>
      </c>
    </row>
    <row r="550" spans="1:13" x14ac:dyDescent="0.25">
      <c r="A550">
        <v>541</v>
      </c>
      <c r="L550">
        <f t="shared" si="27"/>
        <v>0</v>
      </c>
      <c r="M550">
        <f t="shared" si="25"/>
        <v>0</v>
      </c>
    </row>
    <row r="551" spans="1:13" x14ac:dyDescent="0.25">
      <c r="A551">
        <v>542</v>
      </c>
      <c r="L551">
        <f t="shared" si="27"/>
        <v>0</v>
      </c>
      <c r="M551">
        <f t="shared" si="25"/>
        <v>0</v>
      </c>
    </row>
    <row r="552" spans="1:13" x14ac:dyDescent="0.25">
      <c r="A552">
        <v>543</v>
      </c>
      <c r="L552">
        <f t="shared" si="27"/>
        <v>0</v>
      </c>
      <c r="M552">
        <f t="shared" si="25"/>
        <v>0</v>
      </c>
    </row>
    <row r="553" spans="1:13" x14ac:dyDescent="0.25">
      <c r="A553">
        <v>544</v>
      </c>
      <c r="L553">
        <f t="shared" si="27"/>
        <v>0</v>
      </c>
      <c r="M553">
        <f t="shared" si="25"/>
        <v>0</v>
      </c>
    </row>
    <row r="554" spans="1:13" x14ac:dyDescent="0.25">
      <c r="A554">
        <v>545</v>
      </c>
      <c r="L554">
        <f t="shared" si="27"/>
        <v>0</v>
      </c>
      <c r="M554">
        <f t="shared" si="25"/>
        <v>0</v>
      </c>
    </row>
    <row r="555" spans="1:13" x14ac:dyDescent="0.25">
      <c r="A555">
        <v>546</v>
      </c>
      <c r="L555">
        <f t="shared" si="27"/>
        <v>0</v>
      </c>
      <c r="M555">
        <f t="shared" si="25"/>
        <v>0</v>
      </c>
    </row>
    <row r="556" spans="1:13" x14ac:dyDescent="0.25">
      <c r="A556">
        <v>547</v>
      </c>
      <c r="L556">
        <f t="shared" si="27"/>
        <v>0</v>
      </c>
      <c r="M556">
        <f t="shared" si="25"/>
        <v>0</v>
      </c>
    </row>
    <row r="557" spans="1:13" x14ac:dyDescent="0.25">
      <c r="A557">
        <v>548</v>
      </c>
      <c r="L557">
        <f t="shared" si="27"/>
        <v>0</v>
      </c>
      <c r="M557">
        <f t="shared" si="25"/>
        <v>0</v>
      </c>
    </row>
    <row r="558" spans="1:13" x14ac:dyDescent="0.25">
      <c r="A558">
        <v>549</v>
      </c>
      <c r="L558">
        <f t="shared" si="27"/>
        <v>0</v>
      </c>
      <c r="M558">
        <f t="shared" si="25"/>
        <v>0</v>
      </c>
    </row>
    <row r="559" spans="1:13" x14ac:dyDescent="0.25">
      <c r="A559">
        <v>550</v>
      </c>
      <c r="L559">
        <f t="shared" si="27"/>
        <v>0</v>
      </c>
      <c r="M559">
        <f t="shared" si="25"/>
        <v>0</v>
      </c>
    </row>
    <row r="560" spans="1:13" x14ac:dyDescent="0.25">
      <c r="A560">
        <v>551</v>
      </c>
      <c r="L560">
        <f t="shared" si="27"/>
        <v>0</v>
      </c>
      <c r="M560">
        <f t="shared" si="25"/>
        <v>0</v>
      </c>
    </row>
    <row r="561" spans="1:13" x14ac:dyDescent="0.25">
      <c r="A561">
        <v>552</v>
      </c>
      <c r="L561">
        <f t="shared" si="27"/>
        <v>0</v>
      </c>
      <c r="M561">
        <f t="shared" si="25"/>
        <v>0</v>
      </c>
    </row>
    <row r="562" spans="1:13" x14ac:dyDescent="0.25">
      <c r="A562">
        <v>553</v>
      </c>
      <c r="L562">
        <f t="shared" si="27"/>
        <v>0</v>
      </c>
      <c r="M562">
        <f t="shared" si="25"/>
        <v>0</v>
      </c>
    </row>
    <row r="563" spans="1:13" x14ac:dyDescent="0.25">
      <c r="A563">
        <v>554</v>
      </c>
      <c r="L563">
        <f t="shared" si="27"/>
        <v>0</v>
      </c>
      <c r="M563">
        <f t="shared" si="25"/>
        <v>0</v>
      </c>
    </row>
    <row r="564" spans="1:13" x14ac:dyDescent="0.25">
      <c r="A564">
        <v>555</v>
      </c>
      <c r="L564">
        <f t="shared" si="27"/>
        <v>0</v>
      </c>
      <c r="M564">
        <f t="shared" si="25"/>
        <v>0</v>
      </c>
    </row>
    <row r="565" spans="1:13" x14ac:dyDescent="0.25">
      <c r="A565">
        <v>556</v>
      </c>
      <c r="L565">
        <f t="shared" si="27"/>
        <v>0</v>
      </c>
      <c r="M565">
        <f t="shared" si="25"/>
        <v>0</v>
      </c>
    </row>
    <row r="566" spans="1:13" x14ac:dyDescent="0.25">
      <c r="A566">
        <v>557</v>
      </c>
      <c r="L566">
        <f t="shared" si="27"/>
        <v>0</v>
      </c>
      <c r="M566">
        <f t="shared" si="25"/>
        <v>0</v>
      </c>
    </row>
    <row r="567" spans="1:13" x14ac:dyDescent="0.25">
      <c r="A567">
        <v>558</v>
      </c>
      <c r="L567">
        <f t="shared" si="27"/>
        <v>0</v>
      </c>
      <c r="M567">
        <f t="shared" si="25"/>
        <v>0</v>
      </c>
    </row>
    <row r="568" spans="1:13" x14ac:dyDescent="0.25">
      <c r="A568">
        <v>559</v>
      </c>
      <c r="L568">
        <f t="shared" si="27"/>
        <v>0</v>
      </c>
      <c r="M568">
        <f t="shared" si="25"/>
        <v>0</v>
      </c>
    </row>
    <row r="569" spans="1:13" x14ac:dyDescent="0.25">
      <c r="A569">
        <v>560</v>
      </c>
      <c r="L569">
        <f t="shared" si="27"/>
        <v>0</v>
      </c>
      <c r="M569">
        <f t="shared" si="25"/>
        <v>0</v>
      </c>
    </row>
    <row r="570" spans="1:13" x14ac:dyDescent="0.25">
      <c r="A570">
        <v>561</v>
      </c>
      <c r="L570">
        <f t="shared" si="27"/>
        <v>0</v>
      </c>
      <c r="M570">
        <f t="shared" si="25"/>
        <v>0</v>
      </c>
    </row>
    <row r="571" spans="1:13" x14ac:dyDescent="0.25">
      <c r="A571">
        <v>562</v>
      </c>
      <c r="L571">
        <f t="shared" si="27"/>
        <v>0</v>
      </c>
      <c r="M571">
        <f t="shared" si="25"/>
        <v>0</v>
      </c>
    </row>
    <row r="572" spans="1:13" x14ac:dyDescent="0.25">
      <c r="A572">
        <v>563</v>
      </c>
      <c r="L572">
        <f t="shared" si="27"/>
        <v>0</v>
      </c>
      <c r="M572">
        <f t="shared" si="25"/>
        <v>0</v>
      </c>
    </row>
    <row r="573" spans="1:13" x14ac:dyDescent="0.25">
      <c r="A573">
        <v>564</v>
      </c>
      <c r="L573">
        <f t="shared" si="27"/>
        <v>0</v>
      </c>
      <c r="M573">
        <f t="shared" si="25"/>
        <v>0</v>
      </c>
    </row>
    <row r="574" spans="1:13" x14ac:dyDescent="0.25">
      <c r="A574">
        <v>565</v>
      </c>
      <c r="L574">
        <f t="shared" si="27"/>
        <v>0</v>
      </c>
      <c r="M574">
        <f t="shared" si="25"/>
        <v>0</v>
      </c>
    </row>
    <row r="575" spans="1:13" x14ac:dyDescent="0.25">
      <c r="A575">
        <v>566</v>
      </c>
      <c r="L575">
        <f t="shared" si="27"/>
        <v>0</v>
      </c>
      <c r="M575">
        <f t="shared" ref="M575:M638" si="28">+I575/IF(H575 = 0,1,H575)</f>
        <v>0</v>
      </c>
    </row>
    <row r="576" spans="1:13" x14ac:dyDescent="0.25">
      <c r="A576">
        <v>567</v>
      </c>
      <c r="L576">
        <f t="shared" si="27"/>
        <v>0</v>
      </c>
      <c r="M576">
        <f t="shared" si="28"/>
        <v>0</v>
      </c>
    </row>
    <row r="577" spans="1:13" x14ac:dyDescent="0.25">
      <c r="A577">
        <v>568</v>
      </c>
      <c r="L577">
        <f t="shared" si="27"/>
        <v>0</v>
      </c>
      <c r="M577">
        <f t="shared" si="28"/>
        <v>0</v>
      </c>
    </row>
    <row r="578" spans="1:13" x14ac:dyDescent="0.25">
      <c r="A578">
        <v>569</v>
      </c>
      <c r="L578">
        <f t="shared" si="27"/>
        <v>0</v>
      </c>
      <c r="M578">
        <f t="shared" si="28"/>
        <v>0</v>
      </c>
    </row>
    <row r="579" spans="1:13" x14ac:dyDescent="0.25">
      <c r="A579">
        <v>570</v>
      </c>
      <c r="L579">
        <f t="shared" si="27"/>
        <v>0</v>
      </c>
      <c r="M579">
        <f t="shared" si="28"/>
        <v>0</v>
      </c>
    </row>
    <row r="580" spans="1:13" x14ac:dyDescent="0.25">
      <c r="A580">
        <v>571</v>
      </c>
      <c r="L580">
        <f t="shared" si="27"/>
        <v>0</v>
      </c>
      <c r="M580">
        <f t="shared" si="28"/>
        <v>0</v>
      </c>
    </row>
    <row r="581" spans="1:13" x14ac:dyDescent="0.25">
      <c r="A581">
        <v>572</v>
      </c>
      <c r="L581">
        <f t="shared" si="27"/>
        <v>0</v>
      </c>
      <c r="M581">
        <f t="shared" si="28"/>
        <v>0</v>
      </c>
    </row>
    <row r="582" spans="1:13" x14ac:dyDescent="0.25">
      <c r="A582">
        <v>573</v>
      </c>
      <c r="L582">
        <f t="shared" si="27"/>
        <v>0</v>
      </c>
      <c r="M582">
        <f t="shared" si="28"/>
        <v>0</v>
      </c>
    </row>
    <row r="583" spans="1:13" x14ac:dyDescent="0.25">
      <c r="A583">
        <v>574</v>
      </c>
      <c r="L583">
        <f t="shared" si="27"/>
        <v>0</v>
      </c>
      <c r="M583">
        <f t="shared" si="28"/>
        <v>0</v>
      </c>
    </row>
    <row r="584" spans="1:13" x14ac:dyDescent="0.25">
      <c r="A584">
        <v>575</v>
      </c>
      <c r="L584">
        <f t="shared" si="27"/>
        <v>0</v>
      </c>
      <c r="M584">
        <f t="shared" si="28"/>
        <v>0</v>
      </c>
    </row>
    <row r="585" spans="1:13" x14ac:dyDescent="0.25">
      <c r="A585">
        <v>576</v>
      </c>
      <c r="L585">
        <f t="shared" si="27"/>
        <v>0</v>
      </c>
      <c r="M585">
        <f t="shared" si="28"/>
        <v>0</v>
      </c>
    </row>
    <row r="586" spans="1:13" x14ac:dyDescent="0.25">
      <c r="A586">
        <v>577</v>
      </c>
      <c r="L586">
        <f t="shared" si="27"/>
        <v>0</v>
      </c>
      <c r="M586">
        <f t="shared" si="28"/>
        <v>0</v>
      </c>
    </row>
    <row r="587" spans="1:13" x14ac:dyDescent="0.25">
      <c r="A587">
        <v>578</v>
      </c>
      <c r="L587">
        <f t="shared" si="27"/>
        <v>0</v>
      </c>
      <c r="M587">
        <f t="shared" si="28"/>
        <v>0</v>
      </c>
    </row>
    <row r="588" spans="1:13" x14ac:dyDescent="0.25">
      <c r="A588">
        <v>579</v>
      </c>
      <c r="L588">
        <f t="shared" si="27"/>
        <v>0</v>
      </c>
      <c r="M588">
        <f t="shared" si="28"/>
        <v>0</v>
      </c>
    </row>
    <row r="589" spans="1:13" x14ac:dyDescent="0.25">
      <c r="A589">
        <v>580</v>
      </c>
      <c r="L589">
        <f t="shared" si="27"/>
        <v>0</v>
      </c>
      <c r="M589">
        <f t="shared" si="28"/>
        <v>0</v>
      </c>
    </row>
    <row r="590" spans="1:13" x14ac:dyDescent="0.25">
      <c r="A590">
        <v>581</v>
      </c>
      <c r="L590">
        <f t="shared" si="27"/>
        <v>0</v>
      </c>
      <c r="M590">
        <f t="shared" si="28"/>
        <v>0</v>
      </c>
    </row>
    <row r="591" spans="1:13" x14ac:dyDescent="0.25">
      <c r="A591">
        <v>582</v>
      </c>
      <c r="L591">
        <f t="shared" si="27"/>
        <v>0</v>
      </c>
      <c r="M591">
        <f t="shared" si="28"/>
        <v>0</v>
      </c>
    </row>
    <row r="592" spans="1:13" x14ac:dyDescent="0.25">
      <c r="A592">
        <v>583</v>
      </c>
      <c r="L592">
        <f t="shared" si="27"/>
        <v>0</v>
      </c>
      <c r="M592">
        <f t="shared" si="28"/>
        <v>0</v>
      </c>
    </row>
    <row r="593" spans="1:13" x14ac:dyDescent="0.25">
      <c r="A593">
        <v>584</v>
      </c>
      <c r="L593">
        <f t="shared" si="27"/>
        <v>0</v>
      </c>
      <c r="M593">
        <f t="shared" si="28"/>
        <v>0</v>
      </c>
    </row>
    <row r="594" spans="1:13" x14ac:dyDescent="0.25">
      <c r="A594">
        <v>585</v>
      </c>
      <c r="L594">
        <f t="shared" si="27"/>
        <v>0</v>
      </c>
      <c r="M594">
        <f t="shared" si="28"/>
        <v>0</v>
      </c>
    </row>
    <row r="595" spans="1:13" x14ac:dyDescent="0.25">
      <c r="A595">
        <v>586</v>
      </c>
      <c r="L595">
        <f t="shared" si="27"/>
        <v>0</v>
      </c>
      <c r="M595">
        <f t="shared" si="28"/>
        <v>0</v>
      </c>
    </row>
    <row r="596" spans="1:13" x14ac:dyDescent="0.25">
      <c r="A596">
        <v>587</v>
      </c>
      <c r="L596">
        <f t="shared" si="27"/>
        <v>0</v>
      </c>
      <c r="M596">
        <f t="shared" si="28"/>
        <v>0</v>
      </c>
    </row>
    <row r="597" spans="1:13" x14ac:dyDescent="0.25">
      <c r="A597">
        <v>588</v>
      </c>
      <c r="L597">
        <f t="shared" si="27"/>
        <v>0</v>
      </c>
      <c r="M597">
        <f t="shared" si="28"/>
        <v>0</v>
      </c>
    </row>
    <row r="598" spans="1:13" x14ac:dyDescent="0.25">
      <c r="A598">
        <v>589</v>
      </c>
      <c r="L598">
        <f t="shared" si="27"/>
        <v>0</v>
      </c>
      <c r="M598">
        <f t="shared" si="28"/>
        <v>0</v>
      </c>
    </row>
    <row r="599" spans="1:13" x14ac:dyDescent="0.25">
      <c r="A599">
        <v>590</v>
      </c>
      <c r="L599">
        <f t="shared" si="27"/>
        <v>0</v>
      </c>
      <c r="M599">
        <f t="shared" si="28"/>
        <v>0</v>
      </c>
    </row>
    <row r="600" spans="1:13" x14ac:dyDescent="0.25">
      <c r="A600">
        <v>591</v>
      </c>
      <c r="L600">
        <f t="shared" si="27"/>
        <v>0</v>
      </c>
      <c r="M600">
        <f t="shared" si="28"/>
        <v>0</v>
      </c>
    </row>
    <row r="601" spans="1:13" x14ac:dyDescent="0.25">
      <c r="A601">
        <v>592</v>
      </c>
      <c r="L601">
        <f t="shared" si="27"/>
        <v>0</v>
      </c>
      <c r="M601">
        <f t="shared" si="28"/>
        <v>0</v>
      </c>
    </row>
    <row r="602" spans="1:13" x14ac:dyDescent="0.25">
      <c r="A602">
        <v>593</v>
      </c>
      <c r="L602">
        <f t="shared" si="27"/>
        <v>0</v>
      </c>
      <c r="M602">
        <f t="shared" si="28"/>
        <v>0</v>
      </c>
    </row>
    <row r="603" spans="1:13" x14ac:dyDescent="0.25">
      <c r="A603">
        <v>594</v>
      </c>
      <c r="L603">
        <f t="shared" si="27"/>
        <v>0</v>
      </c>
      <c r="M603">
        <f t="shared" si="28"/>
        <v>0</v>
      </c>
    </row>
    <row r="604" spans="1:13" x14ac:dyDescent="0.25">
      <c r="A604">
        <v>595</v>
      </c>
      <c r="L604">
        <f t="shared" si="27"/>
        <v>0</v>
      </c>
      <c r="M604">
        <f t="shared" si="28"/>
        <v>0</v>
      </c>
    </row>
    <row r="605" spans="1:13" x14ac:dyDescent="0.25">
      <c r="A605">
        <v>596</v>
      </c>
      <c r="L605">
        <f t="shared" si="27"/>
        <v>0</v>
      </c>
      <c r="M605">
        <f t="shared" si="28"/>
        <v>0</v>
      </c>
    </row>
    <row r="606" spans="1:13" x14ac:dyDescent="0.25">
      <c r="A606">
        <v>597</v>
      </c>
      <c r="L606">
        <f t="shared" si="27"/>
        <v>0</v>
      </c>
      <c r="M606">
        <f t="shared" si="28"/>
        <v>0</v>
      </c>
    </row>
    <row r="607" spans="1:13" x14ac:dyDescent="0.25">
      <c r="A607">
        <v>598</v>
      </c>
      <c r="L607">
        <f t="shared" si="27"/>
        <v>0</v>
      </c>
      <c r="M607">
        <f t="shared" si="28"/>
        <v>0</v>
      </c>
    </row>
    <row r="608" spans="1:13" x14ac:dyDescent="0.25">
      <c r="A608">
        <v>599</v>
      </c>
      <c r="L608">
        <f t="shared" si="27"/>
        <v>0</v>
      </c>
      <c r="M608">
        <f t="shared" si="28"/>
        <v>0</v>
      </c>
    </row>
    <row r="609" spans="1:13" x14ac:dyDescent="0.25">
      <c r="A609">
        <v>600</v>
      </c>
      <c r="L609">
        <f t="shared" ref="L609:L621" si="29">+I609+H609</f>
        <v>0</v>
      </c>
      <c r="M609">
        <f t="shared" si="28"/>
        <v>0</v>
      </c>
    </row>
    <row r="610" spans="1:13" x14ac:dyDescent="0.25">
      <c r="A610">
        <v>601</v>
      </c>
      <c r="L610">
        <f t="shared" si="29"/>
        <v>0</v>
      </c>
      <c r="M610">
        <f t="shared" si="28"/>
        <v>0</v>
      </c>
    </row>
    <row r="611" spans="1:13" x14ac:dyDescent="0.25">
      <c r="A611">
        <v>602</v>
      </c>
      <c r="L611">
        <f t="shared" si="29"/>
        <v>0</v>
      </c>
      <c r="M611">
        <f t="shared" si="28"/>
        <v>0</v>
      </c>
    </row>
    <row r="612" spans="1:13" x14ac:dyDescent="0.25">
      <c r="A612">
        <v>603</v>
      </c>
      <c r="L612">
        <f t="shared" si="29"/>
        <v>0</v>
      </c>
      <c r="M612">
        <f t="shared" si="28"/>
        <v>0</v>
      </c>
    </row>
    <row r="613" spans="1:13" x14ac:dyDescent="0.25">
      <c r="A613">
        <v>604</v>
      </c>
      <c r="L613">
        <f t="shared" si="29"/>
        <v>0</v>
      </c>
      <c r="M613">
        <f t="shared" si="28"/>
        <v>0</v>
      </c>
    </row>
    <row r="614" spans="1:13" x14ac:dyDescent="0.25">
      <c r="A614">
        <v>605</v>
      </c>
      <c r="L614">
        <f t="shared" si="29"/>
        <v>0</v>
      </c>
      <c r="M614">
        <f t="shared" si="28"/>
        <v>0</v>
      </c>
    </row>
    <row r="615" spans="1:13" x14ac:dyDescent="0.25">
      <c r="A615">
        <v>606</v>
      </c>
      <c r="L615">
        <f t="shared" si="29"/>
        <v>0</v>
      </c>
      <c r="M615">
        <f t="shared" si="28"/>
        <v>0</v>
      </c>
    </row>
    <row r="616" spans="1:13" x14ac:dyDescent="0.25">
      <c r="A616">
        <v>607</v>
      </c>
      <c r="L616">
        <f t="shared" si="29"/>
        <v>0</v>
      </c>
      <c r="M616">
        <f t="shared" si="28"/>
        <v>0</v>
      </c>
    </row>
    <row r="617" spans="1:13" x14ac:dyDescent="0.25">
      <c r="A617">
        <v>608</v>
      </c>
      <c r="L617">
        <f t="shared" si="29"/>
        <v>0</v>
      </c>
      <c r="M617">
        <f t="shared" si="28"/>
        <v>0</v>
      </c>
    </row>
    <row r="618" spans="1:13" x14ac:dyDescent="0.25">
      <c r="A618">
        <v>609</v>
      </c>
      <c r="L618">
        <f t="shared" si="29"/>
        <v>0</v>
      </c>
      <c r="M618">
        <f t="shared" si="28"/>
        <v>0</v>
      </c>
    </row>
    <row r="619" spans="1:13" x14ac:dyDescent="0.25">
      <c r="A619">
        <v>610</v>
      </c>
      <c r="L619">
        <f t="shared" si="29"/>
        <v>0</v>
      </c>
      <c r="M619">
        <f t="shared" si="28"/>
        <v>0</v>
      </c>
    </row>
    <row r="620" spans="1:13" x14ac:dyDescent="0.25">
      <c r="A620">
        <v>611</v>
      </c>
      <c r="L620">
        <f t="shared" si="29"/>
        <v>0</v>
      </c>
      <c r="M620">
        <f t="shared" si="28"/>
        <v>0</v>
      </c>
    </row>
    <row r="621" spans="1:13" x14ac:dyDescent="0.25">
      <c r="A621">
        <v>612</v>
      </c>
      <c r="L621">
        <f t="shared" si="29"/>
        <v>0</v>
      </c>
      <c r="M621">
        <f t="shared" si="28"/>
        <v>0</v>
      </c>
    </row>
    <row r="622" spans="1:13" x14ac:dyDescent="0.25">
      <c r="A622">
        <v>613</v>
      </c>
      <c r="L622">
        <f t="shared" ref="L622:L685" si="30">+I622+H622</f>
        <v>0</v>
      </c>
      <c r="M622">
        <f t="shared" si="28"/>
        <v>0</v>
      </c>
    </row>
    <row r="623" spans="1:13" x14ac:dyDescent="0.25">
      <c r="A623">
        <v>614</v>
      </c>
      <c r="L623">
        <f t="shared" si="30"/>
        <v>0</v>
      </c>
      <c r="M623">
        <f t="shared" si="28"/>
        <v>0</v>
      </c>
    </row>
    <row r="624" spans="1:13" x14ac:dyDescent="0.25">
      <c r="A624">
        <v>615</v>
      </c>
      <c r="L624">
        <f t="shared" si="30"/>
        <v>0</v>
      </c>
      <c r="M624">
        <f t="shared" si="28"/>
        <v>0</v>
      </c>
    </row>
    <row r="625" spans="1:13" x14ac:dyDescent="0.25">
      <c r="A625">
        <v>616</v>
      </c>
      <c r="L625">
        <f t="shared" si="30"/>
        <v>0</v>
      </c>
      <c r="M625">
        <f t="shared" si="28"/>
        <v>0</v>
      </c>
    </row>
    <row r="626" spans="1:13" x14ac:dyDescent="0.25">
      <c r="A626">
        <v>617</v>
      </c>
      <c r="L626">
        <f t="shared" si="30"/>
        <v>0</v>
      </c>
      <c r="M626">
        <f t="shared" si="28"/>
        <v>0</v>
      </c>
    </row>
    <row r="627" spans="1:13" x14ac:dyDescent="0.25">
      <c r="A627">
        <v>618</v>
      </c>
      <c r="L627">
        <f t="shared" si="30"/>
        <v>0</v>
      </c>
      <c r="M627">
        <f t="shared" si="28"/>
        <v>0</v>
      </c>
    </row>
    <row r="628" spans="1:13" x14ac:dyDescent="0.25">
      <c r="A628">
        <v>619</v>
      </c>
      <c r="L628">
        <f t="shared" si="30"/>
        <v>0</v>
      </c>
      <c r="M628">
        <f t="shared" si="28"/>
        <v>0</v>
      </c>
    </row>
    <row r="629" spans="1:13" x14ac:dyDescent="0.25">
      <c r="A629">
        <v>620</v>
      </c>
      <c r="L629">
        <f t="shared" si="30"/>
        <v>0</v>
      </c>
      <c r="M629">
        <f t="shared" si="28"/>
        <v>0</v>
      </c>
    </row>
    <row r="630" spans="1:13" x14ac:dyDescent="0.25">
      <c r="A630">
        <v>621</v>
      </c>
      <c r="L630">
        <f t="shared" si="30"/>
        <v>0</v>
      </c>
      <c r="M630">
        <f t="shared" si="28"/>
        <v>0</v>
      </c>
    </row>
    <row r="631" spans="1:13" x14ac:dyDescent="0.25">
      <c r="A631">
        <v>622</v>
      </c>
      <c r="L631">
        <f t="shared" si="30"/>
        <v>0</v>
      </c>
      <c r="M631">
        <f t="shared" si="28"/>
        <v>0</v>
      </c>
    </row>
    <row r="632" spans="1:13" x14ac:dyDescent="0.25">
      <c r="A632">
        <v>623</v>
      </c>
      <c r="L632">
        <f t="shared" si="30"/>
        <v>0</v>
      </c>
      <c r="M632">
        <f t="shared" si="28"/>
        <v>0</v>
      </c>
    </row>
    <row r="633" spans="1:13" x14ac:dyDescent="0.25">
      <c r="A633">
        <v>624</v>
      </c>
      <c r="L633">
        <f t="shared" si="30"/>
        <v>0</v>
      </c>
      <c r="M633">
        <f t="shared" si="28"/>
        <v>0</v>
      </c>
    </row>
    <row r="634" spans="1:13" x14ac:dyDescent="0.25">
      <c r="A634">
        <v>625</v>
      </c>
      <c r="L634">
        <f t="shared" si="30"/>
        <v>0</v>
      </c>
      <c r="M634">
        <f t="shared" si="28"/>
        <v>0</v>
      </c>
    </row>
    <row r="635" spans="1:13" x14ac:dyDescent="0.25">
      <c r="A635">
        <v>626</v>
      </c>
      <c r="L635">
        <f t="shared" si="30"/>
        <v>0</v>
      </c>
      <c r="M635">
        <f t="shared" si="28"/>
        <v>0</v>
      </c>
    </row>
    <row r="636" spans="1:13" x14ac:dyDescent="0.25">
      <c r="A636">
        <v>627</v>
      </c>
      <c r="L636">
        <f t="shared" si="30"/>
        <v>0</v>
      </c>
      <c r="M636">
        <f t="shared" si="28"/>
        <v>0</v>
      </c>
    </row>
    <row r="637" spans="1:13" x14ac:dyDescent="0.25">
      <c r="A637">
        <v>628</v>
      </c>
      <c r="L637">
        <f t="shared" si="30"/>
        <v>0</v>
      </c>
      <c r="M637">
        <f t="shared" si="28"/>
        <v>0</v>
      </c>
    </row>
    <row r="638" spans="1:13" x14ac:dyDescent="0.25">
      <c r="A638">
        <v>629</v>
      </c>
      <c r="L638">
        <f t="shared" si="30"/>
        <v>0</v>
      </c>
      <c r="M638">
        <f t="shared" si="28"/>
        <v>0</v>
      </c>
    </row>
    <row r="639" spans="1:13" x14ac:dyDescent="0.25">
      <c r="A639">
        <v>630</v>
      </c>
      <c r="L639">
        <f t="shared" si="30"/>
        <v>0</v>
      </c>
      <c r="M639">
        <f t="shared" ref="M639:M702" si="31">+I639/IF(H639 = 0,1,H639)</f>
        <v>0</v>
      </c>
    </row>
    <row r="640" spans="1:13" x14ac:dyDescent="0.25">
      <c r="A640">
        <v>631</v>
      </c>
      <c r="L640">
        <f t="shared" si="30"/>
        <v>0</v>
      </c>
      <c r="M640">
        <f t="shared" si="31"/>
        <v>0</v>
      </c>
    </row>
    <row r="641" spans="1:13" x14ac:dyDescent="0.25">
      <c r="A641">
        <v>632</v>
      </c>
      <c r="L641">
        <f t="shared" si="30"/>
        <v>0</v>
      </c>
      <c r="M641">
        <f t="shared" si="31"/>
        <v>0</v>
      </c>
    </row>
    <row r="642" spans="1:13" x14ac:dyDescent="0.25">
      <c r="A642">
        <v>633</v>
      </c>
      <c r="L642">
        <f t="shared" si="30"/>
        <v>0</v>
      </c>
      <c r="M642">
        <f t="shared" si="31"/>
        <v>0</v>
      </c>
    </row>
    <row r="643" spans="1:13" x14ac:dyDescent="0.25">
      <c r="A643">
        <v>634</v>
      </c>
      <c r="L643">
        <f t="shared" si="30"/>
        <v>0</v>
      </c>
      <c r="M643">
        <f t="shared" si="31"/>
        <v>0</v>
      </c>
    </row>
    <row r="644" spans="1:13" x14ac:dyDescent="0.25">
      <c r="A644">
        <v>635</v>
      </c>
      <c r="L644">
        <f t="shared" si="30"/>
        <v>0</v>
      </c>
      <c r="M644">
        <f t="shared" si="31"/>
        <v>0</v>
      </c>
    </row>
    <row r="645" spans="1:13" x14ac:dyDescent="0.25">
      <c r="A645">
        <v>636</v>
      </c>
      <c r="L645">
        <f t="shared" si="30"/>
        <v>0</v>
      </c>
      <c r="M645">
        <f t="shared" si="31"/>
        <v>0</v>
      </c>
    </row>
    <row r="646" spans="1:13" x14ac:dyDescent="0.25">
      <c r="A646">
        <v>637</v>
      </c>
      <c r="L646">
        <f t="shared" si="30"/>
        <v>0</v>
      </c>
      <c r="M646">
        <f t="shared" si="31"/>
        <v>0</v>
      </c>
    </row>
    <row r="647" spans="1:13" x14ac:dyDescent="0.25">
      <c r="A647">
        <v>638</v>
      </c>
      <c r="L647">
        <f t="shared" si="30"/>
        <v>0</v>
      </c>
      <c r="M647">
        <f t="shared" si="31"/>
        <v>0</v>
      </c>
    </row>
    <row r="648" spans="1:13" x14ac:dyDescent="0.25">
      <c r="A648">
        <v>639</v>
      </c>
      <c r="L648">
        <f t="shared" si="30"/>
        <v>0</v>
      </c>
      <c r="M648">
        <f t="shared" si="31"/>
        <v>0</v>
      </c>
    </row>
    <row r="649" spans="1:13" x14ac:dyDescent="0.25">
      <c r="A649">
        <v>640</v>
      </c>
      <c r="L649">
        <f t="shared" si="30"/>
        <v>0</v>
      </c>
      <c r="M649">
        <f t="shared" si="31"/>
        <v>0</v>
      </c>
    </row>
    <row r="650" spans="1:13" x14ac:dyDescent="0.25">
      <c r="A650">
        <v>641</v>
      </c>
      <c r="L650">
        <f t="shared" si="30"/>
        <v>0</v>
      </c>
      <c r="M650">
        <f t="shared" si="31"/>
        <v>0</v>
      </c>
    </row>
    <row r="651" spans="1:13" x14ac:dyDescent="0.25">
      <c r="A651">
        <v>642</v>
      </c>
      <c r="L651">
        <f t="shared" si="30"/>
        <v>0</v>
      </c>
      <c r="M651">
        <f t="shared" si="31"/>
        <v>0</v>
      </c>
    </row>
    <row r="652" spans="1:13" x14ac:dyDescent="0.25">
      <c r="A652">
        <v>643</v>
      </c>
      <c r="L652">
        <f t="shared" si="30"/>
        <v>0</v>
      </c>
      <c r="M652">
        <f t="shared" si="31"/>
        <v>0</v>
      </c>
    </row>
    <row r="653" spans="1:13" x14ac:dyDescent="0.25">
      <c r="A653">
        <v>644</v>
      </c>
      <c r="L653">
        <f t="shared" si="30"/>
        <v>0</v>
      </c>
      <c r="M653">
        <f t="shared" si="31"/>
        <v>0</v>
      </c>
    </row>
    <row r="654" spans="1:13" x14ac:dyDescent="0.25">
      <c r="A654">
        <v>645</v>
      </c>
      <c r="L654">
        <f t="shared" si="30"/>
        <v>0</v>
      </c>
      <c r="M654">
        <f t="shared" si="31"/>
        <v>0</v>
      </c>
    </row>
    <row r="655" spans="1:13" x14ac:dyDescent="0.25">
      <c r="A655">
        <v>646</v>
      </c>
      <c r="L655">
        <f t="shared" si="30"/>
        <v>0</v>
      </c>
      <c r="M655">
        <f t="shared" si="31"/>
        <v>0</v>
      </c>
    </row>
    <row r="656" spans="1:13" x14ac:dyDescent="0.25">
      <c r="A656">
        <v>647</v>
      </c>
      <c r="L656">
        <f t="shared" si="30"/>
        <v>0</v>
      </c>
      <c r="M656">
        <f t="shared" si="31"/>
        <v>0</v>
      </c>
    </row>
    <row r="657" spans="1:13" x14ac:dyDescent="0.25">
      <c r="A657">
        <v>648</v>
      </c>
      <c r="L657">
        <f t="shared" si="30"/>
        <v>0</v>
      </c>
      <c r="M657">
        <f t="shared" si="31"/>
        <v>0</v>
      </c>
    </row>
    <row r="658" spans="1:13" x14ac:dyDescent="0.25">
      <c r="A658">
        <v>649</v>
      </c>
      <c r="L658">
        <f t="shared" si="30"/>
        <v>0</v>
      </c>
      <c r="M658">
        <f t="shared" si="31"/>
        <v>0</v>
      </c>
    </row>
    <row r="659" spans="1:13" x14ac:dyDescent="0.25">
      <c r="A659">
        <v>650</v>
      </c>
      <c r="L659">
        <f t="shared" si="30"/>
        <v>0</v>
      </c>
      <c r="M659">
        <f t="shared" si="31"/>
        <v>0</v>
      </c>
    </row>
    <row r="660" spans="1:13" x14ac:dyDescent="0.25">
      <c r="A660">
        <v>651</v>
      </c>
      <c r="L660">
        <f t="shared" si="30"/>
        <v>0</v>
      </c>
      <c r="M660">
        <f t="shared" si="31"/>
        <v>0</v>
      </c>
    </row>
    <row r="661" spans="1:13" x14ac:dyDescent="0.25">
      <c r="A661">
        <v>652</v>
      </c>
      <c r="L661">
        <f t="shared" si="30"/>
        <v>0</v>
      </c>
      <c r="M661">
        <f t="shared" si="31"/>
        <v>0</v>
      </c>
    </row>
    <row r="662" spans="1:13" x14ac:dyDescent="0.25">
      <c r="A662">
        <v>653</v>
      </c>
      <c r="L662">
        <f t="shared" si="30"/>
        <v>0</v>
      </c>
      <c r="M662">
        <f t="shared" si="31"/>
        <v>0</v>
      </c>
    </row>
    <row r="663" spans="1:13" x14ac:dyDescent="0.25">
      <c r="A663">
        <v>654</v>
      </c>
      <c r="L663">
        <f t="shared" si="30"/>
        <v>0</v>
      </c>
      <c r="M663">
        <f t="shared" si="31"/>
        <v>0</v>
      </c>
    </row>
    <row r="664" spans="1:13" x14ac:dyDescent="0.25">
      <c r="A664">
        <v>655</v>
      </c>
      <c r="L664">
        <f t="shared" si="30"/>
        <v>0</v>
      </c>
      <c r="M664">
        <f t="shared" si="31"/>
        <v>0</v>
      </c>
    </row>
    <row r="665" spans="1:13" x14ac:dyDescent="0.25">
      <c r="A665">
        <v>656</v>
      </c>
      <c r="L665">
        <f t="shared" si="30"/>
        <v>0</v>
      </c>
      <c r="M665">
        <f t="shared" si="31"/>
        <v>0</v>
      </c>
    </row>
    <row r="666" spans="1:13" x14ac:dyDescent="0.25">
      <c r="A666">
        <v>657</v>
      </c>
      <c r="L666">
        <f t="shared" si="30"/>
        <v>0</v>
      </c>
      <c r="M666">
        <f t="shared" si="31"/>
        <v>0</v>
      </c>
    </row>
    <row r="667" spans="1:13" x14ac:dyDescent="0.25">
      <c r="A667">
        <v>658</v>
      </c>
      <c r="L667">
        <f t="shared" si="30"/>
        <v>0</v>
      </c>
      <c r="M667">
        <f t="shared" si="31"/>
        <v>0</v>
      </c>
    </row>
    <row r="668" spans="1:13" x14ac:dyDescent="0.25">
      <c r="A668">
        <v>659</v>
      </c>
      <c r="L668">
        <f t="shared" si="30"/>
        <v>0</v>
      </c>
      <c r="M668">
        <f t="shared" si="31"/>
        <v>0</v>
      </c>
    </row>
    <row r="669" spans="1:13" x14ac:dyDescent="0.25">
      <c r="A669">
        <v>660</v>
      </c>
      <c r="L669">
        <f t="shared" si="30"/>
        <v>0</v>
      </c>
      <c r="M669">
        <f t="shared" si="31"/>
        <v>0</v>
      </c>
    </row>
    <row r="670" spans="1:13" x14ac:dyDescent="0.25">
      <c r="A670">
        <v>661</v>
      </c>
      <c r="L670">
        <f t="shared" si="30"/>
        <v>0</v>
      </c>
      <c r="M670">
        <f t="shared" si="31"/>
        <v>0</v>
      </c>
    </row>
    <row r="671" spans="1:13" x14ac:dyDescent="0.25">
      <c r="A671">
        <v>662</v>
      </c>
      <c r="L671">
        <f t="shared" si="30"/>
        <v>0</v>
      </c>
      <c r="M671">
        <f t="shared" si="31"/>
        <v>0</v>
      </c>
    </row>
    <row r="672" spans="1:13" x14ac:dyDescent="0.25">
      <c r="A672">
        <v>663</v>
      </c>
      <c r="L672">
        <f t="shared" si="30"/>
        <v>0</v>
      </c>
      <c r="M672">
        <f t="shared" si="31"/>
        <v>0</v>
      </c>
    </row>
    <row r="673" spans="1:13" x14ac:dyDescent="0.25">
      <c r="A673">
        <v>664</v>
      </c>
      <c r="L673">
        <f t="shared" si="30"/>
        <v>0</v>
      </c>
      <c r="M673">
        <f t="shared" si="31"/>
        <v>0</v>
      </c>
    </row>
    <row r="674" spans="1:13" x14ac:dyDescent="0.25">
      <c r="A674">
        <v>665</v>
      </c>
      <c r="L674">
        <f t="shared" si="30"/>
        <v>0</v>
      </c>
      <c r="M674">
        <f t="shared" si="31"/>
        <v>0</v>
      </c>
    </row>
    <row r="675" spans="1:13" x14ac:dyDescent="0.25">
      <c r="A675">
        <v>666</v>
      </c>
      <c r="L675">
        <f t="shared" si="30"/>
        <v>0</v>
      </c>
      <c r="M675">
        <f t="shared" si="31"/>
        <v>0</v>
      </c>
    </row>
    <row r="676" spans="1:13" x14ac:dyDescent="0.25">
      <c r="A676">
        <v>667</v>
      </c>
      <c r="L676">
        <f t="shared" si="30"/>
        <v>0</v>
      </c>
      <c r="M676">
        <f t="shared" si="31"/>
        <v>0</v>
      </c>
    </row>
    <row r="677" spans="1:13" x14ac:dyDescent="0.25">
      <c r="A677">
        <v>668</v>
      </c>
      <c r="L677">
        <f t="shared" si="30"/>
        <v>0</v>
      </c>
      <c r="M677">
        <f t="shared" si="31"/>
        <v>0</v>
      </c>
    </row>
    <row r="678" spans="1:13" x14ac:dyDescent="0.25">
      <c r="A678">
        <v>669</v>
      </c>
      <c r="L678">
        <f t="shared" si="30"/>
        <v>0</v>
      </c>
      <c r="M678">
        <f t="shared" si="31"/>
        <v>0</v>
      </c>
    </row>
    <row r="679" spans="1:13" x14ac:dyDescent="0.25">
      <c r="A679">
        <v>670</v>
      </c>
      <c r="L679">
        <f t="shared" si="30"/>
        <v>0</v>
      </c>
      <c r="M679">
        <f t="shared" si="31"/>
        <v>0</v>
      </c>
    </row>
    <row r="680" spans="1:13" x14ac:dyDescent="0.25">
      <c r="A680">
        <v>671</v>
      </c>
      <c r="L680">
        <f t="shared" si="30"/>
        <v>0</v>
      </c>
      <c r="M680">
        <f t="shared" si="31"/>
        <v>0</v>
      </c>
    </row>
    <row r="681" spans="1:13" x14ac:dyDescent="0.25">
      <c r="A681">
        <v>672</v>
      </c>
      <c r="L681">
        <f t="shared" si="30"/>
        <v>0</v>
      </c>
      <c r="M681">
        <f t="shared" si="31"/>
        <v>0</v>
      </c>
    </row>
    <row r="682" spans="1:13" x14ac:dyDescent="0.25">
      <c r="A682">
        <v>673</v>
      </c>
      <c r="L682">
        <f t="shared" si="30"/>
        <v>0</v>
      </c>
      <c r="M682">
        <f t="shared" si="31"/>
        <v>0</v>
      </c>
    </row>
    <row r="683" spans="1:13" x14ac:dyDescent="0.25">
      <c r="A683">
        <v>674</v>
      </c>
      <c r="L683">
        <f t="shared" si="30"/>
        <v>0</v>
      </c>
      <c r="M683">
        <f t="shared" si="31"/>
        <v>0</v>
      </c>
    </row>
    <row r="684" spans="1:13" x14ac:dyDescent="0.25">
      <c r="A684">
        <v>675</v>
      </c>
      <c r="L684">
        <f t="shared" si="30"/>
        <v>0</v>
      </c>
      <c r="M684">
        <f t="shared" si="31"/>
        <v>0</v>
      </c>
    </row>
    <row r="685" spans="1:13" x14ac:dyDescent="0.25">
      <c r="A685">
        <v>676</v>
      </c>
      <c r="L685">
        <f t="shared" si="30"/>
        <v>0</v>
      </c>
      <c r="M685">
        <f t="shared" si="31"/>
        <v>0</v>
      </c>
    </row>
    <row r="686" spans="1:13" x14ac:dyDescent="0.25">
      <c r="A686">
        <v>677</v>
      </c>
      <c r="L686">
        <f t="shared" ref="L686:L749" si="32">+I686+H686</f>
        <v>0</v>
      </c>
      <c r="M686">
        <f t="shared" si="31"/>
        <v>0</v>
      </c>
    </row>
    <row r="687" spans="1:13" x14ac:dyDescent="0.25">
      <c r="A687">
        <v>678</v>
      </c>
      <c r="L687">
        <f t="shared" si="32"/>
        <v>0</v>
      </c>
      <c r="M687">
        <f t="shared" si="31"/>
        <v>0</v>
      </c>
    </row>
    <row r="688" spans="1:13" x14ac:dyDescent="0.25">
      <c r="A688">
        <v>679</v>
      </c>
      <c r="L688">
        <f t="shared" si="32"/>
        <v>0</v>
      </c>
      <c r="M688">
        <f t="shared" si="31"/>
        <v>0</v>
      </c>
    </row>
    <row r="689" spans="1:13" x14ac:dyDescent="0.25">
      <c r="A689">
        <v>680</v>
      </c>
      <c r="L689">
        <f t="shared" si="32"/>
        <v>0</v>
      </c>
      <c r="M689">
        <f t="shared" si="31"/>
        <v>0</v>
      </c>
    </row>
    <row r="690" spans="1:13" x14ac:dyDescent="0.25">
      <c r="A690">
        <v>681</v>
      </c>
      <c r="L690">
        <f t="shared" si="32"/>
        <v>0</v>
      </c>
      <c r="M690">
        <f t="shared" si="31"/>
        <v>0</v>
      </c>
    </row>
    <row r="691" spans="1:13" x14ac:dyDescent="0.25">
      <c r="A691">
        <v>682</v>
      </c>
      <c r="L691">
        <f t="shared" si="32"/>
        <v>0</v>
      </c>
      <c r="M691">
        <f t="shared" si="31"/>
        <v>0</v>
      </c>
    </row>
    <row r="692" spans="1:13" x14ac:dyDescent="0.25">
      <c r="A692">
        <v>683</v>
      </c>
      <c r="L692">
        <f t="shared" si="32"/>
        <v>0</v>
      </c>
      <c r="M692">
        <f t="shared" si="31"/>
        <v>0</v>
      </c>
    </row>
    <row r="693" spans="1:13" x14ac:dyDescent="0.25">
      <c r="A693">
        <v>684</v>
      </c>
      <c r="L693">
        <f t="shared" si="32"/>
        <v>0</v>
      </c>
      <c r="M693">
        <f t="shared" si="31"/>
        <v>0</v>
      </c>
    </row>
    <row r="694" spans="1:13" x14ac:dyDescent="0.25">
      <c r="A694">
        <v>685</v>
      </c>
      <c r="L694">
        <f t="shared" si="32"/>
        <v>0</v>
      </c>
      <c r="M694">
        <f t="shared" si="31"/>
        <v>0</v>
      </c>
    </row>
    <row r="695" spans="1:13" x14ac:dyDescent="0.25">
      <c r="A695">
        <v>686</v>
      </c>
      <c r="L695">
        <f t="shared" si="32"/>
        <v>0</v>
      </c>
      <c r="M695">
        <f t="shared" si="31"/>
        <v>0</v>
      </c>
    </row>
    <row r="696" spans="1:13" x14ac:dyDescent="0.25">
      <c r="A696">
        <v>687</v>
      </c>
      <c r="L696">
        <f t="shared" si="32"/>
        <v>0</v>
      </c>
      <c r="M696">
        <f t="shared" si="31"/>
        <v>0</v>
      </c>
    </row>
    <row r="697" spans="1:13" x14ac:dyDescent="0.25">
      <c r="A697">
        <v>688</v>
      </c>
      <c r="L697">
        <f t="shared" si="32"/>
        <v>0</v>
      </c>
      <c r="M697">
        <f t="shared" si="31"/>
        <v>0</v>
      </c>
    </row>
    <row r="698" spans="1:13" x14ac:dyDescent="0.25">
      <c r="A698">
        <v>689</v>
      </c>
      <c r="L698">
        <f t="shared" si="32"/>
        <v>0</v>
      </c>
      <c r="M698">
        <f t="shared" si="31"/>
        <v>0</v>
      </c>
    </row>
    <row r="699" spans="1:13" x14ac:dyDescent="0.25">
      <c r="A699">
        <v>690</v>
      </c>
      <c r="L699">
        <f t="shared" si="32"/>
        <v>0</v>
      </c>
      <c r="M699">
        <f t="shared" si="31"/>
        <v>0</v>
      </c>
    </row>
    <row r="700" spans="1:13" x14ac:dyDescent="0.25">
      <c r="A700">
        <v>691</v>
      </c>
      <c r="L700">
        <f t="shared" si="32"/>
        <v>0</v>
      </c>
      <c r="M700">
        <f t="shared" si="31"/>
        <v>0</v>
      </c>
    </row>
    <row r="701" spans="1:13" x14ac:dyDescent="0.25">
      <c r="A701">
        <v>692</v>
      </c>
      <c r="L701">
        <f t="shared" si="32"/>
        <v>0</v>
      </c>
      <c r="M701">
        <f t="shared" si="31"/>
        <v>0</v>
      </c>
    </row>
    <row r="702" spans="1:13" x14ac:dyDescent="0.25">
      <c r="A702">
        <v>693</v>
      </c>
      <c r="L702">
        <f t="shared" si="32"/>
        <v>0</v>
      </c>
      <c r="M702">
        <f t="shared" si="31"/>
        <v>0</v>
      </c>
    </row>
    <row r="703" spans="1:13" x14ac:dyDescent="0.25">
      <c r="A703">
        <v>694</v>
      </c>
      <c r="L703">
        <f t="shared" si="32"/>
        <v>0</v>
      </c>
      <c r="M703">
        <f t="shared" ref="M703:M766" si="33">+I703/IF(H703 = 0,1,H703)</f>
        <v>0</v>
      </c>
    </row>
    <row r="704" spans="1:13" x14ac:dyDescent="0.25">
      <c r="A704">
        <v>695</v>
      </c>
      <c r="L704">
        <f t="shared" si="32"/>
        <v>0</v>
      </c>
      <c r="M704">
        <f t="shared" si="33"/>
        <v>0</v>
      </c>
    </row>
    <row r="705" spans="1:13" x14ac:dyDescent="0.25">
      <c r="A705">
        <v>696</v>
      </c>
      <c r="L705">
        <f t="shared" si="32"/>
        <v>0</v>
      </c>
      <c r="M705">
        <f t="shared" si="33"/>
        <v>0</v>
      </c>
    </row>
    <row r="706" spans="1:13" x14ac:dyDescent="0.25">
      <c r="A706">
        <v>697</v>
      </c>
      <c r="L706">
        <f t="shared" si="32"/>
        <v>0</v>
      </c>
      <c r="M706">
        <f t="shared" si="33"/>
        <v>0</v>
      </c>
    </row>
    <row r="707" spans="1:13" x14ac:dyDescent="0.25">
      <c r="A707">
        <v>698</v>
      </c>
      <c r="L707">
        <f t="shared" si="32"/>
        <v>0</v>
      </c>
      <c r="M707">
        <f t="shared" si="33"/>
        <v>0</v>
      </c>
    </row>
    <row r="708" spans="1:13" x14ac:dyDescent="0.25">
      <c r="A708">
        <v>699</v>
      </c>
      <c r="L708">
        <f t="shared" si="32"/>
        <v>0</v>
      </c>
      <c r="M708">
        <f t="shared" si="33"/>
        <v>0</v>
      </c>
    </row>
    <row r="709" spans="1:13" x14ac:dyDescent="0.25">
      <c r="A709">
        <v>700</v>
      </c>
      <c r="L709">
        <f t="shared" si="32"/>
        <v>0</v>
      </c>
      <c r="M709">
        <f t="shared" si="33"/>
        <v>0</v>
      </c>
    </row>
    <row r="710" spans="1:13" x14ac:dyDescent="0.25">
      <c r="A710">
        <v>701</v>
      </c>
      <c r="L710">
        <f t="shared" si="32"/>
        <v>0</v>
      </c>
      <c r="M710">
        <f t="shared" si="33"/>
        <v>0</v>
      </c>
    </row>
    <row r="711" spans="1:13" x14ac:dyDescent="0.25">
      <c r="A711">
        <v>702</v>
      </c>
      <c r="L711">
        <f t="shared" si="32"/>
        <v>0</v>
      </c>
      <c r="M711">
        <f t="shared" si="33"/>
        <v>0</v>
      </c>
    </row>
    <row r="712" spans="1:13" x14ac:dyDescent="0.25">
      <c r="A712">
        <v>703</v>
      </c>
      <c r="L712">
        <f t="shared" si="32"/>
        <v>0</v>
      </c>
      <c r="M712">
        <f t="shared" si="33"/>
        <v>0</v>
      </c>
    </row>
    <row r="713" spans="1:13" x14ac:dyDescent="0.25">
      <c r="A713">
        <v>704</v>
      </c>
      <c r="L713">
        <f t="shared" si="32"/>
        <v>0</v>
      </c>
      <c r="M713">
        <f t="shared" si="33"/>
        <v>0</v>
      </c>
    </row>
    <row r="714" spans="1:13" x14ac:dyDescent="0.25">
      <c r="A714">
        <v>705</v>
      </c>
      <c r="L714">
        <f t="shared" si="32"/>
        <v>0</v>
      </c>
      <c r="M714">
        <f t="shared" si="33"/>
        <v>0</v>
      </c>
    </row>
    <row r="715" spans="1:13" x14ac:dyDescent="0.25">
      <c r="A715">
        <v>706</v>
      </c>
      <c r="L715">
        <f t="shared" si="32"/>
        <v>0</v>
      </c>
      <c r="M715">
        <f t="shared" si="33"/>
        <v>0</v>
      </c>
    </row>
    <row r="716" spans="1:13" x14ac:dyDescent="0.25">
      <c r="A716">
        <v>707</v>
      </c>
      <c r="L716">
        <f t="shared" si="32"/>
        <v>0</v>
      </c>
      <c r="M716">
        <f t="shared" si="33"/>
        <v>0</v>
      </c>
    </row>
    <row r="717" spans="1:13" x14ac:dyDescent="0.25">
      <c r="A717">
        <v>708</v>
      </c>
      <c r="L717">
        <f t="shared" si="32"/>
        <v>0</v>
      </c>
      <c r="M717">
        <f t="shared" si="33"/>
        <v>0</v>
      </c>
    </row>
    <row r="718" spans="1:13" x14ac:dyDescent="0.25">
      <c r="A718">
        <v>709</v>
      </c>
      <c r="L718">
        <f t="shared" si="32"/>
        <v>0</v>
      </c>
      <c r="M718">
        <f t="shared" si="33"/>
        <v>0</v>
      </c>
    </row>
    <row r="719" spans="1:13" x14ac:dyDescent="0.25">
      <c r="A719">
        <v>710</v>
      </c>
      <c r="L719">
        <f t="shared" si="32"/>
        <v>0</v>
      </c>
      <c r="M719">
        <f t="shared" si="33"/>
        <v>0</v>
      </c>
    </row>
    <row r="720" spans="1:13" x14ac:dyDescent="0.25">
      <c r="A720">
        <v>711</v>
      </c>
      <c r="L720">
        <f t="shared" si="32"/>
        <v>0</v>
      </c>
      <c r="M720">
        <f t="shared" si="33"/>
        <v>0</v>
      </c>
    </row>
    <row r="721" spans="1:13" x14ac:dyDescent="0.25">
      <c r="A721">
        <v>712</v>
      </c>
      <c r="L721">
        <f t="shared" si="32"/>
        <v>0</v>
      </c>
      <c r="M721">
        <f t="shared" si="33"/>
        <v>0</v>
      </c>
    </row>
    <row r="722" spans="1:13" x14ac:dyDescent="0.25">
      <c r="A722">
        <v>713</v>
      </c>
      <c r="L722">
        <f t="shared" si="32"/>
        <v>0</v>
      </c>
      <c r="M722">
        <f t="shared" si="33"/>
        <v>0</v>
      </c>
    </row>
    <row r="723" spans="1:13" x14ac:dyDescent="0.25">
      <c r="A723">
        <v>714</v>
      </c>
      <c r="L723">
        <f t="shared" si="32"/>
        <v>0</v>
      </c>
      <c r="M723">
        <f t="shared" si="33"/>
        <v>0</v>
      </c>
    </row>
    <row r="724" spans="1:13" x14ac:dyDescent="0.25">
      <c r="A724">
        <v>715</v>
      </c>
      <c r="L724">
        <f t="shared" si="32"/>
        <v>0</v>
      </c>
      <c r="M724">
        <f t="shared" si="33"/>
        <v>0</v>
      </c>
    </row>
    <row r="725" spans="1:13" x14ac:dyDescent="0.25">
      <c r="A725">
        <v>716</v>
      </c>
      <c r="L725">
        <f t="shared" si="32"/>
        <v>0</v>
      </c>
      <c r="M725">
        <f t="shared" si="33"/>
        <v>0</v>
      </c>
    </row>
    <row r="726" spans="1:13" x14ac:dyDescent="0.25">
      <c r="A726">
        <v>717</v>
      </c>
      <c r="L726">
        <f t="shared" si="32"/>
        <v>0</v>
      </c>
      <c r="M726">
        <f t="shared" si="33"/>
        <v>0</v>
      </c>
    </row>
    <row r="727" spans="1:13" x14ac:dyDescent="0.25">
      <c r="A727">
        <v>718</v>
      </c>
      <c r="L727">
        <f t="shared" si="32"/>
        <v>0</v>
      </c>
      <c r="M727">
        <f t="shared" si="33"/>
        <v>0</v>
      </c>
    </row>
    <row r="728" spans="1:13" x14ac:dyDescent="0.25">
      <c r="A728">
        <v>719</v>
      </c>
      <c r="L728">
        <f t="shared" si="32"/>
        <v>0</v>
      </c>
      <c r="M728">
        <f t="shared" si="33"/>
        <v>0</v>
      </c>
    </row>
    <row r="729" spans="1:13" x14ac:dyDescent="0.25">
      <c r="A729">
        <v>720</v>
      </c>
      <c r="L729">
        <f t="shared" si="32"/>
        <v>0</v>
      </c>
      <c r="M729">
        <f t="shared" si="33"/>
        <v>0</v>
      </c>
    </row>
    <row r="730" spans="1:13" x14ac:dyDescent="0.25">
      <c r="A730">
        <v>721</v>
      </c>
      <c r="L730">
        <f t="shared" si="32"/>
        <v>0</v>
      </c>
      <c r="M730">
        <f t="shared" si="33"/>
        <v>0</v>
      </c>
    </row>
    <row r="731" spans="1:13" x14ac:dyDescent="0.25">
      <c r="A731">
        <v>722</v>
      </c>
      <c r="L731">
        <f t="shared" si="32"/>
        <v>0</v>
      </c>
      <c r="M731">
        <f t="shared" si="33"/>
        <v>0</v>
      </c>
    </row>
    <row r="732" spans="1:13" x14ac:dyDescent="0.25">
      <c r="A732">
        <v>723</v>
      </c>
      <c r="L732">
        <f t="shared" si="32"/>
        <v>0</v>
      </c>
      <c r="M732">
        <f t="shared" si="33"/>
        <v>0</v>
      </c>
    </row>
    <row r="733" spans="1:13" x14ac:dyDescent="0.25">
      <c r="A733">
        <v>724</v>
      </c>
      <c r="L733">
        <f t="shared" si="32"/>
        <v>0</v>
      </c>
      <c r="M733">
        <f t="shared" si="33"/>
        <v>0</v>
      </c>
    </row>
    <row r="734" spans="1:13" x14ac:dyDescent="0.25">
      <c r="A734">
        <v>725</v>
      </c>
      <c r="L734">
        <f t="shared" si="32"/>
        <v>0</v>
      </c>
      <c r="M734">
        <f t="shared" si="33"/>
        <v>0</v>
      </c>
    </row>
    <row r="735" spans="1:13" x14ac:dyDescent="0.25">
      <c r="A735">
        <v>726</v>
      </c>
      <c r="L735">
        <f t="shared" si="32"/>
        <v>0</v>
      </c>
      <c r="M735">
        <f t="shared" si="33"/>
        <v>0</v>
      </c>
    </row>
    <row r="736" spans="1:13" x14ac:dyDescent="0.25">
      <c r="A736">
        <v>727</v>
      </c>
      <c r="L736">
        <f t="shared" si="32"/>
        <v>0</v>
      </c>
      <c r="M736">
        <f t="shared" si="33"/>
        <v>0</v>
      </c>
    </row>
    <row r="737" spans="1:13" x14ac:dyDescent="0.25">
      <c r="A737">
        <v>728</v>
      </c>
      <c r="L737">
        <f t="shared" si="32"/>
        <v>0</v>
      </c>
      <c r="M737">
        <f t="shared" si="33"/>
        <v>0</v>
      </c>
    </row>
    <row r="738" spans="1:13" x14ac:dyDescent="0.25">
      <c r="A738">
        <v>729</v>
      </c>
      <c r="L738">
        <f t="shared" si="32"/>
        <v>0</v>
      </c>
      <c r="M738">
        <f t="shared" si="33"/>
        <v>0</v>
      </c>
    </row>
    <row r="739" spans="1:13" x14ac:dyDescent="0.25">
      <c r="A739">
        <v>730</v>
      </c>
      <c r="L739">
        <f t="shared" si="32"/>
        <v>0</v>
      </c>
      <c r="M739">
        <f t="shared" si="33"/>
        <v>0</v>
      </c>
    </row>
    <row r="740" spans="1:13" x14ac:dyDescent="0.25">
      <c r="A740">
        <v>731</v>
      </c>
      <c r="L740">
        <f t="shared" si="32"/>
        <v>0</v>
      </c>
      <c r="M740">
        <f t="shared" si="33"/>
        <v>0</v>
      </c>
    </row>
    <row r="741" spans="1:13" x14ac:dyDescent="0.25">
      <c r="A741">
        <v>732</v>
      </c>
      <c r="L741">
        <f t="shared" si="32"/>
        <v>0</v>
      </c>
      <c r="M741">
        <f t="shared" si="33"/>
        <v>0</v>
      </c>
    </row>
    <row r="742" spans="1:13" x14ac:dyDescent="0.25">
      <c r="A742">
        <v>733</v>
      </c>
      <c r="L742">
        <f t="shared" si="32"/>
        <v>0</v>
      </c>
      <c r="M742">
        <f t="shared" si="33"/>
        <v>0</v>
      </c>
    </row>
    <row r="743" spans="1:13" x14ac:dyDescent="0.25">
      <c r="A743">
        <v>734</v>
      </c>
      <c r="L743">
        <f t="shared" si="32"/>
        <v>0</v>
      </c>
      <c r="M743">
        <f t="shared" si="33"/>
        <v>0</v>
      </c>
    </row>
    <row r="744" spans="1:13" x14ac:dyDescent="0.25">
      <c r="A744">
        <v>735</v>
      </c>
      <c r="L744">
        <f t="shared" si="32"/>
        <v>0</v>
      </c>
      <c r="M744">
        <f t="shared" si="33"/>
        <v>0</v>
      </c>
    </row>
    <row r="745" spans="1:13" x14ac:dyDescent="0.25">
      <c r="A745">
        <v>736</v>
      </c>
      <c r="L745">
        <f t="shared" si="32"/>
        <v>0</v>
      </c>
      <c r="M745">
        <f t="shared" si="33"/>
        <v>0</v>
      </c>
    </row>
    <row r="746" spans="1:13" x14ac:dyDescent="0.25">
      <c r="A746">
        <v>737</v>
      </c>
      <c r="L746">
        <f t="shared" si="32"/>
        <v>0</v>
      </c>
      <c r="M746">
        <f t="shared" si="33"/>
        <v>0</v>
      </c>
    </row>
    <row r="747" spans="1:13" x14ac:dyDescent="0.25">
      <c r="A747">
        <v>738</v>
      </c>
      <c r="L747">
        <f t="shared" si="32"/>
        <v>0</v>
      </c>
      <c r="M747">
        <f t="shared" si="33"/>
        <v>0</v>
      </c>
    </row>
    <row r="748" spans="1:13" x14ac:dyDescent="0.25">
      <c r="A748">
        <v>739</v>
      </c>
      <c r="L748">
        <f t="shared" si="32"/>
        <v>0</v>
      </c>
      <c r="M748">
        <f t="shared" si="33"/>
        <v>0</v>
      </c>
    </row>
    <row r="749" spans="1:13" x14ac:dyDescent="0.25">
      <c r="A749">
        <v>740</v>
      </c>
      <c r="L749">
        <f t="shared" si="32"/>
        <v>0</v>
      </c>
      <c r="M749">
        <f t="shared" si="33"/>
        <v>0</v>
      </c>
    </row>
    <row r="750" spans="1:13" x14ac:dyDescent="0.25">
      <c r="A750">
        <v>741</v>
      </c>
      <c r="L750">
        <f t="shared" ref="L750:L813" si="34">+I750+H750</f>
        <v>0</v>
      </c>
      <c r="M750">
        <f t="shared" si="33"/>
        <v>0</v>
      </c>
    </row>
    <row r="751" spans="1:13" x14ac:dyDescent="0.25">
      <c r="A751">
        <v>742</v>
      </c>
      <c r="L751">
        <f t="shared" si="34"/>
        <v>0</v>
      </c>
      <c r="M751">
        <f t="shared" si="33"/>
        <v>0</v>
      </c>
    </row>
    <row r="752" spans="1:13" x14ac:dyDescent="0.25">
      <c r="A752">
        <v>743</v>
      </c>
      <c r="L752">
        <f t="shared" si="34"/>
        <v>0</v>
      </c>
      <c r="M752">
        <f t="shared" si="33"/>
        <v>0</v>
      </c>
    </row>
    <row r="753" spans="1:13" x14ac:dyDescent="0.25">
      <c r="A753">
        <v>744</v>
      </c>
      <c r="L753">
        <f t="shared" si="34"/>
        <v>0</v>
      </c>
      <c r="M753">
        <f t="shared" si="33"/>
        <v>0</v>
      </c>
    </row>
    <row r="754" spans="1:13" x14ac:dyDescent="0.25">
      <c r="A754">
        <v>745</v>
      </c>
      <c r="L754">
        <f t="shared" si="34"/>
        <v>0</v>
      </c>
      <c r="M754">
        <f t="shared" si="33"/>
        <v>0</v>
      </c>
    </row>
    <row r="755" spans="1:13" x14ac:dyDescent="0.25">
      <c r="A755">
        <v>746</v>
      </c>
      <c r="L755">
        <f t="shared" si="34"/>
        <v>0</v>
      </c>
      <c r="M755">
        <f t="shared" si="33"/>
        <v>0</v>
      </c>
    </row>
    <row r="756" spans="1:13" x14ac:dyDescent="0.25">
      <c r="A756">
        <v>747</v>
      </c>
      <c r="L756">
        <f t="shared" si="34"/>
        <v>0</v>
      </c>
      <c r="M756">
        <f t="shared" si="33"/>
        <v>0</v>
      </c>
    </row>
    <row r="757" spans="1:13" x14ac:dyDescent="0.25">
      <c r="A757">
        <v>748</v>
      </c>
      <c r="L757">
        <f t="shared" si="34"/>
        <v>0</v>
      </c>
      <c r="M757">
        <f t="shared" si="33"/>
        <v>0</v>
      </c>
    </row>
    <row r="758" spans="1:13" x14ac:dyDescent="0.25">
      <c r="A758">
        <v>749</v>
      </c>
      <c r="L758">
        <f t="shared" si="34"/>
        <v>0</v>
      </c>
      <c r="M758">
        <f t="shared" si="33"/>
        <v>0</v>
      </c>
    </row>
    <row r="759" spans="1:13" x14ac:dyDescent="0.25">
      <c r="A759">
        <v>750</v>
      </c>
      <c r="L759">
        <f t="shared" si="34"/>
        <v>0</v>
      </c>
      <c r="M759">
        <f t="shared" si="33"/>
        <v>0</v>
      </c>
    </row>
    <row r="760" spans="1:13" x14ac:dyDescent="0.25">
      <c r="A760">
        <v>751</v>
      </c>
      <c r="L760">
        <f t="shared" si="34"/>
        <v>0</v>
      </c>
      <c r="M760">
        <f t="shared" si="33"/>
        <v>0</v>
      </c>
    </row>
    <row r="761" spans="1:13" x14ac:dyDescent="0.25">
      <c r="A761">
        <v>752</v>
      </c>
      <c r="L761">
        <f t="shared" si="34"/>
        <v>0</v>
      </c>
      <c r="M761">
        <f t="shared" si="33"/>
        <v>0</v>
      </c>
    </row>
    <row r="762" spans="1:13" x14ac:dyDescent="0.25">
      <c r="A762">
        <v>753</v>
      </c>
      <c r="L762">
        <f t="shared" si="34"/>
        <v>0</v>
      </c>
      <c r="M762">
        <f t="shared" si="33"/>
        <v>0</v>
      </c>
    </row>
    <row r="763" spans="1:13" x14ac:dyDescent="0.25">
      <c r="A763">
        <v>754</v>
      </c>
      <c r="L763">
        <f t="shared" si="34"/>
        <v>0</v>
      </c>
      <c r="M763">
        <f t="shared" si="33"/>
        <v>0</v>
      </c>
    </row>
    <row r="764" spans="1:13" x14ac:dyDescent="0.25">
      <c r="A764">
        <v>755</v>
      </c>
      <c r="L764">
        <f t="shared" si="34"/>
        <v>0</v>
      </c>
      <c r="M764">
        <f t="shared" si="33"/>
        <v>0</v>
      </c>
    </row>
    <row r="765" spans="1:13" x14ac:dyDescent="0.25">
      <c r="A765">
        <v>756</v>
      </c>
      <c r="L765">
        <f t="shared" si="34"/>
        <v>0</v>
      </c>
      <c r="M765">
        <f t="shared" si="33"/>
        <v>0</v>
      </c>
    </row>
    <row r="766" spans="1:13" x14ac:dyDescent="0.25">
      <c r="A766">
        <v>757</v>
      </c>
      <c r="L766">
        <f t="shared" si="34"/>
        <v>0</v>
      </c>
      <c r="M766">
        <f t="shared" si="33"/>
        <v>0</v>
      </c>
    </row>
    <row r="767" spans="1:13" x14ac:dyDescent="0.25">
      <c r="A767">
        <v>758</v>
      </c>
      <c r="L767">
        <f t="shared" si="34"/>
        <v>0</v>
      </c>
      <c r="M767">
        <f t="shared" ref="M767:M830" si="35">+I767/IF(H767 = 0,1,H767)</f>
        <v>0</v>
      </c>
    </row>
    <row r="768" spans="1:13" x14ac:dyDescent="0.25">
      <c r="A768">
        <v>759</v>
      </c>
      <c r="L768">
        <f t="shared" si="34"/>
        <v>0</v>
      </c>
      <c r="M768">
        <f t="shared" si="35"/>
        <v>0</v>
      </c>
    </row>
    <row r="769" spans="1:13" x14ac:dyDescent="0.25">
      <c r="A769">
        <v>760</v>
      </c>
      <c r="L769">
        <f t="shared" si="34"/>
        <v>0</v>
      </c>
      <c r="M769">
        <f t="shared" si="35"/>
        <v>0</v>
      </c>
    </row>
    <row r="770" spans="1:13" x14ac:dyDescent="0.25">
      <c r="A770">
        <v>761</v>
      </c>
      <c r="L770">
        <f t="shared" si="34"/>
        <v>0</v>
      </c>
      <c r="M770">
        <f t="shared" si="35"/>
        <v>0</v>
      </c>
    </row>
    <row r="771" spans="1:13" x14ac:dyDescent="0.25">
      <c r="A771">
        <v>762</v>
      </c>
      <c r="L771">
        <f t="shared" si="34"/>
        <v>0</v>
      </c>
      <c r="M771">
        <f t="shared" si="35"/>
        <v>0</v>
      </c>
    </row>
    <row r="772" spans="1:13" x14ac:dyDescent="0.25">
      <c r="A772">
        <v>763</v>
      </c>
      <c r="L772">
        <f t="shared" si="34"/>
        <v>0</v>
      </c>
      <c r="M772">
        <f t="shared" si="35"/>
        <v>0</v>
      </c>
    </row>
    <row r="773" spans="1:13" x14ac:dyDescent="0.25">
      <c r="A773">
        <v>764</v>
      </c>
      <c r="L773">
        <f t="shared" si="34"/>
        <v>0</v>
      </c>
      <c r="M773">
        <f t="shared" si="35"/>
        <v>0</v>
      </c>
    </row>
    <row r="774" spans="1:13" x14ac:dyDescent="0.25">
      <c r="A774">
        <v>765</v>
      </c>
      <c r="L774">
        <f t="shared" si="34"/>
        <v>0</v>
      </c>
      <c r="M774">
        <f t="shared" si="35"/>
        <v>0</v>
      </c>
    </row>
    <row r="775" spans="1:13" x14ac:dyDescent="0.25">
      <c r="A775">
        <v>766</v>
      </c>
      <c r="L775">
        <f t="shared" si="34"/>
        <v>0</v>
      </c>
      <c r="M775">
        <f t="shared" si="35"/>
        <v>0</v>
      </c>
    </row>
    <row r="776" spans="1:13" x14ac:dyDescent="0.25">
      <c r="A776">
        <v>767</v>
      </c>
      <c r="L776">
        <f t="shared" si="34"/>
        <v>0</v>
      </c>
      <c r="M776">
        <f t="shared" si="35"/>
        <v>0</v>
      </c>
    </row>
    <row r="777" spans="1:13" x14ac:dyDescent="0.25">
      <c r="A777">
        <v>768</v>
      </c>
      <c r="L777">
        <f t="shared" si="34"/>
        <v>0</v>
      </c>
      <c r="M777">
        <f t="shared" si="35"/>
        <v>0</v>
      </c>
    </row>
    <row r="778" spans="1:13" x14ac:dyDescent="0.25">
      <c r="A778">
        <v>769</v>
      </c>
      <c r="L778">
        <f t="shared" si="34"/>
        <v>0</v>
      </c>
      <c r="M778">
        <f t="shared" si="35"/>
        <v>0</v>
      </c>
    </row>
    <row r="779" spans="1:13" x14ac:dyDescent="0.25">
      <c r="A779">
        <v>770</v>
      </c>
      <c r="L779">
        <f t="shared" si="34"/>
        <v>0</v>
      </c>
      <c r="M779">
        <f t="shared" si="35"/>
        <v>0</v>
      </c>
    </row>
    <row r="780" spans="1:13" x14ac:dyDescent="0.25">
      <c r="A780">
        <v>771</v>
      </c>
      <c r="L780">
        <f t="shared" si="34"/>
        <v>0</v>
      </c>
      <c r="M780">
        <f t="shared" si="35"/>
        <v>0</v>
      </c>
    </row>
    <row r="781" spans="1:13" x14ac:dyDescent="0.25">
      <c r="A781">
        <v>772</v>
      </c>
      <c r="L781">
        <f t="shared" si="34"/>
        <v>0</v>
      </c>
      <c r="M781">
        <f t="shared" si="35"/>
        <v>0</v>
      </c>
    </row>
    <row r="782" spans="1:13" x14ac:dyDescent="0.25">
      <c r="A782">
        <v>773</v>
      </c>
      <c r="L782">
        <f t="shared" si="34"/>
        <v>0</v>
      </c>
      <c r="M782">
        <f t="shared" si="35"/>
        <v>0</v>
      </c>
    </row>
    <row r="783" spans="1:13" x14ac:dyDescent="0.25">
      <c r="A783">
        <v>774</v>
      </c>
      <c r="L783">
        <f t="shared" si="34"/>
        <v>0</v>
      </c>
      <c r="M783">
        <f t="shared" si="35"/>
        <v>0</v>
      </c>
    </row>
    <row r="784" spans="1:13" x14ac:dyDescent="0.25">
      <c r="A784">
        <v>775</v>
      </c>
      <c r="L784">
        <f t="shared" si="34"/>
        <v>0</v>
      </c>
      <c r="M784">
        <f t="shared" si="35"/>
        <v>0</v>
      </c>
    </row>
    <row r="785" spans="1:13" x14ac:dyDescent="0.25">
      <c r="A785">
        <v>776</v>
      </c>
      <c r="L785">
        <f t="shared" si="34"/>
        <v>0</v>
      </c>
      <c r="M785">
        <f t="shared" si="35"/>
        <v>0</v>
      </c>
    </row>
    <row r="786" spans="1:13" x14ac:dyDescent="0.25">
      <c r="A786">
        <v>777</v>
      </c>
      <c r="L786">
        <f t="shared" si="34"/>
        <v>0</v>
      </c>
      <c r="M786">
        <f t="shared" si="35"/>
        <v>0</v>
      </c>
    </row>
    <row r="787" spans="1:13" x14ac:dyDescent="0.25">
      <c r="A787">
        <v>778</v>
      </c>
      <c r="L787">
        <f t="shared" si="34"/>
        <v>0</v>
      </c>
      <c r="M787">
        <f t="shared" si="35"/>
        <v>0</v>
      </c>
    </row>
    <row r="788" spans="1:13" x14ac:dyDescent="0.25">
      <c r="A788">
        <v>779</v>
      </c>
      <c r="L788">
        <f t="shared" si="34"/>
        <v>0</v>
      </c>
      <c r="M788">
        <f t="shared" si="35"/>
        <v>0</v>
      </c>
    </row>
    <row r="789" spans="1:13" x14ac:dyDescent="0.25">
      <c r="A789">
        <v>780</v>
      </c>
      <c r="L789">
        <f t="shared" si="34"/>
        <v>0</v>
      </c>
      <c r="M789">
        <f t="shared" si="35"/>
        <v>0</v>
      </c>
    </row>
    <row r="790" spans="1:13" x14ac:dyDescent="0.25">
      <c r="A790">
        <v>781</v>
      </c>
      <c r="L790">
        <f t="shared" si="34"/>
        <v>0</v>
      </c>
      <c r="M790">
        <f t="shared" si="35"/>
        <v>0</v>
      </c>
    </row>
    <row r="791" spans="1:13" x14ac:dyDescent="0.25">
      <c r="A791">
        <v>782</v>
      </c>
      <c r="L791">
        <f t="shared" si="34"/>
        <v>0</v>
      </c>
      <c r="M791">
        <f t="shared" si="35"/>
        <v>0</v>
      </c>
    </row>
    <row r="792" spans="1:13" x14ac:dyDescent="0.25">
      <c r="A792">
        <v>783</v>
      </c>
      <c r="L792">
        <f t="shared" si="34"/>
        <v>0</v>
      </c>
      <c r="M792">
        <f t="shared" si="35"/>
        <v>0</v>
      </c>
    </row>
    <row r="793" spans="1:13" x14ac:dyDescent="0.25">
      <c r="A793">
        <v>784</v>
      </c>
      <c r="L793">
        <f t="shared" si="34"/>
        <v>0</v>
      </c>
      <c r="M793">
        <f t="shared" si="35"/>
        <v>0</v>
      </c>
    </row>
    <row r="794" spans="1:13" x14ac:dyDescent="0.25">
      <c r="A794">
        <v>785</v>
      </c>
      <c r="L794">
        <f t="shared" si="34"/>
        <v>0</v>
      </c>
      <c r="M794">
        <f t="shared" si="35"/>
        <v>0</v>
      </c>
    </row>
    <row r="795" spans="1:13" x14ac:dyDescent="0.25">
      <c r="A795">
        <v>786</v>
      </c>
      <c r="L795">
        <f t="shared" si="34"/>
        <v>0</v>
      </c>
      <c r="M795">
        <f t="shared" si="35"/>
        <v>0</v>
      </c>
    </row>
    <row r="796" spans="1:13" x14ac:dyDescent="0.25">
      <c r="A796">
        <v>787</v>
      </c>
      <c r="L796">
        <f t="shared" si="34"/>
        <v>0</v>
      </c>
      <c r="M796">
        <f t="shared" si="35"/>
        <v>0</v>
      </c>
    </row>
    <row r="797" spans="1:13" x14ac:dyDescent="0.25">
      <c r="A797">
        <v>788</v>
      </c>
      <c r="L797">
        <f t="shared" si="34"/>
        <v>0</v>
      </c>
      <c r="M797">
        <f t="shared" si="35"/>
        <v>0</v>
      </c>
    </row>
    <row r="798" spans="1:13" x14ac:dyDescent="0.25">
      <c r="A798">
        <v>789</v>
      </c>
      <c r="L798">
        <f t="shared" si="34"/>
        <v>0</v>
      </c>
      <c r="M798">
        <f t="shared" si="35"/>
        <v>0</v>
      </c>
    </row>
    <row r="799" spans="1:13" x14ac:dyDescent="0.25">
      <c r="A799">
        <v>790</v>
      </c>
      <c r="L799">
        <f t="shared" si="34"/>
        <v>0</v>
      </c>
      <c r="M799">
        <f t="shared" si="35"/>
        <v>0</v>
      </c>
    </row>
    <row r="800" spans="1:13" x14ac:dyDescent="0.25">
      <c r="A800">
        <v>791</v>
      </c>
      <c r="L800">
        <f t="shared" si="34"/>
        <v>0</v>
      </c>
      <c r="M800">
        <f t="shared" si="35"/>
        <v>0</v>
      </c>
    </row>
    <row r="801" spans="1:13" x14ac:dyDescent="0.25">
      <c r="A801">
        <v>792</v>
      </c>
      <c r="L801">
        <f t="shared" si="34"/>
        <v>0</v>
      </c>
      <c r="M801">
        <f t="shared" si="35"/>
        <v>0</v>
      </c>
    </row>
    <row r="802" spans="1:13" x14ac:dyDescent="0.25">
      <c r="A802">
        <v>793</v>
      </c>
      <c r="L802">
        <f t="shared" si="34"/>
        <v>0</v>
      </c>
      <c r="M802">
        <f t="shared" si="35"/>
        <v>0</v>
      </c>
    </row>
    <row r="803" spans="1:13" x14ac:dyDescent="0.25">
      <c r="A803">
        <v>794</v>
      </c>
      <c r="L803">
        <f t="shared" si="34"/>
        <v>0</v>
      </c>
      <c r="M803">
        <f t="shared" si="35"/>
        <v>0</v>
      </c>
    </row>
    <row r="804" spans="1:13" x14ac:dyDescent="0.25">
      <c r="A804">
        <v>795</v>
      </c>
      <c r="L804">
        <f t="shared" si="34"/>
        <v>0</v>
      </c>
      <c r="M804">
        <f t="shared" si="35"/>
        <v>0</v>
      </c>
    </row>
    <row r="805" spans="1:13" x14ac:dyDescent="0.25">
      <c r="A805">
        <v>796</v>
      </c>
      <c r="L805">
        <f t="shared" si="34"/>
        <v>0</v>
      </c>
      <c r="M805">
        <f t="shared" si="35"/>
        <v>0</v>
      </c>
    </row>
    <row r="806" spans="1:13" x14ac:dyDescent="0.25">
      <c r="A806">
        <v>797</v>
      </c>
      <c r="L806">
        <f t="shared" si="34"/>
        <v>0</v>
      </c>
      <c r="M806">
        <f t="shared" si="35"/>
        <v>0</v>
      </c>
    </row>
    <row r="807" spans="1:13" x14ac:dyDescent="0.25">
      <c r="A807">
        <v>798</v>
      </c>
      <c r="L807">
        <f t="shared" si="34"/>
        <v>0</v>
      </c>
      <c r="M807">
        <f t="shared" si="35"/>
        <v>0</v>
      </c>
    </row>
    <row r="808" spans="1:13" x14ac:dyDescent="0.25">
      <c r="A808">
        <v>799</v>
      </c>
      <c r="L808">
        <f t="shared" si="34"/>
        <v>0</v>
      </c>
      <c r="M808">
        <f t="shared" si="35"/>
        <v>0</v>
      </c>
    </row>
    <row r="809" spans="1:13" x14ac:dyDescent="0.25">
      <c r="A809">
        <v>800</v>
      </c>
      <c r="L809">
        <f t="shared" si="34"/>
        <v>0</v>
      </c>
      <c r="M809">
        <f t="shared" si="35"/>
        <v>0</v>
      </c>
    </row>
    <row r="810" spans="1:13" x14ac:dyDescent="0.25">
      <c r="A810">
        <v>801</v>
      </c>
      <c r="L810">
        <f t="shared" si="34"/>
        <v>0</v>
      </c>
      <c r="M810">
        <f t="shared" si="35"/>
        <v>0</v>
      </c>
    </row>
    <row r="811" spans="1:13" x14ac:dyDescent="0.25">
      <c r="A811">
        <v>802</v>
      </c>
      <c r="L811">
        <f t="shared" si="34"/>
        <v>0</v>
      </c>
      <c r="M811">
        <f t="shared" si="35"/>
        <v>0</v>
      </c>
    </row>
    <row r="812" spans="1:13" x14ac:dyDescent="0.25">
      <c r="A812">
        <v>803</v>
      </c>
      <c r="L812">
        <f t="shared" si="34"/>
        <v>0</v>
      </c>
      <c r="M812">
        <f t="shared" si="35"/>
        <v>0</v>
      </c>
    </row>
    <row r="813" spans="1:13" x14ac:dyDescent="0.25">
      <c r="A813">
        <v>804</v>
      </c>
      <c r="L813">
        <f t="shared" si="34"/>
        <v>0</v>
      </c>
      <c r="M813">
        <f t="shared" si="35"/>
        <v>0</v>
      </c>
    </row>
    <row r="814" spans="1:13" x14ac:dyDescent="0.25">
      <c r="A814">
        <v>805</v>
      </c>
      <c r="L814">
        <f t="shared" ref="L814:L877" si="36">+I814+H814</f>
        <v>0</v>
      </c>
      <c r="M814">
        <f t="shared" si="35"/>
        <v>0</v>
      </c>
    </row>
    <row r="815" spans="1:13" x14ac:dyDescent="0.25">
      <c r="A815">
        <v>806</v>
      </c>
      <c r="L815">
        <f t="shared" si="36"/>
        <v>0</v>
      </c>
      <c r="M815">
        <f t="shared" si="35"/>
        <v>0</v>
      </c>
    </row>
    <row r="816" spans="1:13" x14ac:dyDescent="0.25">
      <c r="A816">
        <v>807</v>
      </c>
      <c r="L816">
        <f t="shared" si="36"/>
        <v>0</v>
      </c>
      <c r="M816">
        <f t="shared" si="35"/>
        <v>0</v>
      </c>
    </row>
    <row r="817" spans="1:13" x14ac:dyDescent="0.25">
      <c r="A817">
        <v>808</v>
      </c>
      <c r="L817">
        <f t="shared" si="36"/>
        <v>0</v>
      </c>
      <c r="M817">
        <f t="shared" si="35"/>
        <v>0</v>
      </c>
    </row>
    <row r="818" spans="1:13" x14ac:dyDescent="0.25">
      <c r="A818">
        <v>809</v>
      </c>
      <c r="L818">
        <f t="shared" si="36"/>
        <v>0</v>
      </c>
      <c r="M818">
        <f t="shared" si="35"/>
        <v>0</v>
      </c>
    </row>
    <row r="819" spans="1:13" x14ac:dyDescent="0.25">
      <c r="A819">
        <v>810</v>
      </c>
      <c r="L819">
        <f t="shared" si="36"/>
        <v>0</v>
      </c>
      <c r="M819">
        <f t="shared" si="35"/>
        <v>0</v>
      </c>
    </row>
    <row r="820" spans="1:13" x14ac:dyDescent="0.25">
      <c r="A820">
        <v>811</v>
      </c>
      <c r="L820">
        <f t="shared" si="36"/>
        <v>0</v>
      </c>
      <c r="M820">
        <f t="shared" si="35"/>
        <v>0</v>
      </c>
    </row>
    <row r="821" spans="1:13" x14ac:dyDescent="0.25">
      <c r="A821">
        <v>812</v>
      </c>
      <c r="L821">
        <f t="shared" si="36"/>
        <v>0</v>
      </c>
      <c r="M821">
        <f t="shared" si="35"/>
        <v>0</v>
      </c>
    </row>
    <row r="822" spans="1:13" x14ac:dyDescent="0.25">
      <c r="A822">
        <v>813</v>
      </c>
      <c r="L822">
        <f t="shared" si="36"/>
        <v>0</v>
      </c>
      <c r="M822">
        <f t="shared" si="35"/>
        <v>0</v>
      </c>
    </row>
    <row r="823" spans="1:13" x14ac:dyDescent="0.25">
      <c r="A823">
        <v>814</v>
      </c>
      <c r="L823">
        <f t="shared" si="36"/>
        <v>0</v>
      </c>
      <c r="M823">
        <f t="shared" si="35"/>
        <v>0</v>
      </c>
    </row>
    <row r="824" spans="1:13" x14ac:dyDescent="0.25">
      <c r="A824">
        <v>815</v>
      </c>
      <c r="L824">
        <f t="shared" si="36"/>
        <v>0</v>
      </c>
      <c r="M824">
        <f t="shared" si="35"/>
        <v>0</v>
      </c>
    </row>
    <row r="825" spans="1:13" x14ac:dyDescent="0.25">
      <c r="A825">
        <v>816</v>
      </c>
      <c r="L825">
        <f t="shared" si="36"/>
        <v>0</v>
      </c>
      <c r="M825">
        <f t="shared" si="35"/>
        <v>0</v>
      </c>
    </row>
    <row r="826" spans="1:13" x14ac:dyDescent="0.25">
      <c r="A826">
        <v>817</v>
      </c>
      <c r="L826">
        <f t="shared" si="36"/>
        <v>0</v>
      </c>
      <c r="M826">
        <f t="shared" si="35"/>
        <v>0</v>
      </c>
    </row>
    <row r="827" spans="1:13" x14ac:dyDescent="0.25">
      <c r="A827">
        <v>818</v>
      </c>
      <c r="L827">
        <f t="shared" si="36"/>
        <v>0</v>
      </c>
      <c r="M827">
        <f t="shared" si="35"/>
        <v>0</v>
      </c>
    </row>
    <row r="828" spans="1:13" x14ac:dyDescent="0.25">
      <c r="A828">
        <v>819</v>
      </c>
      <c r="L828">
        <f t="shared" si="36"/>
        <v>0</v>
      </c>
      <c r="M828">
        <f t="shared" si="35"/>
        <v>0</v>
      </c>
    </row>
    <row r="829" spans="1:13" x14ac:dyDescent="0.25">
      <c r="A829">
        <v>820</v>
      </c>
      <c r="L829">
        <f t="shared" si="36"/>
        <v>0</v>
      </c>
      <c r="M829">
        <f t="shared" si="35"/>
        <v>0</v>
      </c>
    </row>
    <row r="830" spans="1:13" x14ac:dyDescent="0.25">
      <c r="A830">
        <v>821</v>
      </c>
      <c r="L830">
        <f t="shared" si="36"/>
        <v>0</v>
      </c>
      <c r="M830">
        <f t="shared" si="35"/>
        <v>0</v>
      </c>
    </row>
    <row r="831" spans="1:13" x14ac:dyDescent="0.25">
      <c r="A831">
        <v>822</v>
      </c>
      <c r="L831">
        <f t="shared" si="36"/>
        <v>0</v>
      </c>
      <c r="M831">
        <f t="shared" ref="M831:M894" si="37">+I831/IF(H831 = 0,1,H831)</f>
        <v>0</v>
      </c>
    </row>
    <row r="832" spans="1:13" x14ac:dyDescent="0.25">
      <c r="A832">
        <v>823</v>
      </c>
      <c r="L832">
        <f t="shared" si="36"/>
        <v>0</v>
      </c>
      <c r="M832">
        <f t="shared" si="37"/>
        <v>0</v>
      </c>
    </row>
    <row r="833" spans="1:13" x14ac:dyDescent="0.25">
      <c r="A833">
        <v>824</v>
      </c>
      <c r="L833">
        <f t="shared" si="36"/>
        <v>0</v>
      </c>
      <c r="M833">
        <f t="shared" si="37"/>
        <v>0</v>
      </c>
    </row>
    <row r="834" spans="1:13" x14ac:dyDescent="0.25">
      <c r="A834">
        <v>825</v>
      </c>
      <c r="L834">
        <f t="shared" si="36"/>
        <v>0</v>
      </c>
      <c r="M834">
        <f t="shared" si="37"/>
        <v>0</v>
      </c>
    </row>
    <row r="835" spans="1:13" x14ac:dyDescent="0.25">
      <c r="A835">
        <v>826</v>
      </c>
      <c r="L835">
        <f t="shared" si="36"/>
        <v>0</v>
      </c>
      <c r="M835">
        <f t="shared" si="37"/>
        <v>0</v>
      </c>
    </row>
    <row r="836" spans="1:13" x14ac:dyDescent="0.25">
      <c r="A836">
        <v>827</v>
      </c>
      <c r="L836">
        <f t="shared" si="36"/>
        <v>0</v>
      </c>
      <c r="M836">
        <f t="shared" si="37"/>
        <v>0</v>
      </c>
    </row>
    <row r="837" spans="1:13" x14ac:dyDescent="0.25">
      <c r="A837">
        <v>828</v>
      </c>
      <c r="L837">
        <f t="shared" si="36"/>
        <v>0</v>
      </c>
      <c r="M837">
        <f t="shared" si="37"/>
        <v>0</v>
      </c>
    </row>
    <row r="838" spans="1:13" x14ac:dyDescent="0.25">
      <c r="A838">
        <v>829</v>
      </c>
      <c r="L838">
        <f t="shared" si="36"/>
        <v>0</v>
      </c>
      <c r="M838">
        <f t="shared" si="37"/>
        <v>0</v>
      </c>
    </row>
    <row r="839" spans="1:13" x14ac:dyDescent="0.25">
      <c r="A839">
        <v>830</v>
      </c>
      <c r="L839">
        <f t="shared" si="36"/>
        <v>0</v>
      </c>
      <c r="M839">
        <f t="shared" si="37"/>
        <v>0</v>
      </c>
    </row>
    <row r="840" spans="1:13" x14ac:dyDescent="0.25">
      <c r="A840">
        <v>831</v>
      </c>
      <c r="L840">
        <f t="shared" si="36"/>
        <v>0</v>
      </c>
      <c r="M840">
        <f t="shared" si="37"/>
        <v>0</v>
      </c>
    </row>
    <row r="841" spans="1:13" x14ac:dyDescent="0.25">
      <c r="A841">
        <v>832</v>
      </c>
      <c r="L841">
        <f t="shared" si="36"/>
        <v>0</v>
      </c>
      <c r="M841">
        <f t="shared" si="37"/>
        <v>0</v>
      </c>
    </row>
    <row r="842" spans="1:13" x14ac:dyDescent="0.25">
      <c r="A842">
        <v>833</v>
      </c>
      <c r="L842">
        <f t="shared" si="36"/>
        <v>0</v>
      </c>
      <c r="M842">
        <f t="shared" si="37"/>
        <v>0</v>
      </c>
    </row>
    <row r="843" spans="1:13" x14ac:dyDescent="0.25">
      <c r="A843">
        <v>834</v>
      </c>
      <c r="L843">
        <f t="shared" si="36"/>
        <v>0</v>
      </c>
      <c r="M843">
        <f t="shared" si="37"/>
        <v>0</v>
      </c>
    </row>
    <row r="844" spans="1:13" x14ac:dyDescent="0.25">
      <c r="A844">
        <v>835</v>
      </c>
      <c r="L844">
        <f t="shared" si="36"/>
        <v>0</v>
      </c>
      <c r="M844">
        <f t="shared" si="37"/>
        <v>0</v>
      </c>
    </row>
    <row r="845" spans="1:13" x14ac:dyDescent="0.25">
      <c r="A845">
        <v>836</v>
      </c>
      <c r="L845">
        <f t="shared" si="36"/>
        <v>0</v>
      </c>
      <c r="M845">
        <f t="shared" si="37"/>
        <v>0</v>
      </c>
    </row>
    <row r="846" spans="1:13" x14ac:dyDescent="0.25">
      <c r="A846">
        <v>837</v>
      </c>
      <c r="L846">
        <f t="shared" si="36"/>
        <v>0</v>
      </c>
      <c r="M846">
        <f t="shared" si="37"/>
        <v>0</v>
      </c>
    </row>
    <row r="847" spans="1:13" x14ac:dyDescent="0.25">
      <c r="A847">
        <v>838</v>
      </c>
      <c r="L847">
        <f t="shared" si="36"/>
        <v>0</v>
      </c>
      <c r="M847">
        <f t="shared" si="37"/>
        <v>0</v>
      </c>
    </row>
    <row r="848" spans="1:13" x14ac:dyDescent="0.25">
      <c r="A848">
        <v>839</v>
      </c>
      <c r="L848">
        <f t="shared" si="36"/>
        <v>0</v>
      </c>
      <c r="M848">
        <f t="shared" si="37"/>
        <v>0</v>
      </c>
    </row>
    <row r="849" spans="1:13" x14ac:dyDescent="0.25">
      <c r="A849">
        <v>840</v>
      </c>
      <c r="L849">
        <f t="shared" si="36"/>
        <v>0</v>
      </c>
      <c r="M849">
        <f t="shared" si="37"/>
        <v>0</v>
      </c>
    </row>
    <row r="850" spans="1:13" x14ac:dyDescent="0.25">
      <c r="A850">
        <v>841</v>
      </c>
      <c r="L850">
        <f t="shared" si="36"/>
        <v>0</v>
      </c>
      <c r="M850">
        <f t="shared" si="37"/>
        <v>0</v>
      </c>
    </row>
    <row r="851" spans="1:13" x14ac:dyDescent="0.25">
      <c r="A851">
        <v>842</v>
      </c>
      <c r="L851">
        <f t="shared" si="36"/>
        <v>0</v>
      </c>
      <c r="M851">
        <f t="shared" si="37"/>
        <v>0</v>
      </c>
    </row>
    <row r="852" spans="1:13" x14ac:dyDescent="0.25">
      <c r="A852">
        <v>843</v>
      </c>
      <c r="L852">
        <f t="shared" si="36"/>
        <v>0</v>
      </c>
      <c r="M852">
        <f t="shared" si="37"/>
        <v>0</v>
      </c>
    </row>
    <row r="853" spans="1:13" x14ac:dyDescent="0.25">
      <c r="A853">
        <v>844</v>
      </c>
      <c r="L853">
        <f t="shared" si="36"/>
        <v>0</v>
      </c>
      <c r="M853">
        <f t="shared" si="37"/>
        <v>0</v>
      </c>
    </row>
    <row r="854" spans="1:13" x14ac:dyDescent="0.25">
      <c r="A854">
        <v>845</v>
      </c>
      <c r="L854">
        <f t="shared" si="36"/>
        <v>0</v>
      </c>
      <c r="M854">
        <f t="shared" si="37"/>
        <v>0</v>
      </c>
    </row>
    <row r="855" spans="1:13" x14ac:dyDescent="0.25">
      <c r="A855">
        <v>846</v>
      </c>
      <c r="L855">
        <f t="shared" si="36"/>
        <v>0</v>
      </c>
      <c r="M855">
        <f t="shared" si="37"/>
        <v>0</v>
      </c>
    </row>
    <row r="856" spans="1:13" x14ac:dyDescent="0.25">
      <c r="A856">
        <v>847</v>
      </c>
      <c r="L856">
        <f t="shared" si="36"/>
        <v>0</v>
      </c>
      <c r="M856">
        <f t="shared" si="37"/>
        <v>0</v>
      </c>
    </row>
    <row r="857" spans="1:13" x14ac:dyDescent="0.25">
      <c r="A857">
        <v>848</v>
      </c>
      <c r="L857">
        <f t="shared" si="36"/>
        <v>0</v>
      </c>
      <c r="M857">
        <f t="shared" si="37"/>
        <v>0</v>
      </c>
    </row>
    <row r="858" spans="1:13" x14ac:dyDescent="0.25">
      <c r="A858">
        <v>849</v>
      </c>
      <c r="L858">
        <f t="shared" si="36"/>
        <v>0</v>
      </c>
      <c r="M858">
        <f t="shared" si="37"/>
        <v>0</v>
      </c>
    </row>
    <row r="859" spans="1:13" x14ac:dyDescent="0.25">
      <c r="A859">
        <v>850</v>
      </c>
      <c r="L859">
        <f t="shared" si="36"/>
        <v>0</v>
      </c>
      <c r="M859">
        <f t="shared" si="37"/>
        <v>0</v>
      </c>
    </row>
    <row r="860" spans="1:13" x14ac:dyDescent="0.25">
      <c r="A860">
        <v>851</v>
      </c>
      <c r="L860">
        <f t="shared" si="36"/>
        <v>0</v>
      </c>
      <c r="M860">
        <f t="shared" si="37"/>
        <v>0</v>
      </c>
    </row>
    <row r="861" spans="1:13" x14ac:dyDescent="0.25">
      <c r="A861">
        <v>852</v>
      </c>
      <c r="L861">
        <f t="shared" si="36"/>
        <v>0</v>
      </c>
      <c r="M861">
        <f t="shared" si="37"/>
        <v>0</v>
      </c>
    </row>
    <row r="862" spans="1:13" x14ac:dyDescent="0.25">
      <c r="A862">
        <v>853</v>
      </c>
      <c r="L862">
        <f t="shared" si="36"/>
        <v>0</v>
      </c>
      <c r="M862">
        <f t="shared" si="37"/>
        <v>0</v>
      </c>
    </row>
    <row r="863" spans="1:13" x14ac:dyDescent="0.25">
      <c r="A863">
        <v>854</v>
      </c>
      <c r="L863">
        <f t="shared" si="36"/>
        <v>0</v>
      </c>
      <c r="M863">
        <f t="shared" si="37"/>
        <v>0</v>
      </c>
    </row>
    <row r="864" spans="1:13" x14ac:dyDescent="0.25">
      <c r="A864">
        <v>855</v>
      </c>
      <c r="L864">
        <f t="shared" si="36"/>
        <v>0</v>
      </c>
      <c r="M864">
        <f t="shared" si="37"/>
        <v>0</v>
      </c>
    </row>
    <row r="865" spans="1:13" x14ac:dyDescent="0.25">
      <c r="A865">
        <v>856</v>
      </c>
      <c r="L865">
        <f t="shared" si="36"/>
        <v>0</v>
      </c>
      <c r="M865">
        <f t="shared" si="37"/>
        <v>0</v>
      </c>
    </row>
    <row r="866" spans="1:13" x14ac:dyDescent="0.25">
      <c r="A866">
        <v>857</v>
      </c>
      <c r="L866">
        <f t="shared" si="36"/>
        <v>0</v>
      </c>
      <c r="M866">
        <f t="shared" si="37"/>
        <v>0</v>
      </c>
    </row>
    <row r="867" spans="1:13" x14ac:dyDescent="0.25">
      <c r="A867">
        <v>858</v>
      </c>
      <c r="L867">
        <f t="shared" si="36"/>
        <v>0</v>
      </c>
      <c r="M867">
        <f t="shared" si="37"/>
        <v>0</v>
      </c>
    </row>
    <row r="868" spans="1:13" x14ac:dyDescent="0.25">
      <c r="A868">
        <v>859</v>
      </c>
      <c r="L868">
        <f t="shared" si="36"/>
        <v>0</v>
      </c>
      <c r="M868">
        <f t="shared" si="37"/>
        <v>0</v>
      </c>
    </row>
    <row r="869" spans="1:13" x14ac:dyDescent="0.25">
      <c r="A869">
        <v>860</v>
      </c>
      <c r="L869">
        <f t="shared" si="36"/>
        <v>0</v>
      </c>
      <c r="M869">
        <f t="shared" si="37"/>
        <v>0</v>
      </c>
    </row>
    <row r="870" spans="1:13" x14ac:dyDescent="0.25">
      <c r="A870">
        <v>861</v>
      </c>
      <c r="L870">
        <f t="shared" si="36"/>
        <v>0</v>
      </c>
      <c r="M870">
        <f t="shared" si="37"/>
        <v>0</v>
      </c>
    </row>
    <row r="871" spans="1:13" x14ac:dyDescent="0.25">
      <c r="A871">
        <v>862</v>
      </c>
      <c r="L871">
        <f t="shared" si="36"/>
        <v>0</v>
      </c>
      <c r="M871">
        <f t="shared" si="37"/>
        <v>0</v>
      </c>
    </row>
    <row r="872" spans="1:13" x14ac:dyDescent="0.25">
      <c r="A872">
        <v>863</v>
      </c>
      <c r="L872">
        <f t="shared" si="36"/>
        <v>0</v>
      </c>
      <c r="M872">
        <f t="shared" si="37"/>
        <v>0</v>
      </c>
    </row>
    <row r="873" spans="1:13" x14ac:dyDescent="0.25">
      <c r="A873">
        <v>864</v>
      </c>
      <c r="L873">
        <f t="shared" si="36"/>
        <v>0</v>
      </c>
      <c r="M873">
        <f t="shared" si="37"/>
        <v>0</v>
      </c>
    </row>
    <row r="874" spans="1:13" x14ac:dyDescent="0.25">
      <c r="A874">
        <v>865</v>
      </c>
      <c r="L874">
        <f t="shared" si="36"/>
        <v>0</v>
      </c>
      <c r="M874">
        <f t="shared" si="37"/>
        <v>0</v>
      </c>
    </row>
    <row r="875" spans="1:13" x14ac:dyDescent="0.25">
      <c r="A875">
        <v>866</v>
      </c>
      <c r="L875">
        <f t="shared" si="36"/>
        <v>0</v>
      </c>
      <c r="M875">
        <f t="shared" si="37"/>
        <v>0</v>
      </c>
    </row>
    <row r="876" spans="1:13" x14ac:dyDescent="0.25">
      <c r="A876">
        <v>867</v>
      </c>
      <c r="L876">
        <f t="shared" si="36"/>
        <v>0</v>
      </c>
      <c r="M876">
        <f t="shared" si="37"/>
        <v>0</v>
      </c>
    </row>
    <row r="877" spans="1:13" x14ac:dyDescent="0.25">
      <c r="A877">
        <v>868</v>
      </c>
      <c r="L877">
        <f t="shared" si="36"/>
        <v>0</v>
      </c>
      <c r="M877">
        <f t="shared" si="37"/>
        <v>0</v>
      </c>
    </row>
    <row r="878" spans="1:13" x14ac:dyDescent="0.25">
      <c r="A878">
        <v>869</v>
      </c>
      <c r="L878">
        <f t="shared" ref="L878:L941" si="38">+I878+H878</f>
        <v>0</v>
      </c>
      <c r="M878">
        <f t="shared" si="37"/>
        <v>0</v>
      </c>
    </row>
    <row r="879" spans="1:13" x14ac:dyDescent="0.25">
      <c r="A879">
        <v>870</v>
      </c>
      <c r="L879">
        <f t="shared" si="38"/>
        <v>0</v>
      </c>
      <c r="M879">
        <f t="shared" si="37"/>
        <v>0</v>
      </c>
    </row>
    <row r="880" spans="1:13" x14ac:dyDescent="0.25">
      <c r="A880">
        <v>871</v>
      </c>
      <c r="L880">
        <f t="shared" si="38"/>
        <v>0</v>
      </c>
      <c r="M880">
        <f t="shared" si="37"/>
        <v>0</v>
      </c>
    </row>
    <row r="881" spans="1:13" x14ac:dyDescent="0.25">
      <c r="A881">
        <v>872</v>
      </c>
      <c r="L881">
        <f t="shared" si="38"/>
        <v>0</v>
      </c>
      <c r="M881">
        <f t="shared" si="37"/>
        <v>0</v>
      </c>
    </row>
    <row r="882" spans="1:13" x14ac:dyDescent="0.25">
      <c r="A882">
        <v>873</v>
      </c>
      <c r="L882">
        <f t="shared" si="38"/>
        <v>0</v>
      </c>
      <c r="M882">
        <f t="shared" si="37"/>
        <v>0</v>
      </c>
    </row>
    <row r="883" spans="1:13" x14ac:dyDescent="0.25">
      <c r="A883">
        <v>874</v>
      </c>
      <c r="L883">
        <f t="shared" si="38"/>
        <v>0</v>
      </c>
      <c r="M883">
        <f t="shared" si="37"/>
        <v>0</v>
      </c>
    </row>
    <row r="884" spans="1:13" x14ac:dyDescent="0.25">
      <c r="A884">
        <v>875</v>
      </c>
      <c r="L884">
        <f t="shared" si="38"/>
        <v>0</v>
      </c>
      <c r="M884">
        <f t="shared" si="37"/>
        <v>0</v>
      </c>
    </row>
    <row r="885" spans="1:13" x14ac:dyDescent="0.25">
      <c r="A885">
        <v>876</v>
      </c>
      <c r="L885">
        <f t="shared" si="38"/>
        <v>0</v>
      </c>
      <c r="M885">
        <f t="shared" si="37"/>
        <v>0</v>
      </c>
    </row>
    <row r="886" spans="1:13" x14ac:dyDescent="0.25">
      <c r="A886">
        <v>877</v>
      </c>
      <c r="L886">
        <f t="shared" si="38"/>
        <v>0</v>
      </c>
      <c r="M886">
        <f t="shared" si="37"/>
        <v>0</v>
      </c>
    </row>
    <row r="887" spans="1:13" x14ac:dyDescent="0.25">
      <c r="A887">
        <v>878</v>
      </c>
      <c r="L887">
        <f t="shared" si="38"/>
        <v>0</v>
      </c>
      <c r="M887">
        <f t="shared" si="37"/>
        <v>0</v>
      </c>
    </row>
    <row r="888" spans="1:13" x14ac:dyDescent="0.25">
      <c r="A888">
        <v>879</v>
      </c>
      <c r="L888">
        <f t="shared" si="38"/>
        <v>0</v>
      </c>
      <c r="M888">
        <f t="shared" si="37"/>
        <v>0</v>
      </c>
    </row>
    <row r="889" spans="1:13" x14ac:dyDescent="0.25">
      <c r="A889">
        <v>880</v>
      </c>
      <c r="L889">
        <f t="shared" si="38"/>
        <v>0</v>
      </c>
      <c r="M889">
        <f t="shared" si="37"/>
        <v>0</v>
      </c>
    </row>
    <row r="890" spans="1:13" x14ac:dyDescent="0.25">
      <c r="A890">
        <v>881</v>
      </c>
      <c r="L890">
        <f t="shared" si="38"/>
        <v>0</v>
      </c>
      <c r="M890">
        <f t="shared" si="37"/>
        <v>0</v>
      </c>
    </row>
    <row r="891" spans="1:13" x14ac:dyDescent="0.25">
      <c r="A891">
        <v>882</v>
      </c>
      <c r="L891">
        <f t="shared" si="38"/>
        <v>0</v>
      </c>
      <c r="M891">
        <f t="shared" si="37"/>
        <v>0</v>
      </c>
    </row>
    <row r="892" spans="1:13" x14ac:dyDescent="0.25">
      <c r="A892">
        <v>883</v>
      </c>
      <c r="L892">
        <f t="shared" si="38"/>
        <v>0</v>
      </c>
      <c r="M892">
        <f t="shared" si="37"/>
        <v>0</v>
      </c>
    </row>
    <row r="893" spans="1:13" x14ac:dyDescent="0.25">
      <c r="A893">
        <v>884</v>
      </c>
      <c r="L893">
        <f t="shared" si="38"/>
        <v>0</v>
      </c>
      <c r="M893">
        <f t="shared" si="37"/>
        <v>0</v>
      </c>
    </row>
    <row r="894" spans="1:13" x14ac:dyDescent="0.25">
      <c r="A894">
        <v>885</v>
      </c>
      <c r="L894">
        <f t="shared" si="38"/>
        <v>0</v>
      </c>
      <c r="M894">
        <f t="shared" si="37"/>
        <v>0</v>
      </c>
    </row>
    <row r="895" spans="1:13" x14ac:dyDescent="0.25">
      <c r="A895">
        <v>886</v>
      </c>
      <c r="L895">
        <f t="shared" si="38"/>
        <v>0</v>
      </c>
      <c r="M895">
        <f t="shared" ref="M895:M958" si="39">+I895/IF(H895 = 0,1,H895)</f>
        <v>0</v>
      </c>
    </row>
    <row r="896" spans="1:13" x14ac:dyDescent="0.25">
      <c r="A896">
        <v>887</v>
      </c>
      <c r="L896">
        <f t="shared" si="38"/>
        <v>0</v>
      </c>
      <c r="M896">
        <f t="shared" si="39"/>
        <v>0</v>
      </c>
    </row>
    <row r="897" spans="1:13" x14ac:dyDescent="0.25">
      <c r="A897">
        <v>888</v>
      </c>
      <c r="L897">
        <f t="shared" si="38"/>
        <v>0</v>
      </c>
      <c r="M897">
        <f t="shared" si="39"/>
        <v>0</v>
      </c>
    </row>
    <row r="898" spans="1:13" x14ac:dyDescent="0.25">
      <c r="A898">
        <v>889</v>
      </c>
      <c r="L898">
        <f t="shared" si="38"/>
        <v>0</v>
      </c>
      <c r="M898">
        <f t="shared" si="39"/>
        <v>0</v>
      </c>
    </row>
    <row r="899" spans="1:13" x14ac:dyDescent="0.25">
      <c r="A899">
        <v>890</v>
      </c>
      <c r="L899">
        <f t="shared" si="38"/>
        <v>0</v>
      </c>
      <c r="M899">
        <f t="shared" si="39"/>
        <v>0</v>
      </c>
    </row>
    <row r="900" spans="1:13" x14ac:dyDescent="0.25">
      <c r="A900">
        <v>891</v>
      </c>
      <c r="L900">
        <f t="shared" si="38"/>
        <v>0</v>
      </c>
      <c r="M900">
        <f t="shared" si="39"/>
        <v>0</v>
      </c>
    </row>
    <row r="901" spans="1:13" x14ac:dyDescent="0.25">
      <c r="A901">
        <v>892</v>
      </c>
      <c r="L901">
        <f t="shared" si="38"/>
        <v>0</v>
      </c>
      <c r="M901">
        <f t="shared" si="39"/>
        <v>0</v>
      </c>
    </row>
    <row r="902" spans="1:13" x14ac:dyDescent="0.25">
      <c r="A902">
        <v>893</v>
      </c>
      <c r="L902">
        <f t="shared" si="38"/>
        <v>0</v>
      </c>
      <c r="M902">
        <f t="shared" si="39"/>
        <v>0</v>
      </c>
    </row>
    <row r="903" spans="1:13" x14ac:dyDescent="0.25">
      <c r="A903">
        <v>894</v>
      </c>
      <c r="L903">
        <f t="shared" si="38"/>
        <v>0</v>
      </c>
      <c r="M903">
        <f t="shared" si="39"/>
        <v>0</v>
      </c>
    </row>
    <row r="904" spans="1:13" x14ac:dyDescent="0.25">
      <c r="A904">
        <v>895</v>
      </c>
      <c r="L904">
        <f t="shared" si="38"/>
        <v>0</v>
      </c>
      <c r="M904">
        <f t="shared" si="39"/>
        <v>0</v>
      </c>
    </row>
    <row r="905" spans="1:13" x14ac:dyDescent="0.25">
      <c r="A905">
        <v>896</v>
      </c>
      <c r="L905">
        <f t="shared" si="38"/>
        <v>0</v>
      </c>
      <c r="M905">
        <f t="shared" si="39"/>
        <v>0</v>
      </c>
    </row>
    <row r="906" spans="1:13" x14ac:dyDescent="0.25">
      <c r="A906">
        <v>897</v>
      </c>
      <c r="L906">
        <f t="shared" si="38"/>
        <v>0</v>
      </c>
      <c r="M906">
        <f t="shared" si="39"/>
        <v>0</v>
      </c>
    </row>
    <row r="907" spans="1:13" x14ac:dyDescent="0.25">
      <c r="A907">
        <v>898</v>
      </c>
      <c r="L907">
        <f t="shared" si="38"/>
        <v>0</v>
      </c>
      <c r="M907">
        <f t="shared" si="39"/>
        <v>0</v>
      </c>
    </row>
    <row r="908" spans="1:13" x14ac:dyDescent="0.25">
      <c r="A908">
        <v>899</v>
      </c>
      <c r="L908">
        <f t="shared" si="38"/>
        <v>0</v>
      </c>
      <c r="M908">
        <f t="shared" si="39"/>
        <v>0</v>
      </c>
    </row>
    <row r="909" spans="1:13" x14ac:dyDescent="0.25">
      <c r="A909">
        <v>900</v>
      </c>
      <c r="L909">
        <f t="shared" si="38"/>
        <v>0</v>
      </c>
      <c r="M909">
        <f t="shared" si="39"/>
        <v>0</v>
      </c>
    </row>
    <row r="910" spans="1:13" x14ac:dyDescent="0.25">
      <c r="A910">
        <v>901</v>
      </c>
      <c r="L910">
        <f t="shared" si="38"/>
        <v>0</v>
      </c>
      <c r="M910">
        <f t="shared" si="39"/>
        <v>0</v>
      </c>
    </row>
    <row r="911" spans="1:13" x14ac:dyDescent="0.25">
      <c r="A911">
        <v>902</v>
      </c>
      <c r="L911">
        <f t="shared" si="38"/>
        <v>0</v>
      </c>
      <c r="M911">
        <f t="shared" si="39"/>
        <v>0</v>
      </c>
    </row>
    <row r="912" spans="1:13" x14ac:dyDescent="0.25">
      <c r="A912">
        <v>903</v>
      </c>
      <c r="L912">
        <f t="shared" si="38"/>
        <v>0</v>
      </c>
      <c r="M912">
        <f t="shared" si="39"/>
        <v>0</v>
      </c>
    </row>
    <row r="913" spans="1:13" x14ac:dyDescent="0.25">
      <c r="A913">
        <v>904</v>
      </c>
      <c r="L913">
        <f t="shared" si="38"/>
        <v>0</v>
      </c>
      <c r="M913">
        <f t="shared" si="39"/>
        <v>0</v>
      </c>
    </row>
    <row r="914" spans="1:13" x14ac:dyDescent="0.25">
      <c r="A914">
        <v>905</v>
      </c>
      <c r="L914">
        <f t="shared" si="38"/>
        <v>0</v>
      </c>
      <c r="M914">
        <f t="shared" si="39"/>
        <v>0</v>
      </c>
    </row>
    <row r="915" spans="1:13" x14ac:dyDescent="0.25">
      <c r="A915">
        <v>906</v>
      </c>
      <c r="L915">
        <f t="shared" si="38"/>
        <v>0</v>
      </c>
      <c r="M915">
        <f t="shared" si="39"/>
        <v>0</v>
      </c>
    </row>
    <row r="916" spans="1:13" x14ac:dyDescent="0.25">
      <c r="A916">
        <v>907</v>
      </c>
      <c r="L916">
        <f t="shared" si="38"/>
        <v>0</v>
      </c>
      <c r="M916">
        <f t="shared" si="39"/>
        <v>0</v>
      </c>
    </row>
    <row r="917" spans="1:13" x14ac:dyDescent="0.25">
      <c r="A917">
        <v>908</v>
      </c>
      <c r="L917">
        <f t="shared" si="38"/>
        <v>0</v>
      </c>
      <c r="M917">
        <f t="shared" si="39"/>
        <v>0</v>
      </c>
    </row>
    <row r="918" spans="1:13" x14ac:dyDescent="0.25">
      <c r="A918">
        <v>909</v>
      </c>
      <c r="L918">
        <f t="shared" si="38"/>
        <v>0</v>
      </c>
      <c r="M918">
        <f t="shared" si="39"/>
        <v>0</v>
      </c>
    </row>
    <row r="919" spans="1:13" x14ac:dyDescent="0.25">
      <c r="A919">
        <v>910</v>
      </c>
      <c r="L919">
        <f t="shared" si="38"/>
        <v>0</v>
      </c>
      <c r="M919">
        <f t="shared" si="39"/>
        <v>0</v>
      </c>
    </row>
    <row r="920" spans="1:13" x14ac:dyDescent="0.25">
      <c r="A920">
        <v>911</v>
      </c>
      <c r="L920">
        <f t="shared" si="38"/>
        <v>0</v>
      </c>
      <c r="M920">
        <f t="shared" si="39"/>
        <v>0</v>
      </c>
    </row>
    <row r="921" spans="1:13" x14ac:dyDescent="0.25">
      <c r="A921">
        <v>912</v>
      </c>
      <c r="L921">
        <f t="shared" si="38"/>
        <v>0</v>
      </c>
      <c r="M921">
        <f t="shared" si="39"/>
        <v>0</v>
      </c>
    </row>
    <row r="922" spans="1:13" x14ac:dyDescent="0.25">
      <c r="A922">
        <v>913</v>
      </c>
      <c r="L922">
        <f t="shared" si="38"/>
        <v>0</v>
      </c>
      <c r="M922">
        <f t="shared" si="39"/>
        <v>0</v>
      </c>
    </row>
    <row r="923" spans="1:13" x14ac:dyDescent="0.25">
      <c r="A923">
        <v>914</v>
      </c>
      <c r="L923">
        <f t="shared" si="38"/>
        <v>0</v>
      </c>
      <c r="M923">
        <f t="shared" si="39"/>
        <v>0</v>
      </c>
    </row>
    <row r="924" spans="1:13" x14ac:dyDescent="0.25">
      <c r="A924">
        <v>915</v>
      </c>
      <c r="L924">
        <f t="shared" si="38"/>
        <v>0</v>
      </c>
      <c r="M924">
        <f t="shared" si="39"/>
        <v>0</v>
      </c>
    </row>
    <row r="925" spans="1:13" x14ac:dyDescent="0.25">
      <c r="A925">
        <v>916</v>
      </c>
      <c r="L925">
        <f t="shared" si="38"/>
        <v>0</v>
      </c>
      <c r="M925">
        <f t="shared" si="39"/>
        <v>0</v>
      </c>
    </row>
    <row r="926" spans="1:13" x14ac:dyDescent="0.25">
      <c r="A926">
        <v>917</v>
      </c>
      <c r="L926">
        <f t="shared" si="38"/>
        <v>0</v>
      </c>
      <c r="M926">
        <f t="shared" si="39"/>
        <v>0</v>
      </c>
    </row>
    <row r="927" spans="1:13" x14ac:dyDescent="0.25">
      <c r="A927">
        <v>918</v>
      </c>
      <c r="L927">
        <f t="shared" si="38"/>
        <v>0</v>
      </c>
      <c r="M927">
        <f t="shared" si="39"/>
        <v>0</v>
      </c>
    </row>
    <row r="928" spans="1:13" x14ac:dyDescent="0.25">
      <c r="A928">
        <v>919</v>
      </c>
      <c r="L928">
        <f t="shared" si="38"/>
        <v>0</v>
      </c>
      <c r="M928">
        <f t="shared" si="39"/>
        <v>0</v>
      </c>
    </row>
    <row r="929" spans="1:13" x14ac:dyDescent="0.25">
      <c r="A929">
        <v>920</v>
      </c>
      <c r="L929">
        <f t="shared" si="38"/>
        <v>0</v>
      </c>
      <c r="M929">
        <f t="shared" si="39"/>
        <v>0</v>
      </c>
    </row>
    <row r="930" spans="1:13" x14ac:dyDescent="0.25">
      <c r="A930">
        <v>921</v>
      </c>
      <c r="L930">
        <f t="shared" si="38"/>
        <v>0</v>
      </c>
      <c r="M930">
        <f t="shared" si="39"/>
        <v>0</v>
      </c>
    </row>
    <row r="931" spans="1:13" x14ac:dyDescent="0.25">
      <c r="A931">
        <v>922</v>
      </c>
      <c r="L931">
        <f t="shared" si="38"/>
        <v>0</v>
      </c>
      <c r="M931">
        <f t="shared" si="39"/>
        <v>0</v>
      </c>
    </row>
    <row r="932" spans="1:13" x14ac:dyDescent="0.25">
      <c r="A932">
        <v>923</v>
      </c>
      <c r="L932">
        <f t="shared" si="38"/>
        <v>0</v>
      </c>
      <c r="M932">
        <f t="shared" si="39"/>
        <v>0</v>
      </c>
    </row>
    <row r="933" spans="1:13" x14ac:dyDescent="0.25">
      <c r="A933">
        <v>924</v>
      </c>
      <c r="L933">
        <f t="shared" si="38"/>
        <v>0</v>
      </c>
      <c r="M933">
        <f t="shared" si="39"/>
        <v>0</v>
      </c>
    </row>
    <row r="934" spans="1:13" x14ac:dyDescent="0.25">
      <c r="A934">
        <v>925</v>
      </c>
      <c r="L934">
        <f t="shared" si="38"/>
        <v>0</v>
      </c>
      <c r="M934">
        <f t="shared" si="39"/>
        <v>0</v>
      </c>
    </row>
    <row r="935" spans="1:13" x14ac:dyDescent="0.25">
      <c r="A935">
        <v>926</v>
      </c>
      <c r="L935">
        <f t="shared" si="38"/>
        <v>0</v>
      </c>
      <c r="M935">
        <f t="shared" si="39"/>
        <v>0</v>
      </c>
    </row>
    <row r="936" spans="1:13" x14ac:dyDescent="0.25">
      <c r="A936">
        <v>927</v>
      </c>
      <c r="L936">
        <f t="shared" si="38"/>
        <v>0</v>
      </c>
      <c r="M936">
        <f t="shared" si="39"/>
        <v>0</v>
      </c>
    </row>
    <row r="937" spans="1:13" x14ac:dyDescent="0.25">
      <c r="A937">
        <v>928</v>
      </c>
      <c r="L937">
        <f t="shared" si="38"/>
        <v>0</v>
      </c>
      <c r="M937">
        <f t="shared" si="39"/>
        <v>0</v>
      </c>
    </row>
    <row r="938" spans="1:13" x14ac:dyDescent="0.25">
      <c r="A938">
        <v>929</v>
      </c>
      <c r="L938">
        <f t="shared" si="38"/>
        <v>0</v>
      </c>
      <c r="M938">
        <f t="shared" si="39"/>
        <v>0</v>
      </c>
    </row>
    <row r="939" spans="1:13" x14ac:dyDescent="0.25">
      <c r="A939">
        <v>930</v>
      </c>
      <c r="L939">
        <f t="shared" si="38"/>
        <v>0</v>
      </c>
      <c r="M939">
        <f t="shared" si="39"/>
        <v>0</v>
      </c>
    </row>
    <row r="940" spans="1:13" x14ac:dyDescent="0.25">
      <c r="A940">
        <v>931</v>
      </c>
      <c r="L940">
        <f t="shared" si="38"/>
        <v>0</v>
      </c>
      <c r="M940">
        <f t="shared" si="39"/>
        <v>0</v>
      </c>
    </row>
    <row r="941" spans="1:13" x14ac:dyDescent="0.25">
      <c r="A941">
        <v>932</v>
      </c>
      <c r="L941">
        <f t="shared" si="38"/>
        <v>0</v>
      </c>
      <c r="M941">
        <f t="shared" si="39"/>
        <v>0</v>
      </c>
    </row>
    <row r="942" spans="1:13" x14ac:dyDescent="0.25">
      <c r="A942">
        <v>933</v>
      </c>
      <c r="L942">
        <f t="shared" ref="L942:L1005" si="40">+I942+H942</f>
        <v>0</v>
      </c>
      <c r="M942">
        <f t="shared" si="39"/>
        <v>0</v>
      </c>
    </row>
    <row r="943" spans="1:13" x14ac:dyDescent="0.25">
      <c r="A943">
        <v>934</v>
      </c>
      <c r="L943">
        <f t="shared" si="40"/>
        <v>0</v>
      </c>
      <c r="M943">
        <f t="shared" si="39"/>
        <v>0</v>
      </c>
    </row>
    <row r="944" spans="1:13" x14ac:dyDescent="0.25">
      <c r="A944">
        <v>935</v>
      </c>
      <c r="L944">
        <f t="shared" si="40"/>
        <v>0</v>
      </c>
      <c r="M944">
        <f t="shared" si="39"/>
        <v>0</v>
      </c>
    </row>
    <row r="945" spans="1:13" x14ac:dyDescent="0.25">
      <c r="A945">
        <v>936</v>
      </c>
      <c r="L945">
        <f t="shared" si="40"/>
        <v>0</v>
      </c>
      <c r="M945">
        <f t="shared" si="39"/>
        <v>0</v>
      </c>
    </row>
    <row r="946" spans="1:13" x14ac:dyDescent="0.25">
      <c r="A946">
        <v>937</v>
      </c>
      <c r="L946">
        <f t="shared" si="40"/>
        <v>0</v>
      </c>
      <c r="M946">
        <f t="shared" si="39"/>
        <v>0</v>
      </c>
    </row>
    <row r="947" spans="1:13" x14ac:dyDescent="0.25">
      <c r="A947">
        <v>938</v>
      </c>
      <c r="L947">
        <f t="shared" si="40"/>
        <v>0</v>
      </c>
      <c r="M947">
        <f t="shared" si="39"/>
        <v>0</v>
      </c>
    </row>
    <row r="948" spans="1:13" x14ac:dyDescent="0.25">
      <c r="A948">
        <v>939</v>
      </c>
      <c r="L948">
        <f t="shared" si="40"/>
        <v>0</v>
      </c>
      <c r="M948">
        <f t="shared" si="39"/>
        <v>0</v>
      </c>
    </row>
    <row r="949" spans="1:13" x14ac:dyDescent="0.25">
      <c r="A949">
        <v>940</v>
      </c>
      <c r="L949">
        <f t="shared" si="40"/>
        <v>0</v>
      </c>
      <c r="M949">
        <f t="shared" si="39"/>
        <v>0</v>
      </c>
    </row>
    <row r="950" spans="1:13" x14ac:dyDescent="0.25">
      <c r="A950">
        <v>941</v>
      </c>
      <c r="L950">
        <f t="shared" si="40"/>
        <v>0</v>
      </c>
      <c r="M950">
        <f t="shared" si="39"/>
        <v>0</v>
      </c>
    </row>
    <row r="951" spans="1:13" x14ac:dyDescent="0.25">
      <c r="A951">
        <v>942</v>
      </c>
      <c r="L951">
        <f t="shared" si="40"/>
        <v>0</v>
      </c>
      <c r="M951">
        <f t="shared" si="39"/>
        <v>0</v>
      </c>
    </row>
    <row r="952" spans="1:13" x14ac:dyDescent="0.25">
      <c r="A952">
        <v>943</v>
      </c>
      <c r="L952">
        <f t="shared" si="40"/>
        <v>0</v>
      </c>
      <c r="M952">
        <f t="shared" si="39"/>
        <v>0</v>
      </c>
    </row>
    <row r="953" spans="1:13" x14ac:dyDescent="0.25">
      <c r="A953">
        <v>944</v>
      </c>
      <c r="L953">
        <f t="shared" si="40"/>
        <v>0</v>
      </c>
      <c r="M953">
        <f t="shared" si="39"/>
        <v>0</v>
      </c>
    </row>
    <row r="954" spans="1:13" x14ac:dyDescent="0.25">
      <c r="A954">
        <v>945</v>
      </c>
      <c r="L954">
        <f t="shared" si="40"/>
        <v>0</v>
      </c>
      <c r="M954">
        <f t="shared" si="39"/>
        <v>0</v>
      </c>
    </row>
    <row r="955" spans="1:13" x14ac:dyDescent="0.25">
      <c r="A955">
        <v>946</v>
      </c>
      <c r="L955">
        <f t="shared" si="40"/>
        <v>0</v>
      </c>
      <c r="M955">
        <f t="shared" si="39"/>
        <v>0</v>
      </c>
    </row>
    <row r="956" spans="1:13" x14ac:dyDescent="0.25">
      <c r="A956">
        <v>947</v>
      </c>
      <c r="L956">
        <f t="shared" si="40"/>
        <v>0</v>
      </c>
      <c r="M956">
        <f t="shared" si="39"/>
        <v>0</v>
      </c>
    </row>
    <row r="957" spans="1:13" x14ac:dyDescent="0.25">
      <c r="A957">
        <v>948</v>
      </c>
      <c r="L957">
        <f t="shared" si="40"/>
        <v>0</v>
      </c>
      <c r="M957">
        <f t="shared" si="39"/>
        <v>0</v>
      </c>
    </row>
    <row r="958" spans="1:13" x14ac:dyDescent="0.25">
      <c r="A958">
        <v>949</v>
      </c>
      <c r="L958">
        <f t="shared" si="40"/>
        <v>0</v>
      </c>
      <c r="M958">
        <f t="shared" si="39"/>
        <v>0</v>
      </c>
    </row>
    <row r="959" spans="1:13" x14ac:dyDescent="0.25">
      <c r="A959">
        <v>950</v>
      </c>
      <c r="L959">
        <f t="shared" si="40"/>
        <v>0</v>
      </c>
      <c r="M959">
        <f t="shared" ref="M959:M1022" si="41">+I959/IF(H959 = 0,1,H959)</f>
        <v>0</v>
      </c>
    </row>
    <row r="960" spans="1:13" x14ac:dyDescent="0.25">
      <c r="A960">
        <v>951</v>
      </c>
      <c r="L960">
        <f t="shared" si="40"/>
        <v>0</v>
      </c>
      <c r="M960">
        <f t="shared" si="41"/>
        <v>0</v>
      </c>
    </row>
    <row r="961" spans="1:13" x14ac:dyDescent="0.25">
      <c r="A961">
        <v>952</v>
      </c>
      <c r="L961">
        <f t="shared" si="40"/>
        <v>0</v>
      </c>
      <c r="M961">
        <f t="shared" si="41"/>
        <v>0</v>
      </c>
    </row>
    <row r="962" spans="1:13" x14ac:dyDescent="0.25">
      <c r="A962">
        <v>953</v>
      </c>
      <c r="L962">
        <f t="shared" si="40"/>
        <v>0</v>
      </c>
      <c r="M962">
        <f t="shared" si="41"/>
        <v>0</v>
      </c>
    </row>
    <row r="963" spans="1:13" x14ac:dyDescent="0.25">
      <c r="A963">
        <v>954</v>
      </c>
      <c r="L963">
        <f t="shared" si="40"/>
        <v>0</v>
      </c>
      <c r="M963">
        <f t="shared" si="41"/>
        <v>0</v>
      </c>
    </row>
    <row r="964" spans="1:13" x14ac:dyDescent="0.25">
      <c r="A964">
        <v>955</v>
      </c>
      <c r="L964">
        <f t="shared" si="40"/>
        <v>0</v>
      </c>
      <c r="M964">
        <f t="shared" si="41"/>
        <v>0</v>
      </c>
    </row>
    <row r="965" spans="1:13" x14ac:dyDescent="0.25">
      <c r="A965">
        <v>956</v>
      </c>
      <c r="L965">
        <f t="shared" si="40"/>
        <v>0</v>
      </c>
      <c r="M965">
        <f t="shared" si="41"/>
        <v>0</v>
      </c>
    </row>
    <row r="966" spans="1:13" x14ac:dyDescent="0.25">
      <c r="A966">
        <v>957</v>
      </c>
      <c r="L966">
        <f t="shared" si="40"/>
        <v>0</v>
      </c>
      <c r="M966">
        <f t="shared" si="41"/>
        <v>0</v>
      </c>
    </row>
    <row r="967" spans="1:13" x14ac:dyDescent="0.25">
      <c r="A967">
        <v>958</v>
      </c>
      <c r="L967">
        <f t="shared" si="40"/>
        <v>0</v>
      </c>
      <c r="M967">
        <f t="shared" si="41"/>
        <v>0</v>
      </c>
    </row>
    <row r="968" spans="1:13" x14ac:dyDescent="0.25">
      <c r="A968">
        <v>959</v>
      </c>
      <c r="L968">
        <f t="shared" si="40"/>
        <v>0</v>
      </c>
      <c r="M968">
        <f t="shared" si="41"/>
        <v>0</v>
      </c>
    </row>
    <row r="969" spans="1:13" x14ac:dyDescent="0.25">
      <c r="A969">
        <v>960</v>
      </c>
      <c r="L969">
        <f t="shared" si="40"/>
        <v>0</v>
      </c>
      <c r="M969">
        <f t="shared" si="41"/>
        <v>0</v>
      </c>
    </row>
    <row r="970" spans="1:13" x14ac:dyDescent="0.25">
      <c r="A970">
        <v>961</v>
      </c>
      <c r="L970">
        <f t="shared" si="40"/>
        <v>0</v>
      </c>
      <c r="M970">
        <f t="shared" si="41"/>
        <v>0</v>
      </c>
    </row>
    <row r="971" spans="1:13" x14ac:dyDescent="0.25">
      <c r="A971">
        <v>962</v>
      </c>
      <c r="L971">
        <f t="shared" si="40"/>
        <v>0</v>
      </c>
      <c r="M971">
        <f t="shared" si="41"/>
        <v>0</v>
      </c>
    </row>
    <row r="972" spans="1:13" x14ac:dyDescent="0.25">
      <c r="A972">
        <v>963</v>
      </c>
      <c r="L972">
        <f t="shared" si="40"/>
        <v>0</v>
      </c>
      <c r="M972">
        <f t="shared" si="41"/>
        <v>0</v>
      </c>
    </row>
    <row r="973" spans="1:13" x14ac:dyDescent="0.25">
      <c r="A973">
        <v>964</v>
      </c>
      <c r="L973">
        <f t="shared" si="40"/>
        <v>0</v>
      </c>
      <c r="M973">
        <f t="shared" si="41"/>
        <v>0</v>
      </c>
    </row>
    <row r="974" spans="1:13" x14ac:dyDescent="0.25">
      <c r="A974">
        <v>965</v>
      </c>
      <c r="L974">
        <f t="shared" si="40"/>
        <v>0</v>
      </c>
      <c r="M974">
        <f t="shared" si="41"/>
        <v>0</v>
      </c>
    </row>
    <row r="975" spans="1:13" x14ac:dyDescent="0.25">
      <c r="A975">
        <v>966</v>
      </c>
      <c r="L975">
        <f t="shared" si="40"/>
        <v>0</v>
      </c>
      <c r="M975">
        <f t="shared" si="41"/>
        <v>0</v>
      </c>
    </row>
    <row r="976" spans="1:13" x14ac:dyDescent="0.25">
      <c r="A976">
        <v>967</v>
      </c>
      <c r="L976">
        <f t="shared" si="40"/>
        <v>0</v>
      </c>
      <c r="M976">
        <f t="shared" si="41"/>
        <v>0</v>
      </c>
    </row>
    <row r="977" spans="1:13" x14ac:dyDescent="0.25">
      <c r="A977">
        <v>968</v>
      </c>
      <c r="L977">
        <f t="shared" si="40"/>
        <v>0</v>
      </c>
      <c r="M977">
        <f t="shared" si="41"/>
        <v>0</v>
      </c>
    </row>
    <row r="978" spans="1:13" x14ac:dyDescent="0.25">
      <c r="A978">
        <v>969</v>
      </c>
      <c r="L978">
        <f t="shared" si="40"/>
        <v>0</v>
      </c>
      <c r="M978">
        <f t="shared" si="41"/>
        <v>0</v>
      </c>
    </row>
    <row r="979" spans="1:13" x14ac:dyDescent="0.25">
      <c r="A979">
        <v>970</v>
      </c>
      <c r="L979">
        <f t="shared" si="40"/>
        <v>0</v>
      </c>
      <c r="M979">
        <f t="shared" si="41"/>
        <v>0</v>
      </c>
    </row>
    <row r="980" spans="1:13" x14ac:dyDescent="0.25">
      <c r="A980">
        <v>971</v>
      </c>
      <c r="L980">
        <f t="shared" si="40"/>
        <v>0</v>
      </c>
      <c r="M980">
        <f t="shared" si="41"/>
        <v>0</v>
      </c>
    </row>
    <row r="981" spans="1:13" x14ac:dyDescent="0.25">
      <c r="A981">
        <v>972</v>
      </c>
      <c r="L981">
        <f t="shared" si="40"/>
        <v>0</v>
      </c>
      <c r="M981">
        <f t="shared" si="41"/>
        <v>0</v>
      </c>
    </row>
    <row r="982" spans="1:13" x14ac:dyDescent="0.25">
      <c r="A982">
        <v>973</v>
      </c>
      <c r="L982">
        <f t="shared" si="40"/>
        <v>0</v>
      </c>
      <c r="M982">
        <f t="shared" si="41"/>
        <v>0</v>
      </c>
    </row>
    <row r="983" spans="1:13" x14ac:dyDescent="0.25">
      <c r="A983">
        <v>974</v>
      </c>
      <c r="L983">
        <f t="shared" si="40"/>
        <v>0</v>
      </c>
      <c r="M983">
        <f t="shared" si="41"/>
        <v>0</v>
      </c>
    </row>
    <row r="984" spans="1:13" x14ac:dyDescent="0.25">
      <c r="A984">
        <v>975</v>
      </c>
      <c r="L984">
        <f t="shared" si="40"/>
        <v>0</v>
      </c>
      <c r="M984">
        <f t="shared" si="41"/>
        <v>0</v>
      </c>
    </row>
    <row r="985" spans="1:13" x14ac:dyDescent="0.25">
      <c r="A985">
        <v>976</v>
      </c>
      <c r="L985">
        <f t="shared" si="40"/>
        <v>0</v>
      </c>
      <c r="M985">
        <f t="shared" si="41"/>
        <v>0</v>
      </c>
    </row>
    <row r="986" spans="1:13" x14ac:dyDescent="0.25">
      <c r="A986">
        <v>977</v>
      </c>
      <c r="L986">
        <f t="shared" si="40"/>
        <v>0</v>
      </c>
      <c r="M986">
        <f t="shared" si="41"/>
        <v>0</v>
      </c>
    </row>
    <row r="987" spans="1:13" x14ac:dyDescent="0.25">
      <c r="A987">
        <v>978</v>
      </c>
      <c r="L987">
        <f t="shared" si="40"/>
        <v>0</v>
      </c>
      <c r="M987">
        <f t="shared" si="41"/>
        <v>0</v>
      </c>
    </row>
    <row r="988" spans="1:13" x14ac:dyDescent="0.25">
      <c r="A988">
        <v>979</v>
      </c>
      <c r="L988">
        <f t="shared" si="40"/>
        <v>0</v>
      </c>
      <c r="M988">
        <f t="shared" si="41"/>
        <v>0</v>
      </c>
    </row>
    <row r="989" spans="1:13" x14ac:dyDescent="0.25">
      <c r="A989">
        <v>980</v>
      </c>
      <c r="L989">
        <f t="shared" si="40"/>
        <v>0</v>
      </c>
      <c r="M989">
        <f t="shared" si="41"/>
        <v>0</v>
      </c>
    </row>
    <row r="990" spans="1:13" x14ac:dyDescent="0.25">
      <c r="A990">
        <v>981</v>
      </c>
      <c r="L990">
        <f t="shared" si="40"/>
        <v>0</v>
      </c>
      <c r="M990">
        <f t="shared" si="41"/>
        <v>0</v>
      </c>
    </row>
    <row r="991" spans="1:13" x14ac:dyDescent="0.25">
      <c r="A991">
        <v>982</v>
      </c>
      <c r="L991">
        <f t="shared" si="40"/>
        <v>0</v>
      </c>
      <c r="M991">
        <f t="shared" si="41"/>
        <v>0</v>
      </c>
    </row>
    <row r="992" spans="1:13" x14ac:dyDescent="0.25">
      <c r="A992">
        <v>983</v>
      </c>
      <c r="L992">
        <f t="shared" si="40"/>
        <v>0</v>
      </c>
      <c r="M992">
        <f t="shared" si="41"/>
        <v>0</v>
      </c>
    </row>
    <row r="993" spans="1:13" x14ac:dyDescent="0.25">
      <c r="A993">
        <v>984</v>
      </c>
      <c r="L993">
        <f t="shared" si="40"/>
        <v>0</v>
      </c>
      <c r="M993">
        <f t="shared" si="41"/>
        <v>0</v>
      </c>
    </row>
    <row r="994" spans="1:13" x14ac:dyDescent="0.25">
      <c r="A994">
        <v>985</v>
      </c>
      <c r="L994">
        <f t="shared" si="40"/>
        <v>0</v>
      </c>
      <c r="M994">
        <f t="shared" si="41"/>
        <v>0</v>
      </c>
    </row>
    <row r="995" spans="1:13" x14ac:dyDescent="0.25">
      <c r="A995">
        <v>986</v>
      </c>
      <c r="L995">
        <f t="shared" si="40"/>
        <v>0</v>
      </c>
      <c r="M995">
        <f t="shared" si="41"/>
        <v>0</v>
      </c>
    </row>
    <row r="996" spans="1:13" x14ac:dyDescent="0.25">
      <c r="A996">
        <v>987</v>
      </c>
      <c r="L996">
        <f t="shared" si="40"/>
        <v>0</v>
      </c>
      <c r="M996">
        <f t="shared" si="41"/>
        <v>0</v>
      </c>
    </row>
    <row r="997" spans="1:13" x14ac:dyDescent="0.25">
      <c r="A997">
        <v>988</v>
      </c>
      <c r="L997">
        <f t="shared" si="40"/>
        <v>0</v>
      </c>
      <c r="M997">
        <f t="shared" si="41"/>
        <v>0</v>
      </c>
    </row>
    <row r="998" spans="1:13" x14ac:dyDescent="0.25">
      <c r="A998">
        <v>989</v>
      </c>
      <c r="L998">
        <f t="shared" si="40"/>
        <v>0</v>
      </c>
      <c r="M998">
        <f t="shared" si="41"/>
        <v>0</v>
      </c>
    </row>
    <row r="999" spans="1:13" x14ac:dyDescent="0.25">
      <c r="A999">
        <v>990</v>
      </c>
      <c r="L999">
        <f t="shared" si="40"/>
        <v>0</v>
      </c>
      <c r="M999">
        <f t="shared" si="41"/>
        <v>0</v>
      </c>
    </row>
    <row r="1000" spans="1:13" x14ac:dyDescent="0.25">
      <c r="A1000">
        <v>991</v>
      </c>
      <c r="L1000">
        <f t="shared" si="40"/>
        <v>0</v>
      </c>
      <c r="M1000">
        <f t="shared" si="41"/>
        <v>0</v>
      </c>
    </row>
    <row r="1001" spans="1:13" x14ac:dyDescent="0.25">
      <c r="A1001">
        <v>992</v>
      </c>
      <c r="L1001">
        <f t="shared" si="40"/>
        <v>0</v>
      </c>
      <c r="M1001">
        <f t="shared" si="41"/>
        <v>0</v>
      </c>
    </row>
    <row r="1002" spans="1:13" x14ac:dyDescent="0.25">
      <c r="A1002">
        <v>993</v>
      </c>
      <c r="L1002">
        <f t="shared" si="40"/>
        <v>0</v>
      </c>
      <c r="M1002">
        <f t="shared" si="41"/>
        <v>0</v>
      </c>
    </row>
    <row r="1003" spans="1:13" x14ac:dyDescent="0.25">
      <c r="A1003">
        <v>994</v>
      </c>
      <c r="L1003">
        <f t="shared" si="40"/>
        <v>0</v>
      </c>
      <c r="M1003">
        <f t="shared" si="41"/>
        <v>0</v>
      </c>
    </row>
    <row r="1004" spans="1:13" x14ac:dyDescent="0.25">
      <c r="A1004">
        <v>995</v>
      </c>
      <c r="L1004">
        <f t="shared" si="40"/>
        <v>0</v>
      </c>
      <c r="M1004">
        <f t="shared" si="41"/>
        <v>0</v>
      </c>
    </row>
    <row r="1005" spans="1:13" x14ac:dyDescent="0.25">
      <c r="A1005">
        <v>996</v>
      </c>
      <c r="L1005">
        <f t="shared" si="40"/>
        <v>0</v>
      </c>
      <c r="M1005">
        <f t="shared" si="41"/>
        <v>0</v>
      </c>
    </row>
    <row r="1006" spans="1:13" x14ac:dyDescent="0.25">
      <c r="A1006">
        <v>997</v>
      </c>
      <c r="L1006">
        <f t="shared" ref="L1006:L1069" si="42">+I1006+H1006</f>
        <v>0</v>
      </c>
      <c r="M1006">
        <f t="shared" si="41"/>
        <v>0</v>
      </c>
    </row>
    <row r="1007" spans="1:13" x14ac:dyDescent="0.25">
      <c r="A1007">
        <v>998</v>
      </c>
      <c r="L1007">
        <f t="shared" si="42"/>
        <v>0</v>
      </c>
      <c r="M1007">
        <f t="shared" si="41"/>
        <v>0</v>
      </c>
    </row>
    <row r="1008" spans="1:13" x14ac:dyDescent="0.25">
      <c r="A1008">
        <v>999</v>
      </c>
      <c r="L1008">
        <f t="shared" si="42"/>
        <v>0</v>
      </c>
      <c r="M1008">
        <f t="shared" si="41"/>
        <v>0</v>
      </c>
    </row>
    <row r="1009" spans="1:13" x14ac:dyDescent="0.25">
      <c r="A1009">
        <v>1000</v>
      </c>
      <c r="L1009">
        <f t="shared" si="42"/>
        <v>0</v>
      </c>
      <c r="M1009">
        <f t="shared" si="41"/>
        <v>0</v>
      </c>
    </row>
    <row r="1010" spans="1:13" x14ac:dyDescent="0.25">
      <c r="A1010">
        <v>1001</v>
      </c>
      <c r="L1010">
        <f t="shared" si="42"/>
        <v>0</v>
      </c>
      <c r="M1010">
        <f t="shared" si="41"/>
        <v>0</v>
      </c>
    </row>
    <row r="1011" spans="1:13" x14ac:dyDescent="0.25">
      <c r="A1011">
        <v>1002</v>
      </c>
      <c r="L1011">
        <f t="shared" si="42"/>
        <v>0</v>
      </c>
      <c r="M1011">
        <f t="shared" si="41"/>
        <v>0</v>
      </c>
    </row>
    <row r="1012" spans="1:13" x14ac:dyDescent="0.25">
      <c r="A1012">
        <v>1003</v>
      </c>
      <c r="L1012">
        <f t="shared" si="42"/>
        <v>0</v>
      </c>
      <c r="M1012">
        <f t="shared" si="41"/>
        <v>0</v>
      </c>
    </row>
    <row r="1013" spans="1:13" x14ac:dyDescent="0.25">
      <c r="A1013">
        <v>1004</v>
      </c>
      <c r="L1013">
        <f t="shared" si="42"/>
        <v>0</v>
      </c>
      <c r="M1013">
        <f t="shared" si="41"/>
        <v>0</v>
      </c>
    </row>
    <row r="1014" spans="1:13" x14ac:dyDescent="0.25">
      <c r="A1014">
        <v>1005</v>
      </c>
      <c r="L1014">
        <f t="shared" si="42"/>
        <v>0</v>
      </c>
      <c r="M1014">
        <f t="shared" si="41"/>
        <v>0</v>
      </c>
    </row>
    <row r="1015" spans="1:13" x14ac:dyDescent="0.25">
      <c r="A1015">
        <v>1006</v>
      </c>
      <c r="L1015">
        <f t="shared" si="42"/>
        <v>0</v>
      </c>
      <c r="M1015">
        <f t="shared" si="41"/>
        <v>0</v>
      </c>
    </row>
    <row r="1016" spans="1:13" x14ac:dyDescent="0.25">
      <c r="A1016">
        <v>1007</v>
      </c>
      <c r="L1016">
        <f t="shared" si="42"/>
        <v>0</v>
      </c>
      <c r="M1016">
        <f t="shared" si="41"/>
        <v>0</v>
      </c>
    </row>
    <row r="1017" spans="1:13" x14ac:dyDescent="0.25">
      <c r="A1017">
        <v>1008</v>
      </c>
      <c r="L1017">
        <f t="shared" si="42"/>
        <v>0</v>
      </c>
      <c r="M1017">
        <f t="shared" si="41"/>
        <v>0</v>
      </c>
    </row>
    <row r="1018" spans="1:13" x14ac:dyDescent="0.25">
      <c r="A1018">
        <v>1009</v>
      </c>
      <c r="L1018">
        <f t="shared" si="42"/>
        <v>0</v>
      </c>
      <c r="M1018">
        <f t="shared" si="41"/>
        <v>0</v>
      </c>
    </row>
    <row r="1019" spans="1:13" x14ac:dyDescent="0.25">
      <c r="A1019">
        <v>1010</v>
      </c>
      <c r="L1019">
        <f t="shared" si="42"/>
        <v>0</v>
      </c>
      <c r="M1019">
        <f t="shared" si="41"/>
        <v>0</v>
      </c>
    </row>
    <row r="1020" spans="1:13" x14ac:dyDescent="0.25">
      <c r="A1020">
        <v>1011</v>
      </c>
      <c r="L1020">
        <f t="shared" si="42"/>
        <v>0</v>
      </c>
      <c r="M1020">
        <f t="shared" si="41"/>
        <v>0</v>
      </c>
    </row>
    <row r="1021" spans="1:13" x14ac:dyDescent="0.25">
      <c r="A1021">
        <v>1012</v>
      </c>
      <c r="L1021">
        <f t="shared" si="42"/>
        <v>0</v>
      </c>
      <c r="M1021">
        <f t="shared" si="41"/>
        <v>0</v>
      </c>
    </row>
    <row r="1022" spans="1:13" x14ac:dyDescent="0.25">
      <c r="A1022">
        <v>1013</v>
      </c>
      <c r="L1022">
        <f t="shared" si="42"/>
        <v>0</v>
      </c>
      <c r="M1022">
        <f t="shared" si="41"/>
        <v>0</v>
      </c>
    </row>
    <row r="1023" spans="1:13" x14ac:dyDescent="0.25">
      <c r="A1023">
        <v>1014</v>
      </c>
      <c r="L1023">
        <f t="shared" si="42"/>
        <v>0</v>
      </c>
      <c r="M1023">
        <f t="shared" ref="M1023:M1086" si="43">+I1023/IF(H1023 = 0,1,H1023)</f>
        <v>0</v>
      </c>
    </row>
    <row r="1024" spans="1:13" x14ac:dyDescent="0.25">
      <c r="A1024">
        <v>1015</v>
      </c>
      <c r="L1024">
        <f t="shared" si="42"/>
        <v>0</v>
      </c>
      <c r="M1024">
        <f t="shared" si="43"/>
        <v>0</v>
      </c>
    </row>
    <row r="1025" spans="1:13" x14ac:dyDescent="0.25">
      <c r="A1025">
        <v>1016</v>
      </c>
      <c r="L1025">
        <f t="shared" si="42"/>
        <v>0</v>
      </c>
      <c r="M1025">
        <f t="shared" si="43"/>
        <v>0</v>
      </c>
    </row>
    <row r="1026" spans="1:13" x14ac:dyDescent="0.25">
      <c r="A1026">
        <v>1017</v>
      </c>
      <c r="L1026">
        <f t="shared" si="42"/>
        <v>0</v>
      </c>
      <c r="M1026">
        <f t="shared" si="43"/>
        <v>0</v>
      </c>
    </row>
    <row r="1027" spans="1:13" x14ac:dyDescent="0.25">
      <c r="A1027">
        <v>1018</v>
      </c>
      <c r="L1027">
        <f t="shared" si="42"/>
        <v>0</v>
      </c>
      <c r="M1027">
        <f t="shared" si="43"/>
        <v>0</v>
      </c>
    </row>
    <row r="1028" spans="1:13" x14ac:dyDescent="0.25">
      <c r="A1028">
        <v>1019</v>
      </c>
      <c r="L1028">
        <f t="shared" si="42"/>
        <v>0</v>
      </c>
      <c r="M1028">
        <f t="shared" si="43"/>
        <v>0</v>
      </c>
    </row>
    <row r="1029" spans="1:13" x14ac:dyDescent="0.25">
      <c r="A1029">
        <v>1020</v>
      </c>
      <c r="L1029">
        <f t="shared" si="42"/>
        <v>0</v>
      </c>
      <c r="M1029">
        <f t="shared" si="43"/>
        <v>0</v>
      </c>
    </row>
    <row r="1030" spans="1:13" x14ac:dyDescent="0.25">
      <c r="A1030">
        <v>1021</v>
      </c>
      <c r="L1030">
        <f t="shared" si="42"/>
        <v>0</v>
      </c>
      <c r="M1030">
        <f t="shared" si="43"/>
        <v>0</v>
      </c>
    </row>
    <row r="1031" spans="1:13" x14ac:dyDescent="0.25">
      <c r="A1031">
        <v>1022</v>
      </c>
      <c r="L1031">
        <f t="shared" si="42"/>
        <v>0</v>
      </c>
      <c r="M1031">
        <f t="shared" si="43"/>
        <v>0</v>
      </c>
    </row>
    <row r="1032" spans="1:13" x14ac:dyDescent="0.25">
      <c r="A1032">
        <v>1023</v>
      </c>
      <c r="L1032">
        <f t="shared" si="42"/>
        <v>0</v>
      </c>
      <c r="M1032">
        <f t="shared" si="43"/>
        <v>0</v>
      </c>
    </row>
    <row r="1033" spans="1:13" x14ac:dyDescent="0.25">
      <c r="A1033">
        <v>1024</v>
      </c>
      <c r="L1033">
        <f t="shared" si="42"/>
        <v>0</v>
      </c>
      <c r="M1033">
        <f t="shared" si="43"/>
        <v>0</v>
      </c>
    </row>
    <row r="1034" spans="1:13" x14ac:dyDescent="0.25">
      <c r="A1034">
        <v>1025</v>
      </c>
      <c r="L1034">
        <f t="shared" si="42"/>
        <v>0</v>
      </c>
      <c r="M1034">
        <f t="shared" si="43"/>
        <v>0</v>
      </c>
    </row>
    <row r="1035" spans="1:13" x14ac:dyDescent="0.25">
      <c r="A1035">
        <v>1026</v>
      </c>
      <c r="L1035">
        <f t="shared" si="42"/>
        <v>0</v>
      </c>
      <c r="M1035">
        <f t="shared" si="43"/>
        <v>0</v>
      </c>
    </row>
    <row r="1036" spans="1:13" x14ac:dyDescent="0.25">
      <c r="A1036">
        <v>1027</v>
      </c>
      <c r="L1036">
        <f t="shared" si="42"/>
        <v>0</v>
      </c>
      <c r="M1036">
        <f t="shared" si="43"/>
        <v>0</v>
      </c>
    </row>
    <row r="1037" spans="1:13" x14ac:dyDescent="0.25">
      <c r="A1037">
        <v>1028</v>
      </c>
      <c r="L1037">
        <f t="shared" si="42"/>
        <v>0</v>
      </c>
      <c r="M1037">
        <f t="shared" si="43"/>
        <v>0</v>
      </c>
    </row>
    <row r="1038" spans="1:13" x14ac:dyDescent="0.25">
      <c r="A1038">
        <v>1029</v>
      </c>
      <c r="L1038">
        <f t="shared" si="42"/>
        <v>0</v>
      </c>
      <c r="M1038">
        <f t="shared" si="43"/>
        <v>0</v>
      </c>
    </row>
    <row r="1039" spans="1:13" x14ac:dyDescent="0.25">
      <c r="A1039">
        <v>1030</v>
      </c>
      <c r="L1039">
        <f t="shared" si="42"/>
        <v>0</v>
      </c>
      <c r="M1039">
        <f t="shared" si="43"/>
        <v>0</v>
      </c>
    </row>
    <row r="1040" spans="1:13" x14ac:dyDescent="0.25">
      <c r="A1040">
        <v>1031</v>
      </c>
      <c r="L1040">
        <f t="shared" si="42"/>
        <v>0</v>
      </c>
      <c r="M1040">
        <f t="shared" si="43"/>
        <v>0</v>
      </c>
    </row>
    <row r="1041" spans="1:13" x14ac:dyDescent="0.25">
      <c r="A1041">
        <v>1032</v>
      </c>
      <c r="L1041">
        <f t="shared" si="42"/>
        <v>0</v>
      </c>
      <c r="M1041">
        <f t="shared" si="43"/>
        <v>0</v>
      </c>
    </row>
    <row r="1042" spans="1:13" x14ac:dyDescent="0.25">
      <c r="A1042">
        <v>1033</v>
      </c>
      <c r="L1042">
        <f t="shared" si="42"/>
        <v>0</v>
      </c>
      <c r="M1042">
        <f t="shared" si="43"/>
        <v>0</v>
      </c>
    </row>
    <row r="1043" spans="1:13" x14ac:dyDescent="0.25">
      <c r="A1043">
        <v>1034</v>
      </c>
      <c r="L1043">
        <f t="shared" si="42"/>
        <v>0</v>
      </c>
      <c r="M1043">
        <f t="shared" si="43"/>
        <v>0</v>
      </c>
    </row>
    <row r="1044" spans="1:13" x14ac:dyDescent="0.25">
      <c r="A1044">
        <v>1035</v>
      </c>
      <c r="L1044">
        <f t="shared" si="42"/>
        <v>0</v>
      </c>
      <c r="M1044">
        <f t="shared" si="43"/>
        <v>0</v>
      </c>
    </row>
    <row r="1045" spans="1:13" x14ac:dyDescent="0.25">
      <c r="A1045">
        <v>1036</v>
      </c>
      <c r="L1045">
        <f t="shared" si="42"/>
        <v>0</v>
      </c>
      <c r="M1045">
        <f t="shared" si="43"/>
        <v>0</v>
      </c>
    </row>
    <row r="1046" spans="1:13" x14ac:dyDescent="0.25">
      <c r="A1046">
        <v>1037</v>
      </c>
      <c r="L1046">
        <f t="shared" si="42"/>
        <v>0</v>
      </c>
      <c r="M1046">
        <f t="shared" si="43"/>
        <v>0</v>
      </c>
    </row>
    <row r="1047" spans="1:13" x14ac:dyDescent="0.25">
      <c r="A1047">
        <v>1038</v>
      </c>
      <c r="L1047">
        <f t="shared" si="42"/>
        <v>0</v>
      </c>
      <c r="M1047">
        <f t="shared" si="43"/>
        <v>0</v>
      </c>
    </row>
    <row r="1048" spans="1:13" x14ac:dyDescent="0.25">
      <c r="A1048">
        <v>1039</v>
      </c>
      <c r="L1048">
        <f t="shared" si="42"/>
        <v>0</v>
      </c>
      <c r="M1048">
        <f t="shared" si="43"/>
        <v>0</v>
      </c>
    </row>
    <row r="1049" spans="1:13" x14ac:dyDescent="0.25">
      <c r="A1049">
        <v>1040</v>
      </c>
      <c r="L1049">
        <f t="shared" si="42"/>
        <v>0</v>
      </c>
      <c r="M1049">
        <f t="shared" si="43"/>
        <v>0</v>
      </c>
    </row>
    <row r="1050" spans="1:13" x14ac:dyDescent="0.25">
      <c r="A1050">
        <v>1041</v>
      </c>
      <c r="L1050">
        <f t="shared" si="42"/>
        <v>0</v>
      </c>
      <c r="M1050">
        <f t="shared" si="43"/>
        <v>0</v>
      </c>
    </row>
    <row r="1051" spans="1:13" x14ac:dyDescent="0.25">
      <c r="A1051">
        <v>1042</v>
      </c>
      <c r="L1051">
        <f t="shared" si="42"/>
        <v>0</v>
      </c>
      <c r="M1051">
        <f t="shared" si="43"/>
        <v>0</v>
      </c>
    </row>
    <row r="1052" spans="1:13" x14ac:dyDescent="0.25">
      <c r="A1052">
        <v>1043</v>
      </c>
      <c r="L1052">
        <f t="shared" si="42"/>
        <v>0</v>
      </c>
      <c r="M1052">
        <f t="shared" si="43"/>
        <v>0</v>
      </c>
    </row>
    <row r="1053" spans="1:13" x14ac:dyDescent="0.25">
      <c r="A1053">
        <v>1044</v>
      </c>
      <c r="L1053">
        <f t="shared" si="42"/>
        <v>0</v>
      </c>
      <c r="M1053">
        <f t="shared" si="43"/>
        <v>0</v>
      </c>
    </row>
    <row r="1054" spans="1:13" x14ac:dyDescent="0.25">
      <c r="A1054">
        <v>1045</v>
      </c>
      <c r="L1054">
        <f t="shared" si="42"/>
        <v>0</v>
      </c>
      <c r="M1054">
        <f t="shared" si="43"/>
        <v>0</v>
      </c>
    </row>
    <row r="1055" spans="1:13" x14ac:dyDescent="0.25">
      <c r="A1055">
        <v>1046</v>
      </c>
      <c r="L1055">
        <f t="shared" si="42"/>
        <v>0</v>
      </c>
      <c r="M1055">
        <f t="shared" si="43"/>
        <v>0</v>
      </c>
    </row>
    <row r="1056" spans="1:13" x14ac:dyDescent="0.25">
      <c r="A1056">
        <v>1047</v>
      </c>
      <c r="L1056">
        <f t="shared" si="42"/>
        <v>0</v>
      </c>
      <c r="M1056">
        <f t="shared" si="43"/>
        <v>0</v>
      </c>
    </row>
    <row r="1057" spans="1:13" x14ac:dyDescent="0.25">
      <c r="A1057">
        <v>1048</v>
      </c>
      <c r="L1057">
        <f t="shared" si="42"/>
        <v>0</v>
      </c>
      <c r="M1057">
        <f t="shared" si="43"/>
        <v>0</v>
      </c>
    </row>
    <row r="1058" spans="1:13" x14ac:dyDescent="0.25">
      <c r="A1058">
        <v>1049</v>
      </c>
      <c r="L1058">
        <f t="shared" si="42"/>
        <v>0</v>
      </c>
      <c r="M1058">
        <f t="shared" si="43"/>
        <v>0</v>
      </c>
    </row>
    <row r="1059" spans="1:13" x14ac:dyDescent="0.25">
      <c r="A1059">
        <v>1050</v>
      </c>
      <c r="L1059">
        <f t="shared" si="42"/>
        <v>0</v>
      </c>
      <c r="M1059">
        <f t="shared" si="43"/>
        <v>0</v>
      </c>
    </row>
    <row r="1060" spans="1:13" x14ac:dyDescent="0.25">
      <c r="A1060">
        <v>1051</v>
      </c>
      <c r="L1060">
        <f t="shared" si="42"/>
        <v>0</v>
      </c>
      <c r="M1060">
        <f t="shared" si="43"/>
        <v>0</v>
      </c>
    </row>
    <row r="1061" spans="1:13" x14ac:dyDescent="0.25">
      <c r="A1061">
        <v>1052</v>
      </c>
      <c r="L1061">
        <f t="shared" si="42"/>
        <v>0</v>
      </c>
      <c r="M1061">
        <f t="shared" si="43"/>
        <v>0</v>
      </c>
    </row>
    <row r="1062" spans="1:13" x14ac:dyDescent="0.25">
      <c r="A1062">
        <v>1053</v>
      </c>
      <c r="L1062">
        <f t="shared" si="42"/>
        <v>0</v>
      </c>
      <c r="M1062">
        <f t="shared" si="43"/>
        <v>0</v>
      </c>
    </row>
    <row r="1063" spans="1:13" x14ac:dyDescent="0.25">
      <c r="A1063">
        <v>1054</v>
      </c>
      <c r="L1063">
        <f t="shared" si="42"/>
        <v>0</v>
      </c>
      <c r="M1063">
        <f t="shared" si="43"/>
        <v>0</v>
      </c>
    </row>
    <row r="1064" spans="1:13" x14ac:dyDescent="0.25">
      <c r="A1064">
        <v>1055</v>
      </c>
      <c r="L1064">
        <f t="shared" si="42"/>
        <v>0</v>
      </c>
      <c r="M1064">
        <f t="shared" si="43"/>
        <v>0</v>
      </c>
    </row>
    <row r="1065" spans="1:13" x14ac:dyDescent="0.25">
      <c r="A1065">
        <v>1056</v>
      </c>
      <c r="L1065">
        <f t="shared" si="42"/>
        <v>0</v>
      </c>
      <c r="M1065">
        <f t="shared" si="43"/>
        <v>0</v>
      </c>
    </row>
    <row r="1066" spans="1:13" x14ac:dyDescent="0.25">
      <c r="A1066">
        <v>1057</v>
      </c>
      <c r="L1066">
        <f t="shared" si="42"/>
        <v>0</v>
      </c>
      <c r="M1066">
        <f t="shared" si="43"/>
        <v>0</v>
      </c>
    </row>
    <row r="1067" spans="1:13" x14ac:dyDescent="0.25">
      <c r="A1067">
        <v>1058</v>
      </c>
      <c r="L1067">
        <f t="shared" si="42"/>
        <v>0</v>
      </c>
      <c r="M1067">
        <f t="shared" si="43"/>
        <v>0</v>
      </c>
    </row>
    <row r="1068" spans="1:13" x14ac:dyDescent="0.25">
      <c r="A1068">
        <v>1059</v>
      </c>
      <c r="L1068">
        <f t="shared" si="42"/>
        <v>0</v>
      </c>
      <c r="M1068">
        <f t="shared" si="43"/>
        <v>0</v>
      </c>
    </row>
    <row r="1069" spans="1:13" x14ac:dyDescent="0.25">
      <c r="A1069">
        <v>1060</v>
      </c>
      <c r="L1069">
        <f t="shared" si="42"/>
        <v>0</v>
      </c>
      <c r="M1069">
        <f t="shared" si="43"/>
        <v>0</v>
      </c>
    </row>
    <row r="1070" spans="1:13" x14ac:dyDescent="0.25">
      <c r="A1070">
        <v>1061</v>
      </c>
      <c r="L1070">
        <f t="shared" ref="L1070:L1133" si="44">+I1070+H1070</f>
        <v>0</v>
      </c>
      <c r="M1070">
        <f t="shared" si="43"/>
        <v>0</v>
      </c>
    </row>
    <row r="1071" spans="1:13" x14ac:dyDescent="0.25">
      <c r="A1071">
        <v>1062</v>
      </c>
      <c r="L1071">
        <f t="shared" si="44"/>
        <v>0</v>
      </c>
      <c r="M1071">
        <f t="shared" si="43"/>
        <v>0</v>
      </c>
    </row>
    <row r="1072" spans="1:13" x14ac:dyDescent="0.25">
      <c r="A1072">
        <v>1063</v>
      </c>
      <c r="L1072">
        <f t="shared" si="44"/>
        <v>0</v>
      </c>
      <c r="M1072">
        <f t="shared" si="43"/>
        <v>0</v>
      </c>
    </row>
    <row r="1073" spans="1:13" x14ac:dyDescent="0.25">
      <c r="A1073">
        <v>1064</v>
      </c>
      <c r="L1073">
        <f t="shared" si="44"/>
        <v>0</v>
      </c>
      <c r="M1073">
        <f t="shared" si="43"/>
        <v>0</v>
      </c>
    </row>
    <row r="1074" spans="1:13" x14ac:dyDescent="0.25">
      <c r="A1074">
        <v>1065</v>
      </c>
      <c r="L1074">
        <f t="shared" si="44"/>
        <v>0</v>
      </c>
      <c r="M1074">
        <f t="shared" si="43"/>
        <v>0</v>
      </c>
    </row>
    <row r="1075" spans="1:13" x14ac:dyDescent="0.25">
      <c r="A1075">
        <v>1066</v>
      </c>
      <c r="L1075">
        <f t="shared" si="44"/>
        <v>0</v>
      </c>
      <c r="M1075">
        <f t="shared" si="43"/>
        <v>0</v>
      </c>
    </row>
    <row r="1076" spans="1:13" x14ac:dyDescent="0.25">
      <c r="A1076">
        <v>1067</v>
      </c>
      <c r="L1076">
        <f t="shared" si="44"/>
        <v>0</v>
      </c>
      <c r="M1076">
        <f t="shared" si="43"/>
        <v>0</v>
      </c>
    </row>
    <row r="1077" spans="1:13" x14ac:dyDescent="0.25">
      <c r="A1077">
        <v>1068</v>
      </c>
      <c r="L1077">
        <f t="shared" si="44"/>
        <v>0</v>
      </c>
      <c r="M1077">
        <f t="shared" si="43"/>
        <v>0</v>
      </c>
    </row>
    <row r="1078" spans="1:13" x14ac:dyDescent="0.25">
      <c r="A1078">
        <v>1069</v>
      </c>
      <c r="L1078">
        <f t="shared" si="44"/>
        <v>0</v>
      </c>
      <c r="M1078">
        <f t="shared" si="43"/>
        <v>0</v>
      </c>
    </row>
    <row r="1079" spans="1:13" x14ac:dyDescent="0.25">
      <c r="A1079">
        <v>1070</v>
      </c>
      <c r="L1079">
        <f t="shared" si="44"/>
        <v>0</v>
      </c>
      <c r="M1079">
        <f t="shared" si="43"/>
        <v>0</v>
      </c>
    </row>
    <row r="1080" spans="1:13" x14ac:dyDescent="0.25">
      <c r="A1080">
        <v>1071</v>
      </c>
      <c r="L1080">
        <f t="shared" si="44"/>
        <v>0</v>
      </c>
      <c r="M1080">
        <f t="shared" si="43"/>
        <v>0</v>
      </c>
    </row>
    <row r="1081" spans="1:13" x14ac:dyDescent="0.25">
      <c r="A1081">
        <v>1072</v>
      </c>
      <c r="L1081">
        <f t="shared" si="44"/>
        <v>0</v>
      </c>
      <c r="M1081">
        <f t="shared" si="43"/>
        <v>0</v>
      </c>
    </row>
    <row r="1082" spans="1:13" x14ac:dyDescent="0.25">
      <c r="A1082">
        <v>1073</v>
      </c>
      <c r="L1082">
        <f t="shared" si="44"/>
        <v>0</v>
      </c>
      <c r="M1082">
        <f t="shared" si="43"/>
        <v>0</v>
      </c>
    </row>
    <row r="1083" spans="1:13" x14ac:dyDescent="0.25">
      <c r="A1083">
        <v>1074</v>
      </c>
      <c r="L1083">
        <f t="shared" si="44"/>
        <v>0</v>
      </c>
      <c r="M1083">
        <f t="shared" si="43"/>
        <v>0</v>
      </c>
    </row>
    <row r="1084" spans="1:13" x14ac:dyDescent="0.25">
      <c r="A1084">
        <v>1075</v>
      </c>
      <c r="L1084">
        <f t="shared" si="44"/>
        <v>0</v>
      </c>
      <c r="M1084">
        <f t="shared" si="43"/>
        <v>0</v>
      </c>
    </row>
    <row r="1085" spans="1:13" x14ac:dyDescent="0.25">
      <c r="A1085">
        <v>1076</v>
      </c>
      <c r="L1085">
        <f t="shared" si="44"/>
        <v>0</v>
      </c>
      <c r="M1085">
        <f t="shared" si="43"/>
        <v>0</v>
      </c>
    </row>
    <row r="1086" spans="1:13" x14ac:dyDescent="0.25">
      <c r="A1086">
        <v>1077</v>
      </c>
      <c r="L1086">
        <f t="shared" si="44"/>
        <v>0</v>
      </c>
      <c r="M1086">
        <f t="shared" si="43"/>
        <v>0</v>
      </c>
    </row>
    <row r="1087" spans="1:13" x14ac:dyDescent="0.25">
      <c r="A1087">
        <v>1078</v>
      </c>
      <c r="L1087">
        <f t="shared" si="44"/>
        <v>0</v>
      </c>
      <c r="M1087">
        <f t="shared" ref="M1087:M1150" si="45">+I1087/IF(H1087 = 0,1,H1087)</f>
        <v>0</v>
      </c>
    </row>
    <row r="1088" spans="1:13" x14ac:dyDescent="0.25">
      <c r="A1088">
        <v>1079</v>
      </c>
      <c r="L1088">
        <f t="shared" si="44"/>
        <v>0</v>
      </c>
      <c r="M1088">
        <f t="shared" si="45"/>
        <v>0</v>
      </c>
    </row>
    <row r="1089" spans="1:13" x14ac:dyDescent="0.25">
      <c r="A1089">
        <v>1080</v>
      </c>
      <c r="L1089">
        <f t="shared" si="44"/>
        <v>0</v>
      </c>
      <c r="M1089">
        <f t="shared" si="45"/>
        <v>0</v>
      </c>
    </row>
    <row r="1090" spans="1:13" x14ac:dyDescent="0.25">
      <c r="A1090">
        <v>1081</v>
      </c>
      <c r="L1090">
        <f t="shared" si="44"/>
        <v>0</v>
      </c>
      <c r="M1090">
        <f t="shared" si="45"/>
        <v>0</v>
      </c>
    </row>
    <row r="1091" spans="1:13" x14ac:dyDescent="0.25">
      <c r="A1091">
        <v>1082</v>
      </c>
      <c r="L1091">
        <f t="shared" si="44"/>
        <v>0</v>
      </c>
      <c r="M1091">
        <f t="shared" si="45"/>
        <v>0</v>
      </c>
    </row>
    <row r="1092" spans="1:13" x14ac:dyDescent="0.25">
      <c r="A1092">
        <v>1083</v>
      </c>
      <c r="L1092">
        <f t="shared" si="44"/>
        <v>0</v>
      </c>
      <c r="M1092">
        <f t="shared" si="45"/>
        <v>0</v>
      </c>
    </row>
    <row r="1093" spans="1:13" x14ac:dyDescent="0.25">
      <c r="A1093">
        <v>1084</v>
      </c>
      <c r="L1093">
        <f t="shared" si="44"/>
        <v>0</v>
      </c>
      <c r="M1093">
        <f t="shared" si="45"/>
        <v>0</v>
      </c>
    </row>
    <row r="1094" spans="1:13" x14ac:dyDescent="0.25">
      <c r="A1094">
        <v>1085</v>
      </c>
      <c r="L1094">
        <f t="shared" si="44"/>
        <v>0</v>
      </c>
      <c r="M1094">
        <f t="shared" si="45"/>
        <v>0</v>
      </c>
    </row>
    <row r="1095" spans="1:13" x14ac:dyDescent="0.25">
      <c r="A1095">
        <v>1086</v>
      </c>
      <c r="L1095">
        <f t="shared" si="44"/>
        <v>0</v>
      </c>
      <c r="M1095">
        <f t="shared" si="45"/>
        <v>0</v>
      </c>
    </row>
    <row r="1096" spans="1:13" x14ac:dyDescent="0.25">
      <c r="A1096">
        <v>1087</v>
      </c>
      <c r="L1096">
        <f t="shared" si="44"/>
        <v>0</v>
      </c>
      <c r="M1096">
        <f t="shared" si="45"/>
        <v>0</v>
      </c>
    </row>
    <row r="1097" spans="1:13" x14ac:dyDescent="0.25">
      <c r="A1097">
        <v>1088</v>
      </c>
      <c r="L1097">
        <f t="shared" si="44"/>
        <v>0</v>
      </c>
      <c r="M1097">
        <f t="shared" si="45"/>
        <v>0</v>
      </c>
    </row>
    <row r="1098" spans="1:13" x14ac:dyDescent="0.25">
      <c r="A1098">
        <v>1089</v>
      </c>
      <c r="L1098">
        <f t="shared" si="44"/>
        <v>0</v>
      </c>
      <c r="M1098">
        <f t="shared" si="45"/>
        <v>0</v>
      </c>
    </row>
    <row r="1099" spans="1:13" x14ac:dyDescent="0.25">
      <c r="A1099">
        <v>1090</v>
      </c>
      <c r="L1099">
        <f t="shared" si="44"/>
        <v>0</v>
      </c>
      <c r="M1099">
        <f t="shared" si="45"/>
        <v>0</v>
      </c>
    </row>
    <row r="1100" spans="1:13" x14ac:dyDescent="0.25">
      <c r="A1100">
        <v>1091</v>
      </c>
      <c r="L1100">
        <f t="shared" si="44"/>
        <v>0</v>
      </c>
      <c r="M1100">
        <f t="shared" si="45"/>
        <v>0</v>
      </c>
    </row>
    <row r="1101" spans="1:13" x14ac:dyDescent="0.25">
      <c r="A1101">
        <v>1092</v>
      </c>
      <c r="L1101">
        <f t="shared" si="44"/>
        <v>0</v>
      </c>
      <c r="M1101">
        <f t="shared" si="45"/>
        <v>0</v>
      </c>
    </row>
    <row r="1102" spans="1:13" x14ac:dyDescent="0.25">
      <c r="A1102">
        <v>1093</v>
      </c>
      <c r="L1102">
        <f t="shared" si="44"/>
        <v>0</v>
      </c>
      <c r="M1102">
        <f t="shared" si="45"/>
        <v>0</v>
      </c>
    </row>
    <row r="1103" spans="1:13" x14ac:dyDescent="0.25">
      <c r="A1103">
        <v>1094</v>
      </c>
      <c r="L1103">
        <f t="shared" si="44"/>
        <v>0</v>
      </c>
      <c r="M1103">
        <f t="shared" si="45"/>
        <v>0</v>
      </c>
    </row>
    <row r="1104" spans="1:13" x14ac:dyDescent="0.25">
      <c r="A1104">
        <v>1095</v>
      </c>
      <c r="L1104">
        <f t="shared" si="44"/>
        <v>0</v>
      </c>
      <c r="M1104">
        <f t="shared" si="45"/>
        <v>0</v>
      </c>
    </row>
    <row r="1105" spans="1:13" x14ac:dyDescent="0.25">
      <c r="A1105">
        <v>1096</v>
      </c>
      <c r="L1105">
        <f t="shared" si="44"/>
        <v>0</v>
      </c>
      <c r="M1105">
        <f t="shared" si="45"/>
        <v>0</v>
      </c>
    </row>
    <row r="1106" spans="1:13" x14ac:dyDescent="0.25">
      <c r="A1106">
        <v>1097</v>
      </c>
      <c r="L1106">
        <f t="shared" si="44"/>
        <v>0</v>
      </c>
      <c r="M1106">
        <f t="shared" si="45"/>
        <v>0</v>
      </c>
    </row>
    <row r="1107" spans="1:13" x14ac:dyDescent="0.25">
      <c r="A1107">
        <v>1098</v>
      </c>
      <c r="L1107">
        <f t="shared" si="44"/>
        <v>0</v>
      </c>
      <c r="M1107">
        <f t="shared" si="45"/>
        <v>0</v>
      </c>
    </row>
    <row r="1108" spans="1:13" x14ac:dyDescent="0.25">
      <c r="A1108">
        <v>1099</v>
      </c>
      <c r="L1108">
        <f t="shared" si="44"/>
        <v>0</v>
      </c>
      <c r="M1108">
        <f t="shared" si="45"/>
        <v>0</v>
      </c>
    </row>
    <row r="1109" spans="1:13" x14ac:dyDescent="0.25">
      <c r="A1109">
        <v>1100</v>
      </c>
      <c r="L1109">
        <f t="shared" si="44"/>
        <v>0</v>
      </c>
      <c r="M1109">
        <f t="shared" si="45"/>
        <v>0</v>
      </c>
    </row>
    <row r="1110" spans="1:13" x14ac:dyDescent="0.25">
      <c r="A1110">
        <v>1101</v>
      </c>
      <c r="L1110">
        <f t="shared" si="44"/>
        <v>0</v>
      </c>
      <c r="M1110">
        <f t="shared" si="45"/>
        <v>0</v>
      </c>
    </row>
    <row r="1111" spans="1:13" x14ac:dyDescent="0.25">
      <c r="A1111">
        <v>1102</v>
      </c>
      <c r="L1111">
        <f t="shared" si="44"/>
        <v>0</v>
      </c>
      <c r="M1111">
        <f t="shared" si="45"/>
        <v>0</v>
      </c>
    </row>
    <row r="1112" spans="1:13" x14ac:dyDescent="0.25">
      <c r="A1112">
        <v>1103</v>
      </c>
      <c r="L1112">
        <f t="shared" si="44"/>
        <v>0</v>
      </c>
      <c r="M1112">
        <f t="shared" si="45"/>
        <v>0</v>
      </c>
    </row>
    <row r="1113" spans="1:13" x14ac:dyDescent="0.25">
      <c r="A1113">
        <v>1104</v>
      </c>
      <c r="L1113">
        <f t="shared" si="44"/>
        <v>0</v>
      </c>
      <c r="M1113">
        <f t="shared" si="45"/>
        <v>0</v>
      </c>
    </row>
    <row r="1114" spans="1:13" x14ac:dyDescent="0.25">
      <c r="A1114">
        <v>1105</v>
      </c>
      <c r="L1114">
        <f t="shared" si="44"/>
        <v>0</v>
      </c>
      <c r="M1114">
        <f t="shared" si="45"/>
        <v>0</v>
      </c>
    </row>
    <row r="1115" spans="1:13" x14ac:dyDescent="0.25">
      <c r="A1115">
        <v>1106</v>
      </c>
      <c r="L1115">
        <f t="shared" si="44"/>
        <v>0</v>
      </c>
      <c r="M1115">
        <f t="shared" si="45"/>
        <v>0</v>
      </c>
    </row>
    <row r="1116" spans="1:13" x14ac:dyDescent="0.25">
      <c r="A1116">
        <v>1107</v>
      </c>
      <c r="L1116">
        <f t="shared" si="44"/>
        <v>0</v>
      </c>
      <c r="M1116">
        <f t="shared" si="45"/>
        <v>0</v>
      </c>
    </row>
    <row r="1117" spans="1:13" x14ac:dyDescent="0.25">
      <c r="A1117">
        <v>1108</v>
      </c>
      <c r="L1117">
        <f t="shared" si="44"/>
        <v>0</v>
      </c>
      <c r="M1117">
        <f t="shared" si="45"/>
        <v>0</v>
      </c>
    </row>
    <row r="1118" spans="1:13" x14ac:dyDescent="0.25">
      <c r="A1118">
        <v>1109</v>
      </c>
      <c r="L1118">
        <f t="shared" si="44"/>
        <v>0</v>
      </c>
      <c r="M1118">
        <f t="shared" si="45"/>
        <v>0</v>
      </c>
    </row>
    <row r="1119" spans="1:13" x14ac:dyDescent="0.25">
      <c r="A1119">
        <v>1110</v>
      </c>
      <c r="L1119">
        <f t="shared" si="44"/>
        <v>0</v>
      </c>
      <c r="M1119">
        <f t="shared" si="45"/>
        <v>0</v>
      </c>
    </row>
    <row r="1120" spans="1:13" x14ac:dyDescent="0.25">
      <c r="A1120">
        <v>1111</v>
      </c>
      <c r="L1120">
        <f t="shared" si="44"/>
        <v>0</v>
      </c>
      <c r="M1120">
        <f t="shared" si="45"/>
        <v>0</v>
      </c>
    </row>
    <row r="1121" spans="1:13" x14ac:dyDescent="0.25">
      <c r="A1121">
        <v>1112</v>
      </c>
      <c r="L1121">
        <f t="shared" si="44"/>
        <v>0</v>
      </c>
      <c r="M1121">
        <f t="shared" si="45"/>
        <v>0</v>
      </c>
    </row>
    <row r="1122" spans="1:13" x14ac:dyDescent="0.25">
      <c r="A1122">
        <v>1113</v>
      </c>
      <c r="L1122">
        <f t="shared" si="44"/>
        <v>0</v>
      </c>
      <c r="M1122">
        <f t="shared" si="45"/>
        <v>0</v>
      </c>
    </row>
    <row r="1123" spans="1:13" x14ac:dyDescent="0.25">
      <c r="A1123">
        <v>1114</v>
      </c>
      <c r="L1123">
        <f t="shared" si="44"/>
        <v>0</v>
      </c>
      <c r="M1123">
        <f t="shared" si="45"/>
        <v>0</v>
      </c>
    </row>
    <row r="1124" spans="1:13" x14ac:dyDescent="0.25">
      <c r="A1124">
        <v>1115</v>
      </c>
      <c r="L1124">
        <f t="shared" si="44"/>
        <v>0</v>
      </c>
      <c r="M1124">
        <f t="shared" si="45"/>
        <v>0</v>
      </c>
    </row>
    <row r="1125" spans="1:13" x14ac:dyDescent="0.25">
      <c r="A1125">
        <v>1116</v>
      </c>
      <c r="L1125">
        <f t="shared" si="44"/>
        <v>0</v>
      </c>
      <c r="M1125">
        <f t="shared" si="45"/>
        <v>0</v>
      </c>
    </row>
    <row r="1126" spans="1:13" x14ac:dyDescent="0.25">
      <c r="A1126">
        <v>1117</v>
      </c>
      <c r="L1126">
        <f t="shared" si="44"/>
        <v>0</v>
      </c>
      <c r="M1126">
        <f t="shared" si="45"/>
        <v>0</v>
      </c>
    </row>
    <row r="1127" spans="1:13" x14ac:dyDescent="0.25">
      <c r="A1127">
        <v>1118</v>
      </c>
      <c r="L1127">
        <f t="shared" si="44"/>
        <v>0</v>
      </c>
      <c r="M1127">
        <f t="shared" si="45"/>
        <v>0</v>
      </c>
    </row>
    <row r="1128" spans="1:13" x14ac:dyDescent="0.25">
      <c r="A1128">
        <v>1119</v>
      </c>
      <c r="L1128">
        <f t="shared" si="44"/>
        <v>0</v>
      </c>
      <c r="M1128">
        <f t="shared" si="45"/>
        <v>0</v>
      </c>
    </row>
    <row r="1129" spans="1:13" x14ac:dyDescent="0.25">
      <c r="A1129">
        <v>1120</v>
      </c>
      <c r="L1129">
        <f t="shared" si="44"/>
        <v>0</v>
      </c>
      <c r="M1129">
        <f t="shared" si="45"/>
        <v>0</v>
      </c>
    </row>
    <row r="1130" spans="1:13" x14ac:dyDescent="0.25">
      <c r="A1130">
        <v>1121</v>
      </c>
      <c r="L1130">
        <f t="shared" si="44"/>
        <v>0</v>
      </c>
      <c r="M1130">
        <f t="shared" si="45"/>
        <v>0</v>
      </c>
    </row>
    <row r="1131" spans="1:13" x14ac:dyDescent="0.25">
      <c r="A1131">
        <v>1122</v>
      </c>
      <c r="L1131">
        <f t="shared" si="44"/>
        <v>0</v>
      </c>
      <c r="M1131">
        <f t="shared" si="45"/>
        <v>0</v>
      </c>
    </row>
    <row r="1132" spans="1:13" x14ac:dyDescent="0.25">
      <c r="A1132">
        <v>1123</v>
      </c>
      <c r="L1132">
        <f t="shared" si="44"/>
        <v>0</v>
      </c>
      <c r="M1132">
        <f t="shared" si="45"/>
        <v>0</v>
      </c>
    </row>
    <row r="1133" spans="1:13" x14ac:dyDescent="0.25">
      <c r="A1133">
        <v>1124</v>
      </c>
      <c r="L1133">
        <f t="shared" si="44"/>
        <v>0</v>
      </c>
      <c r="M1133">
        <f t="shared" si="45"/>
        <v>0</v>
      </c>
    </row>
    <row r="1134" spans="1:13" x14ac:dyDescent="0.25">
      <c r="A1134">
        <v>1125</v>
      </c>
      <c r="L1134">
        <f t="shared" ref="L1134:L1197" si="46">+I1134+H1134</f>
        <v>0</v>
      </c>
      <c r="M1134">
        <f t="shared" si="45"/>
        <v>0</v>
      </c>
    </row>
    <row r="1135" spans="1:13" x14ac:dyDescent="0.25">
      <c r="A1135">
        <v>1126</v>
      </c>
      <c r="L1135">
        <f t="shared" si="46"/>
        <v>0</v>
      </c>
      <c r="M1135">
        <f t="shared" si="45"/>
        <v>0</v>
      </c>
    </row>
    <row r="1136" spans="1:13" x14ac:dyDescent="0.25">
      <c r="A1136">
        <v>1127</v>
      </c>
      <c r="L1136">
        <f t="shared" si="46"/>
        <v>0</v>
      </c>
      <c r="M1136">
        <f t="shared" si="45"/>
        <v>0</v>
      </c>
    </row>
    <row r="1137" spans="1:13" x14ac:dyDescent="0.25">
      <c r="A1137">
        <v>1128</v>
      </c>
      <c r="L1137">
        <f t="shared" si="46"/>
        <v>0</v>
      </c>
      <c r="M1137">
        <f t="shared" si="45"/>
        <v>0</v>
      </c>
    </row>
    <row r="1138" spans="1:13" x14ac:dyDescent="0.25">
      <c r="A1138">
        <v>1129</v>
      </c>
      <c r="L1138">
        <f t="shared" si="46"/>
        <v>0</v>
      </c>
      <c r="M1138">
        <f t="shared" si="45"/>
        <v>0</v>
      </c>
    </row>
    <row r="1139" spans="1:13" x14ac:dyDescent="0.25">
      <c r="A1139">
        <v>1130</v>
      </c>
      <c r="L1139">
        <f t="shared" si="46"/>
        <v>0</v>
      </c>
      <c r="M1139">
        <f t="shared" si="45"/>
        <v>0</v>
      </c>
    </row>
    <row r="1140" spans="1:13" x14ac:dyDescent="0.25">
      <c r="A1140">
        <v>1131</v>
      </c>
      <c r="L1140">
        <f t="shared" si="46"/>
        <v>0</v>
      </c>
      <c r="M1140">
        <f t="shared" si="45"/>
        <v>0</v>
      </c>
    </row>
    <row r="1141" spans="1:13" x14ac:dyDescent="0.25">
      <c r="A1141">
        <v>1132</v>
      </c>
      <c r="L1141">
        <f t="shared" si="46"/>
        <v>0</v>
      </c>
      <c r="M1141">
        <f t="shared" si="45"/>
        <v>0</v>
      </c>
    </row>
    <row r="1142" spans="1:13" x14ac:dyDescent="0.25">
      <c r="A1142">
        <v>1133</v>
      </c>
      <c r="L1142">
        <f t="shared" si="46"/>
        <v>0</v>
      </c>
      <c r="M1142">
        <f t="shared" si="45"/>
        <v>0</v>
      </c>
    </row>
    <row r="1143" spans="1:13" x14ac:dyDescent="0.25">
      <c r="A1143">
        <v>1134</v>
      </c>
      <c r="L1143">
        <f t="shared" si="46"/>
        <v>0</v>
      </c>
      <c r="M1143">
        <f t="shared" si="45"/>
        <v>0</v>
      </c>
    </row>
    <row r="1144" spans="1:13" x14ac:dyDescent="0.25">
      <c r="A1144">
        <v>1135</v>
      </c>
      <c r="L1144">
        <f t="shared" si="46"/>
        <v>0</v>
      </c>
      <c r="M1144">
        <f t="shared" si="45"/>
        <v>0</v>
      </c>
    </row>
    <row r="1145" spans="1:13" x14ac:dyDescent="0.25">
      <c r="A1145">
        <v>1136</v>
      </c>
      <c r="L1145">
        <f t="shared" si="46"/>
        <v>0</v>
      </c>
      <c r="M1145">
        <f t="shared" si="45"/>
        <v>0</v>
      </c>
    </row>
    <row r="1146" spans="1:13" x14ac:dyDescent="0.25">
      <c r="A1146">
        <v>1137</v>
      </c>
      <c r="L1146">
        <f t="shared" si="46"/>
        <v>0</v>
      </c>
      <c r="M1146">
        <f t="shared" si="45"/>
        <v>0</v>
      </c>
    </row>
    <row r="1147" spans="1:13" x14ac:dyDescent="0.25">
      <c r="A1147">
        <v>1138</v>
      </c>
      <c r="L1147">
        <f t="shared" si="46"/>
        <v>0</v>
      </c>
      <c r="M1147">
        <f t="shared" si="45"/>
        <v>0</v>
      </c>
    </row>
    <row r="1148" spans="1:13" x14ac:dyDescent="0.25">
      <c r="A1148">
        <v>1139</v>
      </c>
      <c r="L1148">
        <f t="shared" si="46"/>
        <v>0</v>
      </c>
      <c r="M1148">
        <f t="shared" si="45"/>
        <v>0</v>
      </c>
    </row>
    <row r="1149" spans="1:13" x14ac:dyDescent="0.25">
      <c r="A1149">
        <v>1140</v>
      </c>
      <c r="L1149">
        <f t="shared" si="46"/>
        <v>0</v>
      </c>
      <c r="M1149">
        <f t="shared" si="45"/>
        <v>0</v>
      </c>
    </row>
    <row r="1150" spans="1:13" x14ac:dyDescent="0.25">
      <c r="A1150">
        <v>1141</v>
      </c>
      <c r="L1150">
        <f t="shared" si="46"/>
        <v>0</v>
      </c>
      <c r="M1150">
        <f t="shared" si="45"/>
        <v>0</v>
      </c>
    </row>
    <row r="1151" spans="1:13" x14ac:dyDescent="0.25">
      <c r="A1151">
        <v>1142</v>
      </c>
      <c r="L1151">
        <f t="shared" si="46"/>
        <v>0</v>
      </c>
      <c r="M1151">
        <f t="shared" ref="M1151:M1214" si="47">+I1151/IF(H1151 = 0,1,H1151)</f>
        <v>0</v>
      </c>
    </row>
    <row r="1152" spans="1:13" x14ac:dyDescent="0.25">
      <c r="A1152">
        <v>1143</v>
      </c>
      <c r="L1152">
        <f t="shared" si="46"/>
        <v>0</v>
      </c>
      <c r="M1152">
        <f t="shared" si="47"/>
        <v>0</v>
      </c>
    </row>
    <row r="1153" spans="1:13" x14ac:dyDescent="0.25">
      <c r="A1153">
        <v>1144</v>
      </c>
      <c r="L1153">
        <f t="shared" si="46"/>
        <v>0</v>
      </c>
      <c r="M1153">
        <f t="shared" si="47"/>
        <v>0</v>
      </c>
    </row>
    <row r="1154" spans="1:13" x14ac:dyDescent="0.25">
      <c r="A1154">
        <v>1145</v>
      </c>
      <c r="L1154">
        <f t="shared" si="46"/>
        <v>0</v>
      </c>
      <c r="M1154">
        <f t="shared" si="47"/>
        <v>0</v>
      </c>
    </row>
    <row r="1155" spans="1:13" x14ac:dyDescent="0.25">
      <c r="A1155">
        <v>1146</v>
      </c>
      <c r="L1155">
        <f t="shared" si="46"/>
        <v>0</v>
      </c>
      <c r="M1155">
        <f t="shared" si="47"/>
        <v>0</v>
      </c>
    </row>
    <row r="1156" spans="1:13" x14ac:dyDescent="0.25">
      <c r="A1156">
        <v>1147</v>
      </c>
      <c r="L1156">
        <f t="shared" si="46"/>
        <v>0</v>
      </c>
      <c r="M1156">
        <f t="shared" si="47"/>
        <v>0</v>
      </c>
    </row>
    <row r="1157" spans="1:13" x14ac:dyDescent="0.25">
      <c r="A1157">
        <v>1148</v>
      </c>
      <c r="L1157">
        <f t="shared" si="46"/>
        <v>0</v>
      </c>
      <c r="M1157">
        <f t="shared" si="47"/>
        <v>0</v>
      </c>
    </row>
    <row r="1158" spans="1:13" x14ac:dyDescent="0.25">
      <c r="A1158">
        <v>1149</v>
      </c>
      <c r="L1158">
        <f t="shared" si="46"/>
        <v>0</v>
      </c>
      <c r="M1158">
        <f t="shared" si="47"/>
        <v>0</v>
      </c>
    </row>
    <row r="1159" spans="1:13" x14ac:dyDescent="0.25">
      <c r="A1159">
        <v>1150</v>
      </c>
      <c r="L1159">
        <f t="shared" si="46"/>
        <v>0</v>
      </c>
      <c r="M1159">
        <f t="shared" si="47"/>
        <v>0</v>
      </c>
    </row>
    <row r="1160" spans="1:13" x14ac:dyDescent="0.25">
      <c r="A1160">
        <v>1151</v>
      </c>
      <c r="L1160">
        <f t="shared" si="46"/>
        <v>0</v>
      </c>
      <c r="M1160">
        <f t="shared" si="47"/>
        <v>0</v>
      </c>
    </row>
    <row r="1161" spans="1:13" x14ac:dyDescent="0.25">
      <c r="A1161">
        <v>1152</v>
      </c>
      <c r="L1161">
        <f t="shared" si="46"/>
        <v>0</v>
      </c>
      <c r="M1161">
        <f t="shared" si="47"/>
        <v>0</v>
      </c>
    </row>
    <row r="1162" spans="1:13" x14ac:dyDescent="0.25">
      <c r="A1162">
        <v>1153</v>
      </c>
      <c r="L1162">
        <f t="shared" si="46"/>
        <v>0</v>
      </c>
      <c r="M1162">
        <f t="shared" si="47"/>
        <v>0</v>
      </c>
    </row>
    <row r="1163" spans="1:13" x14ac:dyDescent="0.25">
      <c r="A1163">
        <v>1154</v>
      </c>
      <c r="L1163">
        <f t="shared" si="46"/>
        <v>0</v>
      </c>
      <c r="M1163">
        <f t="shared" si="47"/>
        <v>0</v>
      </c>
    </row>
    <row r="1164" spans="1:13" x14ac:dyDescent="0.25">
      <c r="A1164">
        <v>1155</v>
      </c>
      <c r="L1164">
        <f t="shared" si="46"/>
        <v>0</v>
      </c>
      <c r="M1164">
        <f t="shared" si="47"/>
        <v>0</v>
      </c>
    </row>
    <row r="1165" spans="1:13" x14ac:dyDescent="0.25">
      <c r="A1165">
        <v>1156</v>
      </c>
      <c r="L1165">
        <f t="shared" si="46"/>
        <v>0</v>
      </c>
      <c r="M1165">
        <f t="shared" si="47"/>
        <v>0</v>
      </c>
    </row>
    <row r="1166" spans="1:13" x14ac:dyDescent="0.25">
      <c r="A1166">
        <v>1157</v>
      </c>
      <c r="L1166">
        <f t="shared" si="46"/>
        <v>0</v>
      </c>
      <c r="M1166">
        <f t="shared" si="47"/>
        <v>0</v>
      </c>
    </row>
    <row r="1167" spans="1:13" x14ac:dyDescent="0.25">
      <c r="A1167">
        <v>1158</v>
      </c>
      <c r="L1167">
        <f t="shared" si="46"/>
        <v>0</v>
      </c>
      <c r="M1167">
        <f t="shared" si="47"/>
        <v>0</v>
      </c>
    </row>
    <row r="1168" spans="1:13" x14ac:dyDescent="0.25">
      <c r="A1168">
        <v>1159</v>
      </c>
      <c r="L1168">
        <f t="shared" si="46"/>
        <v>0</v>
      </c>
      <c r="M1168">
        <f t="shared" si="47"/>
        <v>0</v>
      </c>
    </row>
    <row r="1169" spans="1:13" x14ac:dyDescent="0.25">
      <c r="A1169">
        <v>1160</v>
      </c>
      <c r="L1169">
        <f t="shared" si="46"/>
        <v>0</v>
      </c>
      <c r="M1169">
        <f t="shared" si="47"/>
        <v>0</v>
      </c>
    </row>
    <row r="1170" spans="1:13" x14ac:dyDescent="0.25">
      <c r="A1170">
        <v>1161</v>
      </c>
      <c r="L1170">
        <f t="shared" si="46"/>
        <v>0</v>
      </c>
      <c r="M1170">
        <f t="shared" si="47"/>
        <v>0</v>
      </c>
    </row>
    <row r="1171" spans="1:13" x14ac:dyDescent="0.25">
      <c r="A1171">
        <v>1162</v>
      </c>
      <c r="L1171">
        <f t="shared" si="46"/>
        <v>0</v>
      </c>
      <c r="M1171">
        <f t="shared" si="47"/>
        <v>0</v>
      </c>
    </row>
    <row r="1172" spans="1:13" x14ac:dyDescent="0.25">
      <c r="A1172">
        <v>1163</v>
      </c>
      <c r="L1172">
        <f t="shared" si="46"/>
        <v>0</v>
      </c>
      <c r="M1172">
        <f t="shared" si="47"/>
        <v>0</v>
      </c>
    </row>
    <row r="1173" spans="1:13" x14ac:dyDescent="0.25">
      <c r="A1173">
        <v>1164</v>
      </c>
      <c r="L1173">
        <f t="shared" si="46"/>
        <v>0</v>
      </c>
      <c r="M1173">
        <f t="shared" si="47"/>
        <v>0</v>
      </c>
    </row>
    <row r="1174" spans="1:13" x14ac:dyDescent="0.25">
      <c r="A1174">
        <v>1165</v>
      </c>
      <c r="L1174">
        <f t="shared" si="46"/>
        <v>0</v>
      </c>
      <c r="M1174">
        <f t="shared" si="47"/>
        <v>0</v>
      </c>
    </row>
    <row r="1175" spans="1:13" x14ac:dyDescent="0.25">
      <c r="A1175">
        <v>1166</v>
      </c>
      <c r="L1175">
        <f t="shared" si="46"/>
        <v>0</v>
      </c>
      <c r="M1175">
        <f t="shared" si="47"/>
        <v>0</v>
      </c>
    </row>
    <row r="1176" spans="1:13" x14ac:dyDescent="0.25">
      <c r="A1176">
        <v>1167</v>
      </c>
      <c r="L1176">
        <f t="shared" si="46"/>
        <v>0</v>
      </c>
      <c r="M1176">
        <f t="shared" si="47"/>
        <v>0</v>
      </c>
    </row>
    <row r="1177" spans="1:13" x14ac:dyDescent="0.25">
      <c r="A1177">
        <v>1168</v>
      </c>
      <c r="L1177">
        <f t="shared" si="46"/>
        <v>0</v>
      </c>
      <c r="M1177">
        <f t="shared" si="47"/>
        <v>0</v>
      </c>
    </row>
    <row r="1178" spans="1:13" x14ac:dyDescent="0.25">
      <c r="A1178">
        <v>1169</v>
      </c>
      <c r="L1178">
        <f t="shared" si="46"/>
        <v>0</v>
      </c>
      <c r="M1178">
        <f t="shared" si="47"/>
        <v>0</v>
      </c>
    </row>
    <row r="1179" spans="1:13" x14ac:dyDescent="0.25">
      <c r="A1179">
        <v>1170</v>
      </c>
      <c r="L1179">
        <f t="shared" si="46"/>
        <v>0</v>
      </c>
      <c r="M1179">
        <f t="shared" si="47"/>
        <v>0</v>
      </c>
    </row>
    <row r="1180" spans="1:13" x14ac:dyDescent="0.25">
      <c r="A1180">
        <v>1171</v>
      </c>
      <c r="L1180">
        <f t="shared" si="46"/>
        <v>0</v>
      </c>
      <c r="M1180">
        <f t="shared" si="47"/>
        <v>0</v>
      </c>
    </row>
    <row r="1181" spans="1:13" x14ac:dyDescent="0.25">
      <c r="A1181">
        <v>1172</v>
      </c>
      <c r="L1181">
        <f t="shared" si="46"/>
        <v>0</v>
      </c>
      <c r="M1181">
        <f t="shared" si="47"/>
        <v>0</v>
      </c>
    </row>
    <row r="1182" spans="1:13" x14ac:dyDescent="0.25">
      <c r="A1182">
        <v>1173</v>
      </c>
      <c r="L1182">
        <f t="shared" si="46"/>
        <v>0</v>
      </c>
      <c r="M1182">
        <f t="shared" si="47"/>
        <v>0</v>
      </c>
    </row>
    <row r="1183" spans="1:13" x14ac:dyDescent="0.25">
      <c r="A1183">
        <v>1174</v>
      </c>
      <c r="L1183">
        <f t="shared" si="46"/>
        <v>0</v>
      </c>
      <c r="M1183">
        <f t="shared" si="47"/>
        <v>0</v>
      </c>
    </row>
    <row r="1184" spans="1:13" x14ac:dyDescent="0.25">
      <c r="A1184">
        <v>1175</v>
      </c>
      <c r="L1184">
        <f t="shared" si="46"/>
        <v>0</v>
      </c>
      <c r="M1184">
        <f t="shared" si="47"/>
        <v>0</v>
      </c>
    </row>
    <row r="1185" spans="1:13" x14ac:dyDescent="0.25">
      <c r="A1185">
        <v>1176</v>
      </c>
      <c r="L1185">
        <f t="shared" si="46"/>
        <v>0</v>
      </c>
      <c r="M1185">
        <f t="shared" si="47"/>
        <v>0</v>
      </c>
    </row>
    <row r="1186" spans="1:13" x14ac:dyDescent="0.25">
      <c r="A1186">
        <v>1177</v>
      </c>
      <c r="L1186">
        <f t="shared" si="46"/>
        <v>0</v>
      </c>
      <c r="M1186">
        <f t="shared" si="47"/>
        <v>0</v>
      </c>
    </row>
    <row r="1187" spans="1:13" x14ac:dyDescent="0.25">
      <c r="A1187">
        <v>1178</v>
      </c>
      <c r="L1187">
        <f t="shared" si="46"/>
        <v>0</v>
      </c>
      <c r="M1187">
        <f t="shared" si="47"/>
        <v>0</v>
      </c>
    </row>
    <row r="1188" spans="1:13" x14ac:dyDescent="0.25">
      <c r="A1188">
        <v>1179</v>
      </c>
      <c r="L1188">
        <f t="shared" si="46"/>
        <v>0</v>
      </c>
      <c r="M1188">
        <f t="shared" si="47"/>
        <v>0</v>
      </c>
    </row>
    <row r="1189" spans="1:13" x14ac:dyDescent="0.25">
      <c r="A1189">
        <v>1180</v>
      </c>
      <c r="L1189">
        <f t="shared" si="46"/>
        <v>0</v>
      </c>
      <c r="M1189">
        <f t="shared" si="47"/>
        <v>0</v>
      </c>
    </row>
    <row r="1190" spans="1:13" x14ac:dyDescent="0.25">
      <c r="A1190">
        <v>1181</v>
      </c>
      <c r="L1190">
        <f t="shared" si="46"/>
        <v>0</v>
      </c>
      <c r="M1190">
        <f t="shared" si="47"/>
        <v>0</v>
      </c>
    </row>
    <row r="1191" spans="1:13" x14ac:dyDescent="0.25">
      <c r="A1191">
        <v>1182</v>
      </c>
      <c r="L1191">
        <f t="shared" si="46"/>
        <v>0</v>
      </c>
      <c r="M1191">
        <f t="shared" si="47"/>
        <v>0</v>
      </c>
    </row>
    <row r="1192" spans="1:13" x14ac:dyDescent="0.25">
      <c r="A1192">
        <v>1183</v>
      </c>
      <c r="L1192">
        <f t="shared" si="46"/>
        <v>0</v>
      </c>
      <c r="M1192">
        <f t="shared" si="47"/>
        <v>0</v>
      </c>
    </row>
    <row r="1193" spans="1:13" x14ac:dyDescent="0.25">
      <c r="A1193">
        <v>1184</v>
      </c>
      <c r="L1193">
        <f t="shared" si="46"/>
        <v>0</v>
      </c>
      <c r="M1193">
        <f t="shared" si="47"/>
        <v>0</v>
      </c>
    </row>
    <row r="1194" spans="1:13" x14ac:dyDescent="0.25">
      <c r="A1194">
        <v>1185</v>
      </c>
      <c r="L1194">
        <f t="shared" si="46"/>
        <v>0</v>
      </c>
      <c r="M1194">
        <f t="shared" si="47"/>
        <v>0</v>
      </c>
    </row>
    <row r="1195" spans="1:13" x14ac:dyDescent="0.25">
      <c r="A1195">
        <v>1186</v>
      </c>
      <c r="L1195">
        <f t="shared" si="46"/>
        <v>0</v>
      </c>
      <c r="M1195">
        <f t="shared" si="47"/>
        <v>0</v>
      </c>
    </row>
    <row r="1196" spans="1:13" x14ac:dyDescent="0.25">
      <c r="A1196">
        <v>1187</v>
      </c>
      <c r="L1196">
        <f t="shared" si="46"/>
        <v>0</v>
      </c>
      <c r="M1196">
        <f t="shared" si="47"/>
        <v>0</v>
      </c>
    </row>
    <row r="1197" spans="1:13" x14ac:dyDescent="0.25">
      <c r="A1197">
        <v>1188</v>
      </c>
      <c r="L1197">
        <f t="shared" si="46"/>
        <v>0</v>
      </c>
      <c r="M1197">
        <f t="shared" si="47"/>
        <v>0</v>
      </c>
    </row>
    <row r="1198" spans="1:13" x14ac:dyDescent="0.25">
      <c r="A1198">
        <v>1189</v>
      </c>
      <c r="L1198">
        <f t="shared" ref="L1198:L1261" si="48">+I1198+H1198</f>
        <v>0</v>
      </c>
      <c r="M1198">
        <f t="shared" si="47"/>
        <v>0</v>
      </c>
    </row>
    <row r="1199" spans="1:13" x14ac:dyDescent="0.25">
      <c r="A1199">
        <v>1190</v>
      </c>
      <c r="L1199">
        <f t="shared" si="48"/>
        <v>0</v>
      </c>
      <c r="M1199">
        <f t="shared" si="47"/>
        <v>0</v>
      </c>
    </row>
    <row r="1200" spans="1:13" x14ac:dyDescent="0.25">
      <c r="A1200">
        <v>1191</v>
      </c>
      <c r="L1200">
        <f t="shared" si="48"/>
        <v>0</v>
      </c>
      <c r="M1200">
        <f t="shared" si="47"/>
        <v>0</v>
      </c>
    </row>
    <row r="1201" spans="1:13" x14ac:dyDescent="0.25">
      <c r="A1201">
        <v>1192</v>
      </c>
      <c r="L1201">
        <f t="shared" si="48"/>
        <v>0</v>
      </c>
      <c r="M1201">
        <f t="shared" si="47"/>
        <v>0</v>
      </c>
    </row>
    <row r="1202" spans="1:13" x14ac:dyDescent="0.25">
      <c r="A1202">
        <v>1193</v>
      </c>
      <c r="L1202">
        <f t="shared" si="48"/>
        <v>0</v>
      </c>
      <c r="M1202">
        <f t="shared" si="47"/>
        <v>0</v>
      </c>
    </row>
    <row r="1203" spans="1:13" x14ac:dyDescent="0.25">
      <c r="A1203">
        <v>1194</v>
      </c>
      <c r="L1203">
        <f t="shared" si="48"/>
        <v>0</v>
      </c>
      <c r="M1203">
        <f t="shared" si="47"/>
        <v>0</v>
      </c>
    </row>
    <row r="1204" spans="1:13" x14ac:dyDescent="0.25">
      <c r="A1204">
        <v>1195</v>
      </c>
      <c r="L1204">
        <f t="shared" si="48"/>
        <v>0</v>
      </c>
      <c r="M1204">
        <f t="shared" si="47"/>
        <v>0</v>
      </c>
    </row>
    <row r="1205" spans="1:13" x14ac:dyDescent="0.25">
      <c r="A1205">
        <v>1196</v>
      </c>
      <c r="L1205">
        <f t="shared" si="48"/>
        <v>0</v>
      </c>
      <c r="M1205">
        <f t="shared" si="47"/>
        <v>0</v>
      </c>
    </row>
    <row r="1206" spans="1:13" x14ac:dyDescent="0.25">
      <c r="A1206">
        <v>1197</v>
      </c>
      <c r="L1206">
        <f t="shared" si="48"/>
        <v>0</v>
      </c>
      <c r="M1206">
        <f t="shared" si="47"/>
        <v>0</v>
      </c>
    </row>
    <row r="1207" spans="1:13" x14ac:dyDescent="0.25">
      <c r="A1207">
        <v>1198</v>
      </c>
      <c r="L1207">
        <f t="shared" si="48"/>
        <v>0</v>
      </c>
      <c r="M1207">
        <f t="shared" si="47"/>
        <v>0</v>
      </c>
    </row>
    <row r="1208" spans="1:13" x14ac:dyDescent="0.25">
      <c r="A1208">
        <v>1199</v>
      </c>
      <c r="L1208">
        <f t="shared" si="48"/>
        <v>0</v>
      </c>
      <c r="M1208">
        <f t="shared" si="47"/>
        <v>0</v>
      </c>
    </row>
    <row r="1209" spans="1:13" x14ac:dyDescent="0.25">
      <c r="A1209">
        <v>1200</v>
      </c>
      <c r="L1209">
        <f t="shared" si="48"/>
        <v>0</v>
      </c>
      <c r="M1209">
        <f t="shared" si="47"/>
        <v>0</v>
      </c>
    </row>
    <row r="1210" spans="1:13" x14ac:dyDescent="0.25">
      <c r="A1210">
        <v>1201</v>
      </c>
      <c r="L1210">
        <f t="shared" si="48"/>
        <v>0</v>
      </c>
      <c r="M1210">
        <f t="shared" si="47"/>
        <v>0</v>
      </c>
    </row>
    <row r="1211" spans="1:13" x14ac:dyDescent="0.25">
      <c r="A1211">
        <v>1202</v>
      </c>
      <c r="L1211">
        <f t="shared" si="48"/>
        <v>0</v>
      </c>
      <c r="M1211">
        <f t="shared" si="47"/>
        <v>0</v>
      </c>
    </row>
    <row r="1212" spans="1:13" x14ac:dyDescent="0.25">
      <c r="A1212">
        <v>1203</v>
      </c>
      <c r="L1212">
        <f t="shared" si="48"/>
        <v>0</v>
      </c>
      <c r="M1212">
        <f t="shared" si="47"/>
        <v>0</v>
      </c>
    </row>
    <row r="1213" spans="1:13" x14ac:dyDescent="0.25">
      <c r="A1213">
        <v>1204</v>
      </c>
      <c r="L1213">
        <f t="shared" si="48"/>
        <v>0</v>
      </c>
      <c r="M1213">
        <f t="shared" si="47"/>
        <v>0</v>
      </c>
    </row>
    <row r="1214" spans="1:13" x14ac:dyDescent="0.25">
      <c r="A1214">
        <v>1205</v>
      </c>
      <c r="L1214">
        <f t="shared" si="48"/>
        <v>0</v>
      </c>
      <c r="M1214">
        <f t="shared" si="47"/>
        <v>0</v>
      </c>
    </row>
    <row r="1215" spans="1:13" x14ac:dyDescent="0.25">
      <c r="A1215">
        <v>1206</v>
      </c>
      <c r="L1215">
        <f t="shared" si="48"/>
        <v>0</v>
      </c>
      <c r="M1215">
        <f t="shared" ref="M1215:M1278" si="49">+I1215/IF(H1215 = 0,1,H1215)</f>
        <v>0</v>
      </c>
    </row>
    <row r="1216" spans="1:13" x14ac:dyDescent="0.25">
      <c r="A1216">
        <v>1207</v>
      </c>
      <c r="L1216">
        <f t="shared" si="48"/>
        <v>0</v>
      </c>
      <c r="M1216">
        <f t="shared" si="49"/>
        <v>0</v>
      </c>
    </row>
    <row r="1217" spans="1:13" x14ac:dyDescent="0.25">
      <c r="A1217">
        <v>1208</v>
      </c>
      <c r="L1217">
        <f t="shared" si="48"/>
        <v>0</v>
      </c>
      <c r="M1217">
        <f t="shared" si="49"/>
        <v>0</v>
      </c>
    </row>
    <row r="1218" spans="1:13" x14ac:dyDescent="0.25">
      <c r="A1218">
        <v>1209</v>
      </c>
      <c r="L1218">
        <f t="shared" si="48"/>
        <v>0</v>
      </c>
      <c r="M1218">
        <f t="shared" si="49"/>
        <v>0</v>
      </c>
    </row>
    <row r="1219" spans="1:13" x14ac:dyDescent="0.25">
      <c r="A1219">
        <v>1210</v>
      </c>
      <c r="L1219">
        <f t="shared" si="48"/>
        <v>0</v>
      </c>
      <c r="M1219">
        <f t="shared" si="49"/>
        <v>0</v>
      </c>
    </row>
    <row r="1220" spans="1:13" x14ac:dyDescent="0.25">
      <c r="A1220">
        <v>1211</v>
      </c>
      <c r="L1220">
        <f t="shared" si="48"/>
        <v>0</v>
      </c>
      <c r="M1220">
        <f t="shared" si="49"/>
        <v>0</v>
      </c>
    </row>
    <row r="1221" spans="1:13" x14ac:dyDescent="0.25">
      <c r="A1221">
        <v>1212</v>
      </c>
      <c r="L1221">
        <f t="shared" si="48"/>
        <v>0</v>
      </c>
      <c r="M1221">
        <f t="shared" si="49"/>
        <v>0</v>
      </c>
    </row>
    <row r="1222" spans="1:13" x14ac:dyDescent="0.25">
      <c r="A1222">
        <v>1213</v>
      </c>
      <c r="L1222">
        <f t="shared" si="48"/>
        <v>0</v>
      </c>
      <c r="M1222">
        <f t="shared" si="49"/>
        <v>0</v>
      </c>
    </row>
    <row r="1223" spans="1:13" x14ac:dyDescent="0.25">
      <c r="A1223">
        <v>1214</v>
      </c>
      <c r="L1223">
        <f t="shared" si="48"/>
        <v>0</v>
      </c>
      <c r="M1223">
        <f t="shared" si="49"/>
        <v>0</v>
      </c>
    </row>
    <row r="1224" spans="1:13" x14ac:dyDescent="0.25">
      <c r="A1224">
        <v>1215</v>
      </c>
      <c r="L1224">
        <f t="shared" si="48"/>
        <v>0</v>
      </c>
      <c r="M1224">
        <f t="shared" si="49"/>
        <v>0</v>
      </c>
    </row>
    <row r="1225" spans="1:13" x14ac:dyDescent="0.25">
      <c r="A1225">
        <v>1216</v>
      </c>
      <c r="L1225">
        <f t="shared" si="48"/>
        <v>0</v>
      </c>
      <c r="M1225">
        <f t="shared" si="49"/>
        <v>0</v>
      </c>
    </row>
    <row r="1226" spans="1:13" x14ac:dyDescent="0.25">
      <c r="A1226">
        <v>1217</v>
      </c>
      <c r="L1226">
        <f t="shared" si="48"/>
        <v>0</v>
      </c>
      <c r="M1226">
        <f t="shared" si="49"/>
        <v>0</v>
      </c>
    </row>
    <row r="1227" spans="1:13" x14ac:dyDescent="0.25">
      <c r="A1227">
        <v>1218</v>
      </c>
      <c r="L1227">
        <f t="shared" si="48"/>
        <v>0</v>
      </c>
      <c r="M1227">
        <f t="shared" si="49"/>
        <v>0</v>
      </c>
    </row>
    <row r="1228" spans="1:13" x14ac:dyDescent="0.25">
      <c r="A1228">
        <v>1219</v>
      </c>
      <c r="L1228">
        <f t="shared" si="48"/>
        <v>0</v>
      </c>
      <c r="M1228">
        <f t="shared" si="49"/>
        <v>0</v>
      </c>
    </row>
    <row r="1229" spans="1:13" x14ac:dyDescent="0.25">
      <c r="A1229">
        <v>1220</v>
      </c>
      <c r="L1229">
        <f t="shared" si="48"/>
        <v>0</v>
      </c>
      <c r="M1229">
        <f t="shared" si="49"/>
        <v>0</v>
      </c>
    </row>
    <row r="1230" spans="1:13" x14ac:dyDescent="0.25">
      <c r="A1230">
        <v>1221</v>
      </c>
      <c r="L1230">
        <f t="shared" si="48"/>
        <v>0</v>
      </c>
      <c r="M1230">
        <f t="shared" si="49"/>
        <v>0</v>
      </c>
    </row>
    <row r="1231" spans="1:13" x14ac:dyDescent="0.25">
      <c r="A1231">
        <v>1222</v>
      </c>
      <c r="L1231">
        <f t="shared" si="48"/>
        <v>0</v>
      </c>
      <c r="M1231">
        <f t="shared" si="49"/>
        <v>0</v>
      </c>
    </row>
    <row r="1232" spans="1:13" x14ac:dyDescent="0.25">
      <c r="A1232">
        <v>1223</v>
      </c>
      <c r="L1232">
        <f t="shared" si="48"/>
        <v>0</v>
      </c>
      <c r="M1232">
        <f t="shared" si="49"/>
        <v>0</v>
      </c>
    </row>
    <row r="1233" spans="1:13" x14ac:dyDescent="0.25">
      <c r="A1233">
        <v>1224</v>
      </c>
      <c r="L1233">
        <f t="shared" si="48"/>
        <v>0</v>
      </c>
      <c r="M1233">
        <f t="shared" si="49"/>
        <v>0</v>
      </c>
    </row>
    <row r="1234" spans="1:13" x14ac:dyDescent="0.25">
      <c r="A1234">
        <v>1225</v>
      </c>
      <c r="L1234">
        <f t="shared" si="48"/>
        <v>0</v>
      </c>
      <c r="M1234">
        <f t="shared" si="49"/>
        <v>0</v>
      </c>
    </row>
    <row r="1235" spans="1:13" x14ac:dyDescent="0.25">
      <c r="A1235">
        <v>1226</v>
      </c>
      <c r="L1235">
        <f t="shared" si="48"/>
        <v>0</v>
      </c>
      <c r="M1235">
        <f t="shared" si="49"/>
        <v>0</v>
      </c>
    </row>
    <row r="1236" spans="1:13" x14ac:dyDescent="0.25">
      <c r="A1236">
        <v>1227</v>
      </c>
      <c r="L1236">
        <f t="shared" si="48"/>
        <v>0</v>
      </c>
      <c r="M1236">
        <f t="shared" si="49"/>
        <v>0</v>
      </c>
    </row>
    <row r="1237" spans="1:13" x14ac:dyDescent="0.25">
      <c r="A1237">
        <v>1228</v>
      </c>
      <c r="L1237">
        <f t="shared" si="48"/>
        <v>0</v>
      </c>
      <c r="M1237">
        <f t="shared" si="49"/>
        <v>0</v>
      </c>
    </row>
    <row r="1238" spans="1:13" x14ac:dyDescent="0.25">
      <c r="A1238">
        <v>1229</v>
      </c>
      <c r="L1238">
        <f t="shared" si="48"/>
        <v>0</v>
      </c>
      <c r="M1238">
        <f t="shared" si="49"/>
        <v>0</v>
      </c>
    </row>
    <row r="1239" spans="1:13" x14ac:dyDescent="0.25">
      <c r="A1239">
        <v>1230</v>
      </c>
      <c r="L1239">
        <f t="shared" si="48"/>
        <v>0</v>
      </c>
      <c r="M1239">
        <f t="shared" si="49"/>
        <v>0</v>
      </c>
    </row>
    <row r="1240" spans="1:13" x14ac:dyDescent="0.25">
      <c r="A1240">
        <v>1231</v>
      </c>
      <c r="L1240">
        <f t="shared" si="48"/>
        <v>0</v>
      </c>
      <c r="M1240">
        <f t="shared" si="49"/>
        <v>0</v>
      </c>
    </row>
    <row r="1241" spans="1:13" x14ac:dyDescent="0.25">
      <c r="A1241">
        <v>1232</v>
      </c>
      <c r="L1241">
        <f t="shared" si="48"/>
        <v>0</v>
      </c>
      <c r="M1241">
        <f t="shared" si="49"/>
        <v>0</v>
      </c>
    </row>
    <row r="1242" spans="1:13" x14ac:dyDescent="0.25">
      <c r="A1242">
        <v>1233</v>
      </c>
      <c r="L1242">
        <f t="shared" si="48"/>
        <v>0</v>
      </c>
      <c r="M1242">
        <f t="shared" si="49"/>
        <v>0</v>
      </c>
    </row>
    <row r="1243" spans="1:13" x14ac:dyDescent="0.25">
      <c r="A1243">
        <v>1234</v>
      </c>
      <c r="L1243">
        <f t="shared" si="48"/>
        <v>0</v>
      </c>
      <c r="M1243">
        <f t="shared" si="49"/>
        <v>0</v>
      </c>
    </row>
    <row r="1244" spans="1:13" x14ac:dyDescent="0.25">
      <c r="A1244">
        <v>1235</v>
      </c>
      <c r="L1244">
        <f t="shared" si="48"/>
        <v>0</v>
      </c>
      <c r="M1244">
        <f t="shared" si="49"/>
        <v>0</v>
      </c>
    </row>
    <row r="1245" spans="1:13" x14ac:dyDescent="0.25">
      <c r="A1245">
        <v>1236</v>
      </c>
      <c r="L1245">
        <f t="shared" si="48"/>
        <v>0</v>
      </c>
      <c r="M1245">
        <f t="shared" si="49"/>
        <v>0</v>
      </c>
    </row>
    <row r="1246" spans="1:13" x14ac:dyDescent="0.25">
      <c r="A1246">
        <v>1237</v>
      </c>
      <c r="L1246">
        <f t="shared" si="48"/>
        <v>0</v>
      </c>
      <c r="M1246">
        <f t="shared" si="49"/>
        <v>0</v>
      </c>
    </row>
    <row r="1247" spans="1:13" x14ac:dyDescent="0.25">
      <c r="A1247">
        <v>1238</v>
      </c>
      <c r="L1247">
        <f t="shared" si="48"/>
        <v>0</v>
      </c>
      <c r="M1247">
        <f t="shared" si="49"/>
        <v>0</v>
      </c>
    </row>
    <row r="1248" spans="1:13" x14ac:dyDescent="0.25">
      <c r="A1248">
        <v>1239</v>
      </c>
      <c r="L1248">
        <f t="shared" si="48"/>
        <v>0</v>
      </c>
      <c r="M1248">
        <f t="shared" si="49"/>
        <v>0</v>
      </c>
    </row>
    <row r="1249" spans="1:13" x14ac:dyDescent="0.25">
      <c r="A1249">
        <v>1240</v>
      </c>
      <c r="L1249">
        <f t="shared" si="48"/>
        <v>0</v>
      </c>
      <c r="M1249">
        <f t="shared" si="49"/>
        <v>0</v>
      </c>
    </row>
    <row r="1250" spans="1:13" x14ac:dyDescent="0.25">
      <c r="A1250">
        <v>1241</v>
      </c>
      <c r="L1250">
        <f t="shared" si="48"/>
        <v>0</v>
      </c>
      <c r="M1250">
        <f t="shared" si="49"/>
        <v>0</v>
      </c>
    </row>
    <row r="1251" spans="1:13" x14ac:dyDescent="0.25">
      <c r="A1251">
        <v>1242</v>
      </c>
      <c r="L1251">
        <f t="shared" si="48"/>
        <v>0</v>
      </c>
      <c r="M1251">
        <f t="shared" si="49"/>
        <v>0</v>
      </c>
    </row>
    <row r="1252" spans="1:13" x14ac:dyDescent="0.25">
      <c r="A1252">
        <v>1243</v>
      </c>
      <c r="L1252">
        <f t="shared" si="48"/>
        <v>0</v>
      </c>
      <c r="M1252">
        <f t="shared" si="49"/>
        <v>0</v>
      </c>
    </row>
    <row r="1253" spans="1:13" x14ac:dyDescent="0.25">
      <c r="A1253">
        <v>1244</v>
      </c>
      <c r="L1253">
        <f t="shared" si="48"/>
        <v>0</v>
      </c>
      <c r="M1253">
        <f t="shared" si="49"/>
        <v>0</v>
      </c>
    </row>
    <row r="1254" spans="1:13" x14ac:dyDescent="0.25">
      <c r="A1254">
        <v>1245</v>
      </c>
      <c r="L1254">
        <f t="shared" si="48"/>
        <v>0</v>
      </c>
      <c r="M1254">
        <f t="shared" si="49"/>
        <v>0</v>
      </c>
    </row>
    <row r="1255" spans="1:13" x14ac:dyDescent="0.25">
      <c r="A1255">
        <v>1246</v>
      </c>
      <c r="L1255">
        <f t="shared" si="48"/>
        <v>0</v>
      </c>
      <c r="M1255">
        <f t="shared" si="49"/>
        <v>0</v>
      </c>
    </row>
    <row r="1256" spans="1:13" x14ac:dyDescent="0.25">
      <c r="A1256">
        <v>1247</v>
      </c>
      <c r="L1256">
        <f t="shared" si="48"/>
        <v>0</v>
      </c>
      <c r="M1256">
        <f t="shared" si="49"/>
        <v>0</v>
      </c>
    </row>
    <row r="1257" spans="1:13" x14ac:dyDescent="0.25">
      <c r="A1257">
        <v>1248</v>
      </c>
      <c r="L1257">
        <f t="shared" si="48"/>
        <v>0</v>
      </c>
      <c r="M1257">
        <f t="shared" si="49"/>
        <v>0</v>
      </c>
    </row>
    <row r="1258" spans="1:13" x14ac:dyDescent="0.25">
      <c r="A1258">
        <v>1249</v>
      </c>
      <c r="L1258">
        <f t="shared" si="48"/>
        <v>0</v>
      </c>
      <c r="M1258">
        <f t="shared" si="49"/>
        <v>0</v>
      </c>
    </row>
    <row r="1259" spans="1:13" x14ac:dyDescent="0.25">
      <c r="A1259">
        <v>1250</v>
      </c>
      <c r="L1259">
        <f t="shared" si="48"/>
        <v>0</v>
      </c>
      <c r="M1259">
        <f t="shared" si="49"/>
        <v>0</v>
      </c>
    </row>
    <row r="1260" spans="1:13" x14ac:dyDescent="0.25">
      <c r="A1260">
        <v>1251</v>
      </c>
      <c r="L1260">
        <f t="shared" si="48"/>
        <v>0</v>
      </c>
      <c r="M1260">
        <f t="shared" si="49"/>
        <v>0</v>
      </c>
    </row>
    <row r="1261" spans="1:13" x14ac:dyDescent="0.25">
      <c r="A1261">
        <v>1252</v>
      </c>
      <c r="L1261">
        <f t="shared" si="48"/>
        <v>0</v>
      </c>
      <c r="M1261">
        <f t="shared" si="49"/>
        <v>0</v>
      </c>
    </row>
    <row r="1262" spans="1:13" x14ac:dyDescent="0.25">
      <c r="A1262">
        <v>1253</v>
      </c>
      <c r="L1262">
        <f t="shared" ref="L1262:L1325" si="50">+I1262+H1262</f>
        <v>0</v>
      </c>
      <c r="M1262">
        <f t="shared" si="49"/>
        <v>0</v>
      </c>
    </row>
    <row r="1263" spans="1:13" x14ac:dyDescent="0.25">
      <c r="A1263">
        <v>1254</v>
      </c>
      <c r="L1263">
        <f t="shared" si="50"/>
        <v>0</v>
      </c>
      <c r="M1263">
        <f t="shared" si="49"/>
        <v>0</v>
      </c>
    </row>
    <row r="1264" spans="1:13" x14ac:dyDescent="0.25">
      <c r="A1264">
        <v>1255</v>
      </c>
      <c r="L1264">
        <f t="shared" si="50"/>
        <v>0</v>
      </c>
      <c r="M1264">
        <f t="shared" si="49"/>
        <v>0</v>
      </c>
    </row>
    <row r="1265" spans="1:13" x14ac:dyDescent="0.25">
      <c r="A1265">
        <v>1256</v>
      </c>
      <c r="L1265">
        <f t="shared" si="50"/>
        <v>0</v>
      </c>
      <c r="M1265">
        <f t="shared" si="49"/>
        <v>0</v>
      </c>
    </row>
    <row r="1266" spans="1:13" x14ac:dyDescent="0.25">
      <c r="A1266">
        <v>1257</v>
      </c>
      <c r="L1266">
        <f t="shared" si="50"/>
        <v>0</v>
      </c>
      <c r="M1266">
        <f t="shared" si="49"/>
        <v>0</v>
      </c>
    </row>
    <row r="1267" spans="1:13" x14ac:dyDescent="0.25">
      <c r="A1267">
        <v>1258</v>
      </c>
      <c r="L1267">
        <f t="shared" si="50"/>
        <v>0</v>
      </c>
      <c r="M1267">
        <f t="shared" si="49"/>
        <v>0</v>
      </c>
    </row>
    <row r="1268" spans="1:13" x14ac:dyDescent="0.25">
      <c r="A1268">
        <v>1259</v>
      </c>
      <c r="L1268">
        <f t="shared" si="50"/>
        <v>0</v>
      </c>
      <c r="M1268">
        <f t="shared" si="49"/>
        <v>0</v>
      </c>
    </row>
    <row r="1269" spans="1:13" x14ac:dyDescent="0.25">
      <c r="A1269">
        <v>1260</v>
      </c>
      <c r="L1269">
        <f t="shared" si="50"/>
        <v>0</v>
      </c>
      <c r="M1269">
        <f t="shared" si="49"/>
        <v>0</v>
      </c>
    </row>
    <row r="1270" spans="1:13" x14ac:dyDescent="0.25">
      <c r="A1270">
        <v>1261</v>
      </c>
      <c r="L1270">
        <f t="shared" si="50"/>
        <v>0</v>
      </c>
      <c r="M1270">
        <f t="shared" si="49"/>
        <v>0</v>
      </c>
    </row>
    <row r="1271" spans="1:13" x14ac:dyDescent="0.25">
      <c r="A1271">
        <v>1262</v>
      </c>
      <c r="L1271">
        <f t="shared" si="50"/>
        <v>0</v>
      </c>
      <c r="M1271">
        <f t="shared" si="49"/>
        <v>0</v>
      </c>
    </row>
    <row r="1272" spans="1:13" x14ac:dyDescent="0.25">
      <c r="A1272">
        <v>1263</v>
      </c>
      <c r="L1272">
        <f t="shared" si="50"/>
        <v>0</v>
      </c>
      <c r="M1272">
        <f t="shared" si="49"/>
        <v>0</v>
      </c>
    </row>
    <row r="1273" spans="1:13" x14ac:dyDescent="0.25">
      <c r="A1273">
        <v>1264</v>
      </c>
      <c r="L1273">
        <f t="shared" si="50"/>
        <v>0</v>
      </c>
      <c r="M1273">
        <f t="shared" si="49"/>
        <v>0</v>
      </c>
    </row>
    <row r="1274" spans="1:13" x14ac:dyDescent="0.25">
      <c r="A1274">
        <v>1265</v>
      </c>
      <c r="L1274">
        <f t="shared" si="50"/>
        <v>0</v>
      </c>
      <c r="M1274">
        <f t="shared" si="49"/>
        <v>0</v>
      </c>
    </row>
    <row r="1275" spans="1:13" x14ac:dyDescent="0.25">
      <c r="A1275">
        <v>1266</v>
      </c>
      <c r="L1275">
        <f t="shared" si="50"/>
        <v>0</v>
      </c>
      <c r="M1275">
        <f t="shared" si="49"/>
        <v>0</v>
      </c>
    </row>
    <row r="1276" spans="1:13" x14ac:dyDescent="0.25">
      <c r="A1276">
        <v>1267</v>
      </c>
      <c r="L1276">
        <f t="shared" si="50"/>
        <v>0</v>
      </c>
      <c r="M1276">
        <f t="shared" si="49"/>
        <v>0</v>
      </c>
    </row>
    <row r="1277" spans="1:13" x14ac:dyDescent="0.25">
      <c r="A1277">
        <v>1268</v>
      </c>
      <c r="L1277">
        <f t="shared" si="50"/>
        <v>0</v>
      </c>
      <c r="M1277">
        <f t="shared" si="49"/>
        <v>0</v>
      </c>
    </row>
    <row r="1278" spans="1:13" x14ac:dyDescent="0.25">
      <c r="A1278">
        <v>1269</v>
      </c>
      <c r="L1278">
        <f t="shared" si="50"/>
        <v>0</v>
      </c>
      <c r="M1278">
        <f t="shared" si="49"/>
        <v>0</v>
      </c>
    </row>
    <row r="1279" spans="1:13" x14ac:dyDescent="0.25">
      <c r="A1279">
        <v>1270</v>
      </c>
      <c r="L1279">
        <f t="shared" si="50"/>
        <v>0</v>
      </c>
      <c r="M1279">
        <f t="shared" ref="M1279:M1342" si="51">+I1279/IF(H1279 = 0,1,H1279)</f>
        <v>0</v>
      </c>
    </row>
    <row r="1280" spans="1:13" x14ac:dyDescent="0.25">
      <c r="A1280">
        <v>1271</v>
      </c>
      <c r="L1280">
        <f t="shared" si="50"/>
        <v>0</v>
      </c>
      <c r="M1280">
        <f t="shared" si="51"/>
        <v>0</v>
      </c>
    </row>
    <row r="1281" spans="1:13" x14ac:dyDescent="0.25">
      <c r="A1281">
        <v>1272</v>
      </c>
      <c r="L1281">
        <f t="shared" si="50"/>
        <v>0</v>
      </c>
      <c r="M1281">
        <f t="shared" si="51"/>
        <v>0</v>
      </c>
    </row>
    <row r="1282" spans="1:13" x14ac:dyDescent="0.25">
      <c r="A1282">
        <v>1273</v>
      </c>
      <c r="L1282">
        <f t="shared" si="50"/>
        <v>0</v>
      </c>
      <c r="M1282">
        <f t="shared" si="51"/>
        <v>0</v>
      </c>
    </row>
    <row r="1283" spans="1:13" x14ac:dyDescent="0.25">
      <c r="A1283">
        <v>1274</v>
      </c>
      <c r="L1283">
        <f t="shared" si="50"/>
        <v>0</v>
      </c>
      <c r="M1283">
        <f t="shared" si="51"/>
        <v>0</v>
      </c>
    </row>
    <row r="1284" spans="1:13" x14ac:dyDescent="0.25">
      <c r="A1284">
        <v>1275</v>
      </c>
      <c r="L1284">
        <f t="shared" si="50"/>
        <v>0</v>
      </c>
      <c r="M1284">
        <f t="shared" si="51"/>
        <v>0</v>
      </c>
    </row>
    <row r="1285" spans="1:13" x14ac:dyDescent="0.25">
      <c r="A1285">
        <v>1276</v>
      </c>
      <c r="L1285">
        <f t="shared" si="50"/>
        <v>0</v>
      </c>
      <c r="M1285">
        <f t="shared" si="51"/>
        <v>0</v>
      </c>
    </row>
    <row r="1286" spans="1:13" x14ac:dyDescent="0.25">
      <c r="A1286">
        <v>1277</v>
      </c>
      <c r="L1286">
        <f t="shared" si="50"/>
        <v>0</v>
      </c>
      <c r="M1286">
        <f t="shared" si="51"/>
        <v>0</v>
      </c>
    </row>
    <row r="1287" spans="1:13" x14ac:dyDescent="0.25">
      <c r="A1287">
        <v>1278</v>
      </c>
      <c r="L1287">
        <f t="shared" si="50"/>
        <v>0</v>
      </c>
      <c r="M1287">
        <f t="shared" si="51"/>
        <v>0</v>
      </c>
    </row>
    <row r="1288" spans="1:13" x14ac:dyDescent="0.25">
      <c r="A1288">
        <v>1279</v>
      </c>
      <c r="L1288">
        <f t="shared" si="50"/>
        <v>0</v>
      </c>
      <c r="M1288">
        <f t="shared" si="51"/>
        <v>0</v>
      </c>
    </row>
    <row r="1289" spans="1:13" x14ac:dyDescent="0.25">
      <c r="A1289">
        <v>1280</v>
      </c>
      <c r="L1289">
        <f t="shared" si="50"/>
        <v>0</v>
      </c>
      <c r="M1289">
        <f t="shared" si="51"/>
        <v>0</v>
      </c>
    </row>
    <row r="1290" spans="1:13" x14ac:dyDescent="0.25">
      <c r="A1290">
        <v>1281</v>
      </c>
      <c r="L1290">
        <f t="shared" si="50"/>
        <v>0</v>
      </c>
      <c r="M1290">
        <f t="shared" si="51"/>
        <v>0</v>
      </c>
    </row>
    <row r="1291" spans="1:13" x14ac:dyDescent="0.25">
      <c r="A1291">
        <v>1282</v>
      </c>
      <c r="L1291">
        <f t="shared" si="50"/>
        <v>0</v>
      </c>
      <c r="M1291">
        <f t="shared" si="51"/>
        <v>0</v>
      </c>
    </row>
    <row r="1292" spans="1:13" x14ac:dyDescent="0.25">
      <c r="A1292">
        <v>1283</v>
      </c>
      <c r="L1292">
        <f t="shared" si="50"/>
        <v>0</v>
      </c>
      <c r="M1292">
        <f t="shared" si="51"/>
        <v>0</v>
      </c>
    </row>
    <row r="1293" spans="1:13" x14ac:dyDescent="0.25">
      <c r="A1293">
        <v>1284</v>
      </c>
      <c r="L1293">
        <f t="shared" si="50"/>
        <v>0</v>
      </c>
      <c r="M1293">
        <f t="shared" si="51"/>
        <v>0</v>
      </c>
    </row>
    <row r="1294" spans="1:13" x14ac:dyDescent="0.25">
      <c r="A1294">
        <v>1285</v>
      </c>
      <c r="L1294">
        <f t="shared" si="50"/>
        <v>0</v>
      </c>
      <c r="M1294">
        <f t="shared" si="51"/>
        <v>0</v>
      </c>
    </row>
    <row r="1295" spans="1:13" x14ac:dyDescent="0.25">
      <c r="A1295">
        <v>1286</v>
      </c>
      <c r="L1295">
        <f t="shared" si="50"/>
        <v>0</v>
      </c>
      <c r="M1295">
        <f t="shared" si="51"/>
        <v>0</v>
      </c>
    </row>
    <row r="1296" spans="1:13" x14ac:dyDescent="0.25">
      <c r="A1296">
        <v>1287</v>
      </c>
      <c r="L1296">
        <f t="shared" si="50"/>
        <v>0</v>
      </c>
      <c r="M1296">
        <f t="shared" si="51"/>
        <v>0</v>
      </c>
    </row>
    <row r="1297" spans="1:13" x14ac:dyDescent="0.25">
      <c r="A1297">
        <v>1288</v>
      </c>
      <c r="L1297">
        <f t="shared" si="50"/>
        <v>0</v>
      </c>
      <c r="M1297">
        <f t="shared" si="51"/>
        <v>0</v>
      </c>
    </row>
    <row r="1298" spans="1:13" x14ac:dyDescent="0.25">
      <c r="A1298">
        <v>1289</v>
      </c>
      <c r="L1298">
        <f t="shared" si="50"/>
        <v>0</v>
      </c>
      <c r="M1298">
        <f t="shared" si="51"/>
        <v>0</v>
      </c>
    </row>
    <row r="1299" spans="1:13" x14ac:dyDescent="0.25">
      <c r="A1299">
        <v>1290</v>
      </c>
      <c r="L1299">
        <f t="shared" si="50"/>
        <v>0</v>
      </c>
      <c r="M1299">
        <f t="shared" si="51"/>
        <v>0</v>
      </c>
    </row>
    <row r="1300" spans="1:13" x14ac:dyDescent="0.25">
      <c r="A1300">
        <v>1291</v>
      </c>
      <c r="L1300">
        <f t="shared" si="50"/>
        <v>0</v>
      </c>
      <c r="M1300">
        <f t="shared" si="51"/>
        <v>0</v>
      </c>
    </row>
    <row r="1301" spans="1:13" x14ac:dyDescent="0.25">
      <c r="A1301">
        <v>1292</v>
      </c>
      <c r="L1301">
        <f t="shared" si="50"/>
        <v>0</v>
      </c>
      <c r="M1301">
        <f t="shared" si="51"/>
        <v>0</v>
      </c>
    </row>
    <row r="1302" spans="1:13" x14ac:dyDescent="0.25">
      <c r="A1302">
        <v>1293</v>
      </c>
      <c r="L1302">
        <f t="shared" si="50"/>
        <v>0</v>
      </c>
      <c r="M1302">
        <f t="shared" si="51"/>
        <v>0</v>
      </c>
    </row>
    <row r="1303" spans="1:13" x14ac:dyDescent="0.25">
      <c r="A1303">
        <v>1294</v>
      </c>
      <c r="L1303">
        <f t="shared" si="50"/>
        <v>0</v>
      </c>
      <c r="M1303">
        <f t="shared" si="51"/>
        <v>0</v>
      </c>
    </row>
    <row r="1304" spans="1:13" x14ac:dyDescent="0.25">
      <c r="A1304">
        <v>1295</v>
      </c>
      <c r="L1304">
        <f t="shared" si="50"/>
        <v>0</v>
      </c>
      <c r="M1304">
        <f t="shared" si="51"/>
        <v>0</v>
      </c>
    </row>
    <row r="1305" spans="1:13" x14ac:dyDescent="0.25">
      <c r="A1305">
        <v>1296</v>
      </c>
      <c r="L1305">
        <f t="shared" si="50"/>
        <v>0</v>
      </c>
      <c r="M1305">
        <f t="shared" si="51"/>
        <v>0</v>
      </c>
    </row>
    <row r="1306" spans="1:13" x14ac:dyDescent="0.25">
      <c r="A1306">
        <v>1297</v>
      </c>
      <c r="L1306">
        <f t="shared" si="50"/>
        <v>0</v>
      </c>
      <c r="M1306">
        <f t="shared" si="51"/>
        <v>0</v>
      </c>
    </row>
    <row r="1307" spans="1:13" x14ac:dyDescent="0.25">
      <c r="A1307">
        <v>1298</v>
      </c>
      <c r="L1307">
        <f t="shared" si="50"/>
        <v>0</v>
      </c>
      <c r="M1307">
        <f t="shared" si="51"/>
        <v>0</v>
      </c>
    </row>
    <row r="1308" spans="1:13" x14ac:dyDescent="0.25">
      <c r="A1308">
        <v>1299</v>
      </c>
      <c r="L1308">
        <f t="shared" si="50"/>
        <v>0</v>
      </c>
      <c r="M1308">
        <f t="shared" si="51"/>
        <v>0</v>
      </c>
    </row>
    <row r="1309" spans="1:13" x14ac:dyDescent="0.25">
      <c r="A1309">
        <v>1300</v>
      </c>
      <c r="L1309">
        <f t="shared" si="50"/>
        <v>0</v>
      </c>
      <c r="M1309">
        <f t="shared" si="51"/>
        <v>0</v>
      </c>
    </row>
    <row r="1310" spans="1:13" x14ac:dyDescent="0.25">
      <c r="A1310">
        <v>1301</v>
      </c>
      <c r="L1310">
        <f t="shared" si="50"/>
        <v>0</v>
      </c>
      <c r="M1310">
        <f t="shared" si="51"/>
        <v>0</v>
      </c>
    </row>
    <row r="1311" spans="1:13" x14ac:dyDescent="0.25">
      <c r="A1311">
        <v>1302</v>
      </c>
      <c r="L1311">
        <f t="shared" si="50"/>
        <v>0</v>
      </c>
      <c r="M1311">
        <f t="shared" si="51"/>
        <v>0</v>
      </c>
    </row>
    <row r="1312" spans="1:13" x14ac:dyDescent="0.25">
      <c r="A1312">
        <v>1303</v>
      </c>
      <c r="L1312">
        <f t="shared" si="50"/>
        <v>0</v>
      </c>
      <c r="M1312">
        <f t="shared" si="51"/>
        <v>0</v>
      </c>
    </row>
    <row r="1313" spans="1:13" x14ac:dyDescent="0.25">
      <c r="A1313">
        <v>1304</v>
      </c>
      <c r="L1313">
        <f t="shared" si="50"/>
        <v>0</v>
      </c>
      <c r="M1313">
        <f t="shared" si="51"/>
        <v>0</v>
      </c>
    </row>
    <row r="1314" spans="1:13" x14ac:dyDescent="0.25">
      <c r="A1314">
        <v>1305</v>
      </c>
      <c r="L1314">
        <f t="shared" si="50"/>
        <v>0</v>
      </c>
      <c r="M1314">
        <f t="shared" si="51"/>
        <v>0</v>
      </c>
    </row>
    <row r="1315" spans="1:13" x14ac:dyDescent="0.25">
      <c r="A1315">
        <v>1306</v>
      </c>
      <c r="L1315">
        <f t="shared" si="50"/>
        <v>0</v>
      </c>
      <c r="M1315">
        <f t="shared" si="51"/>
        <v>0</v>
      </c>
    </row>
    <row r="1316" spans="1:13" x14ac:dyDescent="0.25">
      <c r="A1316">
        <v>1307</v>
      </c>
      <c r="L1316">
        <f t="shared" si="50"/>
        <v>0</v>
      </c>
      <c r="M1316">
        <f t="shared" si="51"/>
        <v>0</v>
      </c>
    </row>
    <row r="1317" spans="1:13" x14ac:dyDescent="0.25">
      <c r="A1317">
        <v>1308</v>
      </c>
      <c r="L1317">
        <f t="shared" si="50"/>
        <v>0</v>
      </c>
      <c r="M1317">
        <f t="shared" si="51"/>
        <v>0</v>
      </c>
    </row>
    <row r="1318" spans="1:13" x14ac:dyDescent="0.25">
      <c r="A1318">
        <v>1309</v>
      </c>
      <c r="L1318">
        <f t="shared" si="50"/>
        <v>0</v>
      </c>
      <c r="M1318">
        <f t="shared" si="51"/>
        <v>0</v>
      </c>
    </row>
    <row r="1319" spans="1:13" x14ac:dyDescent="0.25">
      <c r="A1319">
        <v>1310</v>
      </c>
      <c r="L1319">
        <f t="shared" si="50"/>
        <v>0</v>
      </c>
      <c r="M1319">
        <f t="shared" si="51"/>
        <v>0</v>
      </c>
    </row>
    <row r="1320" spans="1:13" x14ac:dyDescent="0.25">
      <c r="A1320">
        <v>1311</v>
      </c>
      <c r="L1320">
        <f t="shared" si="50"/>
        <v>0</v>
      </c>
      <c r="M1320">
        <f t="shared" si="51"/>
        <v>0</v>
      </c>
    </row>
    <row r="1321" spans="1:13" x14ac:dyDescent="0.25">
      <c r="A1321">
        <v>1312</v>
      </c>
      <c r="L1321">
        <f t="shared" si="50"/>
        <v>0</v>
      </c>
      <c r="M1321">
        <f t="shared" si="51"/>
        <v>0</v>
      </c>
    </row>
    <row r="1322" spans="1:13" x14ac:dyDescent="0.25">
      <c r="A1322">
        <v>1313</v>
      </c>
      <c r="L1322">
        <f t="shared" si="50"/>
        <v>0</v>
      </c>
      <c r="M1322">
        <f t="shared" si="51"/>
        <v>0</v>
      </c>
    </row>
    <row r="1323" spans="1:13" x14ac:dyDescent="0.25">
      <c r="A1323">
        <v>1314</v>
      </c>
      <c r="L1323">
        <f t="shared" si="50"/>
        <v>0</v>
      </c>
      <c r="M1323">
        <f t="shared" si="51"/>
        <v>0</v>
      </c>
    </row>
    <row r="1324" spans="1:13" x14ac:dyDescent="0.25">
      <c r="A1324">
        <v>1315</v>
      </c>
      <c r="L1324">
        <f t="shared" si="50"/>
        <v>0</v>
      </c>
      <c r="M1324">
        <f t="shared" si="51"/>
        <v>0</v>
      </c>
    </row>
    <row r="1325" spans="1:13" x14ac:dyDescent="0.25">
      <c r="A1325">
        <v>1316</v>
      </c>
      <c r="L1325">
        <f t="shared" si="50"/>
        <v>0</v>
      </c>
      <c r="M1325">
        <f t="shared" si="51"/>
        <v>0</v>
      </c>
    </row>
    <row r="1326" spans="1:13" x14ac:dyDescent="0.25">
      <c r="A1326">
        <v>1317</v>
      </c>
      <c r="L1326">
        <f t="shared" ref="L1326:L1389" si="52">+I1326+H1326</f>
        <v>0</v>
      </c>
      <c r="M1326">
        <f t="shared" si="51"/>
        <v>0</v>
      </c>
    </row>
    <row r="1327" spans="1:13" x14ac:dyDescent="0.25">
      <c r="A1327">
        <v>1318</v>
      </c>
      <c r="L1327">
        <f t="shared" si="52"/>
        <v>0</v>
      </c>
      <c r="M1327">
        <f t="shared" si="51"/>
        <v>0</v>
      </c>
    </row>
    <row r="1328" spans="1:13" x14ac:dyDescent="0.25">
      <c r="A1328">
        <v>1319</v>
      </c>
      <c r="L1328">
        <f t="shared" si="52"/>
        <v>0</v>
      </c>
      <c r="M1328">
        <f t="shared" si="51"/>
        <v>0</v>
      </c>
    </row>
    <row r="1329" spans="1:13" x14ac:dyDescent="0.25">
      <c r="A1329">
        <v>1320</v>
      </c>
      <c r="L1329">
        <f t="shared" si="52"/>
        <v>0</v>
      </c>
      <c r="M1329">
        <f t="shared" si="51"/>
        <v>0</v>
      </c>
    </row>
    <row r="1330" spans="1:13" x14ac:dyDescent="0.25">
      <c r="A1330">
        <v>1321</v>
      </c>
      <c r="L1330">
        <f t="shared" si="52"/>
        <v>0</v>
      </c>
      <c r="M1330">
        <f t="shared" si="51"/>
        <v>0</v>
      </c>
    </row>
    <row r="1331" spans="1:13" x14ac:dyDescent="0.25">
      <c r="A1331">
        <v>1322</v>
      </c>
      <c r="L1331">
        <f t="shared" si="52"/>
        <v>0</v>
      </c>
      <c r="M1331">
        <f t="shared" si="51"/>
        <v>0</v>
      </c>
    </row>
    <row r="1332" spans="1:13" x14ac:dyDescent="0.25">
      <c r="A1332">
        <v>1323</v>
      </c>
      <c r="L1332">
        <f t="shared" si="52"/>
        <v>0</v>
      </c>
      <c r="M1332">
        <f t="shared" si="51"/>
        <v>0</v>
      </c>
    </row>
    <row r="1333" spans="1:13" x14ac:dyDescent="0.25">
      <c r="A1333">
        <v>1324</v>
      </c>
      <c r="L1333">
        <f t="shared" si="52"/>
        <v>0</v>
      </c>
      <c r="M1333">
        <f t="shared" si="51"/>
        <v>0</v>
      </c>
    </row>
    <row r="1334" spans="1:13" x14ac:dyDescent="0.25">
      <c r="A1334">
        <v>1325</v>
      </c>
      <c r="L1334">
        <f t="shared" si="52"/>
        <v>0</v>
      </c>
      <c r="M1334">
        <f t="shared" si="51"/>
        <v>0</v>
      </c>
    </row>
    <row r="1335" spans="1:13" x14ac:dyDescent="0.25">
      <c r="A1335">
        <v>1326</v>
      </c>
      <c r="L1335">
        <f t="shared" si="52"/>
        <v>0</v>
      </c>
      <c r="M1335">
        <f t="shared" si="51"/>
        <v>0</v>
      </c>
    </row>
    <row r="1336" spans="1:13" x14ac:dyDescent="0.25">
      <c r="A1336">
        <v>1327</v>
      </c>
      <c r="L1336">
        <f t="shared" si="52"/>
        <v>0</v>
      </c>
      <c r="M1336">
        <f t="shared" si="51"/>
        <v>0</v>
      </c>
    </row>
    <row r="1337" spans="1:13" x14ac:dyDescent="0.25">
      <c r="A1337">
        <v>1328</v>
      </c>
      <c r="L1337">
        <f t="shared" si="52"/>
        <v>0</v>
      </c>
      <c r="M1337">
        <f t="shared" si="51"/>
        <v>0</v>
      </c>
    </row>
    <row r="1338" spans="1:13" x14ac:dyDescent="0.25">
      <c r="A1338">
        <v>1329</v>
      </c>
      <c r="L1338">
        <f t="shared" si="52"/>
        <v>0</v>
      </c>
      <c r="M1338">
        <f t="shared" si="51"/>
        <v>0</v>
      </c>
    </row>
    <row r="1339" spans="1:13" x14ac:dyDescent="0.25">
      <c r="A1339">
        <v>1330</v>
      </c>
      <c r="L1339">
        <f t="shared" si="52"/>
        <v>0</v>
      </c>
      <c r="M1339">
        <f t="shared" si="51"/>
        <v>0</v>
      </c>
    </row>
    <row r="1340" spans="1:13" x14ac:dyDescent="0.25">
      <c r="A1340">
        <v>1331</v>
      </c>
      <c r="L1340">
        <f t="shared" si="52"/>
        <v>0</v>
      </c>
      <c r="M1340">
        <f t="shared" si="51"/>
        <v>0</v>
      </c>
    </row>
    <row r="1341" spans="1:13" x14ac:dyDescent="0.25">
      <c r="A1341">
        <v>1332</v>
      </c>
      <c r="L1341">
        <f t="shared" si="52"/>
        <v>0</v>
      </c>
      <c r="M1341">
        <f t="shared" si="51"/>
        <v>0</v>
      </c>
    </row>
    <row r="1342" spans="1:13" x14ac:dyDescent="0.25">
      <c r="A1342">
        <v>1333</v>
      </c>
      <c r="L1342">
        <f t="shared" si="52"/>
        <v>0</v>
      </c>
      <c r="M1342">
        <f t="shared" si="51"/>
        <v>0</v>
      </c>
    </row>
    <row r="1343" spans="1:13" x14ac:dyDescent="0.25">
      <c r="A1343">
        <v>1334</v>
      </c>
      <c r="L1343">
        <f t="shared" si="52"/>
        <v>0</v>
      </c>
      <c r="M1343">
        <f t="shared" ref="M1343:M1406" si="53">+I1343/IF(H1343 = 0,1,H1343)</f>
        <v>0</v>
      </c>
    </row>
    <row r="1344" spans="1:13" x14ac:dyDescent="0.25">
      <c r="A1344">
        <v>1335</v>
      </c>
      <c r="L1344">
        <f t="shared" si="52"/>
        <v>0</v>
      </c>
      <c r="M1344">
        <f t="shared" si="53"/>
        <v>0</v>
      </c>
    </row>
    <row r="1345" spans="1:13" x14ac:dyDescent="0.25">
      <c r="A1345">
        <v>1336</v>
      </c>
      <c r="L1345">
        <f t="shared" si="52"/>
        <v>0</v>
      </c>
      <c r="M1345">
        <f t="shared" si="53"/>
        <v>0</v>
      </c>
    </row>
    <row r="1346" spans="1:13" x14ac:dyDescent="0.25">
      <c r="A1346">
        <v>1337</v>
      </c>
      <c r="L1346">
        <f t="shared" si="52"/>
        <v>0</v>
      </c>
      <c r="M1346">
        <f t="shared" si="53"/>
        <v>0</v>
      </c>
    </row>
    <row r="1347" spans="1:13" x14ac:dyDescent="0.25">
      <c r="A1347">
        <v>1338</v>
      </c>
      <c r="L1347">
        <f t="shared" si="52"/>
        <v>0</v>
      </c>
      <c r="M1347">
        <f t="shared" si="53"/>
        <v>0</v>
      </c>
    </row>
    <row r="1348" spans="1:13" x14ac:dyDescent="0.25">
      <c r="A1348">
        <v>1339</v>
      </c>
      <c r="L1348">
        <f t="shared" si="52"/>
        <v>0</v>
      </c>
      <c r="M1348">
        <f t="shared" si="53"/>
        <v>0</v>
      </c>
    </row>
    <row r="1349" spans="1:13" x14ac:dyDescent="0.25">
      <c r="A1349">
        <v>1340</v>
      </c>
      <c r="L1349">
        <f t="shared" si="52"/>
        <v>0</v>
      </c>
      <c r="M1349">
        <f t="shared" si="53"/>
        <v>0</v>
      </c>
    </row>
    <row r="1350" spans="1:13" x14ac:dyDescent="0.25">
      <c r="A1350">
        <v>1341</v>
      </c>
      <c r="L1350">
        <f t="shared" si="52"/>
        <v>0</v>
      </c>
      <c r="M1350">
        <f t="shared" si="53"/>
        <v>0</v>
      </c>
    </row>
    <row r="1351" spans="1:13" x14ac:dyDescent="0.25">
      <c r="A1351">
        <v>1342</v>
      </c>
      <c r="L1351">
        <f t="shared" si="52"/>
        <v>0</v>
      </c>
      <c r="M1351">
        <f t="shared" si="53"/>
        <v>0</v>
      </c>
    </row>
    <row r="1352" spans="1:13" x14ac:dyDescent="0.25">
      <c r="A1352">
        <v>1343</v>
      </c>
      <c r="L1352">
        <f t="shared" si="52"/>
        <v>0</v>
      </c>
      <c r="M1352">
        <f t="shared" si="53"/>
        <v>0</v>
      </c>
    </row>
    <row r="1353" spans="1:13" x14ac:dyDescent="0.25">
      <c r="A1353">
        <v>1344</v>
      </c>
      <c r="L1353">
        <f t="shared" si="52"/>
        <v>0</v>
      </c>
      <c r="M1353">
        <f t="shared" si="53"/>
        <v>0</v>
      </c>
    </row>
    <row r="1354" spans="1:13" x14ac:dyDescent="0.25">
      <c r="A1354">
        <v>1345</v>
      </c>
      <c r="L1354">
        <f t="shared" si="52"/>
        <v>0</v>
      </c>
      <c r="M1354">
        <f t="shared" si="53"/>
        <v>0</v>
      </c>
    </row>
    <row r="1355" spans="1:13" x14ac:dyDescent="0.25">
      <c r="A1355">
        <v>1346</v>
      </c>
      <c r="L1355">
        <f t="shared" si="52"/>
        <v>0</v>
      </c>
      <c r="M1355">
        <f t="shared" si="53"/>
        <v>0</v>
      </c>
    </row>
    <row r="1356" spans="1:13" x14ac:dyDescent="0.25">
      <c r="A1356">
        <v>1347</v>
      </c>
      <c r="L1356">
        <f t="shared" si="52"/>
        <v>0</v>
      </c>
      <c r="M1356">
        <f t="shared" si="53"/>
        <v>0</v>
      </c>
    </row>
    <row r="1357" spans="1:13" x14ac:dyDescent="0.25">
      <c r="A1357">
        <v>1348</v>
      </c>
      <c r="L1357">
        <f t="shared" si="52"/>
        <v>0</v>
      </c>
      <c r="M1357">
        <f t="shared" si="53"/>
        <v>0</v>
      </c>
    </row>
    <row r="1358" spans="1:13" x14ac:dyDescent="0.25">
      <c r="A1358">
        <v>1349</v>
      </c>
      <c r="L1358">
        <f t="shared" si="52"/>
        <v>0</v>
      </c>
      <c r="M1358">
        <f t="shared" si="53"/>
        <v>0</v>
      </c>
    </row>
    <row r="1359" spans="1:13" x14ac:dyDescent="0.25">
      <c r="A1359">
        <v>1350</v>
      </c>
      <c r="L1359">
        <f t="shared" si="52"/>
        <v>0</v>
      </c>
      <c r="M1359">
        <f t="shared" si="53"/>
        <v>0</v>
      </c>
    </row>
    <row r="1360" spans="1:13" x14ac:dyDescent="0.25">
      <c r="A1360">
        <v>1351</v>
      </c>
      <c r="L1360">
        <f t="shared" si="52"/>
        <v>0</v>
      </c>
      <c r="M1360">
        <f t="shared" si="53"/>
        <v>0</v>
      </c>
    </row>
    <row r="1361" spans="1:13" x14ac:dyDescent="0.25">
      <c r="A1361">
        <v>1352</v>
      </c>
      <c r="L1361">
        <f t="shared" si="52"/>
        <v>0</v>
      </c>
      <c r="M1361">
        <f t="shared" si="53"/>
        <v>0</v>
      </c>
    </row>
    <row r="1362" spans="1:13" x14ac:dyDescent="0.25">
      <c r="A1362">
        <v>1353</v>
      </c>
      <c r="L1362">
        <f t="shared" si="52"/>
        <v>0</v>
      </c>
      <c r="M1362">
        <f t="shared" si="53"/>
        <v>0</v>
      </c>
    </row>
    <row r="1363" spans="1:13" x14ac:dyDescent="0.25">
      <c r="A1363">
        <v>1354</v>
      </c>
      <c r="L1363">
        <f t="shared" si="52"/>
        <v>0</v>
      </c>
      <c r="M1363">
        <f t="shared" si="53"/>
        <v>0</v>
      </c>
    </row>
    <row r="1364" spans="1:13" x14ac:dyDescent="0.25">
      <c r="A1364">
        <v>1355</v>
      </c>
      <c r="L1364">
        <f t="shared" si="52"/>
        <v>0</v>
      </c>
      <c r="M1364">
        <f t="shared" si="53"/>
        <v>0</v>
      </c>
    </row>
    <row r="1365" spans="1:13" x14ac:dyDescent="0.25">
      <c r="A1365">
        <v>1356</v>
      </c>
      <c r="L1365">
        <f t="shared" si="52"/>
        <v>0</v>
      </c>
      <c r="M1365">
        <f t="shared" si="53"/>
        <v>0</v>
      </c>
    </row>
    <row r="1366" spans="1:13" x14ac:dyDescent="0.25">
      <c r="A1366">
        <v>1357</v>
      </c>
      <c r="L1366">
        <f t="shared" si="52"/>
        <v>0</v>
      </c>
      <c r="M1366">
        <f t="shared" si="53"/>
        <v>0</v>
      </c>
    </row>
    <row r="1367" spans="1:13" x14ac:dyDescent="0.25">
      <c r="A1367">
        <v>1358</v>
      </c>
      <c r="L1367">
        <f t="shared" si="52"/>
        <v>0</v>
      </c>
      <c r="M1367">
        <f t="shared" si="53"/>
        <v>0</v>
      </c>
    </row>
    <row r="1368" spans="1:13" x14ac:dyDescent="0.25">
      <c r="A1368">
        <v>1359</v>
      </c>
      <c r="L1368">
        <f t="shared" si="52"/>
        <v>0</v>
      </c>
      <c r="M1368">
        <f t="shared" si="53"/>
        <v>0</v>
      </c>
    </row>
    <row r="1369" spans="1:13" x14ac:dyDescent="0.25">
      <c r="A1369">
        <v>1360</v>
      </c>
      <c r="L1369">
        <f t="shared" si="52"/>
        <v>0</v>
      </c>
      <c r="M1369">
        <f t="shared" si="53"/>
        <v>0</v>
      </c>
    </row>
    <row r="1370" spans="1:13" x14ac:dyDescent="0.25">
      <c r="A1370">
        <v>1361</v>
      </c>
      <c r="L1370">
        <f t="shared" si="52"/>
        <v>0</v>
      </c>
      <c r="M1370">
        <f t="shared" si="53"/>
        <v>0</v>
      </c>
    </row>
    <row r="1371" spans="1:13" x14ac:dyDescent="0.25">
      <c r="A1371">
        <v>1362</v>
      </c>
      <c r="L1371">
        <f t="shared" si="52"/>
        <v>0</v>
      </c>
      <c r="M1371">
        <f t="shared" si="53"/>
        <v>0</v>
      </c>
    </row>
    <row r="1372" spans="1:13" x14ac:dyDescent="0.25">
      <c r="A1372">
        <v>1363</v>
      </c>
      <c r="L1372">
        <f t="shared" si="52"/>
        <v>0</v>
      </c>
      <c r="M1372">
        <f t="shared" si="53"/>
        <v>0</v>
      </c>
    </row>
    <row r="1373" spans="1:13" x14ac:dyDescent="0.25">
      <c r="A1373">
        <v>1364</v>
      </c>
      <c r="L1373">
        <f t="shared" si="52"/>
        <v>0</v>
      </c>
      <c r="M1373">
        <f t="shared" si="53"/>
        <v>0</v>
      </c>
    </row>
    <row r="1374" spans="1:13" x14ac:dyDescent="0.25">
      <c r="A1374">
        <v>1365</v>
      </c>
      <c r="L1374">
        <f t="shared" si="52"/>
        <v>0</v>
      </c>
      <c r="M1374">
        <f t="shared" si="53"/>
        <v>0</v>
      </c>
    </row>
    <row r="1375" spans="1:13" x14ac:dyDescent="0.25">
      <c r="A1375">
        <v>1366</v>
      </c>
      <c r="L1375">
        <f t="shared" si="52"/>
        <v>0</v>
      </c>
      <c r="M1375">
        <f t="shared" si="53"/>
        <v>0</v>
      </c>
    </row>
    <row r="1376" spans="1:13" x14ac:dyDescent="0.25">
      <c r="A1376">
        <v>1367</v>
      </c>
      <c r="L1376">
        <f t="shared" si="52"/>
        <v>0</v>
      </c>
      <c r="M1376">
        <f t="shared" si="53"/>
        <v>0</v>
      </c>
    </row>
    <row r="1377" spans="1:13" x14ac:dyDescent="0.25">
      <c r="A1377">
        <v>1368</v>
      </c>
      <c r="L1377">
        <f t="shared" si="52"/>
        <v>0</v>
      </c>
      <c r="M1377">
        <f t="shared" si="53"/>
        <v>0</v>
      </c>
    </row>
    <row r="1378" spans="1:13" x14ac:dyDescent="0.25">
      <c r="A1378">
        <v>1369</v>
      </c>
      <c r="L1378">
        <f t="shared" si="52"/>
        <v>0</v>
      </c>
      <c r="M1378">
        <f t="shared" si="53"/>
        <v>0</v>
      </c>
    </row>
    <row r="1379" spans="1:13" x14ac:dyDescent="0.25">
      <c r="A1379">
        <v>1370</v>
      </c>
      <c r="L1379">
        <f t="shared" si="52"/>
        <v>0</v>
      </c>
      <c r="M1379">
        <f t="shared" si="53"/>
        <v>0</v>
      </c>
    </row>
    <row r="1380" spans="1:13" x14ac:dyDescent="0.25">
      <c r="A1380">
        <v>1371</v>
      </c>
      <c r="L1380">
        <f t="shared" si="52"/>
        <v>0</v>
      </c>
      <c r="M1380">
        <f t="shared" si="53"/>
        <v>0</v>
      </c>
    </row>
    <row r="1381" spans="1:13" x14ac:dyDescent="0.25">
      <c r="A1381">
        <v>1372</v>
      </c>
      <c r="L1381">
        <f t="shared" si="52"/>
        <v>0</v>
      </c>
      <c r="M1381">
        <f t="shared" si="53"/>
        <v>0</v>
      </c>
    </row>
    <row r="1382" spans="1:13" x14ac:dyDescent="0.25">
      <c r="A1382">
        <v>1373</v>
      </c>
      <c r="L1382">
        <f t="shared" si="52"/>
        <v>0</v>
      </c>
      <c r="M1382">
        <f t="shared" si="53"/>
        <v>0</v>
      </c>
    </row>
    <row r="1383" spans="1:13" x14ac:dyDescent="0.25">
      <c r="A1383">
        <v>1374</v>
      </c>
      <c r="L1383">
        <f t="shared" si="52"/>
        <v>0</v>
      </c>
      <c r="M1383">
        <f t="shared" si="53"/>
        <v>0</v>
      </c>
    </row>
    <row r="1384" spans="1:13" x14ac:dyDescent="0.25">
      <c r="A1384">
        <v>1375</v>
      </c>
      <c r="L1384">
        <f t="shared" si="52"/>
        <v>0</v>
      </c>
      <c r="M1384">
        <f t="shared" si="53"/>
        <v>0</v>
      </c>
    </row>
    <row r="1385" spans="1:13" x14ac:dyDescent="0.25">
      <c r="A1385">
        <v>1376</v>
      </c>
      <c r="L1385">
        <f t="shared" si="52"/>
        <v>0</v>
      </c>
      <c r="M1385">
        <f t="shared" si="53"/>
        <v>0</v>
      </c>
    </row>
    <row r="1386" spans="1:13" x14ac:dyDescent="0.25">
      <c r="A1386">
        <v>1377</v>
      </c>
      <c r="L1386">
        <f t="shared" si="52"/>
        <v>0</v>
      </c>
      <c r="M1386">
        <f t="shared" si="53"/>
        <v>0</v>
      </c>
    </row>
    <row r="1387" spans="1:13" x14ac:dyDescent="0.25">
      <c r="A1387">
        <v>1378</v>
      </c>
      <c r="L1387">
        <f t="shared" si="52"/>
        <v>0</v>
      </c>
      <c r="M1387">
        <f t="shared" si="53"/>
        <v>0</v>
      </c>
    </row>
    <row r="1388" spans="1:13" x14ac:dyDescent="0.25">
      <c r="A1388">
        <v>1379</v>
      </c>
      <c r="L1388">
        <f t="shared" si="52"/>
        <v>0</v>
      </c>
      <c r="M1388">
        <f t="shared" si="53"/>
        <v>0</v>
      </c>
    </row>
    <row r="1389" spans="1:13" x14ac:dyDescent="0.25">
      <c r="A1389">
        <v>1380</v>
      </c>
      <c r="L1389">
        <f t="shared" si="52"/>
        <v>0</v>
      </c>
      <c r="M1389">
        <f t="shared" si="53"/>
        <v>0</v>
      </c>
    </row>
    <row r="1390" spans="1:13" x14ac:dyDescent="0.25">
      <c r="A1390">
        <v>1381</v>
      </c>
      <c r="L1390">
        <f t="shared" ref="L1390:L1453" si="54">+I1390+H1390</f>
        <v>0</v>
      </c>
      <c r="M1390">
        <f t="shared" si="53"/>
        <v>0</v>
      </c>
    </row>
    <row r="1391" spans="1:13" x14ac:dyDescent="0.25">
      <c r="A1391">
        <v>1382</v>
      </c>
      <c r="L1391">
        <f t="shared" si="54"/>
        <v>0</v>
      </c>
      <c r="M1391">
        <f t="shared" si="53"/>
        <v>0</v>
      </c>
    </row>
    <row r="1392" spans="1:13" x14ac:dyDescent="0.25">
      <c r="A1392">
        <v>1383</v>
      </c>
      <c r="L1392">
        <f t="shared" si="54"/>
        <v>0</v>
      </c>
      <c r="M1392">
        <f t="shared" si="53"/>
        <v>0</v>
      </c>
    </row>
    <row r="1393" spans="1:13" x14ac:dyDescent="0.25">
      <c r="A1393">
        <v>1384</v>
      </c>
      <c r="L1393">
        <f t="shared" si="54"/>
        <v>0</v>
      </c>
      <c r="M1393">
        <f t="shared" si="53"/>
        <v>0</v>
      </c>
    </row>
    <row r="1394" spans="1:13" x14ac:dyDescent="0.25">
      <c r="A1394">
        <v>1385</v>
      </c>
      <c r="L1394">
        <f t="shared" si="54"/>
        <v>0</v>
      </c>
      <c r="M1394">
        <f t="shared" si="53"/>
        <v>0</v>
      </c>
    </row>
    <row r="1395" spans="1:13" x14ac:dyDescent="0.25">
      <c r="A1395">
        <v>1386</v>
      </c>
      <c r="L1395">
        <f t="shared" si="54"/>
        <v>0</v>
      </c>
      <c r="M1395">
        <f t="shared" si="53"/>
        <v>0</v>
      </c>
    </row>
    <row r="1396" spans="1:13" x14ac:dyDescent="0.25">
      <c r="A1396">
        <v>1387</v>
      </c>
      <c r="L1396">
        <f t="shared" si="54"/>
        <v>0</v>
      </c>
      <c r="M1396">
        <f t="shared" si="53"/>
        <v>0</v>
      </c>
    </row>
    <row r="1397" spans="1:13" x14ac:dyDescent="0.25">
      <c r="A1397">
        <v>1388</v>
      </c>
      <c r="L1397">
        <f t="shared" si="54"/>
        <v>0</v>
      </c>
      <c r="M1397">
        <f t="shared" si="53"/>
        <v>0</v>
      </c>
    </row>
    <row r="1398" spans="1:13" x14ac:dyDescent="0.25">
      <c r="A1398">
        <v>1389</v>
      </c>
      <c r="L1398">
        <f t="shared" si="54"/>
        <v>0</v>
      </c>
      <c r="M1398">
        <f t="shared" si="53"/>
        <v>0</v>
      </c>
    </row>
    <row r="1399" spans="1:13" x14ac:dyDescent="0.25">
      <c r="A1399">
        <v>1390</v>
      </c>
      <c r="L1399">
        <f t="shared" si="54"/>
        <v>0</v>
      </c>
      <c r="M1399">
        <f t="shared" si="53"/>
        <v>0</v>
      </c>
    </row>
    <row r="1400" spans="1:13" x14ac:dyDescent="0.25">
      <c r="A1400">
        <v>1391</v>
      </c>
      <c r="L1400">
        <f t="shared" si="54"/>
        <v>0</v>
      </c>
      <c r="M1400">
        <f t="shared" si="53"/>
        <v>0</v>
      </c>
    </row>
    <row r="1401" spans="1:13" x14ac:dyDescent="0.25">
      <c r="A1401">
        <v>1392</v>
      </c>
      <c r="L1401">
        <f t="shared" si="54"/>
        <v>0</v>
      </c>
      <c r="M1401">
        <f t="shared" si="53"/>
        <v>0</v>
      </c>
    </row>
    <row r="1402" spans="1:13" x14ac:dyDescent="0.25">
      <c r="A1402">
        <v>1393</v>
      </c>
      <c r="L1402">
        <f t="shared" si="54"/>
        <v>0</v>
      </c>
      <c r="M1402">
        <f t="shared" si="53"/>
        <v>0</v>
      </c>
    </row>
    <row r="1403" spans="1:13" x14ac:dyDescent="0.25">
      <c r="A1403">
        <v>1394</v>
      </c>
      <c r="L1403">
        <f t="shared" si="54"/>
        <v>0</v>
      </c>
      <c r="M1403">
        <f t="shared" si="53"/>
        <v>0</v>
      </c>
    </row>
    <row r="1404" spans="1:13" x14ac:dyDescent="0.25">
      <c r="A1404">
        <v>1395</v>
      </c>
      <c r="L1404">
        <f t="shared" si="54"/>
        <v>0</v>
      </c>
      <c r="M1404">
        <f t="shared" si="53"/>
        <v>0</v>
      </c>
    </row>
    <row r="1405" spans="1:13" x14ac:dyDescent="0.25">
      <c r="A1405">
        <v>1396</v>
      </c>
      <c r="L1405">
        <f t="shared" si="54"/>
        <v>0</v>
      </c>
      <c r="M1405">
        <f t="shared" si="53"/>
        <v>0</v>
      </c>
    </row>
    <row r="1406" spans="1:13" x14ac:dyDescent="0.25">
      <c r="A1406">
        <v>1397</v>
      </c>
      <c r="L1406">
        <f t="shared" si="54"/>
        <v>0</v>
      </c>
      <c r="M1406">
        <f t="shared" si="53"/>
        <v>0</v>
      </c>
    </row>
    <row r="1407" spans="1:13" x14ac:dyDescent="0.25">
      <c r="A1407">
        <v>1398</v>
      </c>
      <c r="L1407">
        <f t="shared" si="54"/>
        <v>0</v>
      </c>
      <c r="M1407">
        <f t="shared" ref="M1407:M1470" si="55">+I1407/IF(H1407 = 0,1,H1407)</f>
        <v>0</v>
      </c>
    </row>
    <row r="1408" spans="1:13" x14ac:dyDescent="0.25">
      <c r="A1408">
        <v>1399</v>
      </c>
      <c r="L1408">
        <f t="shared" si="54"/>
        <v>0</v>
      </c>
      <c r="M1408">
        <f t="shared" si="55"/>
        <v>0</v>
      </c>
    </row>
    <row r="1409" spans="1:13" x14ac:dyDescent="0.25">
      <c r="A1409">
        <v>1400</v>
      </c>
      <c r="L1409">
        <f t="shared" si="54"/>
        <v>0</v>
      </c>
      <c r="M1409">
        <f t="shared" si="55"/>
        <v>0</v>
      </c>
    </row>
    <row r="1410" spans="1:13" x14ac:dyDescent="0.25">
      <c r="A1410">
        <v>1401</v>
      </c>
      <c r="L1410">
        <f t="shared" si="54"/>
        <v>0</v>
      </c>
      <c r="M1410">
        <f t="shared" si="55"/>
        <v>0</v>
      </c>
    </row>
    <row r="1411" spans="1:13" x14ac:dyDescent="0.25">
      <c r="A1411">
        <v>1402</v>
      </c>
      <c r="L1411">
        <f t="shared" si="54"/>
        <v>0</v>
      </c>
      <c r="M1411">
        <f t="shared" si="55"/>
        <v>0</v>
      </c>
    </row>
    <row r="1412" spans="1:13" x14ac:dyDescent="0.25">
      <c r="A1412">
        <v>1403</v>
      </c>
      <c r="L1412">
        <f t="shared" si="54"/>
        <v>0</v>
      </c>
      <c r="M1412">
        <f t="shared" si="55"/>
        <v>0</v>
      </c>
    </row>
    <row r="1413" spans="1:13" x14ac:dyDescent="0.25">
      <c r="A1413">
        <v>1404</v>
      </c>
      <c r="L1413">
        <f t="shared" si="54"/>
        <v>0</v>
      </c>
      <c r="M1413">
        <f t="shared" si="55"/>
        <v>0</v>
      </c>
    </row>
    <row r="1414" spans="1:13" x14ac:dyDescent="0.25">
      <c r="A1414">
        <v>1405</v>
      </c>
      <c r="L1414">
        <f t="shared" si="54"/>
        <v>0</v>
      </c>
      <c r="M1414">
        <f t="shared" si="55"/>
        <v>0</v>
      </c>
    </row>
    <row r="1415" spans="1:13" x14ac:dyDescent="0.25">
      <c r="A1415">
        <v>1406</v>
      </c>
      <c r="L1415">
        <f t="shared" si="54"/>
        <v>0</v>
      </c>
      <c r="M1415">
        <f t="shared" si="55"/>
        <v>0</v>
      </c>
    </row>
    <row r="1416" spans="1:13" x14ac:dyDescent="0.25">
      <c r="A1416">
        <v>1407</v>
      </c>
      <c r="L1416">
        <f t="shared" si="54"/>
        <v>0</v>
      </c>
      <c r="M1416">
        <f t="shared" si="55"/>
        <v>0</v>
      </c>
    </row>
    <row r="1417" spans="1:13" x14ac:dyDescent="0.25">
      <c r="A1417">
        <v>1408</v>
      </c>
      <c r="L1417">
        <f t="shared" si="54"/>
        <v>0</v>
      </c>
      <c r="M1417">
        <f t="shared" si="55"/>
        <v>0</v>
      </c>
    </row>
    <row r="1418" spans="1:13" x14ac:dyDescent="0.25">
      <c r="A1418">
        <v>1409</v>
      </c>
      <c r="L1418">
        <f t="shared" si="54"/>
        <v>0</v>
      </c>
      <c r="M1418">
        <f t="shared" si="55"/>
        <v>0</v>
      </c>
    </row>
    <row r="1419" spans="1:13" x14ac:dyDescent="0.25">
      <c r="A1419">
        <v>1410</v>
      </c>
      <c r="L1419">
        <f t="shared" si="54"/>
        <v>0</v>
      </c>
      <c r="M1419">
        <f t="shared" si="55"/>
        <v>0</v>
      </c>
    </row>
    <row r="1420" spans="1:13" x14ac:dyDescent="0.25">
      <c r="A1420">
        <v>1411</v>
      </c>
      <c r="L1420">
        <f t="shared" si="54"/>
        <v>0</v>
      </c>
      <c r="M1420">
        <f t="shared" si="55"/>
        <v>0</v>
      </c>
    </row>
    <row r="1421" spans="1:13" x14ac:dyDescent="0.25">
      <c r="A1421">
        <v>1412</v>
      </c>
      <c r="L1421">
        <f t="shared" si="54"/>
        <v>0</v>
      </c>
      <c r="M1421">
        <f t="shared" si="55"/>
        <v>0</v>
      </c>
    </row>
    <row r="1422" spans="1:13" x14ac:dyDescent="0.25">
      <c r="A1422">
        <v>1413</v>
      </c>
      <c r="L1422">
        <f t="shared" si="54"/>
        <v>0</v>
      </c>
      <c r="M1422">
        <f t="shared" si="55"/>
        <v>0</v>
      </c>
    </row>
    <row r="1423" spans="1:13" x14ac:dyDescent="0.25">
      <c r="A1423">
        <v>1414</v>
      </c>
      <c r="L1423">
        <f t="shared" si="54"/>
        <v>0</v>
      </c>
      <c r="M1423">
        <f t="shared" si="55"/>
        <v>0</v>
      </c>
    </row>
    <row r="1424" spans="1:13" x14ac:dyDescent="0.25">
      <c r="A1424">
        <v>1415</v>
      </c>
      <c r="L1424">
        <f t="shared" si="54"/>
        <v>0</v>
      </c>
      <c r="M1424">
        <f t="shared" si="55"/>
        <v>0</v>
      </c>
    </row>
    <row r="1425" spans="1:13" x14ac:dyDescent="0.25">
      <c r="A1425">
        <v>1416</v>
      </c>
      <c r="L1425">
        <f t="shared" si="54"/>
        <v>0</v>
      </c>
      <c r="M1425">
        <f t="shared" si="55"/>
        <v>0</v>
      </c>
    </row>
    <row r="1426" spans="1:13" x14ac:dyDescent="0.25">
      <c r="A1426">
        <v>1417</v>
      </c>
      <c r="L1426">
        <f t="shared" si="54"/>
        <v>0</v>
      </c>
      <c r="M1426">
        <f t="shared" si="55"/>
        <v>0</v>
      </c>
    </row>
    <row r="1427" spans="1:13" x14ac:dyDescent="0.25">
      <c r="A1427">
        <v>1418</v>
      </c>
      <c r="L1427">
        <f t="shared" si="54"/>
        <v>0</v>
      </c>
      <c r="M1427">
        <f t="shared" si="55"/>
        <v>0</v>
      </c>
    </row>
    <row r="1428" spans="1:13" x14ac:dyDescent="0.25">
      <c r="A1428">
        <v>1419</v>
      </c>
      <c r="L1428">
        <f t="shared" si="54"/>
        <v>0</v>
      </c>
      <c r="M1428">
        <f t="shared" si="55"/>
        <v>0</v>
      </c>
    </row>
    <row r="1429" spans="1:13" x14ac:dyDescent="0.25">
      <c r="A1429">
        <v>1420</v>
      </c>
      <c r="L1429">
        <f t="shared" si="54"/>
        <v>0</v>
      </c>
      <c r="M1429">
        <f t="shared" si="55"/>
        <v>0</v>
      </c>
    </row>
    <row r="1430" spans="1:13" x14ac:dyDescent="0.25">
      <c r="A1430">
        <v>1421</v>
      </c>
      <c r="L1430">
        <f t="shared" si="54"/>
        <v>0</v>
      </c>
      <c r="M1430">
        <f t="shared" si="55"/>
        <v>0</v>
      </c>
    </row>
    <row r="1431" spans="1:13" x14ac:dyDescent="0.25">
      <c r="A1431">
        <v>1422</v>
      </c>
      <c r="L1431">
        <f t="shared" si="54"/>
        <v>0</v>
      </c>
      <c r="M1431">
        <f t="shared" si="55"/>
        <v>0</v>
      </c>
    </row>
    <row r="1432" spans="1:13" x14ac:dyDescent="0.25">
      <c r="A1432">
        <v>1423</v>
      </c>
      <c r="L1432">
        <f t="shared" si="54"/>
        <v>0</v>
      </c>
      <c r="M1432">
        <f t="shared" si="55"/>
        <v>0</v>
      </c>
    </row>
    <row r="1433" spans="1:13" x14ac:dyDescent="0.25">
      <c r="A1433">
        <v>1424</v>
      </c>
      <c r="L1433">
        <f t="shared" si="54"/>
        <v>0</v>
      </c>
      <c r="M1433">
        <f t="shared" si="55"/>
        <v>0</v>
      </c>
    </row>
    <row r="1434" spans="1:13" x14ac:dyDescent="0.25">
      <c r="A1434">
        <v>1425</v>
      </c>
      <c r="L1434">
        <f t="shared" si="54"/>
        <v>0</v>
      </c>
      <c r="M1434">
        <f t="shared" si="55"/>
        <v>0</v>
      </c>
    </row>
    <row r="1435" spans="1:13" x14ac:dyDescent="0.25">
      <c r="A1435">
        <v>1426</v>
      </c>
      <c r="L1435">
        <f t="shared" si="54"/>
        <v>0</v>
      </c>
      <c r="M1435">
        <f t="shared" si="55"/>
        <v>0</v>
      </c>
    </row>
    <row r="1436" spans="1:13" x14ac:dyDescent="0.25">
      <c r="A1436">
        <v>1427</v>
      </c>
      <c r="L1436">
        <f t="shared" si="54"/>
        <v>0</v>
      </c>
      <c r="M1436">
        <f t="shared" si="55"/>
        <v>0</v>
      </c>
    </row>
    <row r="1437" spans="1:13" x14ac:dyDescent="0.25">
      <c r="A1437">
        <v>1428</v>
      </c>
      <c r="L1437">
        <f t="shared" si="54"/>
        <v>0</v>
      </c>
      <c r="M1437">
        <f t="shared" si="55"/>
        <v>0</v>
      </c>
    </row>
    <row r="1438" spans="1:13" x14ac:dyDescent="0.25">
      <c r="A1438">
        <v>1429</v>
      </c>
      <c r="L1438">
        <f t="shared" si="54"/>
        <v>0</v>
      </c>
      <c r="M1438">
        <f t="shared" si="55"/>
        <v>0</v>
      </c>
    </row>
    <row r="1439" spans="1:13" x14ac:dyDescent="0.25">
      <c r="A1439">
        <v>1430</v>
      </c>
      <c r="L1439">
        <f t="shared" si="54"/>
        <v>0</v>
      </c>
      <c r="M1439">
        <f t="shared" si="55"/>
        <v>0</v>
      </c>
    </row>
    <row r="1440" spans="1:13" x14ac:dyDescent="0.25">
      <c r="A1440">
        <v>1431</v>
      </c>
      <c r="L1440">
        <f t="shared" si="54"/>
        <v>0</v>
      </c>
      <c r="M1440">
        <f t="shared" si="55"/>
        <v>0</v>
      </c>
    </row>
    <row r="1441" spans="1:13" x14ac:dyDescent="0.25">
      <c r="A1441">
        <v>1432</v>
      </c>
      <c r="L1441">
        <f t="shared" si="54"/>
        <v>0</v>
      </c>
      <c r="M1441">
        <f t="shared" si="55"/>
        <v>0</v>
      </c>
    </row>
    <row r="1442" spans="1:13" x14ac:dyDescent="0.25">
      <c r="A1442">
        <v>1433</v>
      </c>
      <c r="L1442">
        <f t="shared" si="54"/>
        <v>0</v>
      </c>
      <c r="M1442">
        <f t="shared" si="55"/>
        <v>0</v>
      </c>
    </row>
    <row r="1443" spans="1:13" x14ac:dyDescent="0.25">
      <c r="A1443">
        <v>1434</v>
      </c>
      <c r="L1443">
        <f t="shared" si="54"/>
        <v>0</v>
      </c>
      <c r="M1443">
        <f t="shared" si="55"/>
        <v>0</v>
      </c>
    </row>
    <row r="1444" spans="1:13" x14ac:dyDescent="0.25">
      <c r="A1444">
        <v>1435</v>
      </c>
      <c r="L1444">
        <f t="shared" si="54"/>
        <v>0</v>
      </c>
      <c r="M1444">
        <f t="shared" si="55"/>
        <v>0</v>
      </c>
    </row>
    <row r="1445" spans="1:13" x14ac:dyDescent="0.25">
      <c r="A1445">
        <v>1436</v>
      </c>
      <c r="L1445">
        <f t="shared" si="54"/>
        <v>0</v>
      </c>
      <c r="M1445">
        <f t="shared" si="55"/>
        <v>0</v>
      </c>
    </row>
    <row r="1446" spans="1:13" x14ac:dyDescent="0.25">
      <c r="A1446">
        <v>1437</v>
      </c>
      <c r="L1446">
        <f t="shared" si="54"/>
        <v>0</v>
      </c>
      <c r="M1446">
        <f t="shared" si="55"/>
        <v>0</v>
      </c>
    </row>
    <row r="1447" spans="1:13" x14ac:dyDescent="0.25">
      <c r="A1447">
        <v>1438</v>
      </c>
      <c r="L1447">
        <f t="shared" si="54"/>
        <v>0</v>
      </c>
      <c r="M1447">
        <f t="shared" si="55"/>
        <v>0</v>
      </c>
    </row>
    <row r="1448" spans="1:13" x14ac:dyDescent="0.25">
      <c r="A1448">
        <v>1439</v>
      </c>
      <c r="L1448">
        <f t="shared" si="54"/>
        <v>0</v>
      </c>
      <c r="M1448">
        <f t="shared" si="55"/>
        <v>0</v>
      </c>
    </row>
    <row r="1449" spans="1:13" x14ac:dyDescent="0.25">
      <c r="A1449">
        <v>1440</v>
      </c>
      <c r="L1449">
        <f t="shared" si="54"/>
        <v>0</v>
      </c>
      <c r="M1449">
        <f t="shared" si="55"/>
        <v>0</v>
      </c>
    </row>
    <row r="1450" spans="1:13" x14ac:dyDescent="0.25">
      <c r="A1450">
        <v>1441</v>
      </c>
      <c r="L1450">
        <f t="shared" si="54"/>
        <v>0</v>
      </c>
      <c r="M1450">
        <f t="shared" si="55"/>
        <v>0</v>
      </c>
    </row>
    <row r="1451" spans="1:13" x14ac:dyDescent="0.25">
      <c r="A1451">
        <v>1442</v>
      </c>
      <c r="L1451">
        <f t="shared" si="54"/>
        <v>0</v>
      </c>
      <c r="M1451">
        <f t="shared" si="55"/>
        <v>0</v>
      </c>
    </row>
    <row r="1452" spans="1:13" x14ac:dyDescent="0.25">
      <c r="A1452">
        <v>1443</v>
      </c>
      <c r="L1452">
        <f t="shared" si="54"/>
        <v>0</v>
      </c>
      <c r="M1452">
        <f t="shared" si="55"/>
        <v>0</v>
      </c>
    </row>
    <row r="1453" spans="1:13" x14ac:dyDescent="0.25">
      <c r="A1453">
        <v>1444</v>
      </c>
      <c r="L1453">
        <f t="shared" si="54"/>
        <v>0</v>
      </c>
      <c r="M1453">
        <f t="shared" si="55"/>
        <v>0</v>
      </c>
    </row>
    <row r="1454" spans="1:13" x14ac:dyDescent="0.25">
      <c r="A1454">
        <v>1445</v>
      </c>
      <c r="L1454">
        <f t="shared" ref="L1454:L1517" si="56">+I1454+H1454</f>
        <v>0</v>
      </c>
      <c r="M1454">
        <f t="shared" si="55"/>
        <v>0</v>
      </c>
    </row>
    <row r="1455" spans="1:13" x14ac:dyDescent="0.25">
      <c r="A1455">
        <v>1446</v>
      </c>
      <c r="L1455">
        <f t="shared" si="56"/>
        <v>0</v>
      </c>
      <c r="M1455">
        <f t="shared" si="55"/>
        <v>0</v>
      </c>
    </row>
    <row r="1456" spans="1:13" x14ac:dyDescent="0.25">
      <c r="A1456">
        <v>1447</v>
      </c>
      <c r="L1456">
        <f t="shared" si="56"/>
        <v>0</v>
      </c>
      <c r="M1456">
        <f t="shared" si="55"/>
        <v>0</v>
      </c>
    </row>
    <row r="1457" spans="1:13" x14ac:dyDescent="0.25">
      <c r="A1457">
        <v>1448</v>
      </c>
      <c r="L1457">
        <f t="shared" si="56"/>
        <v>0</v>
      </c>
      <c r="M1457">
        <f t="shared" si="55"/>
        <v>0</v>
      </c>
    </row>
    <row r="1458" spans="1:13" x14ac:dyDescent="0.25">
      <c r="A1458">
        <v>1449</v>
      </c>
      <c r="L1458">
        <f t="shared" si="56"/>
        <v>0</v>
      </c>
      <c r="M1458">
        <f t="shared" si="55"/>
        <v>0</v>
      </c>
    </row>
    <row r="1459" spans="1:13" x14ac:dyDescent="0.25">
      <c r="A1459">
        <v>1450</v>
      </c>
      <c r="L1459">
        <f t="shared" si="56"/>
        <v>0</v>
      </c>
      <c r="M1459">
        <f t="shared" si="55"/>
        <v>0</v>
      </c>
    </row>
    <row r="1460" spans="1:13" x14ac:dyDescent="0.25">
      <c r="A1460">
        <v>1451</v>
      </c>
      <c r="L1460">
        <f t="shared" si="56"/>
        <v>0</v>
      </c>
      <c r="M1460">
        <f t="shared" si="55"/>
        <v>0</v>
      </c>
    </row>
    <row r="1461" spans="1:13" x14ac:dyDescent="0.25">
      <c r="A1461">
        <v>1452</v>
      </c>
      <c r="L1461">
        <f t="shared" si="56"/>
        <v>0</v>
      </c>
      <c r="M1461">
        <f t="shared" si="55"/>
        <v>0</v>
      </c>
    </row>
    <row r="1462" spans="1:13" x14ac:dyDescent="0.25">
      <c r="A1462">
        <v>1453</v>
      </c>
      <c r="L1462">
        <f t="shared" si="56"/>
        <v>0</v>
      </c>
      <c r="M1462">
        <f t="shared" si="55"/>
        <v>0</v>
      </c>
    </row>
    <row r="1463" spans="1:13" x14ac:dyDescent="0.25">
      <c r="A1463">
        <v>1454</v>
      </c>
      <c r="L1463">
        <f t="shared" si="56"/>
        <v>0</v>
      </c>
      <c r="M1463">
        <f t="shared" si="55"/>
        <v>0</v>
      </c>
    </row>
    <row r="1464" spans="1:13" x14ac:dyDescent="0.25">
      <c r="A1464">
        <v>1455</v>
      </c>
      <c r="L1464">
        <f t="shared" si="56"/>
        <v>0</v>
      </c>
      <c r="M1464">
        <f t="shared" si="55"/>
        <v>0</v>
      </c>
    </row>
    <row r="1465" spans="1:13" x14ac:dyDescent="0.25">
      <c r="A1465">
        <v>1456</v>
      </c>
      <c r="L1465">
        <f t="shared" si="56"/>
        <v>0</v>
      </c>
      <c r="M1465">
        <f t="shared" si="55"/>
        <v>0</v>
      </c>
    </row>
    <row r="1466" spans="1:13" x14ac:dyDescent="0.25">
      <c r="A1466">
        <v>1457</v>
      </c>
      <c r="L1466">
        <f t="shared" si="56"/>
        <v>0</v>
      </c>
      <c r="M1466">
        <f t="shared" si="55"/>
        <v>0</v>
      </c>
    </row>
    <row r="1467" spans="1:13" x14ac:dyDescent="0.25">
      <c r="A1467">
        <v>1458</v>
      </c>
      <c r="L1467">
        <f t="shared" si="56"/>
        <v>0</v>
      </c>
      <c r="M1467">
        <f t="shared" si="55"/>
        <v>0</v>
      </c>
    </row>
    <row r="1468" spans="1:13" x14ac:dyDescent="0.25">
      <c r="A1468">
        <v>1459</v>
      </c>
      <c r="L1468">
        <f t="shared" si="56"/>
        <v>0</v>
      </c>
      <c r="M1468">
        <f t="shared" si="55"/>
        <v>0</v>
      </c>
    </row>
    <row r="1469" spans="1:13" x14ac:dyDescent="0.25">
      <c r="A1469">
        <v>1460</v>
      </c>
      <c r="L1469">
        <f t="shared" si="56"/>
        <v>0</v>
      </c>
      <c r="M1469">
        <f t="shared" si="55"/>
        <v>0</v>
      </c>
    </row>
    <row r="1470" spans="1:13" x14ac:dyDescent="0.25">
      <c r="A1470">
        <v>1461</v>
      </c>
      <c r="L1470">
        <f t="shared" si="56"/>
        <v>0</v>
      </c>
      <c r="M1470">
        <f t="shared" si="55"/>
        <v>0</v>
      </c>
    </row>
    <row r="1471" spans="1:13" x14ac:dyDescent="0.25">
      <c r="A1471">
        <v>1462</v>
      </c>
      <c r="L1471">
        <f t="shared" si="56"/>
        <v>0</v>
      </c>
      <c r="M1471">
        <f t="shared" ref="M1471:M1534" si="57">+I1471/IF(H1471 = 0,1,H1471)</f>
        <v>0</v>
      </c>
    </row>
    <row r="1472" spans="1:13" x14ac:dyDescent="0.25">
      <c r="A1472">
        <v>1463</v>
      </c>
      <c r="L1472">
        <f t="shared" si="56"/>
        <v>0</v>
      </c>
      <c r="M1472">
        <f t="shared" si="57"/>
        <v>0</v>
      </c>
    </row>
    <row r="1473" spans="1:13" x14ac:dyDescent="0.25">
      <c r="A1473">
        <v>1464</v>
      </c>
      <c r="L1473">
        <f t="shared" si="56"/>
        <v>0</v>
      </c>
      <c r="M1473">
        <f t="shared" si="57"/>
        <v>0</v>
      </c>
    </row>
    <row r="1474" spans="1:13" x14ac:dyDescent="0.25">
      <c r="A1474">
        <v>1465</v>
      </c>
      <c r="L1474">
        <f t="shared" si="56"/>
        <v>0</v>
      </c>
      <c r="M1474">
        <f t="shared" si="57"/>
        <v>0</v>
      </c>
    </row>
    <row r="1475" spans="1:13" x14ac:dyDescent="0.25">
      <c r="A1475">
        <v>1466</v>
      </c>
      <c r="L1475">
        <f t="shared" si="56"/>
        <v>0</v>
      </c>
      <c r="M1475">
        <f t="shared" si="57"/>
        <v>0</v>
      </c>
    </row>
    <row r="1476" spans="1:13" x14ac:dyDescent="0.25">
      <c r="A1476">
        <v>1467</v>
      </c>
      <c r="L1476">
        <f t="shared" si="56"/>
        <v>0</v>
      </c>
      <c r="M1476">
        <f t="shared" si="57"/>
        <v>0</v>
      </c>
    </row>
    <row r="1477" spans="1:13" x14ac:dyDescent="0.25">
      <c r="A1477">
        <v>1468</v>
      </c>
      <c r="L1477">
        <f t="shared" si="56"/>
        <v>0</v>
      </c>
      <c r="M1477">
        <f t="shared" si="57"/>
        <v>0</v>
      </c>
    </row>
    <row r="1478" spans="1:13" x14ac:dyDescent="0.25">
      <c r="A1478">
        <v>1469</v>
      </c>
      <c r="L1478">
        <f t="shared" si="56"/>
        <v>0</v>
      </c>
      <c r="M1478">
        <f t="shared" si="57"/>
        <v>0</v>
      </c>
    </row>
    <row r="1479" spans="1:13" x14ac:dyDescent="0.25">
      <c r="A1479">
        <v>1470</v>
      </c>
      <c r="L1479">
        <f t="shared" si="56"/>
        <v>0</v>
      </c>
      <c r="M1479">
        <f t="shared" si="57"/>
        <v>0</v>
      </c>
    </row>
    <row r="1480" spans="1:13" x14ac:dyDescent="0.25">
      <c r="A1480">
        <v>1471</v>
      </c>
      <c r="L1480">
        <f t="shared" si="56"/>
        <v>0</v>
      </c>
      <c r="M1480">
        <f t="shared" si="57"/>
        <v>0</v>
      </c>
    </row>
    <row r="1481" spans="1:13" x14ac:dyDescent="0.25">
      <c r="A1481">
        <v>1472</v>
      </c>
      <c r="L1481">
        <f t="shared" si="56"/>
        <v>0</v>
      </c>
      <c r="M1481">
        <f t="shared" si="57"/>
        <v>0</v>
      </c>
    </row>
    <row r="1482" spans="1:13" x14ac:dyDescent="0.25">
      <c r="A1482">
        <v>1473</v>
      </c>
      <c r="L1482">
        <f t="shared" si="56"/>
        <v>0</v>
      </c>
      <c r="M1482">
        <f t="shared" si="57"/>
        <v>0</v>
      </c>
    </row>
    <row r="1483" spans="1:13" x14ac:dyDescent="0.25">
      <c r="A1483">
        <v>1474</v>
      </c>
      <c r="L1483">
        <f t="shared" si="56"/>
        <v>0</v>
      </c>
      <c r="M1483">
        <f t="shared" si="57"/>
        <v>0</v>
      </c>
    </row>
    <row r="1484" spans="1:13" x14ac:dyDescent="0.25">
      <c r="A1484">
        <v>1475</v>
      </c>
      <c r="L1484">
        <f t="shared" si="56"/>
        <v>0</v>
      </c>
      <c r="M1484">
        <f t="shared" si="57"/>
        <v>0</v>
      </c>
    </row>
    <row r="1485" spans="1:13" x14ac:dyDescent="0.25">
      <c r="A1485">
        <v>1476</v>
      </c>
      <c r="L1485">
        <f t="shared" si="56"/>
        <v>0</v>
      </c>
      <c r="M1485">
        <f t="shared" si="57"/>
        <v>0</v>
      </c>
    </row>
    <row r="1486" spans="1:13" x14ac:dyDescent="0.25">
      <c r="A1486">
        <v>1477</v>
      </c>
      <c r="L1486">
        <f t="shared" si="56"/>
        <v>0</v>
      </c>
      <c r="M1486">
        <f t="shared" si="57"/>
        <v>0</v>
      </c>
    </row>
    <row r="1487" spans="1:13" x14ac:dyDescent="0.25">
      <c r="A1487">
        <v>1478</v>
      </c>
      <c r="L1487">
        <f t="shared" si="56"/>
        <v>0</v>
      </c>
      <c r="M1487">
        <f t="shared" si="57"/>
        <v>0</v>
      </c>
    </row>
    <row r="1488" spans="1:13" x14ac:dyDescent="0.25">
      <c r="A1488">
        <v>1479</v>
      </c>
      <c r="L1488">
        <f t="shared" si="56"/>
        <v>0</v>
      </c>
      <c r="M1488">
        <f t="shared" si="57"/>
        <v>0</v>
      </c>
    </row>
    <row r="1489" spans="1:13" x14ac:dyDescent="0.25">
      <c r="A1489">
        <v>1480</v>
      </c>
      <c r="L1489">
        <f t="shared" si="56"/>
        <v>0</v>
      </c>
      <c r="M1489">
        <f t="shared" si="57"/>
        <v>0</v>
      </c>
    </row>
    <row r="1490" spans="1:13" x14ac:dyDescent="0.25">
      <c r="A1490">
        <v>1481</v>
      </c>
      <c r="L1490">
        <f t="shared" si="56"/>
        <v>0</v>
      </c>
      <c r="M1490">
        <f t="shared" si="57"/>
        <v>0</v>
      </c>
    </row>
    <row r="1491" spans="1:13" x14ac:dyDescent="0.25">
      <c r="A1491">
        <v>1482</v>
      </c>
      <c r="L1491">
        <f t="shared" si="56"/>
        <v>0</v>
      </c>
      <c r="M1491">
        <f t="shared" si="57"/>
        <v>0</v>
      </c>
    </row>
    <row r="1492" spans="1:13" x14ac:dyDescent="0.25">
      <c r="A1492">
        <v>1483</v>
      </c>
      <c r="L1492">
        <f t="shared" si="56"/>
        <v>0</v>
      </c>
      <c r="M1492">
        <f t="shared" si="57"/>
        <v>0</v>
      </c>
    </row>
    <row r="1493" spans="1:13" x14ac:dyDescent="0.25">
      <c r="A1493">
        <v>1484</v>
      </c>
      <c r="L1493">
        <f t="shared" si="56"/>
        <v>0</v>
      </c>
      <c r="M1493">
        <f t="shared" si="57"/>
        <v>0</v>
      </c>
    </row>
    <row r="1494" spans="1:13" x14ac:dyDescent="0.25">
      <c r="A1494">
        <v>1485</v>
      </c>
      <c r="L1494">
        <f t="shared" si="56"/>
        <v>0</v>
      </c>
      <c r="M1494">
        <f t="shared" si="57"/>
        <v>0</v>
      </c>
    </row>
    <row r="1495" spans="1:13" x14ac:dyDescent="0.25">
      <c r="A1495">
        <v>1486</v>
      </c>
      <c r="L1495">
        <f t="shared" si="56"/>
        <v>0</v>
      </c>
      <c r="M1495">
        <f t="shared" si="57"/>
        <v>0</v>
      </c>
    </row>
    <row r="1496" spans="1:13" x14ac:dyDescent="0.25">
      <c r="A1496">
        <v>1487</v>
      </c>
      <c r="L1496">
        <f t="shared" si="56"/>
        <v>0</v>
      </c>
      <c r="M1496">
        <f t="shared" si="57"/>
        <v>0</v>
      </c>
    </row>
    <row r="1497" spans="1:13" x14ac:dyDescent="0.25">
      <c r="A1497">
        <v>1488</v>
      </c>
      <c r="L1497">
        <f t="shared" si="56"/>
        <v>0</v>
      </c>
      <c r="M1497">
        <f t="shared" si="57"/>
        <v>0</v>
      </c>
    </row>
    <row r="1498" spans="1:13" x14ac:dyDescent="0.25">
      <c r="A1498">
        <v>1489</v>
      </c>
      <c r="L1498">
        <f t="shared" si="56"/>
        <v>0</v>
      </c>
      <c r="M1498">
        <f t="shared" si="57"/>
        <v>0</v>
      </c>
    </row>
    <row r="1499" spans="1:13" x14ac:dyDescent="0.25">
      <c r="A1499">
        <v>1490</v>
      </c>
      <c r="L1499">
        <f t="shared" si="56"/>
        <v>0</v>
      </c>
      <c r="M1499">
        <f t="shared" si="57"/>
        <v>0</v>
      </c>
    </row>
    <row r="1500" spans="1:13" x14ac:dyDescent="0.25">
      <c r="A1500">
        <v>1491</v>
      </c>
      <c r="L1500">
        <f t="shared" si="56"/>
        <v>0</v>
      </c>
      <c r="M1500">
        <f t="shared" si="57"/>
        <v>0</v>
      </c>
    </row>
    <row r="1501" spans="1:13" x14ac:dyDescent="0.25">
      <c r="A1501">
        <v>1492</v>
      </c>
      <c r="L1501">
        <f t="shared" si="56"/>
        <v>0</v>
      </c>
      <c r="M1501">
        <f t="shared" si="57"/>
        <v>0</v>
      </c>
    </row>
    <row r="1502" spans="1:13" x14ac:dyDescent="0.25">
      <c r="A1502">
        <v>1493</v>
      </c>
      <c r="L1502">
        <f t="shared" si="56"/>
        <v>0</v>
      </c>
      <c r="M1502">
        <f t="shared" si="57"/>
        <v>0</v>
      </c>
    </row>
    <row r="1503" spans="1:13" x14ac:dyDescent="0.25">
      <c r="A1503">
        <v>1494</v>
      </c>
      <c r="L1503">
        <f t="shared" si="56"/>
        <v>0</v>
      </c>
      <c r="M1503">
        <f t="shared" si="57"/>
        <v>0</v>
      </c>
    </row>
    <row r="1504" spans="1:13" x14ac:dyDescent="0.25">
      <c r="A1504">
        <v>1495</v>
      </c>
      <c r="L1504">
        <f t="shared" si="56"/>
        <v>0</v>
      </c>
      <c r="M1504">
        <f t="shared" si="57"/>
        <v>0</v>
      </c>
    </row>
    <row r="1505" spans="1:13" x14ac:dyDescent="0.25">
      <c r="A1505">
        <v>1496</v>
      </c>
      <c r="L1505">
        <f t="shared" si="56"/>
        <v>0</v>
      </c>
      <c r="M1505">
        <f t="shared" si="57"/>
        <v>0</v>
      </c>
    </row>
    <row r="1506" spans="1:13" x14ac:dyDescent="0.25">
      <c r="A1506">
        <v>1497</v>
      </c>
      <c r="L1506">
        <f t="shared" si="56"/>
        <v>0</v>
      </c>
      <c r="M1506">
        <f t="shared" si="57"/>
        <v>0</v>
      </c>
    </row>
    <row r="1507" spans="1:13" x14ac:dyDescent="0.25">
      <c r="A1507">
        <v>1498</v>
      </c>
      <c r="L1507">
        <f t="shared" si="56"/>
        <v>0</v>
      </c>
      <c r="M1507">
        <f t="shared" si="57"/>
        <v>0</v>
      </c>
    </row>
    <row r="1508" spans="1:13" x14ac:dyDescent="0.25">
      <c r="A1508">
        <v>1499</v>
      </c>
      <c r="L1508">
        <f t="shared" si="56"/>
        <v>0</v>
      </c>
      <c r="M1508">
        <f t="shared" si="57"/>
        <v>0</v>
      </c>
    </row>
    <row r="1509" spans="1:13" x14ac:dyDescent="0.25">
      <c r="A1509">
        <v>1500</v>
      </c>
      <c r="L1509">
        <f t="shared" si="56"/>
        <v>0</v>
      </c>
      <c r="M1509">
        <f t="shared" si="57"/>
        <v>0</v>
      </c>
    </row>
    <row r="1510" spans="1:13" x14ac:dyDescent="0.25">
      <c r="A1510">
        <v>1501</v>
      </c>
      <c r="L1510">
        <f t="shared" si="56"/>
        <v>0</v>
      </c>
      <c r="M1510">
        <f t="shared" si="57"/>
        <v>0</v>
      </c>
    </row>
    <row r="1511" spans="1:13" x14ac:dyDescent="0.25">
      <c r="A1511">
        <v>1502</v>
      </c>
      <c r="L1511">
        <f t="shared" si="56"/>
        <v>0</v>
      </c>
      <c r="M1511">
        <f t="shared" si="57"/>
        <v>0</v>
      </c>
    </row>
    <row r="1512" spans="1:13" x14ac:dyDescent="0.25">
      <c r="A1512">
        <v>1503</v>
      </c>
      <c r="L1512">
        <f t="shared" si="56"/>
        <v>0</v>
      </c>
      <c r="M1512">
        <f t="shared" si="57"/>
        <v>0</v>
      </c>
    </row>
    <row r="1513" spans="1:13" x14ac:dyDescent="0.25">
      <c r="A1513">
        <v>1504</v>
      </c>
      <c r="L1513">
        <f t="shared" si="56"/>
        <v>0</v>
      </c>
      <c r="M1513">
        <f t="shared" si="57"/>
        <v>0</v>
      </c>
    </row>
    <row r="1514" spans="1:13" x14ac:dyDescent="0.25">
      <c r="A1514">
        <v>1505</v>
      </c>
      <c r="L1514">
        <f t="shared" si="56"/>
        <v>0</v>
      </c>
      <c r="M1514">
        <f t="shared" si="57"/>
        <v>0</v>
      </c>
    </row>
    <row r="1515" spans="1:13" x14ac:dyDescent="0.25">
      <c r="A1515">
        <v>1506</v>
      </c>
      <c r="L1515">
        <f t="shared" si="56"/>
        <v>0</v>
      </c>
      <c r="M1515">
        <f t="shared" si="57"/>
        <v>0</v>
      </c>
    </row>
    <row r="1516" spans="1:13" x14ac:dyDescent="0.25">
      <c r="A1516">
        <v>1507</v>
      </c>
      <c r="L1516">
        <f t="shared" si="56"/>
        <v>0</v>
      </c>
      <c r="M1516">
        <f t="shared" si="57"/>
        <v>0</v>
      </c>
    </row>
    <row r="1517" spans="1:13" x14ac:dyDescent="0.25">
      <c r="A1517">
        <v>1508</v>
      </c>
      <c r="L1517">
        <f t="shared" si="56"/>
        <v>0</v>
      </c>
      <c r="M1517">
        <f t="shared" si="57"/>
        <v>0</v>
      </c>
    </row>
    <row r="1518" spans="1:13" x14ac:dyDescent="0.25">
      <c r="A1518">
        <v>1509</v>
      </c>
      <c r="L1518">
        <f t="shared" ref="L1518:L1581" si="58">+I1518+H1518</f>
        <v>0</v>
      </c>
      <c r="M1518">
        <f t="shared" si="57"/>
        <v>0</v>
      </c>
    </row>
    <row r="1519" spans="1:13" x14ac:dyDescent="0.25">
      <c r="A1519">
        <v>1510</v>
      </c>
      <c r="L1519">
        <f t="shared" si="58"/>
        <v>0</v>
      </c>
      <c r="M1519">
        <f t="shared" si="57"/>
        <v>0</v>
      </c>
    </row>
    <row r="1520" spans="1:13" x14ac:dyDescent="0.25">
      <c r="A1520">
        <v>1511</v>
      </c>
      <c r="L1520">
        <f t="shared" si="58"/>
        <v>0</v>
      </c>
      <c r="M1520">
        <f t="shared" si="57"/>
        <v>0</v>
      </c>
    </row>
    <row r="1521" spans="1:13" x14ac:dyDescent="0.25">
      <c r="A1521">
        <v>1512</v>
      </c>
      <c r="L1521">
        <f t="shared" si="58"/>
        <v>0</v>
      </c>
      <c r="M1521">
        <f t="shared" si="57"/>
        <v>0</v>
      </c>
    </row>
    <row r="1522" spans="1:13" x14ac:dyDescent="0.25">
      <c r="A1522">
        <v>1513</v>
      </c>
      <c r="L1522">
        <f t="shared" si="58"/>
        <v>0</v>
      </c>
      <c r="M1522">
        <f t="shared" si="57"/>
        <v>0</v>
      </c>
    </row>
    <row r="1523" spans="1:13" x14ac:dyDescent="0.25">
      <c r="A1523">
        <v>1514</v>
      </c>
      <c r="L1523">
        <f t="shared" si="58"/>
        <v>0</v>
      </c>
      <c r="M1523">
        <f t="shared" si="57"/>
        <v>0</v>
      </c>
    </row>
    <row r="1524" spans="1:13" x14ac:dyDescent="0.25">
      <c r="A1524">
        <v>1515</v>
      </c>
      <c r="L1524">
        <f t="shared" si="58"/>
        <v>0</v>
      </c>
      <c r="M1524">
        <f t="shared" si="57"/>
        <v>0</v>
      </c>
    </row>
    <row r="1525" spans="1:13" x14ac:dyDescent="0.25">
      <c r="A1525">
        <v>1516</v>
      </c>
      <c r="L1525">
        <f t="shared" si="58"/>
        <v>0</v>
      </c>
      <c r="M1525">
        <f t="shared" si="57"/>
        <v>0</v>
      </c>
    </row>
    <row r="1526" spans="1:13" x14ac:dyDescent="0.25">
      <c r="A1526">
        <v>1517</v>
      </c>
      <c r="L1526">
        <f t="shared" si="58"/>
        <v>0</v>
      </c>
      <c r="M1526">
        <f t="shared" si="57"/>
        <v>0</v>
      </c>
    </row>
    <row r="1527" spans="1:13" x14ac:dyDescent="0.25">
      <c r="A1527">
        <v>1518</v>
      </c>
      <c r="L1527">
        <f t="shared" si="58"/>
        <v>0</v>
      </c>
      <c r="M1527">
        <f t="shared" si="57"/>
        <v>0</v>
      </c>
    </row>
    <row r="1528" spans="1:13" x14ac:dyDescent="0.25">
      <c r="A1528">
        <v>1519</v>
      </c>
      <c r="L1528">
        <f t="shared" si="58"/>
        <v>0</v>
      </c>
      <c r="M1528">
        <f t="shared" si="57"/>
        <v>0</v>
      </c>
    </row>
    <row r="1529" spans="1:13" x14ac:dyDescent="0.25">
      <c r="A1529">
        <v>1520</v>
      </c>
      <c r="L1529">
        <f t="shared" si="58"/>
        <v>0</v>
      </c>
      <c r="M1529">
        <f t="shared" si="57"/>
        <v>0</v>
      </c>
    </row>
    <row r="1530" spans="1:13" x14ac:dyDescent="0.25">
      <c r="A1530">
        <v>1521</v>
      </c>
      <c r="L1530">
        <f t="shared" si="58"/>
        <v>0</v>
      </c>
      <c r="M1530">
        <f t="shared" si="57"/>
        <v>0</v>
      </c>
    </row>
    <row r="1531" spans="1:13" x14ac:dyDescent="0.25">
      <c r="A1531">
        <v>1522</v>
      </c>
      <c r="L1531">
        <f t="shared" si="58"/>
        <v>0</v>
      </c>
      <c r="M1531">
        <f t="shared" si="57"/>
        <v>0</v>
      </c>
    </row>
    <row r="1532" spans="1:13" x14ac:dyDescent="0.25">
      <c r="A1532">
        <v>1523</v>
      </c>
      <c r="L1532">
        <f t="shared" si="58"/>
        <v>0</v>
      </c>
      <c r="M1532">
        <f t="shared" si="57"/>
        <v>0</v>
      </c>
    </row>
    <row r="1533" spans="1:13" x14ac:dyDescent="0.25">
      <c r="A1533">
        <v>1524</v>
      </c>
      <c r="L1533">
        <f t="shared" si="58"/>
        <v>0</v>
      </c>
      <c r="M1533">
        <f t="shared" si="57"/>
        <v>0</v>
      </c>
    </row>
    <row r="1534" spans="1:13" x14ac:dyDescent="0.25">
      <c r="A1534">
        <v>1525</v>
      </c>
      <c r="L1534">
        <f t="shared" si="58"/>
        <v>0</v>
      </c>
      <c r="M1534">
        <f t="shared" si="57"/>
        <v>0</v>
      </c>
    </row>
    <row r="1535" spans="1:13" x14ac:dyDescent="0.25">
      <c r="A1535">
        <v>1526</v>
      </c>
      <c r="L1535">
        <f t="shared" si="58"/>
        <v>0</v>
      </c>
      <c r="M1535">
        <f t="shared" ref="M1535:M1598" si="59">+I1535/IF(H1535 = 0,1,H1535)</f>
        <v>0</v>
      </c>
    </row>
    <row r="1536" spans="1:13" x14ac:dyDescent="0.25">
      <c r="A1536">
        <v>1527</v>
      </c>
      <c r="L1536">
        <f t="shared" si="58"/>
        <v>0</v>
      </c>
      <c r="M1536">
        <f t="shared" si="59"/>
        <v>0</v>
      </c>
    </row>
    <row r="1537" spans="1:13" x14ac:dyDescent="0.25">
      <c r="A1537">
        <v>1528</v>
      </c>
      <c r="L1537">
        <f t="shared" si="58"/>
        <v>0</v>
      </c>
      <c r="M1537">
        <f t="shared" si="59"/>
        <v>0</v>
      </c>
    </row>
    <row r="1538" spans="1:13" x14ac:dyDescent="0.25">
      <c r="A1538">
        <v>1529</v>
      </c>
      <c r="L1538">
        <f t="shared" si="58"/>
        <v>0</v>
      </c>
      <c r="M1538">
        <f t="shared" si="59"/>
        <v>0</v>
      </c>
    </row>
    <row r="1539" spans="1:13" x14ac:dyDescent="0.25">
      <c r="A1539">
        <v>1530</v>
      </c>
      <c r="L1539">
        <f t="shared" si="58"/>
        <v>0</v>
      </c>
      <c r="M1539">
        <f t="shared" si="59"/>
        <v>0</v>
      </c>
    </row>
    <row r="1540" spans="1:13" x14ac:dyDescent="0.25">
      <c r="A1540">
        <v>1531</v>
      </c>
      <c r="L1540">
        <f t="shared" si="58"/>
        <v>0</v>
      </c>
      <c r="M1540">
        <f t="shared" si="59"/>
        <v>0</v>
      </c>
    </row>
    <row r="1541" spans="1:13" x14ac:dyDescent="0.25">
      <c r="A1541">
        <v>1532</v>
      </c>
      <c r="L1541">
        <f t="shared" si="58"/>
        <v>0</v>
      </c>
      <c r="M1541">
        <f t="shared" si="59"/>
        <v>0</v>
      </c>
    </row>
    <row r="1542" spans="1:13" x14ac:dyDescent="0.25">
      <c r="A1542">
        <v>1533</v>
      </c>
      <c r="L1542">
        <f t="shared" si="58"/>
        <v>0</v>
      </c>
      <c r="M1542">
        <f t="shared" si="59"/>
        <v>0</v>
      </c>
    </row>
    <row r="1543" spans="1:13" x14ac:dyDescent="0.25">
      <c r="A1543">
        <v>1534</v>
      </c>
      <c r="L1543">
        <f t="shared" si="58"/>
        <v>0</v>
      </c>
      <c r="M1543">
        <f t="shared" si="59"/>
        <v>0</v>
      </c>
    </row>
    <row r="1544" spans="1:13" x14ac:dyDescent="0.25">
      <c r="A1544">
        <v>1535</v>
      </c>
      <c r="L1544">
        <f t="shared" si="58"/>
        <v>0</v>
      </c>
      <c r="M1544">
        <f t="shared" si="59"/>
        <v>0</v>
      </c>
    </row>
    <row r="1545" spans="1:13" x14ac:dyDescent="0.25">
      <c r="A1545">
        <v>1536</v>
      </c>
      <c r="L1545">
        <f t="shared" si="58"/>
        <v>0</v>
      </c>
      <c r="M1545">
        <f t="shared" si="59"/>
        <v>0</v>
      </c>
    </row>
    <row r="1546" spans="1:13" x14ac:dyDescent="0.25">
      <c r="A1546">
        <v>1537</v>
      </c>
      <c r="L1546">
        <f t="shared" si="58"/>
        <v>0</v>
      </c>
      <c r="M1546">
        <f t="shared" si="59"/>
        <v>0</v>
      </c>
    </row>
    <row r="1547" spans="1:13" x14ac:dyDescent="0.25">
      <c r="A1547">
        <v>1538</v>
      </c>
      <c r="L1547">
        <f t="shared" si="58"/>
        <v>0</v>
      </c>
      <c r="M1547">
        <f t="shared" si="59"/>
        <v>0</v>
      </c>
    </row>
    <row r="1548" spans="1:13" x14ac:dyDescent="0.25">
      <c r="A1548">
        <v>1539</v>
      </c>
      <c r="L1548">
        <f t="shared" si="58"/>
        <v>0</v>
      </c>
      <c r="M1548">
        <f t="shared" si="59"/>
        <v>0</v>
      </c>
    </row>
    <row r="1549" spans="1:13" x14ac:dyDescent="0.25">
      <c r="A1549">
        <v>1540</v>
      </c>
      <c r="L1549">
        <f t="shared" si="58"/>
        <v>0</v>
      </c>
      <c r="M1549">
        <f t="shared" si="59"/>
        <v>0</v>
      </c>
    </row>
    <row r="1550" spans="1:13" x14ac:dyDescent="0.25">
      <c r="A1550">
        <v>1541</v>
      </c>
      <c r="L1550">
        <f t="shared" si="58"/>
        <v>0</v>
      </c>
      <c r="M1550">
        <f t="shared" si="59"/>
        <v>0</v>
      </c>
    </row>
    <row r="1551" spans="1:13" x14ac:dyDescent="0.25">
      <c r="A1551">
        <v>1542</v>
      </c>
      <c r="L1551">
        <f t="shared" si="58"/>
        <v>0</v>
      </c>
      <c r="M1551">
        <f t="shared" si="59"/>
        <v>0</v>
      </c>
    </row>
    <row r="1552" spans="1:13" x14ac:dyDescent="0.25">
      <c r="A1552">
        <v>1543</v>
      </c>
      <c r="L1552">
        <f t="shared" si="58"/>
        <v>0</v>
      </c>
      <c r="M1552">
        <f t="shared" si="59"/>
        <v>0</v>
      </c>
    </row>
    <row r="1553" spans="1:13" x14ac:dyDescent="0.25">
      <c r="A1553">
        <v>1544</v>
      </c>
      <c r="L1553">
        <f t="shared" si="58"/>
        <v>0</v>
      </c>
      <c r="M1553">
        <f t="shared" si="59"/>
        <v>0</v>
      </c>
    </row>
    <row r="1554" spans="1:13" x14ac:dyDescent="0.25">
      <c r="A1554">
        <v>1545</v>
      </c>
      <c r="L1554">
        <f t="shared" si="58"/>
        <v>0</v>
      </c>
      <c r="M1554">
        <f t="shared" si="59"/>
        <v>0</v>
      </c>
    </row>
    <row r="1555" spans="1:13" x14ac:dyDescent="0.25">
      <c r="A1555">
        <v>1546</v>
      </c>
      <c r="L1555">
        <f t="shared" si="58"/>
        <v>0</v>
      </c>
      <c r="M1555">
        <f t="shared" si="59"/>
        <v>0</v>
      </c>
    </row>
    <row r="1556" spans="1:13" x14ac:dyDescent="0.25">
      <c r="A1556">
        <v>1547</v>
      </c>
      <c r="L1556">
        <f t="shared" si="58"/>
        <v>0</v>
      </c>
      <c r="M1556">
        <f t="shared" si="59"/>
        <v>0</v>
      </c>
    </row>
    <row r="1557" spans="1:13" x14ac:dyDescent="0.25">
      <c r="A1557">
        <v>1548</v>
      </c>
      <c r="L1557">
        <f t="shared" si="58"/>
        <v>0</v>
      </c>
      <c r="M1557">
        <f t="shared" si="59"/>
        <v>0</v>
      </c>
    </row>
    <row r="1558" spans="1:13" x14ac:dyDescent="0.25">
      <c r="A1558">
        <v>1549</v>
      </c>
      <c r="L1558">
        <f t="shared" si="58"/>
        <v>0</v>
      </c>
      <c r="M1558">
        <f t="shared" si="59"/>
        <v>0</v>
      </c>
    </row>
    <row r="1559" spans="1:13" x14ac:dyDescent="0.25">
      <c r="A1559">
        <v>1550</v>
      </c>
      <c r="L1559">
        <f t="shared" si="58"/>
        <v>0</v>
      </c>
      <c r="M1559">
        <f t="shared" si="59"/>
        <v>0</v>
      </c>
    </row>
    <row r="1560" spans="1:13" x14ac:dyDescent="0.25">
      <c r="L1560">
        <f t="shared" si="58"/>
        <v>0</v>
      </c>
      <c r="M1560">
        <f t="shared" si="59"/>
        <v>0</v>
      </c>
    </row>
    <row r="1561" spans="1:13" x14ac:dyDescent="0.25">
      <c r="L1561">
        <f t="shared" si="58"/>
        <v>0</v>
      </c>
      <c r="M1561">
        <f t="shared" si="59"/>
        <v>0</v>
      </c>
    </row>
    <row r="1562" spans="1:13" x14ac:dyDescent="0.25">
      <c r="L1562">
        <f t="shared" si="58"/>
        <v>0</v>
      </c>
      <c r="M1562">
        <f t="shared" si="59"/>
        <v>0</v>
      </c>
    </row>
    <row r="1563" spans="1:13" x14ac:dyDescent="0.25">
      <c r="L1563">
        <f t="shared" si="58"/>
        <v>0</v>
      </c>
      <c r="M1563">
        <f t="shared" si="59"/>
        <v>0</v>
      </c>
    </row>
    <row r="1564" spans="1:13" x14ac:dyDescent="0.25">
      <c r="L1564">
        <f t="shared" si="58"/>
        <v>0</v>
      </c>
      <c r="M1564">
        <f t="shared" si="59"/>
        <v>0</v>
      </c>
    </row>
    <row r="1565" spans="1:13" x14ac:dyDescent="0.25">
      <c r="L1565">
        <f t="shared" si="58"/>
        <v>0</v>
      </c>
      <c r="M1565">
        <f t="shared" si="59"/>
        <v>0</v>
      </c>
    </row>
    <row r="1566" spans="1:13" x14ac:dyDescent="0.25">
      <c r="L1566">
        <f t="shared" si="58"/>
        <v>0</v>
      </c>
      <c r="M1566">
        <f t="shared" si="59"/>
        <v>0</v>
      </c>
    </row>
    <row r="1567" spans="1:13" x14ac:dyDescent="0.25">
      <c r="L1567">
        <f t="shared" si="58"/>
        <v>0</v>
      </c>
      <c r="M1567">
        <f t="shared" si="59"/>
        <v>0</v>
      </c>
    </row>
    <row r="1568" spans="1:13" x14ac:dyDescent="0.25">
      <c r="L1568">
        <f t="shared" si="58"/>
        <v>0</v>
      </c>
      <c r="M1568">
        <f t="shared" si="59"/>
        <v>0</v>
      </c>
    </row>
    <row r="1569" spans="12:13" x14ac:dyDescent="0.25">
      <c r="L1569">
        <f t="shared" si="58"/>
        <v>0</v>
      </c>
      <c r="M1569">
        <f t="shared" si="59"/>
        <v>0</v>
      </c>
    </row>
    <row r="1570" spans="12:13" x14ac:dyDescent="0.25">
      <c r="L1570">
        <f t="shared" si="58"/>
        <v>0</v>
      </c>
      <c r="M1570">
        <f t="shared" si="59"/>
        <v>0</v>
      </c>
    </row>
    <row r="1571" spans="12:13" x14ac:dyDescent="0.25">
      <c r="L1571">
        <f t="shared" si="58"/>
        <v>0</v>
      </c>
      <c r="M1571">
        <f t="shared" si="59"/>
        <v>0</v>
      </c>
    </row>
    <row r="1572" spans="12:13" x14ac:dyDescent="0.25">
      <c r="L1572">
        <f t="shared" si="58"/>
        <v>0</v>
      </c>
      <c r="M1572">
        <f t="shared" si="59"/>
        <v>0</v>
      </c>
    </row>
    <row r="1573" spans="12:13" x14ac:dyDescent="0.25">
      <c r="L1573">
        <f t="shared" si="58"/>
        <v>0</v>
      </c>
      <c r="M1573">
        <f t="shared" si="59"/>
        <v>0</v>
      </c>
    </row>
    <row r="1574" spans="12:13" x14ac:dyDescent="0.25">
      <c r="L1574">
        <f t="shared" si="58"/>
        <v>0</v>
      </c>
      <c r="M1574">
        <f t="shared" si="59"/>
        <v>0</v>
      </c>
    </row>
    <row r="1575" spans="12:13" x14ac:dyDescent="0.25">
      <c r="L1575">
        <f t="shared" si="58"/>
        <v>0</v>
      </c>
      <c r="M1575">
        <f t="shared" si="59"/>
        <v>0</v>
      </c>
    </row>
    <row r="1576" spans="12:13" x14ac:dyDescent="0.25">
      <c r="L1576">
        <f t="shared" si="58"/>
        <v>0</v>
      </c>
      <c r="M1576">
        <f t="shared" si="59"/>
        <v>0</v>
      </c>
    </row>
    <row r="1577" spans="12:13" x14ac:dyDescent="0.25">
      <c r="L1577">
        <f t="shared" si="58"/>
        <v>0</v>
      </c>
      <c r="M1577">
        <f t="shared" si="59"/>
        <v>0</v>
      </c>
    </row>
    <row r="1578" spans="12:13" x14ac:dyDescent="0.25">
      <c r="L1578">
        <f t="shared" si="58"/>
        <v>0</v>
      </c>
      <c r="M1578">
        <f t="shared" si="59"/>
        <v>0</v>
      </c>
    </row>
    <row r="1579" spans="12:13" x14ac:dyDescent="0.25">
      <c r="L1579">
        <f t="shared" si="58"/>
        <v>0</v>
      </c>
      <c r="M1579">
        <f t="shared" si="59"/>
        <v>0</v>
      </c>
    </row>
    <row r="1580" spans="12:13" x14ac:dyDescent="0.25">
      <c r="L1580">
        <f t="shared" si="58"/>
        <v>0</v>
      </c>
      <c r="M1580">
        <f t="shared" si="59"/>
        <v>0</v>
      </c>
    </row>
    <row r="1581" spans="12:13" x14ac:dyDescent="0.25">
      <c r="L1581">
        <f t="shared" si="58"/>
        <v>0</v>
      </c>
      <c r="M1581">
        <f t="shared" si="59"/>
        <v>0</v>
      </c>
    </row>
    <row r="1582" spans="12:13" x14ac:dyDescent="0.25">
      <c r="L1582">
        <f t="shared" ref="L1582:L1645" si="60">+I1582+H1582</f>
        <v>0</v>
      </c>
      <c r="M1582">
        <f t="shared" si="59"/>
        <v>0</v>
      </c>
    </row>
    <row r="1583" spans="12:13" x14ac:dyDescent="0.25">
      <c r="L1583">
        <f t="shared" si="60"/>
        <v>0</v>
      </c>
      <c r="M1583">
        <f t="shared" si="59"/>
        <v>0</v>
      </c>
    </row>
    <row r="1584" spans="12:13" x14ac:dyDescent="0.25">
      <c r="L1584">
        <f t="shared" si="60"/>
        <v>0</v>
      </c>
      <c r="M1584">
        <f t="shared" si="59"/>
        <v>0</v>
      </c>
    </row>
    <row r="1585" spans="12:13" x14ac:dyDescent="0.25">
      <c r="L1585">
        <f t="shared" si="60"/>
        <v>0</v>
      </c>
      <c r="M1585">
        <f t="shared" si="59"/>
        <v>0</v>
      </c>
    </row>
    <row r="1586" spans="12:13" x14ac:dyDescent="0.25">
      <c r="L1586">
        <f t="shared" si="60"/>
        <v>0</v>
      </c>
      <c r="M1586">
        <f t="shared" si="59"/>
        <v>0</v>
      </c>
    </row>
    <row r="1587" spans="12:13" x14ac:dyDescent="0.25">
      <c r="L1587">
        <f t="shared" si="60"/>
        <v>0</v>
      </c>
      <c r="M1587">
        <f t="shared" si="59"/>
        <v>0</v>
      </c>
    </row>
    <row r="1588" spans="12:13" x14ac:dyDescent="0.25">
      <c r="L1588">
        <f t="shared" si="60"/>
        <v>0</v>
      </c>
      <c r="M1588">
        <f t="shared" si="59"/>
        <v>0</v>
      </c>
    </row>
    <row r="1589" spans="12:13" x14ac:dyDescent="0.25">
      <c r="L1589">
        <f t="shared" si="60"/>
        <v>0</v>
      </c>
      <c r="M1589">
        <f t="shared" si="59"/>
        <v>0</v>
      </c>
    </row>
    <row r="1590" spans="12:13" x14ac:dyDescent="0.25">
      <c r="L1590">
        <f t="shared" si="60"/>
        <v>0</v>
      </c>
      <c r="M1590">
        <f t="shared" si="59"/>
        <v>0</v>
      </c>
    </row>
    <row r="1591" spans="12:13" x14ac:dyDescent="0.25">
      <c r="L1591">
        <f t="shared" si="60"/>
        <v>0</v>
      </c>
      <c r="M1591">
        <f t="shared" si="59"/>
        <v>0</v>
      </c>
    </row>
    <row r="1592" spans="12:13" x14ac:dyDescent="0.25">
      <c r="L1592">
        <f t="shared" si="60"/>
        <v>0</v>
      </c>
      <c r="M1592">
        <f t="shared" si="59"/>
        <v>0</v>
      </c>
    </row>
    <row r="1593" spans="12:13" x14ac:dyDescent="0.25">
      <c r="L1593">
        <f t="shared" si="60"/>
        <v>0</v>
      </c>
      <c r="M1593">
        <f t="shared" si="59"/>
        <v>0</v>
      </c>
    </row>
    <row r="1594" spans="12:13" x14ac:dyDescent="0.25">
      <c r="L1594">
        <f t="shared" si="60"/>
        <v>0</v>
      </c>
      <c r="M1594">
        <f t="shared" si="59"/>
        <v>0</v>
      </c>
    </row>
    <row r="1595" spans="12:13" x14ac:dyDescent="0.25">
      <c r="L1595">
        <f t="shared" si="60"/>
        <v>0</v>
      </c>
      <c r="M1595">
        <f t="shared" si="59"/>
        <v>0</v>
      </c>
    </row>
    <row r="1596" spans="12:13" x14ac:dyDescent="0.25">
      <c r="L1596">
        <f t="shared" si="60"/>
        <v>0</v>
      </c>
      <c r="M1596">
        <f t="shared" si="59"/>
        <v>0</v>
      </c>
    </row>
    <row r="1597" spans="12:13" x14ac:dyDescent="0.25">
      <c r="L1597">
        <f t="shared" si="60"/>
        <v>0</v>
      </c>
      <c r="M1597">
        <f t="shared" si="59"/>
        <v>0</v>
      </c>
    </row>
    <row r="1598" spans="12:13" x14ac:dyDescent="0.25">
      <c r="L1598">
        <f t="shared" si="60"/>
        <v>0</v>
      </c>
      <c r="M1598">
        <f t="shared" si="59"/>
        <v>0</v>
      </c>
    </row>
    <row r="1599" spans="12:13" x14ac:dyDescent="0.25">
      <c r="L1599">
        <f t="shared" si="60"/>
        <v>0</v>
      </c>
      <c r="M1599">
        <f t="shared" ref="M1599:M1662" si="61">+I1599/IF(H1599 = 0,1,H1599)</f>
        <v>0</v>
      </c>
    </row>
    <row r="1600" spans="12:13" x14ac:dyDescent="0.25">
      <c r="L1600">
        <f t="shared" si="60"/>
        <v>0</v>
      </c>
      <c r="M1600">
        <f t="shared" si="61"/>
        <v>0</v>
      </c>
    </row>
    <row r="1601" spans="12:13" x14ac:dyDescent="0.25">
      <c r="L1601">
        <f t="shared" si="60"/>
        <v>0</v>
      </c>
      <c r="M1601">
        <f t="shared" si="61"/>
        <v>0</v>
      </c>
    </row>
    <row r="1602" spans="12:13" x14ac:dyDescent="0.25">
      <c r="L1602">
        <f t="shared" si="60"/>
        <v>0</v>
      </c>
      <c r="M1602">
        <f t="shared" si="61"/>
        <v>0</v>
      </c>
    </row>
    <row r="1603" spans="12:13" x14ac:dyDescent="0.25">
      <c r="L1603">
        <f t="shared" si="60"/>
        <v>0</v>
      </c>
      <c r="M1603">
        <f t="shared" si="61"/>
        <v>0</v>
      </c>
    </row>
    <row r="1604" spans="12:13" x14ac:dyDescent="0.25">
      <c r="L1604">
        <f t="shared" si="60"/>
        <v>0</v>
      </c>
      <c r="M1604">
        <f t="shared" si="61"/>
        <v>0</v>
      </c>
    </row>
    <row r="1605" spans="12:13" x14ac:dyDescent="0.25">
      <c r="L1605">
        <f t="shared" si="60"/>
        <v>0</v>
      </c>
      <c r="M1605">
        <f t="shared" si="61"/>
        <v>0</v>
      </c>
    </row>
    <row r="1606" spans="12:13" x14ac:dyDescent="0.25">
      <c r="L1606">
        <f t="shared" si="60"/>
        <v>0</v>
      </c>
      <c r="M1606">
        <f t="shared" si="61"/>
        <v>0</v>
      </c>
    </row>
    <row r="1607" spans="12:13" x14ac:dyDescent="0.25">
      <c r="L1607">
        <f t="shared" si="60"/>
        <v>0</v>
      </c>
      <c r="M1607">
        <f t="shared" si="61"/>
        <v>0</v>
      </c>
    </row>
    <row r="1608" spans="12:13" x14ac:dyDescent="0.25">
      <c r="L1608">
        <f t="shared" si="60"/>
        <v>0</v>
      </c>
      <c r="M1608">
        <f t="shared" si="61"/>
        <v>0</v>
      </c>
    </row>
    <row r="1609" spans="12:13" x14ac:dyDescent="0.25">
      <c r="L1609">
        <f t="shared" si="60"/>
        <v>0</v>
      </c>
      <c r="M1609">
        <f t="shared" si="61"/>
        <v>0</v>
      </c>
    </row>
    <row r="1610" spans="12:13" x14ac:dyDescent="0.25">
      <c r="L1610">
        <f t="shared" si="60"/>
        <v>0</v>
      </c>
      <c r="M1610">
        <f t="shared" si="61"/>
        <v>0</v>
      </c>
    </row>
    <row r="1611" spans="12:13" x14ac:dyDescent="0.25">
      <c r="L1611">
        <f t="shared" si="60"/>
        <v>0</v>
      </c>
      <c r="M1611">
        <f t="shared" si="61"/>
        <v>0</v>
      </c>
    </row>
    <row r="1612" spans="12:13" x14ac:dyDescent="0.25">
      <c r="L1612">
        <f t="shared" si="60"/>
        <v>0</v>
      </c>
      <c r="M1612">
        <f t="shared" si="61"/>
        <v>0</v>
      </c>
    </row>
    <row r="1613" spans="12:13" x14ac:dyDescent="0.25">
      <c r="L1613">
        <f t="shared" si="60"/>
        <v>0</v>
      </c>
      <c r="M1613">
        <f t="shared" si="61"/>
        <v>0</v>
      </c>
    </row>
    <row r="1614" spans="12:13" x14ac:dyDescent="0.25">
      <c r="L1614">
        <f t="shared" si="60"/>
        <v>0</v>
      </c>
      <c r="M1614">
        <f t="shared" si="61"/>
        <v>0</v>
      </c>
    </row>
    <row r="1615" spans="12:13" x14ac:dyDescent="0.25">
      <c r="L1615">
        <f t="shared" si="60"/>
        <v>0</v>
      </c>
      <c r="M1615">
        <f t="shared" si="61"/>
        <v>0</v>
      </c>
    </row>
    <row r="1616" spans="12:13" x14ac:dyDescent="0.25">
      <c r="L1616">
        <f t="shared" si="60"/>
        <v>0</v>
      </c>
      <c r="M1616">
        <f t="shared" si="61"/>
        <v>0</v>
      </c>
    </row>
    <row r="1617" spans="12:13" x14ac:dyDescent="0.25">
      <c r="L1617">
        <f t="shared" si="60"/>
        <v>0</v>
      </c>
      <c r="M1617">
        <f t="shared" si="61"/>
        <v>0</v>
      </c>
    </row>
    <row r="1618" spans="12:13" x14ac:dyDescent="0.25">
      <c r="L1618">
        <f t="shared" si="60"/>
        <v>0</v>
      </c>
      <c r="M1618">
        <f t="shared" si="61"/>
        <v>0</v>
      </c>
    </row>
    <row r="1619" spans="12:13" x14ac:dyDescent="0.25">
      <c r="L1619">
        <f t="shared" si="60"/>
        <v>0</v>
      </c>
      <c r="M1619">
        <f t="shared" si="61"/>
        <v>0</v>
      </c>
    </row>
    <row r="1620" spans="12:13" x14ac:dyDescent="0.25">
      <c r="L1620">
        <f t="shared" si="60"/>
        <v>0</v>
      </c>
      <c r="M1620">
        <f t="shared" si="61"/>
        <v>0</v>
      </c>
    </row>
    <row r="1621" spans="12:13" x14ac:dyDescent="0.25">
      <c r="L1621">
        <f t="shared" si="60"/>
        <v>0</v>
      </c>
      <c r="M1621">
        <f t="shared" si="61"/>
        <v>0</v>
      </c>
    </row>
    <row r="1622" spans="12:13" x14ac:dyDescent="0.25">
      <c r="L1622">
        <f t="shared" si="60"/>
        <v>0</v>
      </c>
      <c r="M1622">
        <f t="shared" si="61"/>
        <v>0</v>
      </c>
    </row>
    <row r="1623" spans="12:13" x14ac:dyDescent="0.25">
      <c r="L1623">
        <f t="shared" si="60"/>
        <v>0</v>
      </c>
      <c r="M1623">
        <f t="shared" si="61"/>
        <v>0</v>
      </c>
    </row>
    <row r="1624" spans="12:13" x14ac:dyDescent="0.25">
      <c r="L1624">
        <f t="shared" si="60"/>
        <v>0</v>
      </c>
      <c r="M1624">
        <f t="shared" si="61"/>
        <v>0</v>
      </c>
    </row>
    <row r="1625" spans="12:13" x14ac:dyDescent="0.25">
      <c r="L1625">
        <f t="shared" si="60"/>
        <v>0</v>
      </c>
      <c r="M1625">
        <f t="shared" si="61"/>
        <v>0</v>
      </c>
    </row>
    <row r="1626" spans="12:13" x14ac:dyDescent="0.25">
      <c r="L1626">
        <f t="shared" si="60"/>
        <v>0</v>
      </c>
      <c r="M1626">
        <f t="shared" si="61"/>
        <v>0</v>
      </c>
    </row>
    <row r="1627" spans="12:13" x14ac:dyDescent="0.25">
      <c r="L1627">
        <f t="shared" si="60"/>
        <v>0</v>
      </c>
      <c r="M1627">
        <f t="shared" si="61"/>
        <v>0</v>
      </c>
    </row>
    <row r="1628" spans="12:13" x14ac:dyDescent="0.25">
      <c r="L1628">
        <f t="shared" si="60"/>
        <v>0</v>
      </c>
      <c r="M1628">
        <f t="shared" si="61"/>
        <v>0</v>
      </c>
    </row>
    <row r="1629" spans="12:13" x14ac:dyDescent="0.25">
      <c r="L1629">
        <f t="shared" si="60"/>
        <v>0</v>
      </c>
      <c r="M1629">
        <f t="shared" si="61"/>
        <v>0</v>
      </c>
    </row>
    <row r="1630" spans="12:13" x14ac:dyDescent="0.25">
      <c r="L1630">
        <f t="shared" si="60"/>
        <v>0</v>
      </c>
      <c r="M1630">
        <f t="shared" si="61"/>
        <v>0</v>
      </c>
    </row>
    <row r="1631" spans="12:13" x14ac:dyDescent="0.25">
      <c r="L1631">
        <f t="shared" si="60"/>
        <v>0</v>
      </c>
      <c r="M1631">
        <f t="shared" si="61"/>
        <v>0</v>
      </c>
    </row>
    <row r="1632" spans="12:13" x14ac:dyDescent="0.25">
      <c r="L1632">
        <f t="shared" si="60"/>
        <v>0</v>
      </c>
      <c r="M1632">
        <f t="shared" si="61"/>
        <v>0</v>
      </c>
    </row>
    <row r="1633" spans="12:13" x14ac:dyDescent="0.25">
      <c r="L1633">
        <f t="shared" si="60"/>
        <v>0</v>
      </c>
      <c r="M1633">
        <f t="shared" si="61"/>
        <v>0</v>
      </c>
    </row>
    <row r="1634" spans="12:13" x14ac:dyDescent="0.25">
      <c r="L1634">
        <f t="shared" si="60"/>
        <v>0</v>
      </c>
      <c r="M1634">
        <f t="shared" si="61"/>
        <v>0</v>
      </c>
    </row>
    <row r="1635" spans="12:13" x14ac:dyDescent="0.25">
      <c r="L1635">
        <f t="shared" si="60"/>
        <v>0</v>
      </c>
      <c r="M1635">
        <f t="shared" si="61"/>
        <v>0</v>
      </c>
    </row>
    <row r="1636" spans="12:13" x14ac:dyDescent="0.25">
      <c r="L1636">
        <f t="shared" si="60"/>
        <v>0</v>
      </c>
      <c r="M1636">
        <f t="shared" si="61"/>
        <v>0</v>
      </c>
    </row>
    <row r="1637" spans="12:13" x14ac:dyDescent="0.25">
      <c r="L1637">
        <f t="shared" si="60"/>
        <v>0</v>
      </c>
      <c r="M1637">
        <f t="shared" si="61"/>
        <v>0</v>
      </c>
    </row>
    <row r="1638" spans="12:13" x14ac:dyDescent="0.25">
      <c r="L1638">
        <f t="shared" si="60"/>
        <v>0</v>
      </c>
      <c r="M1638">
        <f t="shared" si="61"/>
        <v>0</v>
      </c>
    </row>
    <row r="1639" spans="12:13" x14ac:dyDescent="0.25">
      <c r="L1639">
        <f t="shared" si="60"/>
        <v>0</v>
      </c>
      <c r="M1639">
        <f t="shared" si="61"/>
        <v>0</v>
      </c>
    </row>
    <row r="1640" spans="12:13" x14ac:dyDescent="0.25">
      <c r="L1640">
        <f t="shared" si="60"/>
        <v>0</v>
      </c>
      <c r="M1640">
        <f t="shared" si="61"/>
        <v>0</v>
      </c>
    </row>
    <row r="1641" spans="12:13" x14ac:dyDescent="0.25">
      <c r="L1641">
        <f t="shared" si="60"/>
        <v>0</v>
      </c>
      <c r="M1641">
        <f t="shared" si="61"/>
        <v>0</v>
      </c>
    </row>
    <row r="1642" spans="12:13" x14ac:dyDescent="0.25">
      <c r="L1642">
        <f t="shared" si="60"/>
        <v>0</v>
      </c>
      <c r="M1642">
        <f t="shared" si="61"/>
        <v>0</v>
      </c>
    </row>
    <row r="1643" spans="12:13" x14ac:dyDescent="0.25">
      <c r="L1643">
        <f t="shared" si="60"/>
        <v>0</v>
      </c>
      <c r="M1643">
        <f t="shared" si="61"/>
        <v>0</v>
      </c>
    </row>
    <row r="1644" spans="12:13" x14ac:dyDescent="0.25">
      <c r="L1644">
        <f t="shared" si="60"/>
        <v>0</v>
      </c>
      <c r="M1644">
        <f t="shared" si="61"/>
        <v>0</v>
      </c>
    </row>
    <row r="1645" spans="12:13" x14ac:dyDescent="0.25">
      <c r="L1645">
        <f t="shared" si="60"/>
        <v>0</v>
      </c>
      <c r="M1645">
        <f t="shared" si="61"/>
        <v>0</v>
      </c>
    </row>
    <row r="1646" spans="12:13" x14ac:dyDescent="0.25">
      <c r="L1646">
        <f t="shared" ref="L1646:L1709" si="62">+I1646+H1646</f>
        <v>0</v>
      </c>
      <c r="M1646">
        <f t="shared" si="61"/>
        <v>0</v>
      </c>
    </row>
    <row r="1647" spans="12:13" x14ac:dyDescent="0.25">
      <c r="L1647">
        <f t="shared" si="62"/>
        <v>0</v>
      </c>
      <c r="M1647">
        <f t="shared" si="61"/>
        <v>0</v>
      </c>
    </row>
    <row r="1648" spans="12:13" x14ac:dyDescent="0.25">
      <c r="L1648">
        <f t="shared" si="62"/>
        <v>0</v>
      </c>
      <c r="M1648">
        <f t="shared" si="61"/>
        <v>0</v>
      </c>
    </row>
    <row r="1649" spans="12:13" x14ac:dyDescent="0.25">
      <c r="L1649">
        <f t="shared" si="62"/>
        <v>0</v>
      </c>
      <c r="M1649">
        <f t="shared" si="61"/>
        <v>0</v>
      </c>
    </row>
    <row r="1650" spans="12:13" x14ac:dyDescent="0.25">
      <c r="L1650">
        <f t="shared" si="62"/>
        <v>0</v>
      </c>
      <c r="M1650">
        <f t="shared" si="61"/>
        <v>0</v>
      </c>
    </row>
    <row r="1651" spans="12:13" x14ac:dyDescent="0.25">
      <c r="L1651">
        <f t="shared" si="62"/>
        <v>0</v>
      </c>
      <c r="M1651">
        <f t="shared" si="61"/>
        <v>0</v>
      </c>
    </row>
    <row r="1652" spans="12:13" x14ac:dyDescent="0.25">
      <c r="L1652">
        <f t="shared" si="62"/>
        <v>0</v>
      </c>
      <c r="M1652">
        <f t="shared" si="61"/>
        <v>0</v>
      </c>
    </row>
    <row r="1653" spans="12:13" x14ac:dyDescent="0.25">
      <c r="L1653">
        <f t="shared" si="62"/>
        <v>0</v>
      </c>
      <c r="M1653">
        <f t="shared" si="61"/>
        <v>0</v>
      </c>
    </row>
    <row r="1654" spans="12:13" x14ac:dyDescent="0.25">
      <c r="L1654">
        <f t="shared" si="62"/>
        <v>0</v>
      </c>
      <c r="M1654">
        <f t="shared" si="61"/>
        <v>0</v>
      </c>
    </row>
    <row r="1655" spans="12:13" x14ac:dyDescent="0.25">
      <c r="L1655">
        <f t="shared" si="62"/>
        <v>0</v>
      </c>
      <c r="M1655">
        <f t="shared" si="61"/>
        <v>0</v>
      </c>
    </row>
    <row r="1656" spans="12:13" x14ac:dyDescent="0.25">
      <c r="L1656">
        <f t="shared" si="62"/>
        <v>0</v>
      </c>
      <c r="M1656">
        <f t="shared" si="61"/>
        <v>0</v>
      </c>
    </row>
    <row r="1657" spans="12:13" x14ac:dyDescent="0.25">
      <c r="L1657">
        <f t="shared" si="62"/>
        <v>0</v>
      </c>
      <c r="M1657">
        <f t="shared" si="61"/>
        <v>0</v>
      </c>
    </row>
    <row r="1658" spans="12:13" x14ac:dyDescent="0.25">
      <c r="L1658">
        <f t="shared" si="62"/>
        <v>0</v>
      </c>
      <c r="M1658">
        <f t="shared" si="61"/>
        <v>0</v>
      </c>
    </row>
    <row r="1659" spans="12:13" x14ac:dyDescent="0.25">
      <c r="L1659">
        <f t="shared" si="62"/>
        <v>0</v>
      </c>
      <c r="M1659">
        <f t="shared" si="61"/>
        <v>0</v>
      </c>
    </row>
    <row r="1660" spans="12:13" x14ac:dyDescent="0.25">
      <c r="L1660">
        <f t="shared" si="62"/>
        <v>0</v>
      </c>
      <c r="M1660">
        <f t="shared" si="61"/>
        <v>0</v>
      </c>
    </row>
    <row r="1661" spans="12:13" x14ac:dyDescent="0.25">
      <c r="L1661">
        <f t="shared" si="62"/>
        <v>0</v>
      </c>
      <c r="M1661">
        <f t="shared" si="61"/>
        <v>0</v>
      </c>
    </row>
    <row r="1662" spans="12:13" x14ac:dyDescent="0.25">
      <c r="L1662">
        <f t="shared" si="62"/>
        <v>0</v>
      </c>
      <c r="M1662">
        <f t="shared" si="61"/>
        <v>0</v>
      </c>
    </row>
    <row r="1663" spans="12:13" x14ac:dyDescent="0.25">
      <c r="L1663">
        <f t="shared" si="62"/>
        <v>0</v>
      </c>
      <c r="M1663">
        <f t="shared" ref="M1663:M1726" si="63">+I1663/IF(H1663 = 0,1,H1663)</f>
        <v>0</v>
      </c>
    </row>
    <row r="1664" spans="12:13" x14ac:dyDescent="0.25">
      <c r="L1664">
        <f t="shared" si="62"/>
        <v>0</v>
      </c>
      <c r="M1664">
        <f t="shared" si="63"/>
        <v>0</v>
      </c>
    </row>
    <row r="1665" spans="12:13" x14ac:dyDescent="0.25">
      <c r="L1665">
        <f t="shared" si="62"/>
        <v>0</v>
      </c>
      <c r="M1665">
        <f t="shared" si="63"/>
        <v>0</v>
      </c>
    </row>
    <row r="1666" spans="12:13" x14ac:dyDescent="0.25">
      <c r="L1666">
        <f t="shared" si="62"/>
        <v>0</v>
      </c>
      <c r="M1666">
        <f t="shared" si="63"/>
        <v>0</v>
      </c>
    </row>
    <row r="1667" spans="12:13" x14ac:dyDescent="0.25">
      <c r="L1667">
        <f t="shared" si="62"/>
        <v>0</v>
      </c>
      <c r="M1667">
        <f t="shared" si="63"/>
        <v>0</v>
      </c>
    </row>
    <row r="1668" spans="12:13" x14ac:dyDescent="0.25">
      <c r="L1668">
        <f t="shared" si="62"/>
        <v>0</v>
      </c>
      <c r="M1668">
        <f t="shared" si="63"/>
        <v>0</v>
      </c>
    </row>
    <row r="1669" spans="12:13" x14ac:dyDescent="0.25">
      <c r="L1669">
        <f t="shared" si="62"/>
        <v>0</v>
      </c>
      <c r="M1669">
        <f t="shared" si="63"/>
        <v>0</v>
      </c>
    </row>
    <row r="1670" spans="12:13" x14ac:dyDescent="0.25">
      <c r="L1670">
        <f t="shared" si="62"/>
        <v>0</v>
      </c>
      <c r="M1670">
        <f t="shared" si="63"/>
        <v>0</v>
      </c>
    </row>
    <row r="1671" spans="12:13" x14ac:dyDescent="0.25">
      <c r="L1671">
        <f t="shared" si="62"/>
        <v>0</v>
      </c>
      <c r="M1671">
        <f t="shared" si="63"/>
        <v>0</v>
      </c>
    </row>
    <row r="1672" spans="12:13" x14ac:dyDescent="0.25">
      <c r="L1672">
        <f t="shared" si="62"/>
        <v>0</v>
      </c>
      <c r="M1672">
        <f t="shared" si="63"/>
        <v>0</v>
      </c>
    </row>
    <row r="1673" spans="12:13" x14ac:dyDescent="0.25">
      <c r="L1673">
        <f t="shared" si="62"/>
        <v>0</v>
      </c>
      <c r="M1673">
        <f t="shared" si="63"/>
        <v>0</v>
      </c>
    </row>
    <row r="1674" spans="12:13" x14ac:dyDescent="0.25">
      <c r="L1674">
        <f t="shared" si="62"/>
        <v>0</v>
      </c>
      <c r="M1674">
        <f t="shared" si="63"/>
        <v>0</v>
      </c>
    </row>
    <row r="1675" spans="12:13" x14ac:dyDescent="0.25">
      <c r="L1675">
        <f t="shared" si="62"/>
        <v>0</v>
      </c>
      <c r="M1675">
        <f t="shared" si="63"/>
        <v>0</v>
      </c>
    </row>
    <row r="1676" spans="12:13" x14ac:dyDescent="0.25">
      <c r="L1676">
        <f t="shared" si="62"/>
        <v>0</v>
      </c>
      <c r="M1676">
        <f t="shared" si="63"/>
        <v>0</v>
      </c>
    </row>
    <row r="1677" spans="12:13" x14ac:dyDescent="0.25">
      <c r="L1677">
        <f t="shared" si="62"/>
        <v>0</v>
      </c>
      <c r="M1677">
        <f t="shared" si="63"/>
        <v>0</v>
      </c>
    </row>
    <row r="1678" spans="12:13" x14ac:dyDescent="0.25">
      <c r="L1678">
        <f t="shared" si="62"/>
        <v>0</v>
      </c>
      <c r="M1678">
        <f t="shared" si="63"/>
        <v>0</v>
      </c>
    </row>
    <row r="1679" spans="12:13" x14ac:dyDescent="0.25">
      <c r="L1679">
        <f t="shared" si="62"/>
        <v>0</v>
      </c>
      <c r="M1679">
        <f t="shared" si="63"/>
        <v>0</v>
      </c>
    </row>
    <row r="1680" spans="12:13" x14ac:dyDescent="0.25">
      <c r="L1680">
        <f t="shared" si="62"/>
        <v>0</v>
      </c>
      <c r="M1680">
        <f t="shared" si="63"/>
        <v>0</v>
      </c>
    </row>
    <row r="1681" spans="12:13" x14ac:dyDescent="0.25">
      <c r="L1681">
        <f t="shared" si="62"/>
        <v>0</v>
      </c>
      <c r="M1681">
        <f t="shared" si="63"/>
        <v>0</v>
      </c>
    </row>
    <row r="1682" spans="12:13" x14ac:dyDescent="0.25">
      <c r="L1682">
        <f t="shared" si="62"/>
        <v>0</v>
      </c>
      <c r="M1682">
        <f t="shared" si="63"/>
        <v>0</v>
      </c>
    </row>
    <row r="1683" spans="12:13" x14ac:dyDescent="0.25">
      <c r="L1683">
        <f t="shared" si="62"/>
        <v>0</v>
      </c>
      <c r="M1683">
        <f t="shared" si="63"/>
        <v>0</v>
      </c>
    </row>
    <row r="1684" spans="12:13" x14ac:dyDescent="0.25">
      <c r="L1684">
        <f t="shared" si="62"/>
        <v>0</v>
      </c>
      <c r="M1684">
        <f t="shared" si="63"/>
        <v>0</v>
      </c>
    </row>
    <row r="1685" spans="12:13" x14ac:dyDescent="0.25">
      <c r="L1685">
        <f t="shared" si="62"/>
        <v>0</v>
      </c>
      <c r="M1685">
        <f t="shared" si="63"/>
        <v>0</v>
      </c>
    </row>
    <row r="1686" spans="12:13" x14ac:dyDescent="0.25">
      <c r="L1686">
        <f t="shared" si="62"/>
        <v>0</v>
      </c>
      <c r="M1686">
        <f t="shared" si="63"/>
        <v>0</v>
      </c>
    </row>
    <row r="1687" spans="12:13" x14ac:dyDescent="0.25">
      <c r="L1687">
        <f t="shared" si="62"/>
        <v>0</v>
      </c>
      <c r="M1687">
        <f t="shared" si="63"/>
        <v>0</v>
      </c>
    </row>
    <row r="1688" spans="12:13" x14ac:dyDescent="0.25">
      <c r="L1688">
        <f t="shared" si="62"/>
        <v>0</v>
      </c>
      <c r="M1688">
        <f t="shared" si="63"/>
        <v>0</v>
      </c>
    </row>
    <row r="1689" spans="12:13" x14ac:dyDescent="0.25">
      <c r="L1689">
        <f t="shared" si="62"/>
        <v>0</v>
      </c>
      <c r="M1689">
        <f t="shared" si="63"/>
        <v>0</v>
      </c>
    </row>
    <row r="1690" spans="12:13" x14ac:dyDescent="0.25">
      <c r="L1690">
        <f t="shared" si="62"/>
        <v>0</v>
      </c>
      <c r="M1690">
        <f t="shared" si="63"/>
        <v>0</v>
      </c>
    </row>
    <row r="1691" spans="12:13" x14ac:dyDescent="0.25">
      <c r="L1691">
        <f t="shared" si="62"/>
        <v>0</v>
      </c>
      <c r="M1691">
        <f t="shared" si="63"/>
        <v>0</v>
      </c>
    </row>
    <row r="1692" spans="12:13" x14ac:dyDescent="0.25">
      <c r="L1692">
        <f t="shared" si="62"/>
        <v>0</v>
      </c>
      <c r="M1692">
        <f t="shared" si="63"/>
        <v>0</v>
      </c>
    </row>
    <row r="1693" spans="12:13" x14ac:dyDescent="0.25">
      <c r="L1693">
        <f t="shared" si="62"/>
        <v>0</v>
      </c>
      <c r="M1693">
        <f t="shared" si="63"/>
        <v>0</v>
      </c>
    </row>
    <row r="1694" spans="12:13" x14ac:dyDescent="0.25">
      <c r="L1694">
        <f t="shared" si="62"/>
        <v>0</v>
      </c>
      <c r="M1694">
        <f t="shared" si="63"/>
        <v>0</v>
      </c>
    </row>
    <row r="1695" spans="12:13" x14ac:dyDescent="0.25">
      <c r="L1695">
        <f t="shared" si="62"/>
        <v>0</v>
      </c>
      <c r="M1695">
        <f t="shared" si="63"/>
        <v>0</v>
      </c>
    </row>
    <row r="1696" spans="12:13" x14ac:dyDescent="0.25">
      <c r="L1696">
        <f t="shared" si="62"/>
        <v>0</v>
      </c>
      <c r="M1696">
        <f t="shared" si="63"/>
        <v>0</v>
      </c>
    </row>
    <row r="1697" spans="12:13" x14ac:dyDescent="0.25">
      <c r="L1697">
        <f t="shared" si="62"/>
        <v>0</v>
      </c>
      <c r="M1697">
        <f t="shared" si="63"/>
        <v>0</v>
      </c>
    </row>
    <row r="1698" spans="12:13" x14ac:dyDescent="0.25">
      <c r="L1698">
        <f t="shared" si="62"/>
        <v>0</v>
      </c>
      <c r="M1698">
        <f t="shared" si="63"/>
        <v>0</v>
      </c>
    </row>
    <row r="1699" spans="12:13" x14ac:dyDescent="0.25">
      <c r="L1699">
        <f t="shared" si="62"/>
        <v>0</v>
      </c>
      <c r="M1699">
        <f t="shared" si="63"/>
        <v>0</v>
      </c>
    </row>
    <row r="1700" spans="12:13" x14ac:dyDescent="0.25">
      <c r="L1700">
        <f t="shared" si="62"/>
        <v>0</v>
      </c>
      <c r="M1700">
        <f t="shared" si="63"/>
        <v>0</v>
      </c>
    </row>
    <row r="1701" spans="12:13" x14ac:dyDescent="0.25">
      <c r="L1701">
        <f t="shared" si="62"/>
        <v>0</v>
      </c>
      <c r="M1701">
        <f t="shared" si="63"/>
        <v>0</v>
      </c>
    </row>
    <row r="1702" spans="12:13" x14ac:dyDescent="0.25">
      <c r="L1702">
        <f t="shared" si="62"/>
        <v>0</v>
      </c>
      <c r="M1702">
        <f t="shared" si="63"/>
        <v>0</v>
      </c>
    </row>
    <row r="1703" spans="12:13" x14ac:dyDescent="0.25">
      <c r="L1703">
        <f t="shared" si="62"/>
        <v>0</v>
      </c>
      <c r="M1703">
        <f t="shared" si="63"/>
        <v>0</v>
      </c>
    </row>
    <row r="1704" spans="12:13" x14ac:dyDescent="0.25">
      <c r="L1704">
        <f t="shared" si="62"/>
        <v>0</v>
      </c>
      <c r="M1704">
        <f t="shared" si="63"/>
        <v>0</v>
      </c>
    </row>
    <row r="1705" spans="12:13" x14ac:dyDescent="0.25">
      <c r="L1705">
        <f t="shared" si="62"/>
        <v>0</v>
      </c>
      <c r="M1705">
        <f t="shared" si="63"/>
        <v>0</v>
      </c>
    </row>
    <row r="1706" spans="12:13" x14ac:dyDescent="0.25">
      <c r="L1706">
        <f t="shared" si="62"/>
        <v>0</v>
      </c>
      <c r="M1706">
        <f t="shared" si="63"/>
        <v>0</v>
      </c>
    </row>
    <row r="1707" spans="12:13" x14ac:dyDescent="0.25">
      <c r="L1707">
        <f t="shared" si="62"/>
        <v>0</v>
      </c>
      <c r="M1707">
        <f t="shared" si="63"/>
        <v>0</v>
      </c>
    </row>
    <row r="1708" spans="12:13" x14ac:dyDescent="0.25">
      <c r="L1708">
        <f t="shared" si="62"/>
        <v>0</v>
      </c>
      <c r="M1708">
        <f t="shared" si="63"/>
        <v>0</v>
      </c>
    </row>
    <row r="1709" spans="12:13" x14ac:dyDescent="0.25">
      <c r="L1709">
        <f t="shared" si="62"/>
        <v>0</v>
      </c>
      <c r="M1709">
        <f t="shared" si="63"/>
        <v>0</v>
      </c>
    </row>
    <row r="1710" spans="12:13" x14ac:dyDescent="0.25">
      <c r="L1710">
        <f t="shared" ref="L1710:L1773" si="64">+I1710+H1710</f>
        <v>0</v>
      </c>
      <c r="M1710">
        <f t="shared" si="63"/>
        <v>0</v>
      </c>
    </row>
    <row r="1711" spans="12:13" x14ac:dyDescent="0.25">
      <c r="L1711">
        <f t="shared" si="64"/>
        <v>0</v>
      </c>
      <c r="M1711">
        <f t="shared" si="63"/>
        <v>0</v>
      </c>
    </row>
    <row r="1712" spans="12:13" x14ac:dyDescent="0.25">
      <c r="L1712">
        <f t="shared" si="64"/>
        <v>0</v>
      </c>
      <c r="M1712">
        <f t="shared" si="63"/>
        <v>0</v>
      </c>
    </row>
    <row r="1713" spans="12:13" x14ac:dyDescent="0.25">
      <c r="L1713">
        <f t="shared" si="64"/>
        <v>0</v>
      </c>
      <c r="M1713">
        <f t="shared" si="63"/>
        <v>0</v>
      </c>
    </row>
    <row r="1714" spans="12:13" x14ac:dyDescent="0.25">
      <c r="L1714">
        <f t="shared" si="64"/>
        <v>0</v>
      </c>
      <c r="M1714">
        <f t="shared" si="63"/>
        <v>0</v>
      </c>
    </row>
    <row r="1715" spans="12:13" x14ac:dyDescent="0.25">
      <c r="L1715">
        <f t="shared" si="64"/>
        <v>0</v>
      </c>
      <c r="M1715">
        <f t="shared" si="63"/>
        <v>0</v>
      </c>
    </row>
    <row r="1716" spans="12:13" x14ac:dyDescent="0.25">
      <c r="L1716">
        <f t="shared" si="64"/>
        <v>0</v>
      </c>
      <c r="M1716">
        <f t="shared" si="63"/>
        <v>0</v>
      </c>
    </row>
    <row r="1717" spans="12:13" x14ac:dyDescent="0.25">
      <c r="L1717">
        <f t="shared" si="64"/>
        <v>0</v>
      </c>
      <c r="M1717">
        <f t="shared" si="63"/>
        <v>0</v>
      </c>
    </row>
    <row r="1718" spans="12:13" x14ac:dyDescent="0.25">
      <c r="L1718">
        <f t="shared" si="64"/>
        <v>0</v>
      </c>
      <c r="M1718">
        <f t="shared" si="63"/>
        <v>0</v>
      </c>
    </row>
    <row r="1719" spans="12:13" x14ac:dyDescent="0.25">
      <c r="L1719">
        <f t="shared" si="64"/>
        <v>0</v>
      </c>
      <c r="M1719">
        <f t="shared" si="63"/>
        <v>0</v>
      </c>
    </row>
    <row r="1720" spans="12:13" x14ac:dyDescent="0.25">
      <c r="L1720">
        <f t="shared" si="64"/>
        <v>0</v>
      </c>
      <c r="M1720">
        <f t="shared" si="63"/>
        <v>0</v>
      </c>
    </row>
    <row r="1721" spans="12:13" x14ac:dyDescent="0.25">
      <c r="L1721">
        <f t="shared" si="64"/>
        <v>0</v>
      </c>
      <c r="M1721">
        <f t="shared" si="63"/>
        <v>0</v>
      </c>
    </row>
    <row r="1722" spans="12:13" x14ac:dyDescent="0.25">
      <c r="L1722">
        <f t="shared" si="64"/>
        <v>0</v>
      </c>
      <c r="M1722">
        <f t="shared" si="63"/>
        <v>0</v>
      </c>
    </row>
    <row r="1723" spans="12:13" x14ac:dyDescent="0.25">
      <c r="L1723">
        <f t="shared" si="64"/>
        <v>0</v>
      </c>
      <c r="M1723">
        <f t="shared" si="63"/>
        <v>0</v>
      </c>
    </row>
    <row r="1724" spans="12:13" x14ac:dyDescent="0.25">
      <c r="L1724">
        <f t="shared" si="64"/>
        <v>0</v>
      </c>
      <c r="M1724">
        <f t="shared" si="63"/>
        <v>0</v>
      </c>
    </row>
    <row r="1725" spans="12:13" x14ac:dyDescent="0.25">
      <c r="L1725">
        <f t="shared" si="64"/>
        <v>0</v>
      </c>
      <c r="M1725">
        <f t="shared" si="63"/>
        <v>0</v>
      </c>
    </row>
    <row r="1726" spans="12:13" x14ac:dyDescent="0.25">
      <c r="L1726">
        <f t="shared" si="64"/>
        <v>0</v>
      </c>
      <c r="M1726">
        <f t="shared" si="63"/>
        <v>0</v>
      </c>
    </row>
    <row r="1727" spans="12:13" x14ac:dyDescent="0.25">
      <c r="L1727">
        <f t="shared" si="64"/>
        <v>0</v>
      </c>
      <c r="M1727">
        <f t="shared" ref="M1727:M1790" si="65">+I1727/IF(H1727 = 0,1,H1727)</f>
        <v>0</v>
      </c>
    </row>
    <row r="1728" spans="12:13" x14ac:dyDescent="0.25">
      <c r="L1728">
        <f t="shared" si="64"/>
        <v>0</v>
      </c>
      <c r="M1728">
        <f t="shared" si="65"/>
        <v>0</v>
      </c>
    </row>
    <row r="1729" spans="12:13" x14ac:dyDescent="0.25">
      <c r="L1729">
        <f t="shared" si="64"/>
        <v>0</v>
      </c>
      <c r="M1729">
        <f t="shared" si="65"/>
        <v>0</v>
      </c>
    </row>
    <row r="1730" spans="12:13" x14ac:dyDescent="0.25">
      <c r="L1730">
        <f t="shared" si="64"/>
        <v>0</v>
      </c>
      <c r="M1730">
        <f t="shared" si="65"/>
        <v>0</v>
      </c>
    </row>
    <row r="1731" spans="12:13" x14ac:dyDescent="0.25">
      <c r="L1731">
        <f t="shared" si="64"/>
        <v>0</v>
      </c>
      <c r="M1731">
        <f t="shared" si="65"/>
        <v>0</v>
      </c>
    </row>
    <row r="1732" spans="12:13" x14ac:dyDescent="0.25">
      <c r="L1732">
        <f t="shared" si="64"/>
        <v>0</v>
      </c>
      <c r="M1732">
        <f t="shared" si="65"/>
        <v>0</v>
      </c>
    </row>
    <row r="1733" spans="12:13" x14ac:dyDescent="0.25">
      <c r="L1733">
        <f t="shared" si="64"/>
        <v>0</v>
      </c>
      <c r="M1733">
        <f t="shared" si="65"/>
        <v>0</v>
      </c>
    </row>
    <row r="1734" spans="12:13" x14ac:dyDescent="0.25">
      <c r="L1734">
        <f t="shared" si="64"/>
        <v>0</v>
      </c>
      <c r="M1734">
        <f t="shared" si="65"/>
        <v>0</v>
      </c>
    </row>
    <row r="1735" spans="12:13" x14ac:dyDescent="0.25">
      <c r="L1735">
        <f t="shared" si="64"/>
        <v>0</v>
      </c>
      <c r="M1735">
        <f t="shared" si="65"/>
        <v>0</v>
      </c>
    </row>
    <row r="1736" spans="12:13" x14ac:dyDescent="0.25">
      <c r="L1736">
        <f t="shared" si="64"/>
        <v>0</v>
      </c>
      <c r="M1736">
        <f t="shared" si="65"/>
        <v>0</v>
      </c>
    </row>
    <row r="1737" spans="12:13" x14ac:dyDescent="0.25">
      <c r="L1737">
        <f t="shared" si="64"/>
        <v>0</v>
      </c>
      <c r="M1737">
        <f t="shared" si="65"/>
        <v>0</v>
      </c>
    </row>
    <row r="1738" spans="12:13" x14ac:dyDescent="0.25">
      <c r="L1738">
        <f t="shared" si="64"/>
        <v>0</v>
      </c>
      <c r="M1738">
        <f t="shared" si="65"/>
        <v>0</v>
      </c>
    </row>
    <row r="1739" spans="12:13" x14ac:dyDescent="0.25">
      <c r="L1739">
        <f t="shared" si="64"/>
        <v>0</v>
      </c>
      <c r="M1739">
        <f t="shared" si="65"/>
        <v>0</v>
      </c>
    </row>
    <row r="1740" spans="12:13" x14ac:dyDescent="0.25">
      <c r="L1740">
        <f t="shared" si="64"/>
        <v>0</v>
      </c>
      <c r="M1740">
        <f t="shared" si="65"/>
        <v>0</v>
      </c>
    </row>
    <row r="1741" spans="12:13" x14ac:dyDescent="0.25">
      <c r="L1741">
        <f t="shared" si="64"/>
        <v>0</v>
      </c>
      <c r="M1741">
        <f t="shared" si="65"/>
        <v>0</v>
      </c>
    </row>
    <row r="1742" spans="12:13" x14ac:dyDescent="0.25">
      <c r="L1742">
        <f t="shared" si="64"/>
        <v>0</v>
      </c>
      <c r="M1742">
        <f t="shared" si="65"/>
        <v>0</v>
      </c>
    </row>
    <row r="1743" spans="12:13" x14ac:dyDescent="0.25">
      <c r="L1743">
        <f t="shared" si="64"/>
        <v>0</v>
      </c>
      <c r="M1743">
        <f t="shared" si="65"/>
        <v>0</v>
      </c>
    </row>
    <row r="1744" spans="12:13" x14ac:dyDescent="0.25">
      <c r="L1744">
        <f t="shared" si="64"/>
        <v>0</v>
      </c>
      <c r="M1744">
        <f t="shared" si="65"/>
        <v>0</v>
      </c>
    </row>
    <row r="1745" spans="12:13" x14ac:dyDescent="0.25">
      <c r="L1745">
        <f t="shared" si="64"/>
        <v>0</v>
      </c>
      <c r="M1745">
        <f t="shared" si="65"/>
        <v>0</v>
      </c>
    </row>
    <row r="1746" spans="12:13" x14ac:dyDescent="0.25">
      <c r="L1746">
        <f t="shared" si="64"/>
        <v>0</v>
      </c>
      <c r="M1746">
        <f t="shared" si="65"/>
        <v>0</v>
      </c>
    </row>
    <row r="1747" spans="12:13" x14ac:dyDescent="0.25">
      <c r="L1747">
        <f t="shared" si="64"/>
        <v>0</v>
      </c>
      <c r="M1747">
        <f t="shared" si="65"/>
        <v>0</v>
      </c>
    </row>
    <row r="1748" spans="12:13" x14ac:dyDescent="0.25">
      <c r="L1748">
        <f t="shared" si="64"/>
        <v>0</v>
      </c>
      <c r="M1748">
        <f t="shared" si="65"/>
        <v>0</v>
      </c>
    </row>
    <row r="1749" spans="12:13" x14ac:dyDescent="0.25">
      <c r="L1749">
        <f t="shared" si="64"/>
        <v>0</v>
      </c>
      <c r="M1749">
        <f t="shared" si="65"/>
        <v>0</v>
      </c>
    </row>
    <row r="1750" spans="12:13" x14ac:dyDescent="0.25">
      <c r="L1750">
        <f t="shared" si="64"/>
        <v>0</v>
      </c>
      <c r="M1750">
        <f t="shared" si="65"/>
        <v>0</v>
      </c>
    </row>
    <row r="1751" spans="12:13" x14ac:dyDescent="0.25">
      <c r="L1751">
        <f t="shared" si="64"/>
        <v>0</v>
      </c>
      <c r="M1751">
        <f t="shared" si="65"/>
        <v>0</v>
      </c>
    </row>
    <row r="1752" spans="12:13" x14ac:dyDescent="0.25">
      <c r="L1752">
        <f t="shared" si="64"/>
        <v>0</v>
      </c>
      <c r="M1752">
        <f t="shared" si="65"/>
        <v>0</v>
      </c>
    </row>
    <row r="1753" spans="12:13" x14ac:dyDescent="0.25">
      <c r="L1753">
        <f t="shared" si="64"/>
        <v>0</v>
      </c>
      <c r="M1753">
        <f t="shared" si="65"/>
        <v>0</v>
      </c>
    </row>
    <row r="1754" spans="12:13" x14ac:dyDescent="0.25">
      <c r="L1754">
        <f t="shared" si="64"/>
        <v>0</v>
      </c>
      <c r="M1754">
        <f t="shared" si="65"/>
        <v>0</v>
      </c>
    </row>
    <row r="1755" spans="12:13" x14ac:dyDescent="0.25">
      <c r="L1755">
        <f t="shared" si="64"/>
        <v>0</v>
      </c>
      <c r="M1755">
        <f t="shared" si="65"/>
        <v>0</v>
      </c>
    </row>
    <row r="1756" spans="12:13" x14ac:dyDescent="0.25">
      <c r="L1756">
        <f t="shared" si="64"/>
        <v>0</v>
      </c>
      <c r="M1756">
        <f t="shared" si="65"/>
        <v>0</v>
      </c>
    </row>
    <row r="1757" spans="12:13" x14ac:dyDescent="0.25">
      <c r="L1757">
        <f t="shared" si="64"/>
        <v>0</v>
      </c>
      <c r="M1757">
        <f t="shared" si="65"/>
        <v>0</v>
      </c>
    </row>
    <row r="1758" spans="12:13" x14ac:dyDescent="0.25">
      <c r="L1758">
        <f t="shared" si="64"/>
        <v>0</v>
      </c>
      <c r="M1758">
        <f t="shared" si="65"/>
        <v>0</v>
      </c>
    </row>
    <row r="1759" spans="12:13" x14ac:dyDescent="0.25">
      <c r="L1759">
        <f t="shared" si="64"/>
        <v>0</v>
      </c>
      <c r="M1759">
        <f t="shared" si="65"/>
        <v>0</v>
      </c>
    </row>
    <row r="1760" spans="12:13" x14ac:dyDescent="0.25">
      <c r="L1760">
        <f t="shared" si="64"/>
        <v>0</v>
      </c>
      <c r="M1760">
        <f t="shared" si="65"/>
        <v>0</v>
      </c>
    </row>
    <row r="1761" spans="12:13" x14ac:dyDescent="0.25">
      <c r="L1761">
        <f t="shared" si="64"/>
        <v>0</v>
      </c>
      <c r="M1761">
        <f t="shared" si="65"/>
        <v>0</v>
      </c>
    </row>
    <row r="1762" spans="12:13" x14ac:dyDescent="0.25">
      <c r="L1762">
        <f t="shared" si="64"/>
        <v>0</v>
      </c>
      <c r="M1762">
        <f t="shared" si="65"/>
        <v>0</v>
      </c>
    </row>
    <row r="1763" spans="12:13" x14ac:dyDescent="0.25">
      <c r="L1763">
        <f t="shared" si="64"/>
        <v>0</v>
      </c>
      <c r="M1763">
        <f t="shared" si="65"/>
        <v>0</v>
      </c>
    </row>
    <row r="1764" spans="12:13" x14ac:dyDescent="0.25">
      <c r="L1764">
        <f t="shared" si="64"/>
        <v>0</v>
      </c>
      <c r="M1764">
        <f t="shared" si="65"/>
        <v>0</v>
      </c>
    </row>
    <row r="1765" spans="12:13" x14ac:dyDescent="0.25">
      <c r="L1765">
        <f t="shared" si="64"/>
        <v>0</v>
      </c>
      <c r="M1765">
        <f t="shared" si="65"/>
        <v>0</v>
      </c>
    </row>
    <row r="1766" spans="12:13" x14ac:dyDescent="0.25">
      <c r="L1766">
        <f t="shared" si="64"/>
        <v>0</v>
      </c>
      <c r="M1766">
        <f t="shared" si="65"/>
        <v>0</v>
      </c>
    </row>
    <row r="1767" spans="12:13" x14ac:dyDescent="0.25">
      <c r="L1767">
        <f t="shared" si="64"/>
        <v>0</v>
      </c>
      <c r="M1767">
        <f t="shared" si="65"/>
        <v>0</v>
      </c>
    </row>
    <row r="1768" spans="12:13" x14ac:dyDescent="0.25">
      <c r="L1768">
        <f t="shared" si="64"/>
        <v>0</v>
      </c>
      <c r="M1768">
        <f t="shared" si="65"/>
        <v>0</v>
      </c>
    </row>
    <row r="1769" spans="12:13" x14ac:dyDescent="0.25">
      <c r="L1769">
        <f t="shared" si="64"/>
        <v>0</v>
      </c>
      <c r="M1769">
        <f t="shared" si="65"/>
        <v>0</v>
      </c>
    </row>
    <row r="1770" spans="12:13" x14ac:dyDescent="0.25">
      <c r="L1770">
        <f t="shared" si="64"/>
        <v>0</v>
      </c>
      <c r="M1770">
        <f t="shared" si="65"/>
        <v>0</v>
      </c>
    </row>
    <row r="1771" spans="12:13" x14ac:dyDescent="0.25">
      <c r="L1771">
        <f t="shared" si="64"/>
        <v>0</v>
      </c>
      <c r="M1771">
        <f t="shared" si="65"/>
        <v>0</v>
      </c>
    </row>
    <row r="1772" spans="12:13" x14ac:dyDescent="0.25">
      <c r="L1772">
        <f t="shared" si="64"/>
        <v>0</v>
      </c>
      <c r="M1772">
        <f t="shared" si="65"/>
        <v>0</v>
      </c>
    </row>
    <row r="1773" spans="12:13" x14ac:dyDescent="0.25">
      <c r="L1773">
        <f t="shared" si="64"/>
        <v>0</v>
      </c>
      <c r="M1773">
        <f t="shared" si="65"/>
        <v>0</v>
      </c>
    </row>
    <row r="1774" spans="12:13" x14ac:dyDescent="0.25">
      <c r="L1774">
        <f t="shared" ref="L1774:L1837" si="66">+I1774+H1774</f>
        <v>0</v>
      </c>
      <c r="M1774">
        <f t="shared" si="65"/>
        <v>0</v>
      </c>
    </row>
    <row r="1775" spans="12:13" x14ac:dyDescent="0.25">
      <c r="L1775">
        <f t="shared" si="66"/>
        <v>0</v>
      </c>
      <c r="M1775">
        <f t="shared" si="65"/>
        <v>0</v>
      </c>
    </row>
    <row r="1776" spans="12:13" x14ac:dyDescent="0.25">
      <c r="L1776">
        <f t="shared" si="66"/>
        <v>0</v>
      </c>
      <c r="M1776">
        <f t="shared" si="65"/>
        <v>0</v>
      </c>
    </row>
    <row r="1777" spans="12:13" x14ac:dyDescent="0.25">
      <c r="L1777">
        <f t="shared" si="66"/>
        <v>0</v>
      </c>
      <c r="M1777">
        <f t="shared" si="65"/>
        <v>0</v>
      </c>
    </row>
    <row r="1778" spans="12:13" x14ac:dyDescent="0.25">
      <c r="L1778">
        <f t="shared" si="66"/>
        <v>0</v>
      </c>
      <c r="M1778">
        <f t="shared" si="65"/>
        <v>0</v>
      </c>
    </row>
    <row r="1779" spans="12:13" x14ac:dyDescent="0.25">
      <c r="L1779">
        <f t="shared" si="66"/>
        <v>0</v>
      </c>
      <c r="M1779">
        <f t="shared" si="65"/>
        <v>0</v>
      </c>
    </row>
    <row r="1780" spans="12:13" x14ac:dyDescent="0.25">
      <c r="L1780">
        <f t="shared" si="66"/>
        <v>0</v>
      </c>
      <c r="M1780">
        <f t="shared" si="65"/>
        <v>0</v>
      </c>
    </row>
    <row r="1781" spans="12:13" x14ac:dyDescent="0.25">
      <c r="L1781">
        <f t="shared" si="66"/>
        <v>0</v>
      </c>
      <c r="M1781">
        <f t="shared" si="65"/>
        <v>0</v>
      </c>
    </row>
    <row r="1782" spans="12:13" x14ac:dyDescent="0.25">
      <c r="L1782">
        <f t="shared" si="66"/>
        <v>0</v>
      </c>
      <c r="M1782">
        <f t="shared" si="65"/>
        <v>0</v>
      </c>
    </row>
    <row r="1783" spans="12:13" x14ac:dyDescent="0.25">
      <c r="L1783">
        <f t="shared" si="66"/>
        <v>0</v>
      </c>
      <c r="M1783">
        <f t="shared" si="65"/>
        <v>0</v>
      </c>
    </row>
    <row r="1784" spans="12:13" x14ac:dyDescent="0.25">
      <c r="L1784">
        <f t="shared" si="66"/>
        <v>0</v>
      </c>
      <c r="M1784">
        <f t="shared" si="65"/>
        <v>0</v>
      </c>
    </row>
    <row r="1785" spans="12:13" x14ac:dyDescent="0.25">
      <c r="L1785">
        <f t="shared" si="66"/>
        <v>0</v>
      </c>
      <c r="M1785">
        <f t="shared" si="65"/>
        <v>0</v>
      </c>
    </row>
    <row r="1786" spans="12:13" x14ac:dyDescent="0.25">
      <c r="L1786">
        <f t="shared" si="66"/>
        <v>0</v>
      </c>
      <c r="M1786">
        <f t="shared" si="65"/>
        <v>0</v>
      </c>
    </row>
    <row r="1787" spans="12:13" x14ac:dyDescent="0.25">
      <c r="L1787">
        <f t="shared" si="66"/>
        <v>0</v>
      </c>
      <c r="M1787">
        <f t="shared" si="65"/>
        <v>0</v>
      </c>
    </row>
    <row r="1788" spans="12:13" x14ac:dyDescent="0.25">
      <c r="L1788">
        <f t="shared" si="66"/>
        <v>0</v>
      </c>
      <c r="M1788">
        <f t="shared" si="65"/>
        <v>0</v>
      </c>
    </row>
    <row r="1789" spans="12:13" x14ac:dyDescent="0.25">
      <c r="L1789">
        <f t="shared" si="66"/>
        <v>0</v>
      </c>
      <c r="M1789">
        <f t="shared" si="65"/>
        <v>0</v>
      </c>
    </row>
    <row r="1790" spans="12:13" x14ac:dyDescent="0.25">
      <c r="L1790">
        <f t="shared" si="66"/>
        <v>0</v>
      </c>
      <c r="M1790">
        <f t="shared" si="65"/>
        <v>0</v>
      </c>
    </row>
    <row r="1791" spans="12:13" x14ac:dyDescent="0.25">
      <c r="L1791">
        <f t="shared" si="66"/>
        <v>0</v>
      </c>
      <c r="M1791">
        <f t="shared" ref="M1791:M1854" si="67">+I1791/IF(H1791 = 0,1,H1791)</f>
        <v>0</v>
      </c>
    </row>
    <row r="1792" spans="12:13" x14ac:dyDescent="0.25">
      <c r="L1792">
        <f t="shared" si="66"/>
        <v>0</v>
      </c>
      <c r="M1792">
        <f t="shared" si="67"/>
        <v>0</v>
      </c>
    </row>
    <row r="1793" spans="12:13" x14ac:dyDescent="0.25">
      <c r="L1793">
        <f t="shared" si="66"/>
        <v>0</v>
      </c>
      <c r="M1793">
        <f t="shared" si="67"/>
        <v>0</v>
      </c>
    </row>
    <row r="1794" spans="12:13" x14ac:dyDescent="0.25">
      <c r="L1794">
        <f t="shared" si="66"/>
        <v>0</v>
      </c>
      <c r="M1794">
        <f t="shared" si="67"/>
        <v>0</v>
      </c>
    </row>
    <row r="1795" spans="12:13" x14ac:dyDescent="0.25">
      <c r="L1795">
        <f t="shared" si="66"/>
        <v>0</v>
      </c>
      <c r="M1795">
        <f t="shared" si="67"/>
        <v>0</v>
      </c>
    </row>
    <row r="1796" spans="12:13" x14ac:dyDescent="0.25">
      <c r="L1796">
        <f t="shared" si="66"/>
        <v>0</v>
      </c>
      <c r="M1796">
        <f t="shared" si="67"/>
        <v>0</v>
      </c>
    </row>
    <row r="1797" spans="12:13" x14ac:dyDescent="0.25">
      <c r="L1797">
        <f t="shared" si="66"/>
        <v>0</v>
      </c>
      <c r="M1797">
        <f t="shared" si="67"/>
        <v>0</v>
      </c>
    </row>
    <row r="1798" spans="12:13" x14ac:dyDescent="0.25">
      <c r="L1798">
        <f t="shared" si="66"/>
        <v>0</v>
      </c>
      <c r="M1798">
        <f t="shared" si="67"/>
        <v>0</v>
      </c>
    </row>
    <row r="1799" spans="12:13" x14ac:dyDescent="0.25">
      <c r="L1799">
        <f t="shared" si="66"/>
        <v>0</v>
      </c>
      <c r="M1799">
        <f t="shared" si="67"/>
        <v>0</v>
      </c>
    </row>
    <row r="1800" spans="12:13" x14ac:dyDescent="0.25">
      <c r="L1800">
        <f t="shared" si="66"/>
        <v>0</v>
      </c>
      <c r="M1800">
        <f t="shared" si="67"/>
        <v>0</v>
      </c>
    </row>
    <row r="1801" spans="12:13" x14ac:dyDescent="0.25">
      <c r="L1801">
        <f t="shared" si="66"/>
        <v>0</v>
      </c>
      <c r="M1801">
        <f t="shared" si="67"/>
        <v>0</v>
      </c>
    </row>
    <row r="1802" spans="12:13" x14ac:dyDescent="0.25">
      <c r="L1802">
        <f t="shared" si="66"/>
        <v>0</v>
      </c>
      <c r="M1802">
        <f t="shared" si="67"/>
        <v>0</v>
      </c>
    </row>
    <row r="1803" spans="12:13" x14ac:dyDescent="0.25">
      <c r="L1803">
        <f t="shared" si="66"/>
        <v>0</v>
      </c>
      <c r="M1803">
        <f t="shared" si="67"/>
        <v>0</v>
      </c>
    </row>
    <row r="1804" spans="12:13" x14ac:dyDescent="0.25">
      <c r="L1804">
        <f t="shared" si="66"/>
        <v>0</v>
      </c>
      <c r="M1804">
        <f t="shared" si="67"/>
        <v>0</v>
      </c>
    </row>
    <row r="1805" spans="12:13" x14ac:dyDescent="0.25">
      <c r="L1805">
        <f t="shared" si="66"/>
        <v>0</v>
      </c>
      <c r="M1805">
        <f t="shared" si="67"/>
        <v>0</v>
      </c>
    </row>
    <row r="1806" spans="12:13" x14ac:dyDescent="0.25">
      <c r="L1806">
        <f t="shared" si="66"/>
        <v>0</v>
      </c>
      <c r="M1806">
        <f t="shared" si="67"/>
        <v>0</v>
      </c>
    </row>
    <row r="1807" spans="12:13" x14ac:dyDescent="0.25">
      <c r="L1807">
        <f t="shared" si="66"/>
        <v>0</v>
      </c>
      <c r="M1807">
        <f t="shared" si="67"/>
        <v>0</v>
      </c>
    </row>
    <row r="1808" spans="12:13" x14ac:dyDescent="0.25">
      <c r="L1808">
        <f t="shared" si="66"/>
        <v>0</v>
      </c>
      <c r="M1808">
        <f t="shared" si="67"/>
        <v>0</v>
      </c>
    </row>
    <row r="1809" spans="12:13" x14ac:dyDescent="0.25">
      <c r="L1809">
        <f t="shared" si="66"/>
        <v>0</v>
      </c>
      <c r="M1809">
        <f t="shared" si="67"/>
        <v>0</v>
      </c>
    </row>
    <row r="1810" spans="12:13" x14ac:dyDescent="0.25">
      <c r="L1810">
        <f t="shared" si="66"/>
        <v>0</v>
      </c>
      <c r="M1810">
        <f t="shared" si="67"/>
        <v>0</v>
      </c>
    </row>
    <row r="1811" spans="12:13" x14ac:dyDescent="0.25">
      <c r="L1811">
        <f t="shared" si="66"/>
        <v>0</v>
      </c>
      <c r="M1811">
        <f t="shared" si="67"/>
        <v>0</v>
      </c>
    </row>
    <row r="1812" spans="12:13" x14ac:dyDescent="0.25">
      <c r="L1812">
        <f t="shared" si="66"/>
        <v>0</v>
      </c>
      <c r="M1812">
        <f t="shared" si="67"/>
        <v>0</v>
      </c>
    </row>
    <row r="1813" spans="12:13" x14ac:dyDescent="0.25">
      <c r="L1813">
        <f t="shared" si="66"/>
        <v>0</v>
      </c>
      <c r="M1813">
        <f t="shared" si="67"/>
        <v>0</v>
      </c>
    </row>
    <row r="1814" spans="12:13" x14ac:dyDescent="0.25">
      <c r="L1814">
        <f t="shared" si="66"/>
        <v>0</v>
      </c>
      <c r="M1814">
        <f t="shared" si="67"/>
        <v>0</v>
      </c>
    </row>
    <row r="1815" spans="12:13" x14ac:dyDescent="0.25">
      <c r="L1815">
        <f t="shared" si="66"/>
        <v>0</v>
      </c>
      <c r="M1815">
        <f t="shared" si="67"/>
        <v>0</v>
      </c>
    </row>
    <row r="1816" spans="12:13" x14ac:dyDescent="0.25">
      <c r="L1816">
        <f t="shared" si="66"/>
        <v>0</v>
      </c>
      <c r="M1816">
        <f t="shared" si="67"/>
        <v>0</v>
      </c>
    </row>
    <row r="1817" spans="12:13" x14ac:dyDescent="0.25">
      <c r="L1817">
        <f t="shared" si="66"/>
        <v>0</v>
      </c>
      <c r="M1817">
        <f t="shared" si="67"/>
        <v>0</v>
      </c>
    </row>
    <row r="1818" spans="12:13" x14ac:dyDescent="0.25">
      <c r="L1818">
        <f t="shared" si="66"/>
        <v>0</v>
      </c>
      <c r="M1818">
        <f t="shared" si="67"/>
        <v>0</v>
      </c>
    </row>
    <row r="1819" spans="12:13" x14ac:dyDescent="0.25">
      <c r="L1819">
        <f t="shared" si="66"/>
        <v>0</v>
      </c>
      <c r="M1819">
        <f t="shared" si="67"/>
        <v>0</v>
      </c>
    </row>
    <row r="1820" spans="12:13" x14ac:dyDescent="0.25">
      <c r="L1820">
        <f t="shared" si="66"/>
        <v>0</v>
      </c>
      <c r="M1820">
        <f t="shared" si="67"/>
        <v>0</v>
      </c>
    </row>
    <row r="1821" spans="12:13" x14ac:dyDescent="0.25">
      <c r="L1821">
        <f t="shared" si="66"/>
        <v>0</v>
      </c>
      <c r="M1821">
        <f t="shared" si="67"/>
        <v>0</v>
      </c>
    </row>
    <row r="1822" spans="12:13" x14ac:dyDescent="0.25">
      <c r="L1822">
        <f t="shared" si="66"/>
        <v>0</v>
      </c>
      <c r="M1822">
        <f t="shared" si="67"/>
        <v>0</v>
      </c>
    </row>
    <row r="1823" spans="12:13" x14ac:dyDescent="0.25">
      <c r="L1823">
        <f t="shared" si="66"/>
        <v>0</v>
      </c>
      <c r="M1823">
        <f t="shared" si="67"/>
        <v>0</v>
      </c>
    </row>
    <row r="1824" spans="12:13" x14ac:dyDescent="0.25">
      <c r="L1824">
        <f t="shared" si="66"/>
        <v>0</v>
      </c>
      <c r="M1824">
        <f t="shared" si="67"/>
        <v>0</v>
      </c>
    </row>
    <row r="1825" spans="12:13" x14ac:dyDescent="0.25">
      <c r="L1825">
        <f t="shared" si="66"/>
        <v>0</v>
      </c>
      <c r="M1825">
        <f t="shared" si="67"/>
        <v>0</v>
      </c>
    </row>
    <row r="1826" spans="12:13" x14ac:dyDescent="0.25">
      <c r="L1826">
        <f t="shared" si="66"/>
        <v>0</v>
      </c>
      <c r="M1826">
        <f t="shared" si="67"/>
        <v>0</v>
      </c>
    </row>
    <row r="1827" spans="12:13" x14ac:dyDescent="0.25">
      <c r="L1827">
        <f t="shared" si="66"/>
        <v>0</v>
      </c>
      <c r="M1827">
        <f t="shared" si="67"/>
        <v>0</v>
      </c>
    </row>
    <row r="1828" spans="12:13" x14ac:dyDescent="0.25">
      <c r="L1828">
        <f t="shared" si="66"/>
        <v>0</v>
      </c>
      <c r="M1828">
        <f t="shared" si="67"/>
        <v>0</v>
      </c>
    </row>
    <row r="1829" spans="12:13" x14ac:dyDescent="0.25">
      <c r="L1829">
        <f t="shared" si="66"/>
        <v>0</v>
      </c>
      <c r="M1829">
        <f t="shared" si="67"/>
        <v>0</v>
      </c>
    </row>
    <row r="1830" spans="12:13" x14ac:dyDescent="0.25">
      <c r="L1830">
        <f t="shared" si="66"/>
        <v>0</v>
      </c>
      <c r="M1830">
        <f t="shared" si="67"/>
        <v>0</v>
      </c>
    </row>
    <row r="1831" spans="12:13" x14ac:dyDescent="0.25">
      <c r="L1831">
        <f t="shared" si="66"/>
        <v>0</v>
      </c>
      <c r="M1831">
        <f t="shared" si="67"/>
        <v>0</v>
      </c>
    </row>
    <row r="1832" spans="12:13" x14ac:dyDescent="0.25">
      <c r="L1832">
        <f t="shared" si="66"/>
        <v>0</v>
      </c>
      <c r="M1832">
        <f t="shared" si="67"/>
        <v>0</v>
      </c>
    </row>
    <row r="1833" spans="12:13" x14ac:dyDescent="0.25">
      <c r="L1833">
        <f t="shared" si="66"/>
        <v>0</v>
      </c>
      <c r="M1833">
        <f t="shared" si="67"/>
        <v>0</v>
      </c>
    </row>
    <row r="1834" spans="12:13" x14ac:dyDescent="0.25">
      <c r="L1834">
        <f t="shared" si="66"/>
        <v>0</v>
      </c>
      <c r="M1834">
        <f t="shared" si="67"/>
        <v>0</v>
      </c>
    </row>
    <row r="1835" spans="12:13" x14ac:dyDescent="0.25">
      <c r="L1835">
        <f t="shared" si="66"/>
        <v>0</v>
      </c>
      <c r="M1835">
        <f t="shared" si="67"/>
        <v>0</v>
      </c>
    </row>
    <row r="1836" spans="12:13" x14ac:dyDescent="0.25">
      <c r="L1836">
        <f t="shared" si="66"/>
        <v>0</v>
      </c>
      <c r="M1836">
        <f t="shared" si="67"/>
        <v>0</v>
      </c>
    </row>
    <row r="1837" spans="12:13" x14ac:dyDescent="0.25">
      <c r="L1837">
        <f t="shared" si="66"/>
        <v>0</v>
      </c>
      <c r="M1837">
        <f t="shared" si="67"/>
        <v>0</v>
      </c>
    </row>
    <row r="1838" spans="12:13" x14ac:dyDescent="0.25">
      <c r="L1838">
        <f t="shared" ref="L1838:L1901" si="68">+I1838+H1838</f>
        <v>0</v>
      </c>
      <c r="M1838">
        <f t="shared" si="67"/>
        <v>0</v>
      </c>
    </row>
    <row r="1839" spans="12:13" x14ac:dyDescent="0.25">
      <c r="L1839">
        <f t="shared" si="68"/>
        <v>0</v>
      </c>
      <c r="M1839">
        <f t="shared" si="67"/>
        <v>0</v>
      </c>
    </row>
    <row r="1840" spans="12:13" x14ac:dyDescent="0.25">
      <c r="L1840">
        <f t="shared" si="68"/>
        <v>0</v>
      </c>
      <c r="M1840">
        <f t="shared" si="67"/>
        <v>0</v>
      </c>
    </row>
    <row r="1841" spans="12:13" x14ac:dyDescent="0.25">
      <c r="L1841">
        <f t="shared" si="68"/>
        <v>0</v>
      </c>
      <c r="M1841">
        <f t="shared" si="67"/>
        <v>0</v>
      </c>
    </row>
    <row r="1842" spans="12:13" x14ac:dyDescent="0.25">
      <c r="L1842">
        <f t="shared" si="68"/>
        <v>0</v>
      </c>
      <c r="M1842">
        <f t="shared" si="67"/>
        <v>0</v>
      </c>
    </row>
    <row r="1843" spans="12:13" x14ac:dyDescent="0.25">
      <c r="L1843">
        <f t="shared" si="68"/>
        <v>0</v>
      </c>
      <c r="M1843">
        <f t="shared" si="67"/>
        <v>0</v>
      </c>
    </row>
    <row r="1844" spans="12:13" x14ac:dyDescent="0.25">
      <c r="L1844">
        <f t="shared" si="68"/>
        <v>0</v>
      </c>
      <c r="M1844">
        <f t="shared" si="67"/>
        <v>0</v>
      </c>
    </row>
    <row r="1845" spans="12:13" x14ac:dyDescent="0.25">
      <c r="L1845">
        <f t="shared" si="68"/>
        <v>0</v>
      </c>
      <c r="M1845">
        <f t="shared" si="67"/>
        <v>0</v>
      </c>
    </row>
    <row r="1846" spans="12:13" x14ac:dyDescent="0.25">
      <c r="L1846">
        <f t="shared" si="68"/>
        <v>0</v>
      </c>
      <c r="M1846">
        <f t="shared" si="67"/>
        <v>0</v>
      </c>
    </row>
    <row r="1847" spans="12:13" x14ac:dyDescent="0.25">
      <c r="L1847">
        <f t="shared" si="68"/>
        <v>0</v>
      </c>
      <c r="M1847">
        <f t="shared" si="67"/>
        <v>0</v>
      </c>
    </row>
    <row r="1848" spans="12:13" x14ac:dyDescent="0.25">
      <c r="L1848">
        <f t="shared" si="68"/>
        <v>0</v>
      </c>
      <c r="M1848">
        <f t="shared" si="67"/>
        <v>0</v>
      </c>
    </row>
    <row r="1849" spans="12:13" x14ac:dyDescent="0.25">
      <c r="L1849">
        <f t="shared" si="68"/>
        <v>0</v>
      </c>
      <c r="M1849">
        <f t="shared" si="67"/>
        <v>0</v>
      </c>
    </row>
    <row r="1850" spans="12:13" x14ac:dyDescent="0.25">
      <c r="L1850">
        <f t="shared" si="68"/>
        <v>0</v>
      </c>
      <c r="M1850">
        <f t="shared" si="67"/>
        <v>0</v>
      </c>
    </row>
    <row r="1851" spans="12:13" x14ac:dyDescent="0.25">
      <c r="L1851">
        <f t="shared" si="68"/>
        <v>0</v>
      </c>
      <c r="M1851">
        <f t="shared" si="67"/>
        <v>0</v>
      </c>
    </row>
    <row r="1852" spans="12:13" x14ac:dyDescent="0.25">
      <c r="L1852">
        <f t="shared" si="68"/>
        <v>0</v>
      </c>
      <c r="M1852">
        <f t="shared" si="67"/>
        <v>0</v>
      </c>
    </row>
    <row r="1853" spans="12:13" x14ac:dyDescent="0.25">
      <c r="L1853">
        <f t="shared" si="68"/>
        <v>0</v>
      </c>
      <c r="M1853">
        <f t="shared" si="67"/>
        <v>0</v>
      </c>
    </row>
    <row r="1854" spans="12:13" x14ac:dyDescent="0.25">
      <c r="L1854">
        <f t="shared" si="68"/>
        <v>0</v>
      </c>
      <c r="M1854">
        <f t="shared" si="67"/>
        <v>0</v>
      </c>
    </row>
    <row r="1855" spans="12:13" x14ac:dyDescent="0.25">
      <c r="L1855">
        <f t="shared" si="68"/>
        <v>0</v>
      </c>
      <c r="M1855">
        <f t="shared" ref="M1855:M1918" si="69">+I1855/IF(H1855 = 0,1,H1855)</f>
        <v>0</v>
      </c>
    </row>
    <row r="1856" spans="12:13" x14ac:dyDescent="0.25">
      <c r="L1856">
        <f t="shared" si="68"/>
        <v>0</v>
      </c>
      <c r="M1856">
        <f t="shared" si="69"/>
        <v>0</v>
      </c>
    </row>
    <row r="1857" spans="12:13" x14ac:dyDescent="0.25">
      <c r="L1857">
        <f t="shared" si="68"/>
        <v>0</v>
      </c>
      <c r="M1857">
        <f t="shared" si="69"/>
        <v>0</v>
      </c>
    </row>
    <row r="1858" spans="12:13" x14ac:dyDescent="0.25">
      <c r="L1858">
        <f t="shared" si="68"/>
        <v>0</v>
      </c>
      <c r="M1858">
        <f t="shared" si="69"/>
        <v>0</v>
      </c>
    </row>
    <row r="1859" spans="12:13" x14ac:dyDescent="0.25">
      <c r="L1859">
        <f t="shared" si="68"/>
        <v>0</v>
      </c>
      <c r="M1859">
        <f t="shared" si="69"/>
        <v>0</v>
      </c>
    </row>
    <row r="1860" spans="12:13" x14ac:dyDescent="0.25">
      <c r="L1860">
        <f t="shared" si="68"/>
        <v>0</v>
      </c>
      <c r="M1860">
        <f t="shared" si="69"/>
        <v>0</v>
      </c>
    </row>
    <row r="1861" spans="12:13" x14ac:dyDescent="0.25">
      <c r="L1861">
        <f t="shared" si="68"/>
        <v>0</v>
      </c>
      <c r="M1861">
        <f t="shared" si="69"/>
        <v>0</v>
      </c>
    </row>
    <row r="1862" spans="12:13" x14ac:dyDescent="0.25">
      <c r="L1862">
        <f t="shared" si="68"/>
        <v>0</v>
      </c>
      <c r="M1862">
        <f t="shared" si="69"/>
        <v>0</v>
      </c>
    </row>
    <row r="1863" spans="12:13" x14ac:dyDescent="0.25">
      <c r="L1863">
        <f t="shared" si="68"/>
        <v>0</v>
      </c>
      <c r="M1863">
        <f t="shared" si="69"/>
        <v>0</v>
      </c>
    </row>
    <row r="1864" spans="12:13" x14ac:dyDescent="0.25">
      <c r="L1864">
        <f t="shared" si="68"/>
        <v>0</v>
      </c>
      <c r="M1864">
        <f t="shared" si="69"/>
        <v>0</v>
      </c>
    </row>
    <row r="1865" spans="12:13" x14ac:dyDescent="0.25">
      <c r="L1865">
        <f t="shared" si="68"/>
        <v>0</v>
      </c>
      <c r="M1865">
        <f t="shared" si="69"/>
        <v>0</v>
      </c>
    </row>
    <row r="1866" spans="12:13" x14ac:dyDescent="0.25">
      <c r="L1866">
        <f t="shared" si="68"/>
        <v>0</v>
      </c>
      <c r="M1866">
        <f t="shared" si="69"/>
        <v>0</v>
      </c>
    </row>
    <row r="1867" spans="12:13" x14ac:dyDescent="0.25">
      <c r="L1867">
        <f t="shared" si="68"/>
        <v>0</v>
      </c>
      <c r="M1867">
        <f t="shared" si="69"/>
        <v>0</v>
      </c>
    </row>
    <row r="1868" spans="12:13" x14ac:dyDescent="0.25">
      <c r="L1868">
        <f t="shared" si="68"/>
        <v>0</v>
      </c>
      <c r="M1868">
        <f t="shared" si="69"/>
        <v>0</v>
      </c>
    </row>
    <row r="1869" spans="12:13" x14ac:dyDescent="0.25">
      <c r="L1869">
        <f t="shared" si="68"/>
        <v>0</v>
      </c>
      <c r="M1869">
        <f t="shared" si="69"/>
        <v>0</v>
      </c>
    </row>
    <row r="1870" spans="12:13" x14ac:dyDescent="0.25">
      <c r="L1870">
        <f t="shared" si="68"/>
        <v>0</v>
      </c>
      <c r="M1870">
        <f t="shared" si="69"/>
        <v>0</v>
      </c>
    </row>
    <row r="1871" spans="12:13" x14ac:dyDescent="0.25">
      <c r="L1871">
        <f t="shared" si="68"/>
        <v>0</v>
      </c>
      <c r="M1871">
        <f t="shared" si="69"/>
        <v>0</v>
      </c>
    </row>
    <row r="1872" spans="12:13" x14ac:dyDescent="0.25">
      <c r="L1872">
        <f t="shared" si="68"/>
        <v>0</v>
      </c>
      <c r="M1872">
        <f t="shared" si="69"/>
        <v>0</v>
      </c>
    </row>
    <row r="1873" spans="12:13" x14ac:dyDescent="0.25">
      <c r="L1873">
        <f t="shared" si="68"/>
        <v>0</v>
      </c>
      <c r="M1873">
        <f t="shared" si="69"/>
        <v>0</v>
      </c>
    </row>
    <row r="1874" spans="12:13" x14ac:dyDescent="0.25">
      <c r="L1874">
        <f t="shared" si="68"/>
        <v>0</v>
      </c>
      <c r="M1874">
        <f t="shared" si="69"/>
        <v>0</v>
      </c>
    </row>
    <row r="1875" spans="12:13" x14ac:dyDescent="0.25">
      <c r="L1875">
        <f t="shared" si="68"/>
        <v>0</v>
      </c>
      <c r="M1875">
        <f t="shared" si="69"/>
        <v>0</v>
      </c>
    </row>
    <row r="1876" spans="12:13" x14ac:dyDescent="0.25">
      <c r="L1876">
        <f t="shared" si="68"/>
        <v>0</v>
      </c>
      <c r="M1876">
        <f t="shared" si="69"/>
        <v>0</v>
      </c>
    </row>
    <row r="1877" spans="12:13" x14ac:dyDescent="0.25">
      <c r="L1877">
        <f t="shared" si="68"/>
        <v>0</v>
      </c>
      <c r="M1877">
        <f t="shared" si="69"/>
        <v>0</v>
      </c>
    </row>
    <row r="1878" spans="12:13" x14ac:dyDescent="0.25">
      <c r="L1878">
        <f t="shared" si="68"/>
        <v>0</v>
      </c>
      <c r="M1878">
        <f t="shared" si="69"/>
        <v>0</v>
      </c>
    </row>
    <row r="1879" spans="12:13" x14ac:dyDescent="0.25">
      <c r="L1879">
        <f t="shared" si="68"/>
        <v>0</v>
      </c>
      <c r="M1879">
        <f t="shared" si="69"/>
        <v>0</v>
      </c>
    </row>
    <row r="1880" spans="12:13" x14ac:dyDescent="0.25">
      <c r="L1880">
        <f t="shared" si="68"/>
        <v>0</v>
      </c>
      <c r="M1880">
        <f t="shared" si="69"/>
        <v>0</v>
      </c>
    </row>
    <row r="1881" spans="12:13" x14ac:dyDescent="0.25">
      <c r="L1881">
        <f t="shared" si="68"/>
        <v>0</v>
      </c>
      <c r="M1881">
        <f t="shared" si="69"/>
        <v>0</v>
      </c>
    </row>
    <row r="1882" spans="12:13" x14ac:dyDescent="0.25">
      <c r="L1882">
        <f t="shared" si="68"/>
        <v>0</v>
      </c>
      <c r="M1882">
        <f t="shared" si="69"/>
        <v>0</v>
      </c>
    </row>
    <row r="1883" spans="12:13" x14ac:dyDescent="0.25">
      <c r="L1883">
        <f t="shared" si="68"/>
        <v>0</v>
      </c>
      <c r="M1883">
        <f t="shared" si="69"/>
        <v>0</v>
      </c>
    </row>
    <row r="1884" spans="12:13" x14ac:dyDescent="0.25">
      <c r="L1884">
        <f t="shared" si="68"/>
        <v>0</v>
      </c>
      <c r="M1884">
        <f t="shared" si="69"/>
        <v>0</v>
      </c>
    </row>
    <row r="1885" spans="12:13" x14ac:dyDescent="0.25">
      <c r="L1885">
        <f t="shared" si="68"/>
        <v>0</v>
      </c>
      <c r="M1885">
        <f t="shared" si="69"/>
        <v>0</v>
      </c>
    </row>
    <row r="1886" spans="12:13" x14ac:dyDescent="0.25">
      <c r="L1886">
        <f t="shared" si="68"/>
        <v>0</v>
      </c>
      <c r="M1886">
        <f t="shared" si="69"/>
        <v>0</v>
      </c>
    </row>
    <row r="1887" spans="12:13" x14ac:dyDescent="0.25">
      <c r="L1887">
        <f t="shared" si="68"/>
        <v>0</v>
      </c>
      <c r="M1887">
        <f t="shared" si="69"/>
        <v>0</v>
      </c>
    </row>
    <row r="1888" spans="12:13" x14ac:dyDescent="0.25">
      <c r="L1888">
        <f t="shared" si="68"/>
        <v>0</v>
      </c>
      <c r="M1888">
        <f t="shared" si="69"/>
        <v>0</v>
      </c>
    </row>
    <row r="1889" spans="12:13" x14ac:dyDescent="0.25">
      <c r="L1889">
        <f t="shared" si="68"/>
        <v>0</v>
      </c>
      <c r="M1889">
        <f t="shared" si="69"/>
        <v>0</v>
      </c>
    </row>
    <row r="1890" spans="12:13" x14ac:dyDescent="0.25">
      <c r="L1890">
        <f t="shared" si="68"/>
        <v>0</v>
      </c>
      <c r="M1890">
        <f t="shared" si="69"/>
        <v>0</v>
      </c>
    </row>
    <row r="1891" spans="12:13" x14ac:dyDescent="0.25">
      <c r="L1891">
        <f t="shared" si="68"/>
        <v>0</v>
      </c>
      <c r="M1891">
        <f t="shared" si="69"/>
        <v>0</v>
      </c>
    </row>
    <row r="1892" spans="12:13" x14ac:dyDescent="0.25">
      <c r="L1892">
        <f t="shared" si="68"/>
        <v>0</v>
      </c>
      <c r="M1892">
        <f t="shared" si="69"/>
        <v>0</v>
      </c>
    </row>
    <row r="1893" spans="12:13" x14ac:dyDescent="0.25">
      <c r="L1893">
        <f t="shared" si="68"/>
        <v>0</v>
      </c>
      <c r="M1893">
        <f t="shared" si="69"/>
        <v>0</v>
      </c>
    </row>
    <row r="1894" spans="12:13" x14ac:dyDescent="0.25">
      <c r="L1894">
        <f t="shared" si="68"/>
        <v>0</v>
      </c>
      <c r="M1894">
        <f t="shared" si="69"/>
        <v>0</v>
      </c>
    </row>
    <row r="1895" spans="12:13" x14ac:dyDescent="0.25">
      <c r="L1895">
        <f t="shared" si="68"/>
        <v>0</v>
      </c>
      <c r="M1895">
        <f t="shared" si="69"/>
        <v>0</v>
      </c>
    </row>
    <row r="1896" spans="12:13" x14ac:dyDescent="0.25">
      <c r="L1896">
        <f t="shared" si="68"/>
        <v>0</v>
      </c>
      <c r="M1896">
        <f t="shared" si="69"/>
        <v>0</v>
      </c>
    </row>
    <row r="1897" spans="12:13" x14ac:dyDescent="0.25">
      <c r="L1897">
        <f t="shared" si="68"/>
        <v>0</v>
      </c>
      <c r="M1897">
        <f t="shared" si="69"/>
        <v>0</v>
      </c>
    </row>
    <row r="1898" spans="12:13" x14ac:dyDescent="0.25">
      <c r="L1898">
        <f t="shared" si="68"/>
        <v>0</v>
      </c>
      <c r="M1898">
        <f t="shared" si="69"/>
        <v>0</v>
      </c>
    </row>
    <row r="1899" spans="12:13" x14ac:dyDescent="0.25">
      <c r="L1899">
        <f t="shared" si="68"/>
        <v>0</v>
      </c>
      <c r="M1899">
        <f t="shared" si="69"/>
        <v>0</v>
      </c>
    </row>
    <row r="1900" spans="12:13" x14ac:dyDescent="0.25">
      <c r="L1900">
        <f t="shared" si="68"/>
        <v>0</v>
      </c>
      <c r="M1900">
        <f t="shared" si="69"/>
        <v>0</v>
      </c>
    </row>
    <row r="1901" spans="12:13" x14ac:dyDescent="0.25">
      <c r="L1901">
        <f t="shared" si="68"/>
        <v>0</v>
      </c>
      <c r="M1901">
        <f t="shared" si="69"/>
        <v>0</v>
      </c>
    </row>
    <row r="1902" spans="12:13" x14ac:dyDescent="0.25">
      <c r="L1902">
        <f t="shared" ref="L1902:L1965" si="70">+I1902+H1902</f>
        <v>0</v>
      </c>
      <c r="M1902">
        <f t="shared" si="69"/>
        <v>0</v>
      </c>
    </row>
    <row r="1903" spans="12:13" x14ac:dyDescent="0.25">
      <c r="L1903">
        <f t="shared" si="70"/>
        <v>0</v>
      </c>
      <c r="M1903">
        <f t="shared" si="69"/>
        <v>0</v>
      </c>
    </row>
    <row r="1904" spans="12:13" x14ac:dyDescent="0.25">
      <c r="L1904">
        <f t="shared" si="70"/>
        <v>0</v>
      </c>
      <c r="M1904">
        <f t="shared" si="69"/>
        <v>0</v>
      </c>
    </row>
    <row r="1905" spans="12:13" x14ac:dyDescent="0.25">
      <c r="L1905">
        <f t="shared" si="70"/>
        <v>0</v>
      </c>
      <c r="M1905">
        <f t="shared" si="69"/>
        <v>0</v>
      </c>
    </row>
    <row r="1906" spans="12:13" x14ac:dyDescent="0.25">
      <c r="L1906">
        <f t="shared" si="70"/>
        <v>0</v>
      </c>
      <c r="M1906">
        <f t="shared" si="69"/>
        <v>0</v>
      </c>
    </row>
    <row r="1907" spans="12:13" x14ac:dyDescent="0.25">
      <c r="L1907">
        <f t="shared" si="70"/>
        <v>0</v>
      </c>
      <c r="M1907">
        <f t="shared" si="69"/>
        <v>0</v>
      </c>
    </row>
    <row r="1908" spans="12:13" x14ac:dyDescent="0.25">
      <c r="L1908">
        <f t="shared" si="70"/>
        <v>0</v>
      </c>
      <c r="M1908">
        <f t="shared" si="69"/>
        <v>0</v>
      </c>
    </row>
    <row r="1909" spans="12:13" x14ac:dyDescent="0.25">
      <c r="L1909">
        <f t="shared" si="70"/>
        <v>0</v>
      </c>
      <c r="M1909">
        <f t="shared" si="69"/>
        <v>0</v>
      </c>
    </row>
    <row r="1910" spans="12:13" x14ac:dyDescent="0.25">
      <c r="L1910">
        <f t="shared" si="70"/>
        <v>0</v>
      </c>
      <c r="M1910">
        <f t="shared" si="69"/>
        <v>0</v>
      </c>
    </row>
    <row r="1911" spans="12:13" x14ac:dyDescent="0.25">
      <c r="L1911">
        <f t="shared" si="70"/>
        <v>0</v>
      </c>
      <c r="M1911">
        <f t="shared" si="69"/>
        <v>0</v>
      </c>
    </row>
    <row r="1912" spans="12:13" x14ac:dyDescent="0.25">
      <c r="L1912">
        <f t="shared" si="70"/>
        <v>0</v>
      </c>
      <c r="M1912">
        <f t="shared" si="69"/>
        <v>0</v>
      </c>
    </row>
    <row r="1913" spans="12:13" x14ac:dyDescent="0.25">
      <c r="L1913">
        <f t="shared" si="70"/>
        <v>0</v>
      </c>
      <c r="M1913">
        <f t="shared" si="69"/>
        <v>0</v>
      </c>
    </row>
    <row r="1914" spans="12:13" x14ac:dyDescent="0.25">
      <c r="L1914">
        <f t="shared" si="70"/>
        <v>0</v>
      </c>
      <c r="M1914">
        <f t="shared" si="69"/>
        <v>0</v>
      </c>
    </row>
    <row r="1915" spans="12:13" x14ac:dyDescent="0.25">
      <c r="L1915">
        <f t="shared" si="70"/>
        <v>0</v>
      </c>
      <c r="M1915">
        <f t="shared" si="69"/>
        <v>0</v>
      </c>
    </row>
    <row r="1916" spans="12:13" x14ac:dyDescent="0.25">
      <c r="L1916">
        <f t="shared" si="70"/>
        <v>0</v>
      </c>
      <c r="M1916">
        <f t="shared" si="69"/>
        <v>0</v>
      </c>
    </row>
    <row r="1917" spans="12:13" x14ac:dyDescent="0.25">
      <c r="L1917">
        <f t="shared" si="70"/>
        <v>0</v>
      </c>
      <c r="M1917">
        <f t="shared" si="69"/>
        <v>0</v>
      </c>
    </row>
    <row r="1918" spans="12:13" x14ac:dyDescent="0.25">
      <c r="L1918">
        <f t="shared" si="70"/>
        <v>0</v>
      </c>
      <c r="M1918">
        <f t="shared" si="69"/>
        <v>0</v>
      </c>
    </row>
    <row r="1919" spans="12:13" x14ac:dyDescent="0.25">
      <c r="L1919">
        <f t="shared" si="70"/>
        <v>0</v>
      </c>
      <c r="M1919">
        <f t="shared" ref="M1919:M1982" si="71">+I1919/IF(H1919 = 0,1,H1919)</f>
        <v>0</v>
      </c>
    </row>
    <row r="1920" spans="12:13" x14ac:dyDescent="0.25">
      <c r="L1920">
        <f t="shared" si="70"/>
        <v>0</v>
      </c>
      <c r="M1920">
        <f t="shared" si="71"/>
        <v>0</v>
      </c>
    </row>
    <row r="1921" spans="12:13" x14ac:dyDescent="0.25">
      <c r="L1921">
        <f t="shared" si="70"/>
        <v>0</v>
      </c>
      <c r="M1921">
        <f t="shared" si="71"/>
        <v>0</v>
      </c>
    </row>
    <row r="1922" spans="12:13" x14ac:dyDescent="0.25">
      <c r="L1922">
        <f t="shared" si="70"/>
        <v>0</v>
      </c>
      <c r="M1922">
        <f t="shared" si="71"/>
        <v>0</v>
      </c>
    </row>
    <row r="1923" spans="12:13" x14ac:dyDescent="0.25">
      <c r="L1923">
        <f t="shared" si="70"/>
        <v>0</v>
      </c>
      <c r="M1923">
        <f t="shared" si="71"/>
        <v>0</v>
      </c>
    </row>
    <row r="1924" spans="12:13" x14ac:dyDescent="0.25">
      <c r="L1924">
        <f t="shared" si="70"/>
        <v>0</v>
      </c>
      <c r="M1924">
        <f t="shared" si="71"/>
        <v>0</v>
      </c>
    </row>
    <row r="1925" spans="12:13" x14ac:dyDescent="0.25">
      <c r="L1925">
        <f t="shared" si="70"/>
        <v>0</v>
      </c>
      <c r="M1925">
        <f t="shared" si="71"/>
        <v>0</v>
      </c>
    </row>
    <row r="1926" spans="12:13" x14ac:dyDescent="0.25">
      <c r="L1926">
        <f t="shared" si="70"/>
        <v>0</v>
      </c>
      <c r="M1926">
        <f t="shared" si="71"/>
        <v>0</v>
      </c>
    </row>
    <row r="1927" spans="12:13" x14ac:dyDescent="0.25">
      <c r="L1927">
        <f t="shared" si="70"/>
        <v>0</v>
      </c>
      <c r="M1927">
        <f t="shared" si="71"/>
        <v>0</v>
      </c>
    </row>
    <row r="1928" spans="12:13" x14ac:dyDescent="0.25">
      <c r="L1928">
        <f t="shared" si="70"/>
        <v>0</v>
      </c>
      <c r="M1928">
        <f t="shared" si="71"/>
        <v>0</v>
      </c>
    </row>
    <row r="1929" spans="12:13" x14ac:dyDescent="0.25">
      <c r="L1929">
        <f t="shared" si="70"/>
        <v>0</v>
      </c>
      <c r="M1929">
        <f t="shared" si="71"/>
        <v>0</v>
      </c>
    </row>
    <row r="1930" spans="12:13" x14ac:dyDescent="0.25">
      <c r="L1930">
        <f t="shared" si="70"/>
        <v>0</v>
      </c>
      <c r="M1930">
        <f t="shared" si="71"/>
        <v>0</v>
      </c>
    </row>
    <row r="1931" spans="12:13" x14ac:dyDescent="0.25">
      <c r="L1931">
        <f t="shared" si="70"/>
        <v>0</v>
      </c>
      <c r="M1931">
        <f t="shared" si="71"/>
        <v>0</v>
      </c>
    </row>
    <row r="1932" spans="12:13" x14ac:dyDescent="0.25">
      <c r="L1932">
        <f t="shared" si="70"/>
        <v>0</v>
      </c>
      <c r="M1932">
        <f t="shared" si="71"/>
        <v>0</v>
      </c>
    </row>
    <row r="1933" spans="12:13" x14ac:dyDescent="0.25">
      <c r="L1933">
        <f t="shared" si="70"/>
        <v>0</v>
      </c>
      <c r="M1933">
        <f t="shared" si="71"/>
        <v>0</v>
      </c>
    </row>
    <row r="1934" spans="12:13" x14ac:dyDescent="0.25">
      <c r="L1934">
        <f t="shared" si="70"/>
        <v>0</v>
      </c>
      <c r="M1934">
        <f t="shared" si="71"/>
        <v>0</v>
      </c>
    </row>
    <row r="1935" spans="12:13" x14ac:dyDescent="0.25">
      <c r="L1935">
        <f t="shared" si="70"/>
        <v>0</v>
      </c>
      <c r="M1935">
        <f t="shared" si="71"/>
        <v>0</v>
      </c>
    </row>
    <row r="1936" spans="12:13" x14ac:dyDescent="0.25">
      <c r="L1936">
        <f t="shared" si="70"/>
        <v>0</v>
      </c>
      <c r="M1936">
        <f t="shared" si="71"/>
        <v>0</v>
      </c>
    </row>
    <row r="1937" spans="12:13" x14ac:dyDescent="0.25">
      <c r="L1937">
        <f t="shared" si="70"/>
        <v>0</v>
      </c>
      <c r="M1937">
        <f t="shared" si="71"/>
        <v>0</v>
      </c>
    </row>
    <row r="1938" spans="12:13" x14ac:dyDescent="0.25">
      <c r="L1938">
        <f t="shared" si="70"/>
        <v>0</v>
      </c>
      <c r="M1938">
        <f t="shared" si="71"/>
        <v>0</v>
      </c>
    </row>
    <row r="1939" spans="12:13" x14ac:dyDescent="0.25">
      <c r="L1939">
        <f t="shared" si="70"/>
        <v>0</v>
      </c>
      <c r="M1939">
        <f t="shared" si="71"/>
        <v>0</v>
      </c>
    </row>
    <row r="1940" spans="12:13" x14ac:dyDescent="0.25">
      <c r="L1940">
        <f t="shared" si="70"/>
        <v>0</v>
      </c>
      <c r="M1940">
        <f t="shared" si="71"/>
        <v>0</v>
      </c>
    </row>
    <row r="1941" spans="12:13" x14ac:dyDescent="0.25">
      <c r="L1941">
        <f t="shared" si="70"/>
        <v>0</v>
      </c>
      <c r="M1941">
        <f t="shared" si="71"/>
        <v>0</v>
      </c>
    </row>
    <row r="1942" spans="12:13" x14ac:dyDescent="0.25">
      <c r="L1942">
        <f t="shared" si="70"/>
        <v>0</v>
      </c>
      <c r="M1942">
        <f t="shared" si="71"/>
        <v>0</v>
      </c>
    </row>
    <row r="1943" spans="12:13" x14ac:dyDescent="0.25">
      <c r="L1943">
        <f t="shared" si="70"/>
        <v>0</v>
      </c>
      <c r="M1943">
        <f t="shared" si="71"/>
        <v>0</v>
      </c>
    </row>
    <row r="1944" spans="12:13" x14ac:dyDescent="0.25">
      <c r="L1944">
        <f t="shared" si="70"/>
        <v>0</v>
      </c>
      <c r="M1944">
        <f t="shared" si="71"/>
        <v>0</v>
      </c>
    </row>
    <row r="1945" spans="12:13" x14ac:dyDescent="0.25">
      <c r="L1945">
        <f t="shared" si="70"/>
        <v>0</v>
      </c>
      <c r="M1945">
        <f t="shared" si="71"/>
        <v>0</v>
      </c>
    </row>
    <row r="1946" spans="12:13" x14ac:dyDescent="0.25">
      <c r="L1946">
        <f t="shared" si="70"/>
        <v>0</v>
      </c>
      <c r="M1946">
        <f t="shared" si="71"/>
        <v>0</v>
      </c>
    </row>
    <row r="1947" spans="12:13" x14ac:dyDescent="0.25">
      <c r="L1947">
        <f t="shared" si="70"/>
        <v>0</v>
      </c>
      <c r="M1947">
        <f t="shared" si="71"/>
        <v>0</v>
      </c>
    </row>
    <row r="1948" spans="12:13" x14ac:dyDescent="0.25">
      <c r="L1948">
        <f t="shared" si="70"/>
        <v>0</v>
      </c>
      <c r="M1948">
        <f t="shared" si="71"/>
        <v>0</v>
      </c>
    </row>
    <row r="1949" spans="12:13" x14ac:dyDescent="0.25">
      <c r="L1949">
        <f t="shared" si="70"/>
        <v>0</v>
      </c>
      <c r="M1949">
        <f t="shared" si="71"/>
        <v>0</v>
      </c>
    </row>
    <row r="1950" spans="12:13" x14ac:dyDescent="0.25">
      <c r="L1950">
        <f t="shared" si="70"/>
        <v>0</v>
      </c>
      <c r="M1950">
        <f t="shared" si="71"/>
        <v>0</v>
      </c>
    </row>
    <row r="1951" spans="12:13" x14ac:dyDescent="0.25">
      <c r="L1951">
        <f t="shared" si="70"/>
        <v>0</v>
      </c>
      <c r="M1951">
        <f t="shared" si="71"/>
        <v>0</v>
      </c>
    </row>
    <row r="1952" spans="12:13" x14ac:dyDescent="0.25">
      <c r="L1952">
        <f t="shared" si="70"/>
        <v>0</v>
      </c>
      <c r="M1952">
        <f t="shared" si="71"/>
        <v>0</v>
      </c>
    </row>
    <row r="1953" spans="12:13" x14ac:dyDescent="0.25">
      <c r="L1953">
        <f t="shared" si="70"/>
        <v>0</v>
      </c>
      <c r="M1953">
        <f t="shared" si="71"/>
        <v>0</v>
      </c>
    </row>
    <row r="1954" spans="12:13" x14ac:dyDescent="0.25">
      <c r="L1954">
        <f t="shared" si="70"/>
        <v>0</v>
      </c>
      <c r="M1954">
        <f t="shared" si="71"/>
        <v>0</v>
      </c>
    </row>
    <row r="1955" spans="12:13" x14ac:dyDescent="0.25">
      <c r="L1955">
        <f t="shared" si="70"/>
        <v>0</v>
      </c>
      <c r="M1955">
        <f t="shared" si="71"/>
        <v>0</v>
      </c>
    </row>
    <row r="1956" spans="12:13" x14ac:dyDescent="0.25">
      <c r="L1956">
        <f t="shared" si="70"/>
        <v>0</v>
      </c>
      <c r="M1956">
        <f t="shared" si="71"/>
        <v>0</v>
      </c>
    </row>
    <row r="1957" spans="12:13" x14ac:dyDescent="0.25">
      <c r="L1957">
        <f t="shared" si="70"/>
        <v>0</v>
      </c>
      <c r="M1957">
        <f t="shared" si="71"/>
        <v>0</v>
      </c>
    </row>
    <row r="1958" spans="12:13" x14ac:dyDescent="0.25">
      <c r="L1958">
        <f t="shared" si="70"/>
        <v>0</v>
      </c>
      <c r="M1958">
        <f t="shared" si="71"/>
        <v>0</v>
      </c>
    </row>
    <row r="1959" spans="12:13" x14ac:dyDescent="0.25">
      <c r="L1959">
        <f t="shared" si="70"/>
        <v>0</v>
      </c>
      <c r="M1959">
        <f t="shared" si="71"/>
        <v>0</v>
      </c>
    </row>
    <row r="1960" spans="12:13" x14ac:dyDescent="0.25">
      <c r="L1960">
        <f t="shared" si="70"/>
        <v>0</v>
      </c>
      <c r="M1960">
        <f t="shared" si="71"/>
        <v>0</v>
      </c>
    </row>
    <row r="1961" spans="12:13" x14ac:dyDescent="0.25">
      <c r="L1961">
        <f t="shared" si="70"/>
        <v>0</v>
      </c>
      <c r="M1961">
        <f t="shared" si="71"/>
        <v>0</v>
      </c>
    </row>
    <row r="1962" spans="12:13" x14ac:dyDescent="0.25">
      <c r="L1962">
        <f t="shared" si="70"/>
        <v>0</v>
      </c>
      <c r="M1962">
        <f t="shared" si="71"/>
        <v>0</v>
      </c>
    </row>
    <row r="1963" spans="12:13" x14ac:dyDescent="0.25">
      <c r="L1963">
        <f t="shared" si="70"/>
        <v>0</v>
      </c>
      <c r="M1963">
        <f t="shared" si="71"/>
        <v>0</v>
      </c>
    </row>
    <row r="1964" spans="12:13" x14ac:dyDescent="0.25">
      <c r="L1964">
        <f t="shared" si="70"/>
        <v>0</v>
      </c>
      <c r="M1964">
        <f t="shared" si="71"/>
        <v>0</v>
      </c>
    </row>
    <row r="1965" spans="12:13" x14ac:dyDescent="0.25">
      <c r="L1965">
        <f t="shared" si="70"/>
        <v>0</v>
      </c>
      <c r="M1965">
        <f t="shared" si="71"/>
        <v>0</v>
      </c>
    </row>
    <row r="1966" spans="12:13" x14ac:dyDescent="0.25">
      <c r="L1966">
        <f t="shared" ref="L1966:L2029" si="72">+I1966+H1966</f>
        <v>0</v>
      </c>
      <c r="M1966">
        <f t="shared" si="71"/>
        <v>0</v>
      </c>
    </row>
    <row r="1967" spans="12:13" x14ac:dyDescent="0.25">
      <c r="L1967">
        <f t="shared" si="72"/>
        <v>0</v>
      </c>
      <c r="M1967">
        <f t="shared" si="71"/>
        <v>0</v>
      </c>
    </row>
    <row r="1968" spans="12:13" x14ac:dyDescent="0.25">
      <c r="L1968">
        <f t="shared" si="72"/>
        <v>0</v>
      </c>
      <c r="M1968">
        <f t="shared" si="71"/>
        <v>0</v>
      </c>
    </row>
    <row r="1969" spans="12:13" x14ac:dyDescent="0.25">
      <c r="L1969">
        <f t="shared" si="72"/>
        <v>0</v>
      </c>
      <c r="M1969">
        <f t="shared" si="71"/>
        <v>0</v>
      </c>
    </row>
    <row r="1970" spans="12:13" x14ac:dyDescent="0.25">
      <c r="L1970">
        <f t="shared" si="72"/>
        <v>0</v>
      </c>
      <c r="M1970">
        <f t="shared" si="71"/>
        <v>0</v>
      </c>
    </row>
    <row r="1971" spans="12:13" x14ac:dyDescent="0.25">
      <c r="L1971">
        <f t="shared" si="72"/>
        <v>0</v>
      </c>
      <c r="M1971">
        <f t="shared" si="71"/>
        <v>0</v>
      </c>
    </row>
    <row r="1972" spans="12:13" x14ac:dyDescent="0.25">
      <c r="L1972">
        <f t="shared" si="72"/>
        <v>0</v>
      </c>
      <c r="M1972">
        <f t="shared" si="71"/>
        <v>0</v>
      </c>
    </row>
    <row r="1973" spans="12:13" x14ac:dyDescent="0.25">
      <c r="L1973">
        <f t="shared" si="72"/>
        <v>0</v>
      </c>
      <c r="M1973">
        <f t="shared" si="71"/>
        <v>0</v>
      </c>
    </row>
    <row r="1974" spans="12:13" x14ac:dyDescent="0.25">
      <c r="L1974">
        <f t="shared" si="72"/>
        <v>0</v>
      </c>
      <c r="M1974">
        <f t="shared" si="71"/>
        <v>0</v>
      </c>
    </row>
    <row r="1975" spans="12:13" x14ac:dyDescent="0.25">
      <c r="L1975">
        <f t="shared" si="72"/>
        <v>0</v>
      </c>
      <c r="M1975">
        <f t="shared" si="71"/>
        <v>0</v>
      </c>
    </row>
    <row r="1976" spans="12:13" x14ac:dyDescent="0.25">
      <c r="L1976">
        <f t="shared" si="72"/>
        <v>0</v>
      </c>
      <c r="M1976">
        <f t="shared" si="71"/>
        <v>0</v>
      </c>
    </row>
    <row r="1977" spans="12:13" x14ac:dyDescent="0.25">
      <c r="L1977">
        <f t="shared" si="72"/>
        <v>0</v>
      </c>
      <c r="M1977">
        <f t="shared" si="71"/>
        <v>0</v>
      </c>
    </row>
    <row r="1978" spans="12:13" x14ac:dyDescent="0.25">
      <c r="L1978">
        <f t="shared" si="72"/>
        <v>0</v>
      </c>
      <c r="M1978">
        <f t="shared" si="71"/>
        <v>0</v>
      </c>
    </row>
    <row r="1979" spans="12:13" x14ac:dyDescent="0.25">
      <c r="L1979">
        <f t="shared" si="72"/>
        <v>0</v>
      </c>
      <c r="M1979">
        <f t="shared" si="71"/>
        <v>0</v>
      </c>
    </row>
    <row r="1980" spans="12:13" x14ac:dyDescent="0.25">
      <c r="L1980">
        <f t="shared" si="72"/>
        <v>0</v>
      </c>
      <c r="M1980">
        <f t="shared" si="71"/>
        <v>0</v>
      </c>
    </row>
    <row r="1981" spans="12:13" x14ac:dyDescent="0.25">
      <c r="L1981">
        <f t="shared" si="72"/>
        <v>0</v>
      </c>
      <c r="M1981">
        <f t="shared" si="71"/>
        <v>0</v>
      </c>
    </row>
    <row r="1982" spans="12:13" x14ac:dyDescent="0.25">
      <c r="L1982">
        <f t="shared" si="72"/>
        <v>0</v>
      </c>
      <c r="M1982">
        <f t="shared" si="71"/>
        <v>0</v>
      </c>
    </row>
    <row r="1983" spans="12:13" x14ac:dyDescent="0.25">
      <c r="L1983">
        <f t="shared" si="72"/>
        <v>0</v>
      </c>
      <c r="M1983">
        <f t="shared" ref="M1983:M2046" si="73">+I1983/IF(H1983 = 0,1,H1983)</f>
        <v>0</v>
      </c>
    </row>
    <row r="1984" spans="12:13" x14ac:dyDescent="0.25">
      <c r="L1984">
        <f t="shared" si="72"/>
        <v>0</v>
      </c>
      <c r="M1984">
        <f t="shared" si="73"/>
        <v>0</v>
      </c>
    </row>
    <row r="1985" spans="12:13" x14ac:dyDescent="0.25">
      <c r="L1985">
        <f t="shared" si="72"/>
        <v>0</v>
      </c>
      <c r="M1985">
        <f t="shared" si="73"/>
        <v>0</v>
      </c>
    </row>
    <row r="1986" spans="12:13" x14ac:dyDescent="0.25">
      <c r="L1986">
        <f t="shared" si="72"/>
        <v>0</v>
      </c>
      <c r="M1986">
        <f t="shared" si="73"/>
        <v>0</v>
      </c>
    </row>
    <row r="1987" spans="12:13" x14ac:dyDescent="0.25">
      <c r="L1987">
        <f t="shared" si="72"/>
        <v>0</v>
      </c>
      <c r="M1987">
        <f t="shared" si="73"/>
        <v>0</v>
      </c>
    </row>
    <row r="1988" spans="12:13" x14ac:dyDescent="0.25">
      <c r="L1988">
        <f t="shared" si="72"/>
        <v>0</v>
      </c>
      <c r="M1988">
        <f t="shared" si="73"/>
        <v>0</v>
      </c>
    </row>
    <row r="1989" spans="12:13" x14ac:dyDescent="0.25">
      <c r="L1989">
        <f t="shared" si="72"/>
        <v>0</v>
      </c>
      <c r="M1989">
        <f t="shared" si="73"/>
        <v>0</v>
      </c>
    </row>
    <row r="1990" spans="12:13" x14ac:dyDescent="0.25">
      <c r="L1990">
        <f t="shared" si="72"/>
        <v>0</v>
      </c>
      <c r="M1990">
        <f t="shared" si="73"/>
        <v>0</v>
      </c>
    </row>
    <row r="1991" spans="12:13" x14ac:dyDescent="0.25">
      <c r="L1991">
        <f t="shared" si="72"/>
        <v>0</v>
      </c>
      <c r="M1991">
        <f t="shared" si="73"/>
        <v>0</v>
      </c>
    </row>
    <row r="1992" spans="12:13" x14ac:dyDescent="0.25">
      <c r="L1992">
        <f t="shared" si="72"/>
        <v>0</v>
      </c>
      <c r="M1992">
        <f t="shared" si="73"/>
        <v>0</v>
      </c>
    </row>
    <row r="1993" spans="12:13" x14ac:dyDescent="0.25">
      <c r="L1993">
        <f t="shared" si="72"/>
        <v>0</v>
      </c>
      <c r="M1993">
        <f t="shared" si="73"/>
        <v>0</v>
      </c>
    </row>
    <row r="1994" spans="12:13" x14ac:dyDescent="0.25">
      <c r="L1994">
        <f t="shared" si="72"/>
        <v>0</v>
      </c>
      <c r="M1994">
        <f t="shared" si="73"/>
        <v>0</v>
      </c>
    </row>
    <row r="1995" spans="12:13" x14ac:dyDescent="0.25">
      <c r="L1995">
        <f t="shared" si="72"/>
        <v>0</v>
      </c>
      <c r="M1995">
        <f t="shared" si="73"/>
        <v>0</v>
      </c>
    </row>
    <row r="1996" spans="12:13" x14ac:dyDescent="0.25">
      <c r="L1996">
        <f t="shared" si="72"/>
        <v>0</v>
      </c>
      <c r="M1996">
        <f t="shared" si="73"/>
        <v>0</v>
      </c>
    </row>
    <row r="1997" spans="12:13" x14ac:dyDescent="0.25">
      <c r="L1997">
        <f t="shared" si="72"/>
        <v>0</v>
      </c>
      <c r="M1997">
        <f t="shared" si="73"/>
        <v>0</v>
      </c>
    </row>
    <row r="1998" spans="12:13" x14ac:dyDescent="0.25">
      <c r="L1998">
        <f t="shared" si="72"/>
        <v>0</v>
      </c>
      <c r="M1998">
        <f t="shared" si="73"/>
        <v>0</v>
      </c>
    </row>
    <row r="1999" spans="12:13" x14ac:dyDescent="0.25">
      <c r="L1999">
        <f t="shared" si="72"/>
        <v>0</v>
      </c>
      <c r="M1999">
        <f t="shared" si="73"/>
        <v>0</v>
      </c>
    </row>
    <row r="2000" spans="12:13" x14ac:dyDescent="0.25">
      <c r="L2000">
        <f t="shared" si="72"/>
        <v>0</v>
      </c>
      <c r="M2000">
        <f t="shared" si="73"/>
        <v>0</v>
      </c>
    </row>
    <row r="2001" spans="12:13" x14ac:dyDescent="0.25">
      <c r="L2001">
        <f t="shared" si="72"/>
        <v>0</v>
      </c>
      <c r="M2001">
        <f t="shared" si="73"/>
        <v>0</v>
      </c>
    </row>
    <row r="2002" spans="12:13" x14ac:dyDescent="0.25">
      <c r="L2002">
        <f t="shared" si="72"/>
        <v>0</v>
      </c>
      <c r="M2002">
        <f t="shared" si="73"/>
        <v>0</v>
      </c>
    </row>
    <row r="2003" spans="12:13" x14ac:dyDescent="0.25">
      <c r="L2003">
        <f t="shared" si="72"/>
        <v>0</v>
      </c>
      <c r="M2003">
        <f t="shared" si="73"/>
        <v>0</v>
      </c>
    </row>
    <row r="2004" spans="12:13" x14ac:dyDescent="0.25">
      <c r="L2004">
        <f t="shared" si="72"/>
        <v>0</v>
      </c>
      <c r="M2004">
        <f t="shared" si="73"/>
        <v>0</v>
      </c>
    </row>
    <row r="2005" spans="12:13" x14ac:dyDescent="0.25">
      <c r="L2005">
        <f t="shared" si="72"/>
        <v>0</v>
      </c>
      <c r="M2005">
        <f t="shared" si="73"/>
        <v>0</v>
      </c>
    </row>
    <row r="2006" spans="12:13" x14ac:dyDescent="0.25">
      <c r="L2006">
        <f t="shared" si="72"/>
        <v>0</v>
      </c>
      <c r="M2006">
        <f t="shared" si="73"/>
        <v>0</v>
      </c>
    </row>
    <row r="2007" spans="12:13" x14ac:dyDescent="0.25">
      <c r="L2007">
        <f t="shared" si="72"/>
        <v>0</v>
      </c>
      <c r="M2007">
        <f t="shared" si="73"/>
        <v>0</v>
      </c>
    </row>
    <row r="2008" spans="12:13" x14ac:dyDescent="0.25">
      <c r="L2008">
        <f t="shared" si="72"/>
        <v>0</v>
      </c>
      <c r="M2008">
        <f t="shared" si="73"/>
        <v>0</v>
      </c>
    </row>
    <row r="2009" spans="12:13" x14ac:dyDescent="0.25">
      <c r="L2009">
        <f t="shared" si="72"/>
        <v>0</v>
      </c>
      <c r="M2009">
        <f t="shared" si="73"/>
        <v>0</v>
      </c>
    </row>
    <row r="2010" spans="12:13" x14ac:dyDescent="0.25">
      <c r="L2010">
        <f t="shared" si="72"/>
        <v>0</v>
      </c>
      <c r="M2010">
        <f t="shared" si="73"/>
        <v>0</v>
      </c>
    </row>
    <row r="2011" spans="12:13" x14ac:dyDescent="0.25">
      <c r="L2011">
        <f t="shared" si="72"/>
        <v>0</v>
      </c>
      <c r="M2011">
        <f t="shared" si="73"/>
        <v>0</v>
      </c>
    </row>
    <row r="2012" spans="12:13" x14ac:dyDescent="0.25">
      <c r="L2012">
        <f t="shared" si="72"/>
        <v>0</v>
      </c>
      <c r="M2012">
        <f t="shared" si="73"/>
        <v>0</v>
      </c>
    </row>
    <row r="2013" spans="12:13" x14ac:dyDescent="0.25">
      <c r="L2013">
        <f t="shared" si="72"/>
        <v>0</v>
      </c>
      <c r="M2013">
        <f t="shared" si="73"/>
        <v>0</v>
      </c>
    </row>
    <row r="2014" spans="12:13" x14ac:dyDescent="0.25">
      <c r="L2014">
        <f t="shared" si="72"/>
        <v>0</v>
      </c>
      <c r="M2014">
        <f t="shared" si="73"/>
        <v>0</v>
      </c>
    </row>
    <row r="2015" spans="12:13" x14ac:dyDescent="0.25">
      <c r="L2015">
        <f t="shared" si="72"/>
        <v>0</v>
      </c>
      <c r="M2015">
        <f t="shared" si="73"/>
        <v>0</v>
      </c>
    </row>
    <row r="2016" spans="12:13" x14ac:dyDescent="0.25">
      <c r="L2016">
        <f t="shared" si="72"/>
        <v>0</v>
      </c>
      <c r="M2016">
        <f t="shared" si="73"/>
        <v>0</v>
      </c>
    </row>
    <row r="2017" spans="12:13" x14ac:dyDescent="0.25">
      <c r="L2017">
        <f t="shared" si="72"/>
        <v>0</v>
      </c>
      <c r="M2017">
        <f t="shared" si="73"/>
        <v>0</v>
      </c>
    </row>
    <row r="2018" spans="12:13" x14ac:dyDescent="0.25">
      <c r="L2018">
        <f t="shared" si="72"/>
        <v>0</v>
      </c>
      <c r="M2018">
        <f t="shared" si="73"/>
        <v>0</v>
      </c>
    </row>
    <row r="2019" spans="12:13" x14ac:dyDescent="0.25">
      <c r="L2019">
        <f t="shared" si="72"/>
        <v>0</v>
      </c>
      <c r="M2019">
        <f t="shared" si="73"/>
        <v>0</v>
      </c>
    </row>
    <row r="2020" spans="12:13" x14ac:dyDescent="0.25">
      <c r="L2020">
        <f t="shared" si="72"/>
        <v>0</v>
      </c>
      <c r="M2020">
        <f t="shared" si="73"/>
        <v>0</v>
      </c>
    </row>
    <row r="2021" spans="12:13" x14ac:dyDescent="0.25">
      <c r="L2021">
        <f t="shared" si="72"/>
        <v>0</v>
      </c>
      <c r="M2021">
        <f t="shared" si="73"/>
        <v>0</v>
      </c>
    </row>
    <row r="2022" spans="12:13" x14ac:dyDescent="0.25">
      <c r="L2022">
        <f t="shared" si="72"/>
        <v>0</v>
      </c>
      <c r="M2022">
        <f t="shared" si="73"/>
        <v>0</v>
      </c>
    </row>
    <row r="2023" spans="12:13" x14ac:dyDescent="0.25">
      <c r="L2023">
        <f t="shared" si="72"/>
        <v>0</v>
      </c>
      <c r="M2023">
        <f t="shared" si="73"/>
        <v>0</v>
      </c>
    </row>
    <row r="2024" spans="12:13" x14ac:dyDescent="0.25">
      <c r="L2024">
        <f t="shared" si="72"/>
        <v>0</v>
      </c>
      <c r="M2024">
        <f t="shared" si="73"/>
        <v>0</v>
      </c>
    </row>
    <row r="2025" spans="12:13" x14ac:dyDescent="0.25">
      <c r="L2025">
        <f t="shared" si="72"/>
        <v>0</v>
      </c>
      <c r="M2025">
        <f t="shared" si="73"/>
        <v>0</v>
      </c>
    </row>
    <row r="2026" spans="12:13" x14ac:dyDescent="0.25">
      <c r="L2026">
        <f t="shared" si="72"/>
        <v>0</v>
      </c>
      <c r="M2026">
        <f t="shared" si="73"/>
        <v>0</v>
      </c>
    </row>
    <row r="2027" spans="12:13" x14ac:dyDescent="0.25">
      <c r="L2027">
        <f t="shared" si="72"/>
        <v>0</v>
      </c>
      <c r="M2027">
        <f t="shared" si="73"/>
        <v>0</v>
      </c>
    </row>
    <row r="2028" spans="12:13" x14ac:dyDescent="0.25">
      <c r="L2028">
        <f t="shared" si="72"/>
        <v>0</v>
      </c>
      <c r="M2028">
        <f t="shared" si="73"/>
        <v>0</v>
      </c>
    </row>
    <row r="2029" spans="12:13" x14ac:dyDescent="0.25">
      <c r="L2029">
        <f t="shared" si="72"/>
        <v>0</v>
      </c>
      <c r="M2029">
        <f t="shared" si="73"/>
        <v>0</v>
      </c>
    </row>
    <row r="2030" spans="12:13" x14ac:dyDescent="0.25">
      <c r="L2030">
        <f t="shared" ref="L2030:L2093" si="74">+I2030+H2030</f>
        <v>0</v>
      </c>
      <c r="M2030">
        <f t="shared" si="73"/>
        <v>0</v>
      </c>
    </row>
    <row r="2031" spans="12:13" x14ac:dyDescent="0.25">
      <c r="L2031">
        <f t="shared" si="74"/>
        <v>0</v>
      </c>
      <c r="M2031">
        <f t="shared" si="73"/>
        <v>0</v>
      </c>
    </row>
    <row r="2032" spans="12:13" x14ac:dyDescent="0.25">
      <c r="L2032">
        <f t="shared" si="74"/>
        <v>0</v>
      </c>
      <c r="M2032">
        <f t="shared" si="73"/>
        <v>0</v>
      </c>
    </row>
    <row r="2033" spans="12:13" x14ac:dyDescent="0.25">
      <c r="L2033">
        <f t="shared" si="74"/>
        <v>0</v>
      </c>
      <c r="M2033">
        <f t="shared" si="73"/>
        <v>0</v>
      </c>
    </row>
    <row r="2034" spans="12:13" x14ac:dyDescent="0.25">
      <c r="L2034">
        <f t="shared" si="74"/>
        <v>0</v>
      </c>
      <c r="M2034">
        <f t="shared" si="73"/>
        <v>0</v>
      </c>
    </row>
    <row r="2035" spans="12:13" x14ac:dyDescent="0.25">
      <c r="L2035">
        <f t="shared" si="74"/>
        <v>0</v>
      </c>
      <c r="M2035">
        <f t="shared" si="73"/>
        <v>0</v>
      </c>
    </row>
    <row r="2036" spans="12:13" x14ac:dyDescent="0.25">
      <c r="L2036">
        <f t="shared" si="74"/>
        <v>0</v>
      </c>
      <c r="M2036">
        <f t="shared" si="73"/>
        <v>0</v>
      </c>
    </row>
    <row r="2037" spans="12:13" x14ac:dyDescent="0.25">
      <c r="L2037">
        <f t="shared" si="74"/>
        <v>0</v>
      </c>
      <c r="M2037">
        <f t="shared" si="73"/>
        <v>0</v>
      </c>
    </row>
    <row r="2038" spans="12:13" x14ac:dyDescent="0.25">
      <c r="L2038">
        <f t="shared" si="74"/>
        <v>0</v>
      </c>
      <c r="M2038">
        <f t="shared" si="73"/>
        <v>0</v>
      </c>
    </row>
    <row r="2039" spans="12:13" x14ac:dyDescent="0.25">
      <c r="L2039">
        <f t="shared" si="74"/>
        <v>0</v>
      </c>
      <c r="M2039">
        <f t="shared" si="73"/>
        <v>0</v>
      </c>
    </row>
    <row r="2040" spans="12:13" x14ac:dyDescent="0.25">
      <c r="L2040">
        <f t="shared" si="74"/>
        <v>0</v>
      </c>
      <c r="M2040">
        <f t="shared" si="73"/>
        <v>0</v>
      </c>
    </row>
    <row r="2041" spans="12:13" x14ac:dyDescent="0.25">
      <c r="L2041">
        <f t="shared" si="74"/>
        <v>0</v>
      </c>
      <c r="M2041">
        <f t="shared" si="73"/>
        <v>0</v>
      </c>
    </row>
    <row r="2042" spans="12:13" x14ac:dyDescent="0.25">
      <c r="L2042">
        <f t="shared" si="74"/>
        <v>0</v>
      </c>
      <c r="M2042">
        <f t="shared" si="73"/>
        <v>0</v>
      </c>
    </row>
    <row r="2043" spans="12:13" x14ac:dyDescent="0.25">
      <c r="L2043">
        <f t="shared" si="74"/>
        <v>0</v>
      </c>
      <c r="M2043">
        <f t="shared" si="73"/>
        <v>0</v>
      </c>
    </row>
    <row r="2044" spans="12:13" x14ac:dyDescent="0.25">
      <c r="L2044">
        <f t="shared" si="74"/>
        <v>0</v>
      </c>
      <c r="M2044">
        <f t="shared" si="73"/>
        <v>0</v>
      </c>
    </row>
    <row r="2045" spans="12:13" x14ac:dyDescent="0.25">
      <c r="L2045">
        <f t="shared" si="74"/>
        <v>0</v>
      </c>
      <c r="M2045">
        <f t="shared" si="73"/>
        <v>0</v>
      </c>
    </row>
    <row r="2046" spans="12:13" x14ac:dyDescent="0.25">
      <c r="L2046">
        <f t="shared" si="74"/>
        <v>0</v>
      </c>
      <c r="M2046">
        <f t="shared" si="73"/>
        <v>0</v>
      </c>
    </row>
    <row r="2047" spans="12:13" x14ac:dyDescent="0.25">
      <c r="L2047">
        <f t="shared" si="74"/>
        <v>0</v>
      </c>
      <c r="M2047">
        <f t="shared" ref="M2047:M2110" si="75">+I2047/IF(H2047 = 0,1,H2047)</f>
        <v>0</v>
      </c>
    </row>
    <row r="2048" spans="12:13" x14ac:dyDescent="0.25">
      <c r="L2048">
        <f t="shared" si="74"/>
        <v>0</v>
      </c>
      <c r="M2048">
        <f t="shared" si="75"/>
        <v>0</v>
      </c>
    </row>
    <row r="2049" spans="12:13" x14ac:dyDescent="0.25">
      <c r="L2049">
        <f t="shared" si="74"/>
        <v>0</v>
      </c>
      <c r="M2049">
        <f t="shared" si="75"/>
        <v>0</v>
      </c>
    </row>
    <row r="2050" spans="12:13" x14ac:dyDescent="0.25">
      <c r="L2050">
        <f t="shared" si="74"/>
        <v>0</v>
      </c>
      <c r="M2050">
        <f t="shared" si="75"/>
        <v>0</v>
      </c>
    </row>
    <row r="2051" spans="12:13" x14ac:dyDescent="0.25">
      <c r="L2051">
        <f t="shared" si="74"/>
        <v>0</v>
      </c>
      <c r="M2051">
        <f t="shared" si="75"/>
        <v>0</v>
      </c>
    </row>
    <row r="2052" spans="12:13" x14ac:dyDescent="0.25">
      <c r="L2052">
        <f t="shared" si="74"/>
        <v>0</v>
      </c>
      <c r="M2052">
        <f t="shared" si="75"/>
        <v>0</v>
      </c>
    </row>
    <row r="2053" spans="12:13" x14ac:dyDescent="0.25">
      <c r="L2053">
        <f t="shared" si="74"/>
        <v>0</v>
      </c>
      <c r="M2053">
        <f t="shared" si="75"/>
        <v>0</v>
      </c>
    </row>
    <row r="2054" spans="12:13" x14ac:dyDescent="0.25">
      <c r="L2054">
        <f t="shared" si="74"/>
        <v>0</v>
      </c>
      <c r="M2054">
        <f t="shared" si="75"/>
        <v>0</v>
      </c>
    </row>
    <row r="2055" spans="12:13" x14ac:dyDescent="0.25">
      <c r="L2055">
        <f t="shared" si="74"/>
        <v>0</v>
      </c>
      <c r="M2055">
        <f t="shared" si="75"/>
        <v>0</v>
      </c>
    </row>
    <row r="2056" spans="12:13" x14ac:dyDescent="0.25">
      <c r="L2056">
        <f t="shared" si="74"/>
        <v>0</v>
      </c>
      <c r="M2056">
        <f t="shared" si="75"/>
        <v>0</v>
      </c>
    </row>
    <row r="2057" spans="12:13" x14ac:dyDescent="0.25">
      <c r="L2057">
        <f t="shared" si="74"/>
        <v>0</v>
      </c>
      <c r="M2057">
        <f t="shared" si="75"/>
        <v>0</v>
      </c>
    </row>
    <row r="2058" spans="12:13" x14ac:dyDescent="0.25">
      <c r="L2058">
        <f t="shared" si="74"/>
        <v>0</v>
      </c>
      <c r="M2058">
        <f t="shared" si="75"/>
        <v>0</v>
      </c>
    </row>
    <row r="2059" spans="12:13" x14ac:dyDescent="0.25">
      <c r="L2059">
        <f t="shared" si="74"/>
        <v>0</v>
      </c>
      <c r="M2059">
        <f t="shared" si="75"/>
        <v>0</v>
      </c>
    </row>
    <row r="2060" spans="12:13" x14ac:dyDescent="0.25">
      <c r="L2060">
        <f t="shared" si="74"/>
        <v>0</v>
      </c>
      <c r="M2060">
        <f t="shared" si="75"/>
        <v>0</v>
      </c>
    </row>
    <row r="2061" spans="12:13" x14ac:dyDescent="0.25">
      <c r="L2061">
        <f t="shared" si="74"/>
        <v>0</v>
      </c>
      <c r="M2061">
        <f t="shared" si="75"/>
        <v>0</v>
      </c>
    </row>
    <row r="2062" spans="12:13" x14ac:dyDescent="0.25">
      <c r="L2062">
        <f t="shared" si="74"/>
        <v>0</v>
      </c>
      <c r="M2062">
        <f t="shared" si="75"/>
        <v>0</v>
      </c>
    </row>
    <row r="2063" spans="12:13" x14ac:dyDescent="0.25">
      <c r="L2063">
        <f t="shared" si="74"/>
        <v>0</v>
      </c>
      <c r="M2063">
        <f t="shared" si="75"/>
        <v>0</v>
      </c>
    </row>
    <row r="2064" spans="12:13" x14ac:dyDescent="0.25">
      <c r="L2064">
        <f t="shared" si="74"/>
        <v>0</v>
      </c>
      <c r="M2064">
        <f t="shared" si="75"/>
        <v>0</v>
      </c>
    </row>
    <row r="2065" spans="12:13" x14ac:dyDescent="0.25">
      <c r="L2065">
        <f t="shared" si="74"/>
        <v>0</v>
      </c>
      <c r="M2065">
        <f t="shared" si="75"/>
        <v>0</v>
      </c>
    </row>
    <row r="2066" spans="12:13" x14ac:dyDescent="0.25">
      <c r="L2066">
        <f t="shared" si="74"/>
        <v>0</v>
      </c>
      <c r="M2066">
        <f t="shared" si="75"/>
        <v>0</v>
      </c>
    </row>
    <row r="2067" spans="12:13" x14ac:dyDescent="0.25">
      <c r="L2067">
        <f t="shared" si="74"/>
        <v>0</v>
      </c>
      <c r="M2067">
        <f t="shared" si="75"/>
        <v>0</v>
      </c>
    </row>
    <row r="2068" spans="12:13" x14ac:dyDescent="0.25">
      <c r="L2068">
        <f t="shared" si="74"/>
        <v>0</v>
      </c>
      <c r="M2068">
        <f t="shared" si="75"/>
        <v>0</v>
      </c>
    </row>
    <row r="2069" spans="12:13" x14ac:dyDescent="0.25">
      <c r="L2069">
        <f t="shared" si="74"/>
        <v>0</v>
      </c>
      <c r="M2069">
        <f t="shared" si="75"/>
        <v>0</v>
      </c>
    </row>
    <row r="2070" spans="12:13" x14ac:dyDescent="0.25">
      <c r="L2070">
        <f t="shared" si="74"/>
        <v>0</v>
      </c>
      <c r="M2070">
        <f t="shared" si="75"/>
        <v>0</v>
      </c>
    </row>
    <row r="2071" spans="12:13" x14ac:dyDescent="0.25">
      <c r="L2071">
        <f t="shared" si="74"/>
        <v>0</v>
      </c>
      <c r="M2071">
        <f t="shared" si="75"/>
        <v>0</v>
      </c>
    </row>
    <row r="2072" spans="12:13" x14ac:dyDescent="0.25">
      <c r="L2072">
        <f t="shared" si="74"/>
        <v>0</v>
      </c>
      <c r="M2072">
        <f t="shared" si="75"/>
        <v>0</v>
      </c>
    </row>
    <row r="2073" spans="12:13" x14ac:dyDescent="0.25">
      <c r="L2073">
        <f t="shared" si="74"/>
        <v>0</v>
      </c>
      <c r="M2073">
        <f t="shared" si="75"/>
        <v>0</v>
      </c>
    </row>
    <row r="2074" spans="12:13" x14ac:dyDescent="0.25">
      <c r="L2074">
        <f t="shared" si="74"/>
        <v>0</v>
      </c>
      <c r="M2074">
        <f t="shared" si="75"/>
        <v>0</v>
      </c>
    </row>
    <row r="2075" spans="12:13" x14ac:dyDescent="0.25">
      <c r="L2075">
        <f t="shared" si="74"/>
        <v>0</v>
      </c>
      <c r="M2075">
        <f t="shared" si="75"/>
        <v>0</v>
      </c>
    </row>
    <row r="2076" spans="12:13" x14ac:dyDescent="0.25">
      <c r="L2076">
        <f t="shared" si="74"/>
        <v>0</v>
      </c>
      <c r="M2076">
        <f t="shared" si="75"/>
        <v>0</v>
      </c>
    </row>
    <row r="2077" spans="12:13" x14ac:dyDescent="0.25">
      <c r="L2077">
        <f t="shared" si="74"/>
        <v>0</v>
      </c>
      <c r="M2077">
        <f t="shared" si="75"/>
        <v>0</v>
      </c>
    </row>
    <row r="2078" spans="12:13" x14ac:dyDescent="0.25">
      <c r="L2078">
        <f t="shared" si="74"/>
        <v>0</v>
      </c>
      <c r="M2078">
        <f t="shared" si="75"/>
        <v>0</v>
      </c>
    </row>
    <row r="2079" spans="12:13" x14ac:dyDescent="0.25">
      <c r="L2079">
        <f t="shared" si="74"/>
        <v>0</v>
      </c>
      <c r="M2079">
        <f t="shared" si="75"/>
        <v>0</v>
      </c>
    </row>
    <row r="2080" spans="12:13" x14ac:dyDescent="0.25">
      <c r="L2080">
        <f t="shared" si="74"/>
        <v>0</v>
      </c>
      <c r="M2080">
        <f t="shared" si="75"/>
        <v>0</v>
      </c>
    </row>
    <row r="2081" spans="12:13" x14ac:dyDescent="0.25">
      <c r="L2081">
        <f t="shared" si="74"/>
        <v>0</v>
      </c>
      <c r="M2081">
        <f t="shared" si="75"/>
        <v>0</v>
      </c>
    </row>
    <row r="2082" spans="12:13" x14ac:dyDescent="0.25">
      <c r="L2082">
        <f t="shared" si="74"/>
        <v>0</v>
      </c>
      <c r="M2082">
        <f t="shared" si="75"/>
        <v>0</v>
      </c>
    </row>
    <row r="2083" spans="12:13" x14ac:dyDescent="0.25">
      <c r="L2083">
        <f t="shared" si="74"/>
        <v>0</v>
      </c>
      <c r="M2083">
        <f t="shared" si="75"/>
        <v>0</v>
      </c>
    </row>
    <row r="2084" spans="12:13" x14ac:dyDescent="0.25">
      <c r="L2084">
        <f t="shared" si="74"/>
        <v>0</v>
      </c>
      <c r="M2084">
        <f t="shared" si="75"/>
        <v>0</v>
      </c>
    </row>
    <row r="2085" spans="12:13" x14ac:dyDescent="0.25">
      <c r="L2085">
        <f t="shared" si="74"/>
        <v>0</v>
      </c>
      <c r="M2085">
        <f t="shared" si="75"/>
        <v>0</v>
      </c>
    </row>
    <row r="2086" spans="12:13" x14ac:dyDescent="0.25">
      <c r="L2086">
        <f t="shared" si="74"/>
        <v>0</v>
      </c>
      <c r="M2086">
        <f t="shared" si="75"/>
        <v>0</v>
      </c>
    </row>
    <row r="2087" spans="12:13" x14ac:dyDescent="0.25">
      <c r="L2087">
        <f t="shared" si="74"/>
        <v>0</v>
      </c>
      <c r="M2087">
        <f t="shared" si="75"/>
        <v>0</v>
      </c>
    </row>
    <row r="2088" spans="12:13" x14ac:dyDescent="0.25">
      <c r="L2088">
        <f t="shared" si="74"/>
        <v>0</v>
      </c>
      <c r="M2088">
        <f t="shared" si="75"/>
        <v>0</v>
      </c>
    </row>
    <row r="2089" spans="12:13" x14ac:dyDescent="0.25">
      <c r="L2089">
        <f t="shared" si="74"/>
        <v>0</v>
      </c>
      <c r="M2089">
        <f t="shared" si="75"/>
        <v>0</v>
      </c>
    </row>
    <row r="2090" spans="12:13" x14ac:dyDescent="0.25">
      <c r="L2090">
        <f t="shared" si="74"/>
        <v>0</v>
      </c>
      <c r="M2090">
        <f t="shared" si="75"/>
        <v>0</v>
      </c>
    </row>
    <row r="2091" spans="12:13" x14ac:dyDescent="0.25">
      <c r="L2091">
        <f t="shared" si="74"/>
        <v>0</v>
      </c>
      <c r="M2091">
        <f t="shared" si="75"/>
        <v>0</v>
      </c>
    </row>
    <row r="2092" spans="12:13" x14ac:dyDescent="0.25">
      <c r="L2092">
        <f t="shared" si="74"/>
        <v>0</v>
      </c>
      <c r="M2092">
        <f t="shared" si="75"/>
        <v>0</v>
      </c>
    </row>
    <row r="2093" spans="12:13" x14ac:dyDescent="0.25">
      <c r="L2093">
        <f t="shared" si="74"/>
        <v>0</v>
      </c>
      <c r="M2093">
        <f t="shared" si="75"/>
        <v>0</v>
      </c>
    </row>
    <row r="2094" spans="12:13" x14ac:dyDescent="0.25">
      <c r="L2094">
        <f t="shared" ref="L2094:L2157" si="76">+I2094+H2094</f>
        <v>0</v>
      </c>
      <c r="M2094">
        <f t="shared" si="75"/>
        <v>0</v>
      </c>
    </row>
    <row r="2095" spans="12:13" x14ac:dyDescent="0.25">
      <c r="L2095">
        <f t="shared" si="76"/>
        <v>0</v>
      </c>
      <c r="M2095">
        <f t="shared" si="75"/>
        <v>0</v>
      </c>
    </row>
    <row r="2096" spans="12:13" x14ac:dyDescent="0.25">
      <c r="L2096">
        <f t="shared" si="76"/>
        <v>0</v>
      </c>
      <c r="M2096">
        <f t="shared" si="75"/>
        <v>0</v>
      </c>
    </row>
    <row r="2097" spans="12:13" x14ac:dyDescent="0.25">
      <c r="L2097">
        <f t="shared" si="76"/>
        <v>0</v>
      </c>
      <c r="M2097">
        <f t="shared" si="75"/>
        <v>0</v>
      </c>
    </row>
    <row r="2098" spans="12:13" x14ac:dyDescent="0.25">
      <c r="L2098">
        <f t="shared" si="76"/>
        <v>0</v>
      </c>
      <c r="M2098">
        <f t="shared" si="75"/>
        <v>0</v>
      </c>
    </row>
    <row r="2099" spans="12:13" x14ac:dyDescent="0.25">
      <c r="L2099">
        <f t="shared" si="76"/>
        <v>0</v>
      </c>
      <c r="M2099">
        <f t="shared" si="75"/>
        <v>0</v>
      </c>
    </row>
    <row r="2100" spans="12:13" x14ac:dyDescent="0.25">
      <c r="L2100">
        <f t="shared" si="76"/>
        <v>0</v>
      </c>
      <c r="M2100">
        <f t="shared" si="75"/>
        <v>0</v>
      </c>
    </row>
    <row r="2101" spans="12:13" x14ac:dyDescent="0.25">
      <c r="L2101">
        <f t="shared" si="76"/>
        <v>0</v>
      </c>
      <c r="M2101">
        <f t="shared" si="75"/>
        <v>0</v>
      </c>
    </row>
    <row r="2102" spans="12:13" x14ac:dyDescent="0.25">
      <c r="L2102">
        <f t="shared" si="76"/>
        <v>0</v>
      </c>
      <c r="M2102">
        <f t="shared" si="75"/>
        <v>0</v>
      </c>
    </row>
    <row r="2103" spans="12:13" x14ac:dyDescent="0.25">
      <c r="L2103">
        <f t="shared" si="76"/>
        <v>0</v>
      </c>
      <c r="M2103">
        <f t="shared" si="75"/>
        <v>0</v>
      </c>
    </row>
    <row r="2104" spans="12:13" x14ac:dyDescent="0.25">
      <c r="L2104">
        <f t="shared" si="76"/>
        <v>0</v>
      </c>
      <c r="M2104">
        <f t="shared" si="75"/>
        <v>0</v>
      </c>
    </row>
    <row r="2105" spans="12:13" x14ac:dyDescent="0.25">
      <c r="L2105">
        <f t="shared" si="76"/>
        <v>0</v>
      </c>
      <c r="M2105">
        <f t="shared" si="75"/>
        <v>0</v>
      </c>
    </row>
    <row r="2106" spans="12:13" x14ac:dyDescent="0.25">
      <c r="L2106">
        <f t="shared" si="76"/>
        <v>0</v>
      </c>
      <c r="M2106">
        <f t="shared" si="75"/>
        <v>0</v>
      </c>
    </row>
    <row r="2107" spans="12:13" x14ac:dyDescent="0.25">
      <c r="L2107">
        <f t="shared" si="76"/>
        <v>0</v>
      </c>
      <c r="M2107">
        <f t="shared" si="75"/>
        <v>0</v>
      </c>
    </row>
    <row r="2108" spans="12:13" x14ac:dyDescent="0.25">
      <c r="L2108">
        <f t="shared" si="76"/>
        <v>0</v>
      </c>
      <c r="M2108">
        <f t="shared" si="75"/>
        <v>0</v>
      </c>
    </row>
    <row r="2109" spans="12:13" x14ac:dyDescent="0.25">
      <c r="L2109">
        <f t="shared" si="76"/>
        <v>0</v>
      </c>
      <c r="M2109">
        <f t="shared" si="75"/>
        <v>0</v>
      </c>
    </row>
    <row r="2110" spans="12:13" x14ac:dyDescent="0.25">
      <c r="L2110">
        <f t="shared" si="76"/>
        <v>0</v>
      </c>
      <c r="M2110">
        <f t="shared" si="75"/>
        <v>0</v>
      </c>
    </row>
    <row r="2111" spans="12:13" x14ac:dyDescent="0.25">
      <c r="L2111">
        <f t="shared" si="76"/>
        <v>0</v>
      </c>
      <c r="M2111">
        <f t="shared" ref="M2111:M2174" si="77">+I2111/IF(H2111 = 0,1,H2111)</f>
        <v>0</v>
      </c>
    </row>
    <row r="2112" spans="12:13" x14ac:dyDescent="0.25">
      <c r="L2112">
        <f t="shared" si="76"/>
        <v>0</v>
      </c>
      <c r="M2112">
        <f t="shared" si="77"/>
        <v>0</v>
      </c>
    </row>
    <row r="2113" spans="12:13" x14ac:dyDescent="0.25">
      <c r="L2113">
        <f t="shared" si="76"/>
        <v>0</v>
      </c>
      <c r="M2113">
        <f t="shared" si="77"/>
        <v>0</v>
      </c>
    </row>
    <row r="2114" spans="12:13" x14ac:dyDescent="0.25">
      <c r="L2114">
        <f t="shared" si="76"/>
        <v>0</v>
      </c>
      <c r="M2114">
        <f t="shared" si="77"/>
        <v>0</v>
      </c>
    </row>
    <row r="2115" spans="12:13" x14ac:dyDescent="0.25">
      <c r="L2115">
        <f t="shared" si="76"/>
        <v>0</v>
      </c>
      <c r="M2115">
        <f t="shared" si="77"/>
        <v>0</v>
      </c>
    </row>
    <row r="2116" spans="12:13" x14ac:dyDescent="0.25">
      <c r="L2116">
        <f t="shared" si="76"/>
        <v>0</v>
      </c>
      <c r="M2116">
        <f t="shared" si="77"/>
        <v>0</v>
      </c>
    </row>
    <row r="2117" spans="12:13" x14ac:dyDescent="0.25">
      <c r="L2117">
        <f t="shared" si="76"/>
        <v>0</v>
      </c>
      <c r="M2117">
        <f t="shared" si="77"/>
        <v>0</v>
      </c>
    </row>
    <row r="2118" spans="12:13" x14ac:dyDescent="0.25">
      <c r="L2118">
        <f t="shared" si="76"/>
        <v>0</v>
      </c>
      <c r="M2118">
        <f t="shared" si="77"/>
        <v>0</v>
      </c>
    </row>
    <row r="2119" spans="12:13" x14ac:dyDescent="0.25">
      <c r="L2119">
        <f t="shared" si="76"/>
        <v>0</v>
      </c>
      <c r="M2119">
        <f t="shared" si="77"/>
        <v>0</v>
      </c>
    </row>
    <row r="2120" spans="12:13" x14ac:dyDescent="0.25">
      <c r="L2120">
        <f t="shared" si="76"/>
        <v>0</v>
      </c>
      <c r="M2120">
        <f t="shared" si="77"/>
        <v>0</v>
      </c>
    </row>
    <row r="2121" spans="12:13" x14ac:dyDescent="0.25">
      <c r="L2121">
        <f t="shared" si="76"/>
        <v>0</v>
      </c>
      <c r="M2121">
        <f t="shared" si="77"/>
        <v>0</v>
      </c>
    </row>
    <row r="2122" spans="12:13" x14ac:dyDescent="0.25">
      <c r="L2122">
        <f t="shared" si="76"/>
        <v>0</v>
      </c>
      <c r="M2122">
        <f t="shared" si="77"/>
        <v>0</v>
      </c>
    </row>
    <row r="2123" spans="12:13" x14ac:dyDescent="0.25">
      <c r="L2123">
        <f t="shared" si="76"/>
        <v>0</v>
      </c>
      <c r="M2123">
        <f t="shared" si="77"/>
        <v>0</v>
      </c>
    </row>
    <row r="2124" spans="12:13" x14ac:dyDescent="0.25">
      <c r="L2124">
        <f t="shared" si="76"/>
        <v>0</v>
      </c>
      <c r="M2124">
        <f t="shared" si="77"/>
        <v>0</v>
      </c>
    </row>
    <row r="2125" spans="12:13" x14ac:dyDescent="0.25">
      <c r="L2125">
        <f t="shared" si="76"/>
        <v>0</v>
      </c>
      <c r="M2125">
        <f t="shared" si="77"/>
        <v>0</v>
      </c>
    </row>
    <row r="2126" spans="12:13" x14ac:dyDescent="0.25">
      <c r="L2126">
        <f t="shared" si="76"/>
        <v>0</v>
      </c>
      <c r="M2126">
        <f t="shared" si="77"/>
        <v>0</v>
      </c>
    </row>
    <row r="2127" spans="12:13" x14ac:dyDescent="0.25">
      <c r="L2127">
        <f t="shared" si="76"/>
        <v>0</v>
      </c>
      <c r="M2127">
        <f t="shared" si="77"/>
        <v>0</v>
      </c>
    </row>
    <row r="2128" spans="12:13" x14ac:dyDescent="0.25">
      <c r="L2128">
        <f t="shared" si="76"/>
        <v>0</v>
      </c>
      <c r="M2128">
        <f t="shared" si="77"/>
        <v>0</v>
      </c>
    </row>
    <row r="2129" spans="12:13" x14ac:dyDescent="0.25">
      <c r="L2129">
        <f t="shared" si="76"/>
        <v>0</v>
      </c>
      <c r="M2129">
        <f t="shared" si="77"/>
        <v>0</v>
      </c>
    </row>
    <row r="2130" spans="12:13" x14ac:dyDescent="0.25">
      <c r="L2130">
        <f t="shared" si="76"/>
        <v>0</v>
      </c>
      <c r="M2130">
        <f t="shared" si="77"/>
        <v>0</v>
      </c>
    </row>
    <row r="2131" spans="12:13" x14ac:dyDescent="0.25">
      <c r="L2131">
        <f t="shared" si="76"/>
        <v>0</v>
      </c>
      <c r="M2131">
        <f t="shared" si="77"/>
        <v>0</v>
      </c>
    </row>
    <row r="2132" spans="12:13" x14ac:dyDescent="0.25">
      <c r="L2132">
        <f t="shared" si="76"/>
        <v>0</v>
      </c>
      <c r="M2132">
        <f t="shared" si="77"/>
        <v>0</v>
      </c>
    </row>
    <row r="2133" spans="12:13" x14ac:dyDescent="0.25">
      <c r="L2133">
        <f t="shared" si="76"/>
        <v>0</v>
      </c>
      <c r="M2133">
        <f t="shared" si="77"/>
        <v>0</v>
      </c>
    </row>
    <row r="2134" spans="12:13" x14ac:dyDescent="0.25">
      <c r="L2134">
        <f t="shared" si="76"/>
        <v>0</v>
      </c>
      <c r="M2134">
        <f t="shared" si="77"/>
        <v>0</v>
      </c>
    </row>
    <row r="2135" spans="12:13" x14ac:dyDescent="0.25">
      <c r="L2135">
        <f t="shared" si="76"/>
        <v>0</v>
      </c>
      <c r="M2135">
        <f t="shared" si="77"/>
        <v>0</v>
      </c>
    </row>
    <row r="2136" spans="12:13" x14ac:dyDescent="0.25">
      <c r="L2136">
        <f t="shared" si="76"/>
        <v>0</v>
      </c>
      <c r="M2136">
        <f t="shared" si="77"/>
        <v>0</v>
      </c>
    </row>
    <row r="2137" spans="12:13" x14ac:dyDescent="0.25">
      <c r="L2137">
        <f t="shared" si="76"/>
        <v>0</v>
      </c>
      <c r="M2137">
        <f t="shared" si="77"/>
        <v>0</v>
      </c>
    </row>
    <row r="2138" spans="12:13" x14ac:dyDescent="0.25">
      <c r="L2138">
        <f t="shared" si="76"/>
        <v>0</v>
      </c>
      <c r="M2138">
        <f t="shared" si="77"/>
        <v>0</v>
      </c>
    </row>
    <row r="2139" spans="12:13" x14ac:dyDescent="0.25">
      <c r="L2139">
        <f t="shared" si="76"/>
        <v>0</v>
      </c>
      <c r="M2139">
        <f t="shared" si="77"/>
        <v>0</v>
      </c>
    </row>
    <row r="2140" spans="12:13" x14ac:dyDescent="0.25">
      <c r="L2140">
        <f t="shared" si="76"/>
        <v>0</v>
      </c>
      <c r="M2140">
        <f t="shared" si="77"/>
        <v>0</v>
      </c>
    </row>
    <row r="2141" spans="12:13" x14ac:dyDescent="0.25">
      <c r="L2141">
        <f t="shared" si="76"/>
        <v>0</v>
      </c>
      <c r="M2141">
        <f t="shared" si="77"/>
        <v>0</v>
      </c>
    </row>
    <row r="2142" spans="12:13" x14ac:dyDescent="0.25">
      <c r="L2142">
        <f t="shared" si="76"/>
        <v>0</v>
      </c>
      <c r="M2142">
        <f t="shared" si="77"/>
        <v>0</v>
      </c>
    </row>
    <row r="2143" spans="12:13" x14ac:dyDescent="0.25">
      <c r="L2143">
        <f t="shared" si="76"/>
        <v>0</v>
      </c>
      <c r="M2143">
        <f t="shared" si="77"/>
        <v>0</v>
      </c>
    </row>
    <row r="2144" spans="12:13" x14ac:dyDescent="0.25">
      <c r="L2144">
        <f t="shared" si="76"/>
        <v>0</v>
      </c>
      <c r="M2144">
        <f t="shared" si="77"/>
        <v>0</v>
      </c>
    </row>
    <row r="2145" spans="12:13" x14ac:dyDescent="0.25">
      <c r="L2145">
        <f t="shared" si="76"/>
        <v>0</v>
      </c>
      <c r="M2145">
        <f t="shared" si="77"/>
        <v>0</v>
      </c>
    </row>
    <row r="2146" spans="12:13" x14ac:dyDescent="0.25">
      <c r="L2146">
        <f t="shared" si="76"/>
        <v>0</v>
      </c>
      <c r="M2146">
        <f t="shared" si="77"/>
        <v>0</v>
      </c>
    </row>
    <row r="2147" spans="12:13" x14ac:dyDescent="0.25">
      <c r="L2147">
        <f t="shared" si="76"/>
        <v>0</v>
      </c>
      <c r="M2147">
        <f t="shared" si="77"/>
        <v>0</v>
      </c>
    </row>
    <row r="2148" spans="12:13" x14ac:dyDescent="0.25">
      <c r="L2148">
        <f t="shared" si="76"/>
        <v>0</v>
      </c>
      <c r="M2148">
        <f t="shared" si="77"/>
        <v>0</v>
      </c>
    </row>
    <row r="2149" spans="12:13" x14ac:dyDescent="0.25">
      <c r="L2149">
        <f t="shared" si="76"/>
        <v>0</v>
      </c>
      <c r="M2149">
        <f t="shared" si="77"/>
        <v>0</v>
      </c>
    </row>
    <row r="2150" spans="12:13" x14ac:dyDescent="0.25">
      <c r="L2150">
        <f t="shared" si="76"/>
        <v>0</v>
      </c>
      <c r="M2150">
        <f t="shared" si="77"/>
        <v>0</v>
      </c>
    </row>
    <row r="2151" spans="12:13" x14ac:dyDescent="0.25">
      <c r="L2151">
        <f t="shared" si="76"/>
        <v>0</v>
      </c>
      <c r="M2151">
        <f t="shared" si="77"/>
        <v>0</v>
      </c>
    </row>
    <row r="2152" spans="12:13" x14ac:dyDescent="0.25">
      <c r="L2152">
        <f t="shared" si="76"/>
        <v>0</v>
      </c>
      <c r="M2152">
        <f t="shared" si="77"/>
        <v>0</v>
      </c>
    </row>
    <row r="2153" spans="12:13" x14ac:dyDescent="0.25">
      <c r="L2153">
        <f t="shared" si="76"/>
        <v>0</v>
      </c>
      <c r="M2153">
        <f t="shared" si="77"/>
        <v>0</v>
      </c>
    </row>
    <row r="2154" spans="12:13" x14ac:dyDescent="0.25">
      <c r="L2154">
        <f t="shared" si="76"/>
        <v>0</v>
      </c>
      <c r="M2154">
        <f t="shared" si="77"/>
        <v>0</v>
      </c>
    </row>
    <row r="2155" spans="12:13" x14ac:dyDescent="0.25">
      <c r="L2155">
        <f t="shared" si="76"/>
        <v>0</v>
      </c>
      <c r="M2155">
        <f t="shared" si="77"/>
        <v>0</v>
      </c>
    </row>
    <row r="2156" spans="12:13" x14ac:dyDescent="0.25">
      <c r="L2156">
        <f t="shared" si="76"/>
        <v>0</v>
      </c>
      <c r="M2156">
        <f t="shared" si="77"/>
        <v>0</v>
      </c>
    </row>
    <row r="2157" spans="12:13" x14ac:dyDescent="0.25">
      <c r="L2157">
        <f t="shared" si="76"/>
        <v>0</v>
      </c>
      <c r="M2157">
        <f t="shared" si="77"/>
        <v>0</v>
      </c>
    </row>
    <row r="2158" spans="12:13" x14ac:dyDescent="0.25">
      <c r="L2158">
        <f t="shared" ref="L2158:L2221" si="78">+I2158+H2158</f>
        <v>0</v>
      </c>
      <c r="M2158">
        <f t="shared" si="77"/>
        <v>0</v>
      </c>
    </row>
    <row r="2159" spans="12:13" x14ac:dyDescent="0.25">
      <c r="L2159">
        <f t="shared" si="78"/>
        <v>0</v>
      </c>
      <c r="M2159">
        <f t="shared" si="77"/>
        <v>0</v>
      </c>
    </row>
    <row r="2160" spans="12:13" x14ac:dyDescent="0.25">
      <c r="L2160">
        <f t="shared" si="78"/>
        <v>0</v>
      </c>
      <c r="M2160">
        <f t="shared" si="77"/>
        <v>0</v>
      </c>
    </row>
    <row r="2161" spans="12:13" x14ac:dyDescent="0.25">
      <c r="L2161">
        <f t="shared" si="78"/>
        <v>0</v>
      </c>
      <c r="M2161">
        <f t="shared" si="77"/>
        <v>0</v>
      </c>
    </row>
    <row r="2162" spans="12:13" x14ac:dyDescent="0.25">
      <c r="L2162">
        <f t="shared" si="78"/>
        <v>0</v>
      </c>
      <c r="M2162">
        <f t="shared" si="77"/>
        <v>0</v>
      </c>
    </row>
    <row r="2163" spans="12:13" x14ac:dyDescent="0.25">
      <c r="L2163">
        <f t="shared" si="78"/>
        <v>0</v>
      </c>
      <c r="M2163">
        <f t="shared" si="77"/>
        <v>0</v>
      </c>
    </row>
    <row r="2164" spans="12:13" x14ac:dyDescent="0.25">
      <c r="L2164">
        <f t="shared" si="78"/>
        <v>0</v>
      </c>
      <c r="M2164">
        <f t="shared" si="77"/>
        <v>0</v>
      </c>
    </row>
    <row r="2165" spans="12:13" x14ac:dyDescent="0.25">
      <c r="L2165">
        <f t="shared" si="78"/>
        <v>0</v>
      </c>
      <c r="M2165">
        <f t="shared" si="77"/>
        <v>0</v>
      </c>
    </row>
    <row r="2166" spans="12:13" x14ac:dyDescent="0.25">
      <c r="L2166">
        <f t="shared" si="78"/>
        <v>0</v>
      </c>
      <c r="M2166">
        <f t="shared" si="77"/>
        <v>0</v>
      </c>
    </row>
    <row r="2167" spans="12:13" x14ac:dyDescent="0.25">
      <c r="L2167">
        <f t="shared" si="78"/>
        <v>0</v>
      </c>
      <c r="M2167">
        <f t="shared" si="77"/>
        <v>0</v>
      </c>
    </row>
    <row r="2168" spans="12:13" x14ac:dyDescent="0.25">
      <c r="L2168">
        <f t="shared" si="78"/>
        <v>0</v>
      </c>
      <c r="M2168">
        <f t="shared" si="77"/>
        <v>0</v>
      </c>
    </row>
    <row r="2169" spans="12:13" x14ac:dyDescent="0.25">
      <c r="L2169">
        <f t="shared" si="78"/>
        <v>0</v>
      </c>
      <c r="M2169">
        <f t="shared" si="77"/>
        <v>0</v>
      </c>
    </row>
    <row r="2170" spans="12:13" x14ac:dyDescent="0.25">
      <c r="L2170">
        <f t="shared" si="78"/>
        <v>0</v>
      </c>
      <c r="M2170">
        <f t="shared" si="77"/>
        <v>0</v>
      </c>
    </row>
    <row r="2171" spans="12:13" x14ac:dyDescent="0.25">
      <c r="L2171">
        <f t="shared" si="78"/>
        <v>0</v>
      </c>
      <c r="M2171">
        <f t="shared" si="77"/>
        <v>0</v>
      </c>
    </row>
    <row r="2172" spans="12:13" x14ac:dyDescent="0.25">
      <c r="L2172">
        <f t="shared" si="78"/>
        <v>0</v>
      </c>
      <c r="M2172">
        <f t="shared" si="77"/>
        <v>0</v>
      </c>
    </row>
    <row r="2173" spans="12:13" x14ac:dyDescent="0.25">
      <c r="L2173">
        <f t="shared" si="78"/>
        <v>0</v>
      </c>
      <c r="M2173">
        <f t="shared" si="77"/>
        <v>0</v>
      </c>
    </row>
    <row r="2174" spans="12:13" x14ac:dyDescent="0.25">
      <c r="L2174">
        <f t="shared" si="78"/>
        <v>0</v>
      </c>
      <c r="M2174">
        <f t="shared" si="77"/>
        <v>0</v>
      </c>
    </row>
    <row r="2175" spans="12:13" x14ac:dyDescent="0.25">
      <c r="L2175">
        <f t="shared" si="78"/>
        <v>0</v>
      </c>
      <c r="M2175">
        <f t="shared" ref="M2175:M2238" si="79">+I2175/IF(H2175 = 0,1,H2175)</f>
        <v>0</v>
      </c>
    </row>
    <row r="2176" spans="12:13" x14ac:dyDescent="0.25">
      <c r="L2176">
        <f t="shared" si="78"/>
        <v>0</v>
      </c>
      <c r="M2176">
        <f t="shared" si="79"/>
        <v>0</v>
      </c>
    </row>
    <row r="2177" spans="12:13" x14ac:dyDescent="0.25">
      <c r="L2177">
        <f t="shared" si="78"/>
        <v>0</v>
      </c>
      <c r="M2177">
        <f t="shared" si="79"/>
        <v>0</v>
      </c>
    </row>
    <row r="2178" spans="12:13" x14ac:dyDescent="0.25">
      <c r="L2178">
        <f t="shared" si="78"/>
        <v>0</v>
      </c>
      <c r="M2178">
        <f t="shared" si="79"/>
        <v>0</v>
      </c>
    </row>
    <row r="2179" spans="12:13" x14ac:dyDescent="0.25">
      <c r="L2179">
        <f t="shared" si="78"/>
        <v>0</v>
      </c>
      <c r="M2179">
        <f t="shared" si="79"/>
        <v>0</v>
      </c>
    </row>
    <row r="2180" spans="12:13" x14ac:dyDescent="0.25">
      <c r="L2180">
        <f t="shared" si="78"/>
        <v>0</v>
      </c>
      <c r="M2180">
        <f t="shared" si="79"/>
        <v>0</v>
      </c>
    </row>
    <row r="2181" spans="12:13" x14ac:dyDescent="0.25">
      <c r="L2181">
        <f t="shared" si="78"/>
        <v>0</v>
      </c>
      <c r="M2181">
        <f t="shared" si="79"/>
        <v>0</v>
      </c>
    </row>
    <row r="2182" spans="12:13" x14ac:dyDescent="0.25">
      <c r="L2182">
        <f t="shared" si="78"/>
        <v>0</v>
      </c>
      <c r="M2182">
        <f t="shared" si="79"/>
        <v>0</v>
      </c>
    </row>
    <row r="2183" spans="12:13" x14ac:dyDescent="0.25">
      <c r="L2183">
        <f t="shared" si="78"/>
        <v>0</v>
      </c>
      <c r="M2183">
        <f t="shared" si="79"/>
        <v>0</v>
      </c>
    </row>
    <row r="2184" spans="12:13" x14ac:dyDescent="0.25">
      <c r="L2184">
        <f t="shared" si="78"/>
        <v>0</v>
      </c>
      <c r="M2184">
        <f t="shared" si="79"/>
        <v>0</v>
      </c>
    </row>
    <row r="2185" spans="12:13" x14ac:dyDescent="0.25">
      <c r="L2185">
        <f t="shared" si="78"/>
        <v>0</v>
      </c>
      <c r="M2185">
        <f t="shared" si="79"/>
        <v>0</v>
      </c>
    </row>
    <row r="2186" spans="12:13" x14ac:dyDescent="0.25">
      <c r="L2186">
        <f t="shared" si="78"/>
        <v>0</v>
      </c>
      <c r="M2186">
        <f t="shared" si="79"/>
        <v>0</v>
      </c>
    </row>
    <row r="2187" spans="12:13" x14ac:dyDescent="0.25">
      <c r="L2187">
        <f t="shared" si="78"/>
        <v>0</v>
      </c>
      <c r="M2187">
        <f t="shared" si="79"/>
        <v>0</v>
      </c>
    </row>
    <row r="2188" spans="12:13" x14ac:dyDescent="0.25">
      <c r="L2188">
        <f t="shared" si="78"/>
        <v>0</v>
      </c>
      <c r="M2188">
        <f t="shared" si="79"/>
        <v>0</v>
      </c>
    </row>
    <row r="2189" spans="12:13" x14ac:dyDescent="0.25">
      <c r="L2189">
        <f t="shared" si="78"/>
        <v>0</v>
      </c>
      <c r="M2189">
        <f t="shared" si="79"/>
        <v>0</v>
      </c>
    </row>
    <row r="2190" spans="12:13" x14ac:dyDescent="0.25">
      <c r="L2190">
        <f t="shared" si="78"/>
        <v>0</v>
      </c>
      <c r="M2190">
        <f t="shared" si="79"/>
        <v>0</v>
      </c>
    </row>
    <row r="2191" spans="12:13" x14ac:dyDescent="0.25">
      <c r="L2191">
        <f t="shared" si="78"/>
        <v>0</v>
      </c>
      <c r="M2191">
        <f t="shared" si="79"/>
        <v>0</v>
      </c>
    </row>
    <row r="2192" spans="12:13" x14ac:dyDescent="0.25">
      <c r="L2192">
        <f t="shared" si="78"/>
        <v>0</v>
      </c>
      <c r="M2192">
        <f t="shared" si="79"/>
        <v>0</v>
      </c>
    </row>
    <row r="2193" spans="12:13" x14ac:dyDescent="0.25">
      <c r="L2193">
        <f t="shared" si="78"/>
        <v>0</v>
      </c>
      <c r="M2193">
        <f t="shared" si="79"/>
        <v>0</v>
      </c>
    </row>
    <row r="2194" spans="12:13" x14ac:dyDescent="0.25">
      <c r="L2194">
        <f t="shared" si="78"/>
        <v>0</v>
      </c>
      <c r="M2194">
        <f t="shared" si="79"/>
        <v>0</v>
      </c>
    </row>
    <row r="2195" spans="12:13" x14ac:dyDescent="0.25">
      <c r="L2195">
        <f t="shared" si="78"/>
        <v>0</v>
      </c>
      <c r="M2195">
        <f t="shared" si="79"/>
        <v>0</v>
      </c>
    </row>
    <row r="2196" spans="12:13" x14ac:dyDescent="0.25">
      <c r="L2196">
        <f t="shared" si="78"/>
        <v>0</v>
      </c>
      <c r="M2196">
        <f t="shared" si="79"/>
        <v>0</v>
      </c>
    </row>
    <row r="2197" spans="12:13" x14ac:dyDescent="0.25">
      <c r="L2197">
        <f t="shared" si="78"/>
        <v>0</v>
      </c>
      <c r="M2197">
        <f t="shared" si="79"/>
        <v>0</v>
      </c>
    </row>
    <row r="2198" spans="12:13" x14ac:dyDescent="0.25">
      <c r="L2198">
        <f t="shared" si="78"/>
        <v>0</v>
      </c>
      <c r="M2198">
        <f t="shared" si="79"/>
        <v>0</v>
      </c>
    </row>
    <row r="2199" spans="12:13" x14ac:dyDescent="0.25">
      <c r="L2199">
        <f t="shared" si="78"/>
        <v>0</v>
      </c>
      <c r="M2199">
        <f t="shared" si="79"/>
        <v>0</v>
      </c>
    </row>
    <row r="2200" spans="12:13" x14ac:dyDescent="0.25">
      <c r="L2200">
        <f t="shared" si="78"/>
        <v>0</v>
      </c>
      <c r="M2200">
        <f t="shared" si="79"/>
        <v>0</v>
      </c>
    </row>
    <row r="2201" spans="12:13" x14ac:dyDescent="0.25">
      <c r="L2201">
        <f t="shared" si="78"/>
        <v>0</v>
      </c>
      <c r="M2201">
        <f t="shared" si="79"/>
        <v>0</v>
      </c>
    </row>
    <row r="2202" spans="12:13" x14ac:dyDescent="0.25">
      <c r="L2202">
        <f t="shared" si="78"/>
        <v>0</v>
      </c>
      <c r="M2202">
        <f t="shared" si="79"/>
        <v>0</v>
      </c>
    </row>
    <row r="2203" spans="12:13" x14ac:dyDescent="0.25">
      <c r="L2203">
        <f t="shared" si="78"/>
        <v>0</v>
      </c>
      <c r="M2203">
        <f t="shared" si="79"/>
        <v>0</v>
      </c>
    </row>
    <row r="2204" spans="12:13" x14ac:dyDescent="0.25">
      <c r="L2204">
        <f t="shared" si="78"/>
        <v>0</v>
      </c>
      <c r="M2204">
        <f t="shared" si="79"/>
        <v>0</v>
      </c>
    </row>
    <row r="2205" spans="12:13" x14ac:dyDescent="0.25">
      <c r="L2205">
        <f t="shared" si="78"/>
        <v>0</v>
      </c>
      <c r="M2205">
        <f t="shared" si="79"/>
        <v>0</v>
      </c>
    </row>
    <row r="2206" spans="12:13" x14ac:dyDescent="0.25">
      <c r="L2206">
        <f t="shared" si="78"/>
        <v>0</v>
      </c>
      <c r="M2206">
        <f t="shared" si="79"/>
        <v>0</v>
      </c>
    </row>
    <row r="2207" spans="12:13" x14ac:dyDescent="0.25">
      <c r="L2207">
        <f t="shared" si="78"/>
        <v>0</v>
      </c>
      <c r="M2207">
        <f t="shared" si="79"/>
        <v>0</v>
      </c>
    </row>
    <row r="2208" spans="12:13" x14ac:dyDescent="0.25">
      <c r="L2208">
        <f t="shared" si="78"/>
        <v>0</v>
      </c>
      <c r="M2208">
        <f t="shared" si="79"/>
        <v>0</v>
      </c>
    </row>
    <row r="2209" spans="12:13" x14ac:dyDescent="0.25">
      <c r="L2209">
        <f t="shared" si="78"/>
        <v>0</v>
      </c>
      <c r="M2209">
        <f t="shared" si="79"/>
        <v>0</v>
      </c>
    </row>
    <row r="2210" spans="12:13" x14ac:dyDescent="0.25">
      <c r="L2210">
        <f t="shared" si="78"/>
        <v>0</v>
      </c>
      <c r="M2210">
        <f t="shared" si="79"/>
        <v>0</v>
      </c>
    </row>
    <row r="2211" spans="12:13" x14ac:dyDescent="0.25">
      <c r="L2211">
        <f t="shared" si="78"/>
        <v>0</v>
      </c>
      <c r="M2211">
        <f t="shared" si="79"/>
        <v>0</v>
      </c>
    </row>
    <row r="2212" spans="12:13" x14ac:dyDescent="0.25">
      <c r="L2212">
        <f t="shared" si="78"/>
        <v>0</v>
      </c>
      <c r="M2212">
        <f t="shared" si="79"/>
        <v>0</v>
      </c>
    </row>
    <row r="2213" spans="12:13" x14ac:dyDescent="0.25">
      <c r="L2213">
        <f t="shared" si="78"/>
        <v>0</v>
      </c>
      <c r="M2213">
        <f t="shared" si="79"/>
        <v>0</v>
      </c>
    </row>
    <row r="2214" spans="12:13" x14ac:dyDescent="0.25">
      <c r="L2214">
        <f t="shared" si="78"/>
        <v>0</v>
      </c>
      <c r="M2214">
        <f t="shared" si="79"/>
        <v>0</v>
      </c>
    </row>
    <row r="2215" spans="12:13" x14ac:dyDescent="0.25">
      <c r="L2215">
        <f t="shared" si="78"/>
        <v>0</v>
      </c>
      <c r="M2215">
        <f t="shared" si="79"/>
        <v>0</v>
      </c>
    </row>
    <row r="2216" spans="12:13" x14ac:dyDescent="0.25">
      <c r="L2216">
        <f t="shared" si="78"/>
        <v>0</v>
      </c>
      <c r="M2216">
        <f t="shared" si="79"/>
        <v>0</v>
      </c>
    </row>
    <row r="2217" spans="12:13" x14ac:dyDescent="0.25">
      <c r="L2217">
        <f t="shared" si="78"/>
        <v>0</v>
      </c>
      <c r="M2217">
        <f t="shared" si="79"/>
        <v>0</v>
      </c>
    </row>
    <row r="2218" spans="12:13" x14ac:dyDescent="0.25">
      <c r="L2218">
        <f t="shared" si="78"/>
        <v>0</v>
      </c>
      <c r="M2218">
        <f t="shared" si="79"/>
        <v>0</v>
      </c>
    </row>
    <row r="2219" spans="12:13" x14ac:dyDescent="0.25">
      <c r="L2219">
        <f t="shared" si="78"/>
        <v>0</v>
      </c>
      <c r="M2219">
        <f t="shared" si="79"/>
        <v>0</v>
      </c>
    </row>
    <row r="2220" spans="12:13" x14ac:dyDescent="0.25">
      <c r="L2220">
        <f t="shared" si="78"/>
        <v>0</v>
      </c>
      <c r="M2220">
        <f t="shared" si="79"/>
        <v>0</v>
      </c>
    </row>
    <row r="2221" spans="12:13" x14ac:dyDescent="0.25">
      <c r="L2221">
        <f t="shared" si="78"/>
        <v>0</v>
      </c>
      <c r="M2221">
        <f t="shared" si="79"/>
        <v>0</v>
      </c>
    </row>
    <row r="2222" spans="12:13" x14ac:dyDescent="0.25">
      <c r="L2222">
        <f t="shared" ref="L2222:L2285" si="80">+I2222+H2222</f>
        <v>0</v>
      </c>
      <c r="M2222">
        <f t="shared" si="79"/>
        <v>0</v>
      </c>
    </row>
    <row r="2223" spans="12:13" x14ac:dyDescent="0.25">
      <c r="L2223">
        <f t="shared" si="80"/>
        <v>0</v>
      </c>
      <c r="M2223">
        <f t="shared" si="79"/>
        <v>0</v>
      </c>
    </row>
    <row r="2224" spans="12:13" x14ac:dyDescent="0.25">
      <c r="L2224">
        <f t="shared" si="80"/>
        <v>0</v>
      </c>
      <c r="M2224">
        <f t="shared" si="79"/>
        <v>0</v>
      </c>
    </row>
    <row r="2225" spans="12:13" x14ac:dyDescent="0.25">
      <c r="L2225">
        <f t="shared" si="80"/>
        <v>0</v>
      </c>
      <c r="M2225">
        <f t="shared" si="79"/>
        <v>0</v>
      </c>
    </row>
    <row r="2226" spans="12:13" x14ac:dyDescent="0.25">
      <c r="L2226">
        <f t="shared" si="80"/>
        <v>0</v>
      </c>
      <c r="M2226">
        <f t="shared" si="79"/>
        <v>0</v>
      </c>
    </row>
    <row r="2227" spans="12:13" x14ac:dyDescent="0.25">
      <c r="L2227">
        <f t="shared" si="80"/>
        <v>0</v>
      </c>
      <c r="M2227">
        <f t="shared" si="79"/>
        <v>0</v>
      </c>
    </row>
    <row r="2228" spans="12:13" x14ac:dyDescent="0.25">
      <c r="L2228">
        <f t="shared" si="80"/>
        <v>0</v>
      </c>
      <c r="M2228">
        <f t="shared" si="79"/>
        <v>0</v>
      </c>
    </row>
    <row r="2229" spans="12:13" x14ac:dyDescent="0.25">
      <c r="L2229">
        <f t="shared" si="80"/>
        <v>0</v>
      </c>
      <c r="M2229">
        <f t="shared" si="79"/>
        <v>0</v>
      </c>
    </row>
    <row r="2230" spans="12:13" x14ac:dyDescent="0.25">
      <c r="L2230">
        <f t="shared" si="80"/>
        <v>0</v>
      </c>
      <c r="M2230">
        <f t="shared" si="79"/>
        <v>0</v>
      </c>
    </row>
    <row r="2231" spans="12:13" x14ac:dyDescent="0.25">
      <c r="L2231">
        <f t="shared" si="80"/>
        <v>0</v>
      </c>
      <c r="M2231">
        <f t="shared" si="79"/>
        <v>0</v>
      </c>
    </row>
    <row r="2232" spans="12:13" x14ac:dyDescent="0.25">
      <c r="L2232">
        <f t="shared" si="80"/>
        <v>0</v>
      </c>
      <c r="M2232">
        <f t="shared" si="79"/>
        <v>0</v>
      </c>
    </row>
    <row r="2233" spans="12:13" x14ac:dyDescent="0.25">
      <c r="L2233">
        <f t="shared" si="80"/>
        <v>0</v>
      </c>
      <c r="M2233">
        <f t="shared" si="79"/>
        <v>0</v>
      </c>
    </row>
    <row r="2234" spans="12:13" x14ac:dyDescent="0.25">
      <c r="L2234">
        <f t="shared" si="80"/>
        <v>0</v>
      </c>
      <c r="M2234">
        <f t="shared" si="79"/>
        <v>0</v>
      </c>
    </row>
    <row r="2235" spans="12:13" x14ac:dyDescent="0.25">
      <c r="L2235">
        <f t="shared" si="80"/>
        <v>0</v>
      </c>
      <c r="M2235">
        <f t="shared" si="79"/>
        <v>0</v>
      </c>
    </row>
    <row r="2236" spans="12:13" x14ac:dyDescent="0.25">
      <c r="L2236">
        <f t="shared" si="80"/>
        <v>0</v>
      </c>
      <c r="M2236">
        <f t="shared" si="79"/>
        <v>0</v>
      </c>
    </row>
    <row r="2237" spans="12:13" x14ac:dyDescent="0.25">
      <c r="L2237">
        <f t="shared" si="80"/>
        <v>0</v>
      </c>
      <c r="M2237">
        <f t="shared" si="79"/>
        <v>0</v>
      </c>
    </row>
    <row r="2238" spans="12:13" x14ac:dyDescent="0.25">
      <c r="L2238">
        <f t="shared" si="80"/>
        <v>0</v>
      </c>
      <c r="M2238">
        <f t="shared" si="79"/>
        <v>0</v>
      </c>
    </row>
    <row r="2239" spans="12:13" x14ac:dyDescent="0.25">
      <c r="L2239">
        <f t="shared" si="80"/>
        <v>0</v>
      </c>
      <c r="M2239">
        <f t="shared" ref="M2239:M2302" si="81">+I2239/IF(H2239 = 0,1,H2239)</f>
        <v>0</v>
      </c>
    </row>
    <row r="2240" spans="12:13" x14ac:dyDescent="0.25">
      <c r="L2240">
        <f t="shared" si="80"/>
        <v>0</v>
      </c>
      <c r="M2240">
        <f t="shared" si="81"/>
        <v>0</v>
      </c>
    </row>
    <row r="2241" spans="12:13" x14ac:dyDescent="0.25">
      <c r="L2241">
        <f t="shared" si="80"/>
        <v>0</v>
      </c>
      <c r="M2241">
        <f t="shared" si="81"/>
        <v>0</v>
      </c>
    </row>
    <row r="2242" spans="12:13" x14ac:dyDescent="0.25">
      <c r="L2242">
        <f t="shared" si="80"/>
        <v>0</v>
      </c>
      <c r="M2242">
        <f t="shared" si="81"/>
        <v>0</v>
      </c>
    </row>
    <row r="2243" spans="12:13" x14ac:dyDescent="0.25">
      <c r="L2243">
        <f t="shared" si="80"/>
        <v>0</v>
      </c>
      <c r="M2243">
        <f t="shared" si="81"/>
        <v>0</v>
      </c>
    </row>
    <row r="2244" spans="12:13" x14ac:dyDescent="0.25">
      <c r="L2244">
        <f t="shared" si="80"/>
        <v>0</v>
      </c>
      <c r="M2244">
        <f t="shared" si="81"/>
        <v>0</v>
      </c>
    </row>
    <row r="2245" spans="12:13" x14ac:dyDescent="0.25">
      <c r="L2245">
        <f t="shared" si="80"/>
        <v>0</v>
      </c>
      <c r="M2245">
        <f t="shared" si="81"/>
        <v>0</v>
      </c>
    </row>
    <row r="2246" spans="12:13" x14ac:dyDescent="0.25">
      <c r="L2246">
        <f t="shared" si="80"/>
        <v>0</v>
      </c>
      <c r="M2246">
        <f t="shared" si="81"/>
        <v>0</v>
      </c>
    </row>
    <row r="2247" spans="12:13" x14ac:dyDescent="0.25">
      <c r="L2247">
        <f t="shared" si="80"/>
        <v>0</v>
      </c>
      <c r="M2247">
        <f t="shared" si="81"/>
        <v>0</v>
      </c>
    </row>
    <row r="2248" spans="12:13" x14ac:dyDescent="0.25">
      <c r="L2248">
        <f t="shared" si="80"/>
        <v>0</v>
      </c>
      <c r="M2248">
        <f t="shared" si="81"/>
        <v>0</v>
      </c>
    </row>
    <row r="2249" spans="12:13" x14ac:dyDescent="0.25">
      <c r="L2249">
        <f t="shared" si="80"/>
        <v>0</v>
      </c>
      <c r="M2249">
        <f t="shared" si="81"/>
        <v>0</v>
      </c>
    </row>
    <row r="2250" spans="12:13" x14ac:dyDescent="0.25">
      <c r="L2250">
        <f t="shared" si="80"/>
        <v>0</v>
      </c>
      <c r="M2250">
        <f t="shared" si="81"/>
        <v>0</v>
      </c>
    </row>
    <row r="2251" spans="12:13" x14ac:dyDescent="0.25">
      <c r="L2251">
        <f t="shared" si="80"/>
        <v>0</v>
      </c>
      <c r="M2251">
        <f t="shared" si="81"/>
        <v>0</v>
      </c>
    </row>
    <row r="2252" spans="12:13" x14ac:dyDescent="0.25">
      <c r="L2252">
        <f t="shared" si="80"/>
        <v>0</v>
      </c>
      <c r="M2252">
        <f t="shared" si="81"/>
        <v>0</v>
      </c>
    </row>
    <row r="2253" spans="12:13" x14ac:dyDescent="0.25">
      <c r="L2253">
        <f t="shared" si="80"/>
        <v>0</v>
      </c>
      <c r="M2253">
        <f t="shared" si="81"/>
        <v>0</v>
      </c>
    </row>
    <row r="2254" spans="12:13" x14ac:dyDescent="0.25">
      <c r="L2254">
        <f t="shared" si="80"/>
        <v>0</v>
      </c>
      <c r="M2254">
        <f t="shared" si="81"/>
        <v>0</v>
      </c>
    </row>
    <row r="2255" spans="12:13" x14ac:dyDescent="0.25">
      <c r="L2255">
        <f t="shared" si="80"/>
        <v>0</v>
      </c>
      <c r="M2255">
        <f t="shared" si="81"/>
        <v>0</v>
      </c>
    </row>
    <row r="2256" spans="12:13" x14ac:dyDescent="0.25">
      <c r="L2256">
        <f t="shared" si="80"/>
        <v>0</v>
      </c>
      <c r="M2256">
        <f t="shared" si="81"/>
        <v>0</v>
      </c>
    </row>
    <row r="2257" spans="12:13" x14ac:dyDescent="0.25">
      <c r="L2257">
        <f t="shared" si="80"/>
        <v>0</v>
      </c>
      <c r="M2257">
        <f t="shared" si="81"/>
        <v>0</v>
      </c>
    </row>
    <row r="2258" spans="12:13" x14ac:dyDescent="0.25">
      <c r="L2258">
        <f t="shared" si="80"/>
        <v>0</v>
      </c>
      <c r="M2258">
        <f t="shared" si="81"/>
        <v>0</v>
      </c>
    </row>
    <row r="2259" spans="12:13" x14ac:dyDescent="0.25">
      <c r="L2259">
        <f t="shared" si="80"/>
        <v>0</v>
      </c>
      <c r="M2259">
        <f t="shared" si="81"/>
        <v>0</v>
      </c>
    </row>
    <row r="2260" spans="12:13" x14ac:dyDescent="0.25">
      <c r="L2260">
        <f t="shared" si="80"/>
        <v>0</v>
      </c>
      <c r="M2260">
        <f t="shared" si="81"/>
        <v>0</v>
      </c>
    </row>
    <row r="2261" spans="12:13" x14ac:dyDescent="0.25">
      <c r="L2261">
        <f t="shared" si="80"/>
        <v>0</v>
      </c>
      <c r="M2261">
        <f t="shared" si="81"/>
        <v>0</v>
      </c>
    </row>
    <row r="2262" spans="12:13" x14ac:dyDescent="0.25">
      <c r="L2262">
        <f t="shared" si="80"/>
        <v>0</v>
      </c>
      <c r="M2262">
        <f t="shared" si="81"/>
        <v>0</v>
      </c>
    </row>
    <row r="2263" spans="12:13" x14ac:dyDescent="0.25">
      <c r="L2263">
        <f t="shared" si="80"/>
        <v>0</v>
      </c>
      <c r="M2263">
        <f t="shared" si="81"/>
        <v>0</v>
      </c>
    </row>
    <row r="2264" spans="12:13" x14ac:dyDescent="0.25">
      <c r="L2264">
        <f t="shared" si="80"/>
        <v>0</v>
      </c>
      <c r="M2264">
        <f t="shared" si="81"/>
        <v>0</v>
      </c>
    </row>
    <row r="2265" spans="12:13" x14ac:dyDescent="0.25">
      <c r="L2265">
        <f t="shared" si="80"/>
        <v>0</v>
      </c>
      <c r="M2265">
        <f t="shared" si="81"/>
        <v>0</v>
      </c>
    </row>
    <row r="2266" spans="12:13" x14ac:dyDescent="0.25">
      <c r="L2266">
        <f t="shared" si="80"/>
        <v>0</v>
      </c>
      <c r="M2266">
        <f t="shared" si="81"/>
        <v>0</v>
      </c>
    </row>
    <row r="2267" spans="12:13" x14ac:dyDescent="0.25">
      <c r="L2267">
        <f t="shared" si="80"/>
        <v>0</v>
      </c>
      <c r="M2267">
        <f t="shared" si="81"/>
        <v>0</v>
      </c>
    </row>
    <row r="2268" spans="12:13" x14ac:dyDescent="0.25">
      <c r="L2268">
        <f t="shared" si="80"/>
        <v>0</v>
      </c>
      <c r="M2268">
        <f t="shared" si="81"/>
        <v>0</v>
      </c>
    </row>
    <row r="2269" spans="12:13" x14ac:dyDescent="0.25">
      <c r="L2269">
        <f t="shared" si="80"/>
        <v>0</v>
      </c>
      <c r="M2269">
        <f t="shared" si="81"/>
        <v>0</v>
      </c>
    </row>
    <row r="2270" spans="12:13" x14ac:dyDescent="0.25">
      <c r="L2270">
        <f t="shared" si="80"/>
        <v>0</v>
      </c>
      <c r="M2270">
        <f t="shared" si="81"/>
        <v>0</v>
      </c>
    </row>
    <row r="2271" spans="12:13" x14ac:dyDescent="0.25">
      <c r="L2271">
        <f t="shared" si="80"/>
        <v>0</v>
      </c>
      <c r="M2271">
        <f t="shared" si="81"/>
        <v>0</v>
      </c>
    </row>
    <row r="2272" spans="12:13" x14ac:dyDescent="0.25">
      <c r="L2272">
        <f t="shared" si="80"/>
        <v>0</v>
      </c>
      <c r="M2272">
        <f t="shared" si="81"/>
        <v>0</v>
      </c>
    </row>
    <row r="2273" spans="12:13" x14ac:dyDescent="0.25">
      <c r="L2273">
        <f t="shared" si="80"/>
        <v>0</v>
      </c>
      <c r="M2273">
        <f t="shared" si="81"/>
        <v>0</v>
      </c>
    </row>
    <row r="2274" spans="12:13" x14ac:dyDescent="0.25">
      <c r="L2274">
        <f t="shared" si="80"/>
        <v>0</v>
      </c>
      <c r="M2274">
        <f t="shared" si="81"/>
        <v>0</v>
      </c>
    </row>
    <row r="2275" spans="12:13" x14ac:dyDescent="0.25">
      <c r="L2275">
        <f t="shared" si="80"/>
        <v>0</v>
      </c>
      <c r="M2275">
        <f t="shared" si="81"/>
        <v>0</v>
      </c>
    </row>
    <row r="2276" spans="12:13" x14ac:dyDescent="0.25">
      <c r="L2276">
        <f t="shared" si="80"/>
        <v>0</v>
      </c>
      <c r="M2276">
        <f t="shared" si="81"/>
        <v>0</v>
      </c>
    </row>
    <row r="2277" spans="12:13" x14ac:dyDescent="0.25">
      <c r="L2277">
        <f t="shared" si="80"/>
        <v>0</v>
      </c>
      <c r="M2277">
        <f t="shared" si="81"/>
        <v>0</v>
      </c>
    </row>
    <row r="2278" spans="12:13" x14ac:dyDescent="0.25">
      <c r="L2278">
        <f t="shared" si="80"/>
        <v>0</v>
      </c>
      <c r="M2278">
        <f t="shared" si="81"/>
        <v>0</v>
      </c>
    </row>
    <row r="2279" spans="12:13" x14ac:dyDescent="0.25">
      <c r="L2279">
        <f t="shared" si="80"/>
        <v>0</v>
      </c>
      <c r="M2279">
        <f t="shared" si="81"/>
        <v>0</v>
      </c>
    </row>
    <row r="2280" spans="12:13" x14ac:dyDescent="0.25">
      <c r="L2280">
        <f t="shared" si="80"/>
        <v>0</v>
      </c>
      <c r="M2280">
        <f t="shared" si="81"/>
        <v>0</v>
      </c>
    </row>
    <row r="2281" spans="12:13" x14ac:dyDescent="0.25">
      <c r="L2281">
        <f t="shared" si="80"/>
        <v>0</v>
      </c>
      <c r="M2281">
        <f t="shared" si="81"/>
        <v>0</v>
      </c>
    </row>
    <row r="2282" spans="12:13" x14ac:dyDescent="0.25">
      <c r="L2282">
        <f t="shared" si="80"/>
        <v>0</v>
      </c>
      <c r="M2282">
        <f t="shared" si="81"/>
        <v>0</v>
      </c>
    </row>
    <row r="2283" spans="12:13" x14ac:dyDescent="0.25">
      <c r="L2283">
        <f t="shared" si="80"/>
        <v>0</v>
      </c>
      <c r="M2283">
        <f t="shared" si="81"/>
        <v>0</v>
      </c>
    </row>
    <row r="2284" spans="12:13" x14ac:dyDescent="0.25">
      <c r="L2284">
        <f t="shared" si="80"/>
        <v>0</v>
      </c>
      <c r="M2284">
        <f t="shared" si="81"/>
        <v>0</v>
      </c>
    </row>
    <row r="2285" spans="12:13" x14ac:dyDescent="0.25">
      <c r="L2285">
        <f t="shared" si="80"/>
        <v>0</v>
      </c>
      <c r="M2285">
        <f t="shared" si="81"/>
        <v>0</v>
      </c>
    </row>
    <row r="2286" spans="12:13" x14ac:dyDescent="0.25">
      <c r="L2286">
        <f t="shared" ref="L2286:L2349" si="82">+I2286+H2286</f>
        <v>0</v>
      </c>
      <c r="M2286">
        <f t="shared" si="81"/>
        <v>0</v>
      </c>
    </row>
    <row r="2287" spans="12:13" x14ac:dyDescent="0.25">
      <c r="L2287">
        <f t="shared" si="82"/>
        <v>0</v>
      </c>
      <c r="M2287">
        <f t="shared" si="81"/>
        <v>0</v>
      </c>
    </row>
    <row r="2288" spans="12:13" x14ac:dyDescent="0.25">
      <c r="L2288">
        <f t="shared" si="82"/>
        <v>0</v>
      </c>
      <c r="M2288">
        <f t="shared" si="81"/>
        <v>0</v>
      </c>
    </row>
    <row r="2289" spans="12:13" x14ac:dyDescent="0.25">
      <c r="L2289">
        <f t="shared" si="82"/>
        <v>0</v>
      </c>
      <c r="M2289">
        <f t="shared" si="81"/>
        <v>0</v>
      </c>
    </row>
    <row r="2290" spans="12:13" x14ac:dyDescent="0.25">
      <c r="L2290">
        <f t="shared" si="82"/>
        <v>0</v>
      </c>
      <c r="M2290">
        <f t="shared" si="81"/>
        <v>0</v>
      </c>
    </row>
    <row r="2291" spans="12:13" x14ac:dyDescent="0.25">
      <c r="L2291">
        <f t="shared" si="82"/>
        <v>0</v>
      </c>
      <c r="M2291">
        <f t="shared" si="81"/>
        <v>0</v>
      </c>
    </row>
    <row r="2292" spans="12:13" x14ac:dyDescent="0.25">
      <c r="L2292">
        <f t="shared" si="82"/>
        <v>0</v>
      </c>
      <c r="M2292">
        <f t="shared" si="81"/>
        <v>0</v>
      </c>
    </row>
    <row r="2293" spans="12:13" x14ac:dyDescent="0.25">
      <c r="L2293">
        <f t="shared" si="82"/>
        <v>0</v>
      </c>
      <c r="M2293">
        <f t="shared" si="81"/>
        <v>0</v>
      </c>
    </row>
    <row r="2294" spans="12:13" x14ac:dyDescent="0.25">
      <c r="L2294">
        <f t="shared" si="82"/>
        <v>0</v>
      </c>
      <c r="M2294">
        <f t="shared" si="81"/>
        <v>0</v>
      </c>
    </row>
    <row r="2295" spans="12:13" x14ac:dyDescent="0.25">
      <c r="L2295">
        <f t="shared" si="82"/>
        <v>0</v>
      </c>
      <c r="M2295">
        <f t="shared" si="81"/>
        <v>0</v>
      </c>
    </row>
    <row r="2296" spans="12:13" x14ac:dyDescent="0.25">
      <c r="L2296">
        <f t="shared" si="82"/>
        <v>0</v>
      </c>
      <c r="M2296">
        <f t="shared" si="81"/>
        <v>0</v>
      </c>
    </row>
    <row r="2297" spans="12:13" x14ac:dyDescent="0.25">
      <c r="L2297">
        <f t="shared" si="82"/>
        <v>0</v>
      </c>
      <c r="M2297">
        <f t="shared" si="81"/>
        <v>0</v>
      </c>
    </row>
    <row r="2298" spans="12:13" x14ac:dyDescent="0.25">
      <c r="L2298">
        <f t="shared" si="82"/>
        <v>0</v>
      </c>
      <c r="M2298">
        <f t="shared" si="81"/>
        <v>0</v>
      </c>
    </row>
    <row r="2299" spans="12:13" x14ac:dyDescent="0.25">
      <c r="L2299">
        <f t="shared" si="82"/>
        <v>0</v>
      </c>
      <c r="M2299">
        <f t="shared" si="81"/>
        <v>0</v>
      </c>
    </row>
    <row r="2300" spans="12:13" x14ac:dyDescent="0.25">
      <c r="L2300">
        <f t="shared" si="82"/>
        <v>0</v>
      </c>
      <c r="M2300">
        <f t="shared" si="81"/>
        <v>0</v>
      </c>
    </row>
    <row r="2301" spans="12:13" x14ac:dyDescent="0.25">
      <c r="L2301">
        <f t="shared" si="82"/>
        <v>0</v>
      </c>
      <c r="M2301">
        <f t="shared" si="81"/>
        <v>0</v>
      </c>
    </row>
    <row r="2302" spans="12:13" x14ac:dyDescent="0.25">
      <c r="L2302">
        <f t="shared" si="82"/>
        <v>0</v>
      </c>
      <c r="M2302">
        <f t="shared" si="81"/>
        <v>0</v>
      </c>
    </row>
    <row r="2303" spans="12:13" x14ac:dyDescent="0.25">
      <c r="L2303">
        <f t="shared" si="82"/>
        <v>0</v>
      </c>
      <c r="M2303">
        <f t="shared" ref="M2303:M2366" si="83">+I2303/IF(H2303 = 0,1,H2303)</f>
        <v>0</v>
      </c>
    </row>
    <row r="2304" spans="12:13" x14ac:dyDescent="0.25">
      <c r="L2304">
        <f t="shared" si="82"/>
        <v>0</v>
      </c>
      <c r="M2304">
        <f t="shared" si="83"/>
        <v>0</v>
      </c>
    </row>
    <row r="2305" spans="12:13" x14ac:dyDescent="0.25">
      <c r="L2305">
        <f t="shared" si="82"/>
        <v>0</v>
      </c>
      <c r="M2305">
        <f t="shared" si="83"/>
        <v>0</v>
      </c>
    </row>
    <row r="2306" spans="12:13" x14ac:dyDescent="0.25">
      <c r="L2306">
        <f t="shared" si="82"/>
        <v>0</v>
      </c>
      <c r="M2306">
        <f t="shared" si="83"/>
        <v>0</v>
      </c>
    </row>
    <row r="2307" spans="12:13" x14ac:dyDescent="0.25">
      <c r="L2307">
        <f t="shared" si="82"/>
        <v>0</v>
      </c>
      <c r="M2307">
        <f t="shared" si="83"/>
        <v>0</v>
      </c>
    </row>
    <row r="2308" spans="12:13" x14ac:dyDescent="0.25">
      <c r="L2308">
        <f t="shared" si="82"/>
        <v>0</v>
      </c>
      <c r="M2308">
        <f t="shared" si="83"/>
        <v>0</v>
      </c>
    </row>
    <row r="2309" spans="12:13" x14ac:dyDescent="0.25">
      <c r="L2309">
        <f t="shared" si="82"/>
        <v>0</v>
      </c>
      <c r="M2309">
        <f t="shared" si="83"/>
        <v>0</v>
      </c>
    </row>
    <row r="2310" spans="12:13" x14ac:dyDescent="0.25">
      <c r="L2310">
        <f t="shared" si="82"/>
        <v>0</v>
      </c>
      <c r="M2310">
        <f t="shared" si="83"/>
        <v>0</v>
      </c>
    </row>
    <row r="2311" spans="12:13" x14ac:dyDescent="0.25">
      <c r="L2311">
        <f t="shared" si="82"/>
        <v>0</v>
      </c>
      <c r="M2311">
        <f t="shared" si="83"/>
        <v>0</v>
      </c>
    </row>
    <row r="2312" spans="12:13" x14ac:dyDescent="0.25">
      <c r="L2312">
        <f t="shared" si="82"/>
        <v>0</v>
      </c>
      <c r="M2312">
        <f t="shared" si="83"/>
        <v>0</v>
      </c>
    </row>
    <row r="2313" spans="12:13" x14ac:dyDescent="0.25">
      <c r="L2313">
        <f t="shared" si="82"/>
        <v>0</v>
      </c>
      <c r="M2313">
        <f t="shared" si="83"/>
        <v>0</v>
      </c>
    </row>
    <row r="2314" spans="12:13" x14ac:dyDescent="0.25">
      <c r="L2314">
        <f t="shared" si="82"/>
        <v>0</v>
      </c>
      <c r="M2314">
        <f t="shared" si="83"/>
        <v>0</v>
      </c>
    </row>
    <row r="2315" spans="12:13" x14ac:dyDescent="0.25">
      <c r="L2315">
        <f t="shared" si="82"/>
        <v>0</v>
      </c>
      <c r="M2315">
        <f t="shared" si="83"/>
        <v>0</v>
      </c>
    </row>
    <row r="2316" spans="12:13" x14ac:dyDescent="0.25">
      <c r="L2316">
        <f t="shared" si="82"/>
        <v>0</v>
      </c>
      <c r="M2316">
        <f t="shared" si="83"/>
        <v>0</v>
      </c>
    </row>
    <row r="2317" spans="12:13" x14ac:dyDescent="0.25">
      <c r="L2317">
        <f t="shared" si="82"/>
        <v>0</v>
      </c>
      <c r="M2317">
        <f t="shared" si="83"/>
        <v>0</v>
      </c>
    </row>
    <row r="2318" spans="12:13" x14ac:dyDescent="0.25">
      <c r="L2318">
        <f t="shared" si="82"/>
        <v>0</v>
      </c>
      <c r="M2318">
        <f t="shared" si="83"/>
        <v>0</v>
      </c>
    </row>
    <row r="2319" spans="12:13" x14ac:dyDescent="0.25">
      <c r="L2319">
        <f t="shared" si="82"/>
        <v>0</v>
      </c>
      <c r="M2319">
        <f t="shared" si="83"/>
        <v>0</v>
      </c>
    </row>
    <row r="2320" spans="12:13" x14ac:dyDescent="0.25">
      <c r="L2320">
        <f t="shared" si="82"/>
        <v>0</v>
      </c>
      <c r="M2320">
        <f t="shared" si="83"/>
        <v>0</v>
      </c>
    </row>
    <row r="2321" spans="12:13" x14ac:dyDescent="0.25">
      <c r="L2321">
        <f t="shared" si="82"/>
        <v>0</v>
      </c>
      <c r="M2321">
        <f t="shared" si="83"/>
        <v>0</v>
      </c>
    </row>
    <row r="2322" spans="12:13" x14ac:dyDescent="0.25">
      <c r="L2322">
        <f t="shared" si="82"/>
        <v>0</v>
      </c>
      <c r="M2322">
        <f t="shared" si="83"/>
        <v>0</v>
      </c>
    </row>
    <row r="2323" spans="12:13" x14ac:dyDescent="0.25">
      <c r="L2323">
        <f t="shared" si="82"/>
        <v>0</v>
      </c>
      <c r="M2323">
        <f t="shared" si="83"/>
        <v>0</v>
      </c>
    </row>
    <row r="2324" spans="12:13" x14ac:dyDescent="0.25">
      <c r="L2324">
        <f t="shared" si="82"/>
        <v>0</v>
      </c>
      <c r="M2324">
        <f t="shared" si="83"/>
        <v>0</v>
      </c>
    </row>
    <row r="2325" spans="12:13" x14ac:dyDescent="0.25">
      <c r="L2325">
        <f t="shared" si="82"/>
        <v>0</v>
      </c>
      <c r="M2325">
        <f t="shared" si="83"/>
        <v>0</v>
      </c>
    </row>
    <row r="2326" spans="12:13" x14ac:dyDescent="0.25">
      <c r="L2326">
        <f t="shared" si="82"/>
        <v>0</v>
      </c>
      <c r="M2326">
        <f t="shared" si="83"/>
        <v>0</v>
      </c>
    </row>
    <row r="2327" spans="12:13" x14ac:dyDescent="0.25">
      <c r="L2327">
        <f t="shared" si="82"/>
        <v>0</v>
      </c>
      <c r="M2327">
        <f t="shared" si="83"/>
        <v>0</v>
      </c>
    </row>
    <row r="2328" spans="12:13" x14ac:dyDescent="0.25">
      <c r="L2328">
        <f t="shared" si="82"/>
        <v>0</v>
      </c>
      <c r="M2328">
        <f t="shared" si="83"/>
        <v>0</v>
      </c>
    </row>
    <row r="2329" spans="12:13" x14ac:dyDescent="0.25">
      <c r="L2329">
        <f t="shared" si="82"/>
        <v>0</v>
      </c>
      <c r="M2329">
        <f t="shared" si="83"/>
        <v>0</v>
      </c>
    </row>
    <row r="2330" spans="12:13" x14ac:dyDescent="0.25">
      <c r="L2330">
        <f t="shared" si="82"/>
        <v>0</v>
      </c>
      <c r="M2330">
        <f t="shared" si="83"/>
        <v>0</v>
      </c>
    </row>
    <row r="2331" spans="12:13" x14ac:dyDescent="0.25">
      <c r="L2331">
        <f t="shared" si="82"/>
        <v>0</v>
      </c>
      <c r="M2331">
        <f t="shared" si="83"/>
        <v>0</v>
      </c>
    </row>
    <row r="2332" spans="12:13" x14ac:dyDescent="0.25">
      <c r="L2332">
        <f t="shared" si="82"/>
        <v>0</v>
      </c>
      <c r="M2332">
        <f t="shared" si="83"/>
        <v>0</v>
      </c>
    </row>
    <row r="2333" spans="12:13" x14ac:dyDescent="0.25">
      <c r="L2333">
        <f t="shared" si="82"/>
        <v>0</v>
      </c>
      <c r="M2333">
        <f t="shared" si="83"/>
        <v>0</v>
      </c>
    </row>
    <row r="2334" spans="12:13" x14ac:dyDescent="0.25">
      <c r="L2334">
        <f t="shared" si="82"/>
        <v>0</v>
      </c>
      <c r="M2334">
        <f t="shared" si="83"/>
        <v>0</v>
      </c>
    </row>
    <row r="2335" spans="12:13" x14ac:dyDescent="0.25">
      <c r="L2335">
        <f t="shared" si="82"/>
        <v>0</v>
      </c>
      <c r="M2335">
        <f t="shared" si="83"/>
        <v>0</v>
      </c>
    </row>
    <row r="2336" spans="12:13" x14ac:dyDescent="0.25">
      <c r="L2336">
        <f t="shared" si="82"/>
        <v>0</v>
      </c>
      <c r="M2336">
        <f t="shared" si="83"/>
        <v>0</v>
      </c>
    </row>
    <row r="2337" spans="12:13" x14ac:dyDescent="0.25">
      <c r="L2337">
        <f t="shared" si="82"/>
        <v>0</v>
      </c>
      <c r="M2337">
        <f t="shared" si="83"/>
        <v>0</v>
      </c>
    </row>
    <row r="2338" spans="12:13" x14ac:dyDescent="0.25">
      <c r="L2338">
        <f t="shared" si="82"/>
        <v>0</v>
      </c>
      <c r="M2338">
        <f t="shared" si="83"/>
        <v>0</v>
      </c>
    </row>
    <row r="2339" spans="12:13" x14ac:dyDescent="0.25">
      <c r="L2339">
        <f t="shared" si="82"/>
        <v>0</v>
      </c>
      <c r="M2339">
        <f t="shared" si="83"/>
        <v>0</v>
      </c>
    </row>
    <row r="2340" spans="12:13" x14ac:dyDescent="0.25">
      <c r="L2340">
        <f t="shared" si="82"/>
        <v>0</v>
      </c>
      <c r="M2340">
        <f t="shared" si="83"/>
        <v>0</v>
      </c>
    </row>
    <row r="2341" spans="12:13" x14ac:dyDescent="0.25">
      <c r="L2341">
        <f t="shared" si="82"/>
        <v>0</v>
      </c>
      <c r="M2341">
        <f t="shared" si="83"/>
        <v>0</v>
      </c>
    </row>
    <row r="2342" spans="12:13" x14ac:dyDescent="0.25">
      <c r="L2342">
        <f t="shared" si="82"/>
        <v>0</v>
      </c>
      <c r="M2342">
        <f t="shared" si="83"/>
        <v>0</v>
      </c>
    </row>
    <row r="2343" spans="12:13" x14ac:dyDescent="0.25">
      <c r="L2343">
        <f t="shared" si="82"/>
        <v>0</v>
      </c>
      <c r="M2343">
        <f t="shared" si="83"/>
        <v>0</v>
      </c>
    </row>
    <row r="2344" spans="12:13" x14ac:dyDescent="0.25">
      <c r="L2344">
        <f t="shared" si="82"/>
        <v>0</v>
      </c>
      <c r="M2344">
        <f t="shared" si="83"/>
        <v>0</v>
      </c>
    </row>
    <row r="2345" spans="12:13" x14ac:dyDescent="0.25">
      <c r="L2345">
        <f t="shared" si="82"/>
        <v>0</v>
      </c>
      <c r="M2345">
        <f t="shared" si="83"/>
        <v>0</v>
      </c>
    </row>
    <row r="2346" spans="12:13" x14ac:dyDescent="0.25">
      <c r="L2346">
        <f t="shared" si="82"/>
        <v>0</v>
      </c>
      <c r="M2346">
        <f t="shared" si="83"/>
        <v>0</v>
      </c>
    </row>
    <row r="2347" spans="12:13" x14ac:dyDescent="0.25">
      <c r="L2347">
        <f t="shared" si="82"/>
        <v>0</v>
      </c>
      <c r="M2347">
        <f t="shared" si="83"/>
        <v>0</v>
      </c>
    </row>
    <row r="2348" spans="12:13" x14ac:dyDescent="0.25">
      <c r="L2348">
        <f t="shared" si="82"/>
        <v>0</v>
      </c>
      <c r="M2348">
        <f t="shared" si="83"/>
        <v>0</v>
      </c>
    </row>
    <row r="2349" spans="12:13" x14ac:dyDescent="0.25">
      <c r="L2349">
        <f t="shared" si="82"/>
        <v>0</v>
      </c>
      <c r="M2349">
        <f t="shared" si="83"/>
        <v>0</v>
      </c>
    </row>
    <row r="2350" spans="12:13" x14ac:dyDescent="0.25">
      <c r="L2350">
        <f t="shared" ref="L2350:L2413" si="84">+I2350+H2350</f>
        <v>0</v>
      </c>
      <c r="M2350">
        <f t="shared" si="83"/>
        <v>0</v>
      </c>
    </row>
    <row r="2351" spans="12:13" x14ac:dyDescent="0.25">
      <c r="L2351">
        <f t="shared" si="84"/>
        <v>0</v>
      </c>
      <c r="M2351">
        <f t="shared" si="83"/>
        <v>0</v>
      </c>
    </row>
    <row r="2352" spans="12:13" x14ac:dyDescent="0.25">
      <c r="L2352">
        <f t="shared" si="84"/>
        <v>0</v>
      </c>
      <c r="M2352">
        <f t="shared" si="83"/>
        <v>0</v>
      </c>
    </row>
    <row r="2353" spans="12:13" x14ac:dyDescent="0.25">
      <c r="L2353">
        <f t="shared" si="84"/>
        <v>0</v>
      </c>
      <c r="M2353">
        <f t="shared" si="83"/>
        <v>0</v>
      </c>
    </row>
    <row r="2354" spans="12:13" x14ac:dyDescent="0.25">
      <c r="L2354">
        <f t="shared" si="84"/>
        <v>0</v>
      </c>
      <c r="M2354">
        <f t="shared" si="83"/>
        <v>0</v>
      </c>
    </row>
    <row r="2355" spans="12:13" x14ac:dyDescent="0.25">
      <c r="L2355">
        <f t="shared" si="84"/>
        <v>0</v>
      </c>
      <c r="M2355">
        <f t="shared" si="83"/>
        <v>0</v>
      </c>
    </row>
    <row r="2356" spans="12:13" x14ac:dyDescent="0.25">
      <c r="L2356">
        <f t="shared" si="84"/>
        <v>0</v>
      </c>
      <c r="M2356">
        <f t="shared" si="83"/>
        <v>0</v>
      </c>
    </row>
    <row r="2357" spans="12:13" x14ac:dyDescent="0.25">
      <c r="L2357">
        <f t="shared" si="84"/>
        <v>0</v>
      </c>
      <c r="M2357">
        <f t="shared" si="83"/>
        <v>0</v>
      </c>
    </row>
    <row r="2358" spans="12:13" x14ac:dyDescent="0.25">
      <c r="L2358">
        <f t="shared" si="84"/>
        <v>0</v>
      </c>
      <c r="M2358">
        <f t="shared" si="83"/>
        <v>0</v>
      </c>
    </row>
    <row r="2359" spans="12:13" x14ac:dyDescent="0.25">
      <c r="L2359">
        <f t="shared" si="84"/>
        <v>0</v>
      </c>
      <c r="M2359">
        <f t="shared" si="83"/>
        <v>0</v>
      </c>
    </row>
    <row r="2360" spans="12:13" x14ac:dyDescent="0.25">
      <c r="L2360">
        <f t="shared" si="84"/>
        <v>0</v>
      </c>
      <c r="M2360">
        <f t="shared" si="83"/>
        <v>0</v>
      </c>
    </row>
    <row r="2361" spans="12:13" x14ac:dyDescent="0.25">
      <c r="L2361">
        <f t="shared" si="84"/>
        <v>0</v>
      </c>
      <c r="M2361">
        <f t="shared" si="83"/>
        <v>0</v>
      </c>
    </row>
    <row r="2362" spans="12:13" x14ac:dyDescent="0.25">
      <c r="L2362">
        <f t="shared" si="84"/>
        <v>0</v>
      </c>
      <c r="M2362">
        <f t="shared" si="83"/>
        <v>0</v>
      </c>
    </row>
    <row r="2363" spans="12:13" x14ac:dyDescent="0.25">
      <c r="L2363">
        <f t="shared" si="84"/>
        <v>0</v>
      </c>
      <c r="M2363">
        <f t="shared" si="83"/>
        <v>0</v>
      </c>
    </row>
    <row r="2364" spans="12:13" x14ac:dyDescent="0.25">
      <c r="L2364">
        <f t="shared" si="84"/>
        <v>0</v>
      </c>
      <c r="M2364">
        <f t="shared" si="83"/>
        <v>0</v>
      </c>
    </row>
    <row r="2365" spans="12:13" x14ac:dyDescent="0.25">
      <c r="L2365">
        <f t="shared" si="84"/>
        <v>0</v>
      </c>
      <c r="M2365">
        <f t="shared" si="83"/>
        <v>0</v>
      </c>
    </row>
    <row r="2366" spans="12:13" x14ac:dyDescent="0.25">
      <c r="L2366">
        <f t="shared" si="84"/>
        <v>0</v>
      </c>
      <c r="M2366">
        <f t="shared" si="83"/>
        <v>0</v>
      </c>
    </row>
    <row r="2367" spans="12:13" x14ac:dyDescent="0.25">
      <c r="L2367">
        <f t="shared" si="84"/>
        <v>0</v>
      </c>
      <c r="M2367">
        <f t="shared" ref="M2367:M2430" si="85">+I2367/IF(H2367 = 0,1,H2367)</f>
        <v>0</v>
      </c>
    </row>
    <row r="2368" spans="12:13" x14ac:dyDescent="0.25">
      <c r="L2368">
        <f t="shared" si="84"/>
        <v>0</v>
      </c>
      <c r="M2368">
        <f t="shared" si="85"/>
        <v>0</v>
      </c>
    </row>
    <row r="2369" spans="12:13" x14ac:dyDescent="0.25">
      <c r="L2369">
        <f t="shared" si="84"/>
        <v>0</v>
      </c>
      <c r="M2369">
        <f t="shared" si="85"/>
        <v>0</v>
      </c>
    </row>
    <row r="2370" spans="12:13" x14ac:dyDescent="0.25">
      <c r="L2370">
        <f t="shared" si="84"/>
        <v>0</v>
      </c>
      <c r="M2370">
        <f t="shared" si="85"/>
        <v>0</v>
      </c>
    </row>
    <row r="2371" spans="12:13" x14ac:dyDescent="0.25">
      <c r="L2371">
        <f t="shared" si="84"/>
        <v>0</v>
      </c>
      <c r="M2371">
        <f t="shared" si="85"/>
        <v>0</v>
      </c>
    </row>
    <row r="2372" spans="12:13" x14ac:dyDescent="0.25">
      <c r="L2372">
        <f t="shared" si="84"/>
        <v>0</v>
      </c>
      <c r="M2372">
        <f t="shared" si="85"/>
        <v>0</v>
      </c>
    </row>
    <row r="2373" spans="12:13" x14ac:dyDescent="0.25">
      <c r="L2373">
        <f t="shared" si="84"/>
        <v>0</v>
      </c>
      <c r="M2373">
        <f t="shared" si="85"/>
        <v>0</v>
      </c>
    </row>
    <row r="2374" spans="12:13" x14ac:dyDescent="0.25">
      <c r="L2374">
        <f t="shared" si="84"/>
        <v>0</v>
      </c>
      <c r="M2374">
        <f t="shared" si="85"/>
        <v>0</v>
      </c>
    </row>
    <row r="2375" spans="12:13" x14ac:dyDescent="0.25">
      <c r="L2375">
        <f t="shared" si="84"/>
        <v>0</v>
      </c>
      <c r="M2375">
        <f t="shared" si="85"/>
        <v>0</v>
      </c>
    </row>
    <row r="2376" spans="12:13" x14ac:dyDescent="0.25">
      <c r="L2376">
        <f t="shared" si="84"/>
        <v>0</v>
      </c>
      <c r="M2376">
        <f t="shared" si="85"/>
        <v>0</v>
      </c>
    </row>
    <row r="2377" spans="12:13" x14ac:dyDescent="0.25">
      <c r="L2377">
        <f t="shared" si="84"/>
        <v>0</v>
      </c>
      <c r="M2377">
        <f t="shared" si="85"/>
        <v>0</v>
      </c>
    </row>
    <row r="2378" spans="12:13" x14ac:dyDescent="0.25">
      <c r="L2378">
        <f t="shared" si="84"/>
        <v>0</v>
      </c>
      <c r="M2378">
        <f t="shared" si="85"/>
        <v>0</v>
      </c>
    </row>
    <row r="2379" spans="12:13" x14ac:dyDescent="0.25">
      <c r="L2379">
        <f t="shared" si="84"/>
        <v>0</v>
      </c>
      <c r="M2379">
        <f t="shared" si="85"/>
        <v>0</v>
      </c>
    </row>
    <row r="2380" spans="12:13" x14ac:dyDescent="0.25">
      <c r="L2380">
        <f t="shared" si="84"/>
        <v>0</v>
      </c>
      <c r="M2380">
        <f t="shared" si="85"/>
        <v>0</v>
      </c>
    </row>
    <row r="2381" spans="12:13" x14ac:dyDescent="0.25">
      <c r="L2381">
        <f t="shared" si="84"/>
        <v>0</v>
      </c>
      <c r="M2381">
        <f t="shared" si="85"/>
        <v>0</v>
      </c>
    </row>
    <row r="2382" spans="12:13" x14ac:dyDescent="0.25">
      <c r="L2382">
        <f t="shared" si="84"/>
        <v>0</v>
      </c>
      <c r="M2382">
        <f t="shared" si="85"/>
        <v>0</v>
      </c>
    </row>
    <row r="2383" spans="12:13" x14ac:dyDescent="0.25">
      <c r="L2383">
        <f t="shared" si="84"/>
        <v>0</v>
      </c>
      <c r="M2383">
        <f t="shared" si="85"/>
        <v>0</v>
      </c>
    </row>
    <row r="2384" spans="12:13" x14ac:dyDescent="0.25">
      <c r="L2384">
        <f t="shared" si="84"/>
        <v>0</v>
      </c>
      <c r="M2384">
        <f t="shared" si="85"/>
        <v>0</v>
      </c>
    </row>
    <row r="2385" spans="12:13" x14ac:dyDescent="0.25">
      <c r="L2385">
        <f t="shared" si="84"/>
        <v>0</v>
      </c>
      <c r="M2385">
        <f t="shared" si="85"/>
        <v>0</v>
      </c>
    </row>
    <row r="2386" spans="12:13" x14ac:dyDescent="0.25">
      <c r="L2386">
        <f t="shared" si="84"/>
        <v>0</v>
      </c>
      <c r="M2386">
        <f t="shared" si="85"/>
        <v>0</v>
      </c>
    </row>
    <row r="2387" spans="12:13" x14ac:dyDescent="0.25">
      <c r="L2387">
        <f t="shared" si="84"/>
        <v>0</v>
      </c>
      <c r="M2387">
        <f t="shared" si="85"/>
        <v>0</v>
      </c>
    </row>
    <row r="2388" spans="12:13" x14ac:dyDescent="0.25">
      <c r="L2388">
        <f t="shared" si="84"/>
        <v>0</v>
      </c>
      <c r="M2388">
        <f t="shared" si="85"/>
        <v>0</v>
      </c>
    </row>
    <row r="2389" spans="12:13" x14ac:dyDescent="0.25">
      <c r="L2389">
        <f t="shared" si="84"/>
        <v>0</v>
      </c>
      <c r="M2389">
        <f t="shared" si="85"/>
        <v>0</v>
      </c>
    </row>
    <row r="2390" spans="12:13" x14ac:dyDescent="0.25">
      <c r="L2390">
        <f t="shared" si="84"/>
        <v>0</v>
      </c>
      <c r="M2390">
        <f t="shared" si="85"/>
        <v>0</v>
      </c>
    </row>
    <row r="2391" spans="12:13" x14ac:dyDescent="0.25">
      <c r="L2391">
        <f t="shared" si="84"/>
        <v>0</v>
      </c>
      <c r="M2391">
        <f t="shared" si="85"/>
        <v>0</v>
      </c>
    </row>
    <row r="2392" spans="12:13" x14ac:dyDescent="0.25">
      <c r="L2392">
        <f t="shared" si="84"/>
        <v>0</v>
      </c>
      <c r="M2392">
        <f t="shared" si="85"/>
        <v>0</v>
      </c>
    </row>
    <row r="2393" spans="12:13" x14ac:dyDescent="0.25">
      <c r="L2393">
        <f t="shared" si="84"/>
        <v>0</v>
      </c>
      <c r="M2393">
        <f t="shared" si="85"/>
        <v>0</v>
      </c>
    </row>
    <row r="2394" spans="12:13" x14ac:dyDescent="0.25">
      <c r="L2394">
        <f t="shared" si="84"/>
        <v>0</v>
      </c>
      <c r="M2394">
        <f t="shared" si="85"/>
        <v>0</v>
      </c>
    </row>
    <row r="2395" spans="12:13" x14ac:dyDescent="0.25">
      <c r="L2395">
        <f t="shared" si="84"/>
        <v>0</v>
      </c>
      <c r="M2395">
        <f t="shared" si="85"/>
        <v>0</v>
      </c>
    </row>
    <row r="2396" spans="12:13" x14ac:dyDescent="0.25">
      <c r="L2396">
        <f t="shared" si="84"/>
        <v>0</v>
      </c>
      <c r="M2396">
        <f t="shared" si="85"/>
        <v>0</v>
      </c>
    </row>
    <row r="2397" spans="12:13" x14ac:dyDescent="0.25">
      <c r="L2397">
        <f t="shared" si="84"/>
        <v>0</v>
      </c>
      <c r="M2397">
        <f t="shared" si="85"/>
        <v>0</v>
      </c>
    </row>
    <row r="2398" spans="12:13" x14ac:dyDescent="0.25">
      <c r="L2398">
        <f t="shared" si="84"/>
        <v>0</v>
      </c>
      <c r="M2398">
        <f t="shared" si="85"/>
        <v>0</v>
      </c>
    </row>
    <row r="2399" spans="12:13" x14ac:dyDescent="0.25">
      <c r="L2399">
        <f t="shared" si="84"/>
        <v>0</v>
      </c>
      <c r="M2399">
        <f t="shared" si="85"/>
        <v>0</v>
      </c>
    </row>
    <row r="2400" spans="12:13" x14ac:dyDescent="0.25">
      <c r="L2400">
        <f t="shared" si="84"/>
        <v>0</v>
      </c>
      <c r="M2400">
        <f t="shared" si="85"/>
        <v>0</v>
      </c>
    </row>
    <row r="2401" spans="12:13" x14ac:dyDescent="0.25">
      <c r="L2401">
        <f t="shared" si="84"/>
        <v>0</v>
      </c>
      <c r="M2401">
        <f t="shared" si="85"/>
        <v>0</v>
      </c>
    </row>
    <row r="2402" spans="12:13" x14ac:dyDescent="0.25">
      <c r="L2402">
        <f t="shared" si="84"/>
        <v>0</v>
      </c>
      <c r="M2402">
        <f t="shared" si="85"/>
        <v>0</v>
      </c>
    </row>
    <row r="2403" spans="12:13" x14ac:dyDescent="0.25">
      <c r="L2403">
        <f t="shared" si="84"/>
        <v>0</v>
      </c>
      <c r="M2403">
        <f t="shared" si="85"/>
        <v>0</v>
      </c>
    </row>
    <row r="2404" spans="12:13" x14ac:dyDescent="0.25">
      <c r="L2404">
        <f t="shared" si="84"/>
        <v>0</v>
      </c>
      <c r="M2404">
        <f t="shared" si="85"/>
        <v>0</v>
      </c>
    </row>
    <row r="2405" spans="12:13" x14ac:dyDescent="0.25">
      <c r="L2405">
        <f t="shared" si="84"/>
        <v>0</v>
      </c>
      <c r="M2405">
        <f t="shared" si="85"/>
        <v>0</v>
      </c>
    </row>
    <row r="2406" spans="12:13" x14ac:dyDescent="0.25">
      <c r="L2406">
        <f t="shared" si="84"/>
        <v>0</v>
      </c>
      <c r="M2406">
        <f t="shared" si="85"/>
        <v>0</v>
      </c>
    </row>
    <row r="2407" spans="12:13" x14ac:dyDescent="0.25">
      <c r="L2407">
        <f t="shared" si="84"/>
        <v>0</v>
      </c>
      <c r="M2407">
        <f t="shared" si="85"/>
        <v>0</v>
      </c>
    </row>
    <row r="2408" spans="12:13" x14ac:dyDescent="0.25">
      <c r="L2408">
        <f t="shared" si="84"/>
        <v>0</v>
      </c>
      <c r="M2408">
        <f t="shared" si="85"/>
        <v>0</v>
      </c>
    </row>
    <row r="2409" spans="12:13" x14ac:dyDescent="0.25">
      <c r="L2409">
        <f t="shared" si="84"/>
        <v>0</v>
      </c>
      <c r="M2409">
        <f t="shared" si="85"/>
        <v>0</v>
      </c>
    </row>
    <row r="2410" spans="12:13" x14ac:dyDescent="0.25">
      <c r="L2410">
        <f t="shared" si="84"/>
        <v>0</v>
      </c>
      <c r="M2410">
        <f t="shared" si="85"/>
        <v>0</v>
      </c>
    </row>
    <row r="2411" spans="12:13" x14ac:dyDescent="0.25">
      <c r="L2411">
        <f t="shared" si="84"/>
        <v>0</v>
      </c>
      <c r="M2411">
        <f t="shared" si="85"/>
        <v>0</v>
      </c>
    </row>
    <row r="2412" spans="12:13" x14ac:dyDescent="0.25">
      <c r="L2412">
        <f t="shared" si="84"/>
        <v>0</v>
      </c>
      <c r="M2412">
        <f t="shared" si="85"/>
        <v>0</v>
      </c>
    </row>
    <row r="2413" spans="12:13" x14ac:dyDescent="0.25">
      <c r="L2413">
        <f t="shared" si="84"/>
        <v>0</v>
      </c>
      <c r="M2413">
        <f t="shared" si="85"/>
        <v>0</v>
      </c>
    </row>
    <row r="2414" spans="12:13" x14ac:dyDescent="0.25">
      <c r="L2414">
        <f t="shared" ref="L2414:L2477" si="86">+I2414+H2414</f>
        <v>0</v>
      </c>
      <c r="M2414">
        <f t="shared" si="85"/>
        <v>0</v>
      </c>
    </row>
    <row r="2415" spans="12:13" x14ac:dyDescent="0.25">
      <c r="L2415">
        <f t="shared" si="86"/>
        <v>0</v>
      </c>
      <c r="M2415">
        <f t="shared" si="85"/>
        <v>0</v>
      </c>
    </row>
    <row r="2416" spans="12:13" x14ac:dyDescent="0.25">
      <c r="L2416">
        <f t="shared" si="86"/>
        <v>0</v>
      </c>
      <c r="M2416">
        <f t="shared" si="85"/>
        <v>0</v>
      </c>
    </row>
    <row r="2417" spans="12:13" x14ac:dyDescent="0.25">
      <c r="L2417">
        <f t="shared" si="86"/>
        <v>0</v>
      </c>
      <c r="M2417">
        <f t="shared" si="85"/>
        <v>0</v>
      </c>
    </row>
    <row r="2418" spans="12:13" x14ac:dyDescent="0.25">
      <c r="L2418">
        <f t="shared" si="86"/>
        <v>0</v>
      </c>
      <c r="M2418">
        <f t="shared" si="85"/>
        <v>0</v>
      </c>
    </row>
    <row r="2419" spans="12:13" x14ac:dyDescent="0.25">
      <c r="L2419">
        <f t="shared" si="86"/>
        <v>0</v>
      </c>
      <c r="M2419">
        <f t="shared" si="85"/>
        <v>0</v>
      </c>
    </row>
    <row r="2420" spans="12:13" x14ac:dyDescent="0.25">
      <c r="L2420">
        <f t="shared" si="86"/>
        <v>0</v>
      </c>
      <c r="M2420">
        <f t="shared" si="85"/>
        <v>0</v>
      </c>
    </row>
    <row r="2421" spans="12:13" x14ac:dyDescent="0.25">
      <c r="L2421">
        <f t="shared" si="86"/>
        <v>0</v>
      </c>
      <c r="M2421">
        <f t="shared" si="85"/>
        <v>0</v>
      </c>
    </row>
    <row r="2422" spans="12:13" x14ac:dyDescent="0.25">
      <c r="L2422">
        <f t="shared" si="86"/>
        <v>0</v>
      </c>
      <c r="M2422">
        <f t="shared" si="85"/>
        <v>0</v>
      </c>
    </row>
    <row r="2423" spans="12:13" x14ac:dyDescent="0.25">
      <c r="L2423">
        <f t="shared" si="86"/>
        <v>0</v>
      </c>
      <c r="M2423">
        <f t="shared" si="85"/>
        <v>0</v>
      </c>
    </row>
    <row r="2424" spans="12:13" x14ac:dyDescent="0.25">
      <c r="L2424">
        <f t="shared" si="86"/>
        <v>0</v>
      </c>
      <c r="M2424">
        <f t="shared" si="85"/>
        <v>0</v>
      </c>
    </row>
    <row r="2425" spans="12:13" x14ac:dyDescent="0.25">
      <c r="L2425">
        <f t="shared" si="86"/>
        <v>0</v>
      </c>
      <c r="M2425">
        <f t="shared" si="85"/>
        <v>0</v>
      </c>
    </row>
    <row r="2426" spans="12:13" x14ac:dyDescent="0.25">
      <c r="L2426">
        <f t="shared" si="86"/>
        <v>0</v>
      </c>
      <c r="M2426">
        <f t="shared" si="85"/>
        <v>0</v>
      </c>
    </row>
    <row r="2427" spans="12:13" x14ac:dyDescent="0.25">
      <c r="L2427">
        <f t="shared" si="86"/>
        <v>0</v>
      </c>
      <c r="M2427">
        <f t="shared" si="85"/>
        <v>0</v>
      </c>
    </row>
    <row r="2428" spans="12:13" x14ac:dyDescent="0.25">
      <c r="L2428">
        <f t="shared" si="86"/>
        <v>0</v>
      </c>
      <c r="M2428">
        <f t="shared" si="85"/>
        <v>0</v>
      </c>
    </row>
    <row r="2429" spans="12:13" x14ac:dyDescent="0.25">
      <c r="L2429">
        <f t="shared" si="86"/>
        <v>0</v>
      </c>
      <c r="M2429">
        <f t="shared" si="85"/>
        <v>0</v>
      </c>
    </row>
    <row r="2430" spans="12:13" x14ac:dyDescent="0.25">
      <c r="L2430">
        <f t="shared" si="86"/>
        <v>0</v>
      </c>
      <c r="M2430">
        <f t="shared" si="85"/>
        <v>0</v>
      </c>
    </row>
    <row r="2431" spans="12:13" x14ac:dyDescent="0.25">
      <c r="L2431">
        <f t="shared" si="86"/>
        <v>0</v>
      </c>
      <c r="M2431">
        <f t="shared" ref="M2431:M2494" si="87">+I2431/IF(H2431 = 0,1,H2431)</f>
        <v>0</v>
      </c>
    </row>
    <row r="2432" spans="12:13" x14ac:dyDescent="0.25">
      <c r="L2432">
        <f t="shared" si="86"/>
        <v>0</v>
      </c>
      <c r="M2432">
        <f t="shared" si="87"/>
        <v>0</v>
      </c>
    </row>
    <row r="2433" spans="12:13" x14ac:dyDescent="0.25">
      <c r="L2433">
        <f t="shared" si="86"/>
        <v>0</v>
      </c>
      <c r="M2433">
        <f t="shared" si="87"/>
        <v>0</v>
      </c>
    </row>
    <row r="2434" spans="12:13" x14ac:dyDescent="0.25">
      <c r="L2434">
        <f t="shared" si="86"/>
        <v>0</v>
      </c>
      <c r="M2434">
        <f t="shared" si="87"/>
        <v>0</v>
      </c>
    </row>
    <row r="2435" spans="12:13" x14ac:dyDescent="0.25">
      <c r="L2435">
        <f t="shared" si="86"/>
        <v>0</v>
      </c>
      <c r="M2435">
        <f t="shared" si="87"/>
        <v>0</v>
      </c>
    </row>
    <row r="2436" spans="12:13" x14ac:dyDescent="0.25">
      <c r="L2436">
        <f t="shared" si="86"/>
        <v>0</v>
      </c>
      <c r="M2436">
        <f t="shared" si="87"/>
        <v>0</v>
      </c>
    </row>
    <row r="2437" spans="12:13" x14ac:dyDescent="0.25">
      <c r="L2437">
        <f t="shared" si="86"/>
        <v>0</v>
      </c>
      <c r="M2437">
        <f t="shared" si="87"/>
        <v>0</v>
      </c>
    </row>
    <row r="2438" spans="12:13" x14ac:dyDescent="0.25">
      <c r="L2438">
        <f t="shared" si="86"/>
        <v>0</v>
      </c>
      <c r="M2438">
        <f t="shared" si="87"/>
        <v>0</v>
      </c>
    </row>
    <row r="2439" spans="12:13" x14ac:dyDescent="0.25">
      <c r="L2439">
        <f t="shared" si="86"/>
        <v>0</v>
      </c>
      <c r="M2439">
        <f t="shared" si="87"/>
        <v>0</v>
      </c>
    </row>
    <row r="2440" spans="12:13" x14ac:dyDescent="0.25">
      <c r="L2440">
        <f t="shared" si="86"/>
        <v>0</v>
      </c>
      <c r="M2440">
        <f t="shared" si="87"/>
        <v>0</v>
      </c>
    </row>
    <row r="2441" spans="12:13" x14ac:dyDescent="0.25">
      <c r="L2441">
        <f t="shared" si="86"/>
        <v>0</v>
      </c>
      <c r="M2441">
        <f t="shared" si="87"/>
        <v>0</v>
      </c>
    </row>
    <row r="2442" spans="12:13" x14ac:dyDescent="0.25">
      <c r="L2442">
        <f t="shared" si="86"/>
        <v>0</v>
      </c>
      <c r="M2442">
        <f t="shared" si="87"/>
        <v>0</v>
      </c>
    </row>
    <row r="2443" spans="12:13" x14ac:dyDescent="0.25">
      <c r="L2443">
        <f t="shared" si="86"/>
        <v>0</v>
      </c>
      <c r="M2443">
        <f t="shared" si="87"/>
        <v>0</v>
      </c>
    </row>
    <row r="2444" spans="12:13" x14ac:dyDescent="0.25">
      <c r="L2444">
        <f t="shared" si="86"/>
        <v>0</v>
      </c>
      <c r="M2444">
        <f t="shared" si="87"/>
        <v>0</v>
      </c>
    </row>
    <row r="2445" spans="12:13" x14ac:dyDescent="0.25">
      <c r="L2445">
        <f t="shared" si="86"/>
        <v>0</v>
      </c>
      <c r="M2445">
        <f t="shared" si="87"/>
        <v>0</v>
      </c>
    </row>
    <row r="2446" spans="12:13" x14ac:dyDescent="0.25">
      <c r="L2446">
        <f t="shared" si="86"/>
        <v>0</v>
      </c>
      <c r="M2446">
        <f t="shared" si="87"/>
        <v>0</v>
      </c>
    </row>
    <row r="2447" spans="12:13" x14ac:dyDescent="0.25">
      <c r="L2447">
        <f t="shared" si="86"/>
        <v>0</v>
      </c>
      <c r="M2447">
        <f t="shared" si="87"/>
        <v>0</v>
      </c>
    </row>
    <row r="2448" spans="12:13" x14ac:dyDescent="0.25">
      <c r="L2448">
        <f t="shared" si="86"/>
        <v>0</v>
      </c>
      <c r="M2448">
        <f t="shared" si="87"/>
        <v>0</v>
      </c>
    </row>
    <row r="2449" spans="12:13" x14ac:dyDescent="0.25">
      <c r="L2449">
        <f t="shared" si="86"/>
        <v>0</v>
      </c>
      <c r="M2449">
        <f t="shared" si="87"/>
        <v>0</v>
      </c>
    </row>
    <row r="2450" spans="12:13" x14ac:dyDescent="0.25">
      <c r="L2450">
        <f t="shared" si="86"/>
        <v>0</v>
      </c>
      <c r="M2450">
        <f t="shared" si="87"/>
        <v>0</v>
      </c>
    </row>
    <row r="2451" spans="12:13" x14ac:dyDescent="0.25">
      <c r="L2451">
        <f t="shared" si="86"/>
        <v>0</v>
      </c>
      <c r="M2451">
        <f t="shared" si="87"/>
        <v>0</v>
      </c>
    </row>
    <row r="2452" spans="12:13" x14ac:dyDescent="0.25">
      <c r="L2452">
        <f t="shared" si="86"/>
        <v>0</v>
      </c>
      <c r="M2452">
        <f t="shared" si="87"/>
        <v>0</v>
      </c>
    </row>
    <row r="2453" spans="12:13" x14ac:dyDescent="0.25">
      <c r="L2453">
        <f t="shared" si="86"/>
        <v>0</v>
      </c>
      <c r="M2453">
        <f t="shared" si="87"/>
        <v>0</v>
      </c>
    </row>
    <row r="2454" spans="12:13" x14ac:dyDescent="0.25">
      <c r="L2454">
        <f t="shared" si="86"/>
        <v>0</v>
      </c>
      <c r="M2454">
        <f t="shared" si="87"/>
        <v>0</v>
      </c>
    </row>
    <row r="2455" spans="12:13" x14ac:dyDescent="0.25">
      <c r="L2455">
        <f t="shared" si="86"/>
        <v>0</v>
      </c>
      <c r="M2455">
        <f t="shared" si="87"/>
        <v>0</v>
      </c>
    </row>
    <row r="2456" spans="12:13" x14ac:dyDescent="0.25">
      <c r="L2456">
        <f t="shared" si="86"/>
        <v>0</v>
      </c>
      <c r="M2456">
        <f t="shared" si="87"/>
        <v>0</v>
      </c>
    </row>
    <row r="2457" spans="12:13" x14ac:dyDescent="0.25">
      <c r="L2457">
        <f t="shared" si="86"/>
        <v>0</v>
      </c>
      <c r="M2457">
        <f t="shared" si="87"/>
        <v>0</v>
      </c>
    </row>
    <row r="2458" spans="12:13" x14ac:dyDescent="0.25">
      <c r="L2458">
        <f t="shared" si="86"/>
        <v>0</v>
      </c>
      <c r="M2458">
        <f t="shared" si="87"/>
        <v>0</v>
      </c>
    </row>
    <row r="2459" spans="12:13" x14ac:dyDescent="0.25">
      <c r="L2459">
        <f t="shared" si="86"/>
        <v>0</v>
      </c>
      <c r="M2459">
        <f t="shared" si="87"/>
        <v>0</v>
      </c>
    </row>
    <row r="2460" spans="12:13" x14ac:dyDescent="0.25">
      <c r="L2460">
        <f t="shared" si="86"/>
        <v>0</v>
      </c>
      <c r="M2460">
        <f t="shared" si="87"/>
        <v>0</v>
      </c>
    </row>
    <row r="2461" spans="12:13" x14ac:dyDescent="0.25">
      <c r="L2461">
        <f t="shared" si="86"/>
        <v>0</v>
      </c>
      <c r="M2461">
        <f t="shared" si="87"/>
        <v>0</v>
      </c>
    </row>
    <row r="2462" spans="12:13" x14ac:dyDescent="0.25">
      <c r="L2462">
        <f t="shared" si="86"/>
        <v>0</v>
      </c>
      <c r="M2462">
        <f t="shared" si="87"/>
        <v>0</v>
      </c>
    </row>
    <row r="2463" spans="12:13" x14ac:dyDescent="0.25">
      <c r="L2463">
        <f t="shared" si="86"/>
        <v>0</v>
      </c>
      <c r="M2463">
        <f t="shared" si="87"/>
        <v>0</v>
      </c>
    </row>
    <row r="2464" spans="12:13" x14ac:dyDescent="0.25">
      <c r="L2464">
        <f t="shared" si="86"/>
        <v>0</v>
      </c>
      <c r="M2464">
        <f t="shared" si="87"/>
        <v>0</v>
      </c>
    </row>
    <row r="2465" spans="12:13" x14ac:dyDescent="0.25">
      <c r="L2465">
        <f t="shared" si="86"/>
        <v>0</v>
      </c>
      <c r="M2465">
        <f t="shared" si="87"/>
        <v>0</v>
      </c>
    </row>
    <row r="2466" spans="12:13" x14ac:dyDescent="0.25">
      <c r="L2466">
        <f t="shared" si="86"/>
        <v>0</v>
      </c>
      <c r="M2466">
        <f t="shared" si="87"/>
        <v>0</v>
      </c>
    </row>
    <row r="2467" spans="12:13" x14ac:dyDescent="0.25">
      <c r="L2467">
        <f t="shared" si="86"/>
        <v>0</v>
      </c>
      <c r="M2467">
        <f t="shared" si="87"/>
        <v>0</v>
      </c>
    </row>
    <row r="2468" spans="12:13" x14ac:dyDescent="0.25">
      <c r="L2468">
        <f t="shared" si="86"/>
        <v>0</v>
      </c>
      <c r="M2468">
        <f t="shared" si="87"/>
        <v>0</v>
      </c>
    </row>
    <row r="2469" spans="12:13" x14ac:dyDescent="0.25">
      <c r="L2469">
        <f t="shared" si="86"/>
        <v>0</v>
      </c>
      <c r="M2469">
        <f t="shared" si="87"/>
        <v>0</v>
      </c>
    </row>
    <row r="2470" spans="12:13" x14ac:dyDescent="0.25">
      <c r="L2470">
        <f t="shared" si="86"/>
        <v>0</v>
      </c>
      <c r="M2470">
        <f t="shared" si="87"/>
        <v>0</v>
      </c>
    </row>
    <row r="2471" spans="12:13" x14ac:dyDescent="0.25">
      <c r="L2471">
        <f t="shared" si="86"/>
        <v>0</v>
      </c>
      <c r="M2471">
        <f t="shared" si="87"/>
        <v>0</v>
      </c>
    </row>
    <row r="2472" spans="12:13" x14ac:dyDescent="0.25">
      <c r="L2472">
        <f t="shared" si="86"/>
        <v>0</v>
      </c>
      <c r="M2472">
        <f t="shared" si="87"/>
        <v>0</v>
      </c>
    </row>
    <row r="2473" spans="12:13" x14ac:dyDescent="0.25">
      <c r="L2473">
        <f t="shared" si="86"/>
        <v>0</v>
      </c>
      <c r="M2473">
        <f t="shared" si="87"/>
        <v>0</v>
      </c>
    </row>
    <row r="2474" spans="12:13" x14ac:dyDescent="0.25">
      <c r="L2474">
        <f t="shared" si="86"/>
        <v>0</v>
      </c>
      <c r="M2474">
        <f t="shared" si="87"/>
        <v>0</v>
      </c>
    </row>
    <row r="2475" spans="12:13" x14ac:dyDescent="0.25">
      <c r="L2475">
        <f t="shared" si="86"/>
        <v>0</v>
      </c>
      <c r="M2475">
        <f t="shared" si="87"/>
        <v>0</v>
      </c>
    </row>
    <row r="2476" spans="12:13" x14ac:dyDescent="0.25">
      <c r="L2476">
        <f t="shared" si="86"/>
        <v>0</v>
      </c>
      <c r="M2476">
        <f t="shared" si="87"/>
        <v>0</v>
      </c>
    </row>
    <row r="2477" spans="12:13" x14ac:dyDescent="0.25">
      <c r="L2477">
        <f t="shared" si="86"/>
        <v>0</v>
      </c>
      <c r="M2477">
        <f t="shared" si="87"/>
        <v>0</v>
      </c>
    </row>
    <row r="2478" spans="12:13" x14ac:dyDescent="0.25">
      <c r="L2478">
        <f t="shared" ref="L2478:L2541" si="88">+I2478+H2478</f>
        <v>0</v>
      </c>
      <c r="M2478">
        <f t="shared" si="87"/>
        <v>0</v>
      </c>
    </row>
    <row r="2479" spans="12:13" x14ac:dyDescent="0.25">
      <c r="L2479">
        <f t="shared" si="88"/>
        <v>0</v>
      </c>
      <c r="M2479">
        <f t="shared" si="87"/>
        <v>0</v>
      </c>
    </row>
    <row r="2480" spans="12:13" x14ac:dyDescent="0.25">
      <c r="L2480">
        <f t="shared" si="88"/>
        <v>0</v>
      </c>
      <c r="M2480">
        <f t="shared" si="87"/>
        <v>0</v>
      </c>
    </row>
    <row r="2481" spans="12:13" x14ac:dyDescent="0.25">
      <c r="L2481">
        <f t="shared" si="88"/>
        <v>0</v>
      </c>
      <c r="M2481">
        <f t="shared" si="87"/>
        <v>0</v>
      </c>
    </row>
    <row r="2482" spans="12:13" x14ac:dyDescent="0.25">
      <c r="L2482">
        <f t="shared" si="88"/>
        <v>0</v>
      </c>
      <c r="M2482">
        <f t="shared" si="87"/>
        <v>0</v>
      </c>
    </row>
    <row r="2483" spans="12:13" x14ac:dyDescent="0.25">
      <c r="L2483">
        <f t="shared" si="88"/>
        <v>0</v>
      </c>
      <c r="M2483">
        <f t="shared" si="87"/>
        <v>0</v>
      </c>
    </row>
    <row r="2484" spans="12:13" x14ac:dyDescent="0.25">
      <c r="L2484">
        <f t="shared" si="88"/>
        <v>0</v>
      </c>
      <c r="M2484">
        <f t="shared" si="87"/>
        <v>0</v>
      </c>
    </row>
    <row r="2485" spans="12:13" x14ac:dyDescent="0.25">
      <c r="L2485">
        <f t="shared" si="88"/>
        <v>0</v>
      </c>
      <c r="M2485">
        <f t="shared" si="87"/>
        <v>0</v>
      </c>
    </row>
    <row r="2486" spans="12:13" x14ac:dyDescent="0.25">
      <c r="L2486">
        <f t="shared" si="88"/>
        <v>0</v>
      </c>
      <c r="M2486">
        <f t="shared" si="87"/>
        <v>0</v>
      </c>
    </row>
    <row r="2487" spans="12:13" x14ac:dyDescent="0.25">
      <c r="L2487">
        <f t="shared" si="88"/>
        <v>0</v>
      </c>
      <c r="M2487">
        <f t="shared" si="87"/>
        <v>0</v>
      </c>
    </row>
    <row r="2488" spans="12:13" x14ac:dyDescent="0.25">
      <c r="L2488">
        <f t="shared" si="88"/>
        <v>0</v>
      </c>
      <c r="M2488">
        <f t="shared" si="87"/>
        <v>0</v>
      </c>
    </row>
    <row r="2489" spans="12:13" x14ac:dyDescent="0.25">
      <c r="L2489">
        <f t="shared" si="88"/>
        <v>0</v>
      </c>
      <c r="M2489">
        <f t="shared" si="87"/>
        <v>0</v>
      </c>
    </row>
    <row r="2490" spans="12:13" x14ac:dyDescent="0.25">
      <c r="L2490">
        <f t="shared" si="88"/>
        <v>0</v>
      </c>
      <c r="M2490">
        <f t="shared" si="87"/>
        <v>0</v>
      </c>
    </row>
    <row r="2491" spans="12:13" x14ac:dyDescent="0.25">
      <c r="L2491">
        <f t="shared" si="88"/>
        <v>0</v>
      </c>
      <c r="M2491">
        <f t="shared" si="87"/>
        <v>0</v>
      </c>
    </row>
    <row r="2492" spans="12:13" x14ac:dyDescent="0.25">
      <c r="L2492">
        <f t="shared" si="88"/>
        <v>0</v>
      </c>
      <c r="M2492">
        <f t="shared" si="87"/>
        <v>0</v>
      </c>
    </row>
    <row r="2493" spans="12:13" x14ac:dyDescent="0.25">
      <c r="L2493">
        <f t="shared" si="88"/>
        <v>0</v>
      </c>
      <c r="M2493">
        <f t="shared" si="87"/>
        <v>0</v>
      </c>
    </row>
    <row r="2494" spans="12:13" x14ac:dyDescent="0.25">
      <c r="L2494">
        <f t="shared" si="88"/>
        <v>0</v>
      </c>
      <c r="M2494">
        <f t="shared" si="87"/>
        <v>0</v>
      </c>
    </row>
    <row r="2495" spans="12:13" x14ac:dyDescent="0.25">
      <c r="L2495">
        <f t="shared" si="88"/>
        <v>0</v>
      </c>
      <c r="M2495">
        <f t="shared" ref="M2495:M2558" si="89">+I2495/IF(H2495 = 0,1,H2495)</f>
        <v>0</v>
      </c>
    </row>
    <row r="2496" spans="12:13" x14ac:dyDescent="0.25">
      <c r="L2496">
        <f t="shared" si="88"/>
        <v>0</v>
      </c>
      <c r="M2496">
        <f t="shared" si="89"/>
        <v>0</v>
      </c>
    </row>
    <row r="2497" spans="12:13" x14ac:dyDescent="0.25">
      <c r="L2497">
        <f t="shared" si="88"/>
        <v>0</v>
      </c>
      <c r="M2497">
        <f t="shared" si="89"/>
        <v>0</v>
      </c>
    </row>
    <row r="2498" spans="12:13" x14ac:dyDescent="0.25">
      <c r="L2498">
        <f t="shared" si="88"/>
        <v>0</v>
      </c>
      <c r="M2498">
        <f t="shared" si="89"/>
        <v>0</v>
      </c>
    </row>
    <row r="2499" spans="12:13" x14ac:dyDescent="0.25">
      <c r="L2499">
        <f t="shared" si="88"/>
        <v>0</v>
      </c>
      <c r="M2499">
        <f t="shared" si="89"/>
        <v>0</v>
      </c>
    </row>
    <row r="2500" spans="12:13" x14ac:dyDescent="0.25">
      <c r="L2500">
        <f t="shared" si="88"/>
        <v>0</v>
      </c>
      <c r="M2500">
        <f t="shared" si="89"/>
        <v>0</v>
      </c>
    </row>
    <row r="2501" spans="12:13" x14ac:dyDescent="0.25">
      <c r="L2501">
        <f t="shared" si="88"/>
        <v>0</v>
      </c>
      <c r="M2501">
        <f t="shared" si="89"/>
        <v>0</v>
      </c>
    </row>
    <row r="2502" spans="12:13" x14ac:dyDescent="0.25">
      <c r="L2502">
        <f t="shared" si="88"/>
        <v>0</v>
      </c>
      <c r="M2502">
        <f t="shared" si="89"/>
        <v>0</v>
      </c>
    </row>
    <row r="2503" spans="12:13" x14ac:dyDescent="0.25">
      <c r="L2503">
        <f t="shared" si="88"/>
        <v>0</v>
      </c>
      <c r="M2503">
        <f t="shared" si="89"/>
        <v>0</v>
      </c>
    </row>
    <row r="2504" spans="12:13" x14ac:dyDescent="0.25">
      <c r="L2504">
        <f t="shared" si="88"/>
        <v>0</v>
      </c>
      <c r="M2504">
        <f t="shared" si="89"/>
        <v>0</v>
      </c>
    </row>
    <row r="2505" spans="12:13" x14ac:dyDescent="0.25">
      <c r="L2505">
        <f t="shared" si="88"/>
        <v>0</v>
      </c>
      <c r="M2505">
        <f t="shared" si="89"/>
        <v>0</v>
      </c>
    </row>
    <row r="2506" spans="12:13" x14ac:dyDescent="0.25">
      <c r="L2506">
        <f t="shared" si="88"/>
        <v>0</v>
      </c>
      <c r="M2506">
        <f t="shared" si="89"/>
        <v>0</v>
      </c>
    </row>
    <row r="2507" spans="12:13" x14ac:dyDescent="0.25">
      <c r="L2507">
        <f t="shared" si="88"/>
        <v>0</v>
      </c>
      <c r="M2507">
        <f t="shared" si="89"/>
        <v>0</v>
      </c>
    </row>
    <row r="2508" spans="12:13" x14ac:dyDescent="0.25">
      <c r="L2508">
        <f t="shared" si="88"/>
        <v>0</v>
      </c>
      <c r="M2508">
        <f t="shared" si="89"/>
        <v>0</v>
      </c>
    </row>
    <row r="2509" spans="12:13" x14ac:dyDescent="0.25">
      <c r="L2509">
        <f t="shared" si="88"/>
        <v>0</v>
      </c>
      <c r="M2509">
        <f t="shared" si="89"/>
        <v>0</v>
      </c>
    </row>
    <row r="2510" spans="12:13" x14ac:dyDescent="0.25">
      <c r="L2510">
        <f t="shared" si="88"/>
        <v>0</v>
      </c>
      <c r="M2510">
        <f t="shared" si="89"/>
        <v>0</v>
      </c>
    </row>
    <row r="2511" spans="12:13" x14ac:dyDescent="0.25">
      <c r="L2511">
        <f t="shared" si="88"/>
        <v>0</v>
      </c>
      <c r="M2511">
        <f t="shared" si="89"/>
        <v>0</v>
      </c>
    </row>
    <row r="2512" spans="12:13" x14ac:dyDescent="0.25">
      <c r="L2512">
        <f t="shared" si="88"/>
        <v>0</v>
      </c>
      <c r="M2512">
        <f t="shared" si="89"/>
        <v>0</v>
      </c>
    </row>
    <row r="2513" spans="12:13" x14ac:dyDescent="0.25">
      <c r="L2513">
        <f t="shared" si="88"/>
        <v>0</v>
      </c>
      <c r="M2513">
        <f t="shared" si="89"/>
        <v>0</v>
      </c>
    </row>
    <row r="2514" spans="12:13" x14ac:dyDescent="0.25">
      <c r="L2514">
        <f t="shared" si="88"/>
        <v>0</v>
      </c>
      <c r="M2514">
        <f t="shared" si="89"/>
        <v>0</v>
      </c>
    </row>
    <row r="2515" spans="12:13" x14ac:dyDescent="0.25">
      <c r="L2515">
        <f t="shared" si="88"/>
        <v>0</v>
      </c>
      <c r="M2515">
        <f t="shared" si="89"/>
        <v>0</v>
      </c>
    </row>
    <row r="2516" spans="12:13" x14ac:dyDescent="0.25">
      <c r="L2516">
        <f t="shared" si="88"/>
        <v>0</v>
      </c>
      <c r="M2516">
        <f t="shared" si="89"/>
        <v>0</v>
      </c>
    </row>
    <row r="2517" spans="12:13" x14ac:dyDescent="0.25">
      <c r="L2517">
        <f t="shared" si="88"/>
        <v>0</v>
      </c>
      <c r="M2517">
        <f t="shared" si="89"/>
        <v>0</v>
      </c>
    </row>
    <row r="2518" spans="12:13" x14ac:dyDescent="0.25">
      <c r="L2518">
        <f t="shared" si="88"/>
        <v>0</v>
      </c>
      <c r="M2518">
        <f t="shared" si="89"/>
        <v>0</v>
      </c>
    </row>
    <row r="2519" spans="12:13" x14ac:dyDescent="0.25">
      <c r="L2519">
        <f t="shared" si="88"/>
        <v>0</v>
      </c>
      <c r="M2519">
        <f t="shared" si="89"/>
        <v>0</v>
      </c>
    </row>
    <row r="2520" spans="12:13" x14ac:dyDescent="0.25">
      <c r="L2520">
        <f t="shared" si="88"/>
        <v>0</v>
      </c>
      <c r="M2520">
        <f t="shared" si="89"/>
        <v>0</v>
      </c>
    </row>
    <row r="2521" spans="12:13" x14ac:dyDescent="0.25">
      <c r="L2521">
        <f t="shared" si="88"/>
        <v>0</v>
      </c>
      <c r="M2521">
        <f t="shared" si="89"/>
        <v>0</v>
      </c>
    </row>
    <row r="2522" spans="12:13" x14ac:dyDescent="0.25">
      <c r="L2522">
        <f t="shared" si="88"/>
        <v>0</v>
      </c>
      <c r="M2522">
        <f t="shared" si="89"/>
        <v>0</v>
      </c>
    </row>
    <row r="2523" spans="12:13" x14ac:dyDescent="0.25">
      <c r="L2523">
        <f t="shared" si="88"/>
        <v>0</v>
      </c>
      <c r="M2523">
        <f t="shared" si="89"/>
        <v>0</v>
      </c>
    </row>
    <row r="2524" spans="12:13" x14ac:dyDescent="0.25">
      <c r="L2524">
        <f t="shared" si="88"/>
        <v>0</v>
      </c>
      <c r="M2524">
        <f t="shared" si="89"/>
        <v>0</v>
      </c>
    </row>
    <row r="2525" spans="12:13" x14ac:dyDescent="0.25">
      <c r="L2525">
        <f t="shared" si="88"/>
        <v>0</v>
      </c>
      <c r="M2525">
        <f t="shared" si="89"/>
        <v>0</v>
      </c>
    </row>
    <row r="2526" spans="12:13" x14ac:dyDescent="0.25">
      <c r="L2526">
        <f t="shared" si="88"/>
        <v>0</v>
      </c>
      <c r="M2526">
        <f t="shared" si="89"/>
        <v>0</v>
      </c>
    </row>
    <row r="2527" spans="12:13" x14ac:dyDescent="0.25">
      <c r="L2527">
        <f t="shared" si="88"/>
        <v>0</v>
      </c>
      <c r="M2527">
        <f t="shared" si="89"/>
        <v>0</v>
      </c>
    </row>
    <row r="2528" spans="12:13" x14ac:dyDescent="0.25">
      <c r="L2528">
        <f t="shared" si="88"/>
        <v>0</v>
      </c>
      <c r="M2528">
        <f t="shared" si="89"/>
        <v>0</v>
      </c>
    </row>
    <row r="2529" spans="12:13" x14ac:dyDescent="0.25">
      <c r="L2529">
        <f t="shared" si="88"/>
        <v>0</v>
      </c>
      <c r="M2529">
        <f t="shared" si="89"/>
        <v>0</v>
      </c>
    </row>
    <row r="2530" spans="12:13" x14ac:dyDescent="0.25">
      <c r="L2530">
        <f t="shared" si="88"/>
        <v>0</v>
      </c>
      <c r="M2530">
        <f t="shared" si="89"/>
        <v>0</v>
      </c>
    </row>
    <row r="2531" spans="12:13" x14ac:dyDescent="0.25">
      <c r="L2531">
        <f t="shared" si="88"/>
        <v>0</v>
      </c>
      <c r="M2531">
        <f t="shared" si="89"/>
        <v>0</v>
      </c>
    </row>
    <row r="2532" spans="12:13" x14ac:dyDescent="0.25">
      <c r="L2532">
        <f t="shared" si="88"/>
        <v>0</v>
      </c>
      <c r="M2532">
        <f t="shared" si="89"/>
        <v>0</v>
      </c>
    </row>
    <row r="2533" spans="12:13" x14ac:dyDescent="0.25">
      <c r="L2533">
        <f t="shared" si="88"/>
        <v>0</v>
      </c>
      <c r="M2533">
        <f t="shared" si="89"/>
        <v>0</v>
      </c>
    </row>
    <row r="2534" spans="12:13" x14ac:dyDescent="0.25">
      <c r="L2534">
        <f t="shared" si="88"/>
        <v>0</v>
      </c>
      <c r="M2534">
        <f t="shared" si="89"/>
        <v>0</v>
      </c>
    </row>
    <row r="2535" spans="12:13" x14ac:dyDescent="0.25">
      <c r="L2535">
        <f t="shared" si="88"/>
        <v>0</v>
      </c>
      <c r="M2535">
        <f t="shared" si="89"/>
        <v>0</v>
      </c>
    </row>
    <row r="2536" spans="12:13" x14ac:dyDescent="0.25">
      <c r="L2536">
        <f t="shared" si="88"/>
        <v>0</v>
      </c>
      <c r="M2536">
        <f t="shared" si="89"/>
        <v>0</v>
      </c>
    </row>
    <row r="2537" spans="12:13" x14ac:dyDescent="0.25">
      <c r="L2537">
        <f t="shared" si="88"/>
        <v>0</v>
      </c>
      <c r="M2537">
        <f t="shared" si="89"/>
        <v>0</v>
      </c>
    </row>
    <row r="2538" spans="12:13" x14ac:dyDescent="0.25">
      <c r="L2538">
        <f t="shared" si="88"/>
        <v>0</v>
      </c>
      <c r="M2538">
        <f t="shared" si="89"/>
        <v>0</v>
      </c>
    </row>
    <row r="2539" spans="12:13" x14ac:dyDescent="0.25">
      <c r="L2539">
        <f t="shared" si="88"/>
        <v>0</v>
      </c>
      <c r="M2539">
        <f t="shared" si="89"/>
        <v>0</v>
      </c>
    </row>
    <row r="2540" spans="12:13" x14ac:dyDescent="0.25">
      <c r="L2540">
        <f t="shared" si="88"/>
        <v>0</v>
      </c>
      <c r="M2540">
        <f t="shared" si="89"/>
        <v>0</v>
      </c>
    </row>
    <row r="2541" spans="12:13" x14ac:dyDescent="0.25">
      <c r="L2541">
        <f t="shared" si="88"/>
        <v>0</v>
      </c>
      <c r="M2541">
        <f t="shared" si="89"/>
        <v>0</v>
      </c>
    </row>
    <row r="2542" spans="12:13" x14ac:dyDescent="0.25">
      <c r="L2542">
        <f t="shared" ref="L2542:L2605" si="90">+I2542+H2542</f>
        <v>0</v>
      </c>
      <c r="M2542">
        <f t="shared" si="89"/>
        <v>0</v>
      </c>
    </row>
    <row r="2543" spans="12:13" x14ac:dyDescent="0.25">
      <c r="L2543">
        <f t="shared" si="90"/>
        <v>0</v>
      </c>
      <c r="M2543">
        <f t="shared" si="89"/>
        <v>0</v>
      </c>
    </row>
    <row r="2544" spans="12:13" x14ac:dyDescent="0.25">
      <c r="L2544">
        <f t="shared" si="90"/>
        <v>0</v>
      </c>
      <c r="M2544">
        <f t="shared" si="89"/>
        <v>0</v>
      </c>
    </row>
    <row r="2545" spans="12:13" x14ac:dyDescent="0.25">
      <c r="L2545">
        <f t="shared" si="90"/>
        <v>0</v>
      </c>
      <c r="M2545">
        <f t="shared" si="89"/>
        <v>0</v>
      </c>
    </row>
    <row r="2546" spans="12:13" x14ac:dyDescent="0.25">
      <c r="L2546">
        <f t="shared" si="90"/>
        <v>0</v>
      </c>
      <c r="M2546">
        <f t="shared" si="89"/>
        <v>0</v>
      </c>
    </row>
    <row r="2547" spans="12:13" x14ac:dyDescent="0.25">
      <c r="L2547">
        <f t="shared" si="90"/>
        <v>0</v>
      </c>
      <c r="M2547">
        <f t="shared" si="89"/>
        <v>0</v>
      </c>
    </row>
    <row r="2548" spans="12:13" x14ac:dyDescent="0.25">
      <c r="L2548">
        <f t="shared" si="90"/>
        <v>0</v>
      </c>
      <c r="M2548">
        <f t="shared" si="89"/>
        <v>0</v>
      </c>
    </row>
    <row r="2549" spans="12:13" x14ac:dyDescent="0.25">
      <c r="L2549">
        <f t="shared" si="90"/>
        <v>0</v>
      </c>
      <c r="M2549">
        <f t="shared" si="89"/>
        <v>0</v>
      </c>
    </row>
    <row r="2550" spans="12:13" x14ac:dyDescent="0.25">
      <c r="L2550">
        <f t="shared" si="90"/>
        <v>0</v>
      </c>
      <c r="M2550">
        <f t="shared" si="89"/>
        <v>0</v>
      </c>
    </row>
    <row r="2551" spans="12:13" x14ac:dyDescent="0.25">
      <c r="L2551">
        <f t="shared" si="90"/>
        <v>0</v>
      </c>
      <c r="M2551">
        <f t="shared" si="89"/>
        <v>0</v>
      </c>
    </row>
    <row r="2552" spans="12:13" x14ac:dyDescent="0.25">
      <c r="L2552">
        <f t="shared" si="90"/>
        <v>0</v>
      </c>
      <c r="M2552">
        <f t="shared" si="89"/>
        <v>0</v>
      </c>
    </row>
    <row r="2553" spans="12:13" x14ac:dyDescent="0.25">
      <c r="L2553">
        <f t="shared" si="90"/>
        <v>0</v>
      </c>
      <c r="M2553">
        <f t="shared" si="89"/>
        <v>0</v>
      </c>
    </row>
    <row r="2554" spans="12:13" x14ac:dyDescent="0.25">
      <c r="L2554">
        <f t="shared" si="90"/>
        <v>0</v>
      </c>
      <c r="M2554">
        <f t="shared" si="89"/>
        <v>0</v>
      </c>
    </row>
    <row r="2555" spans="12:13" x14ac:dyDescent="0.25">
      <c r="L2555">
        <f t="shared" si="90"/>
        <v>0</v>
      </c>
      <c r="M2555">
        <f t="shared" si="89"/>
        <v>0</v>
      </c>
    </row>
    <row r="2556" spans="12:13" x14ac:dyDescent="0.25">
      <c r="L2556">
        <f t="shared" si="90"/>
        <v>0</v>
      </c>
      <c r="M2556">
        <f t="shared" si="89"/>
        <v>0</v>
      </c>
    </row>
    <row r="2557" spans="12:13" x14ac:dyDescent="0.25">
      <c r="L2557">
        <f t="shared" si="90"/>
        <v>0</v>
      </c>
      <c r="M2557">
        <f t="shared" si="89"/>
        <v>0</v>
      </c>
    </row>
    <row r="2558" spans="12:13" x14ac:dyDescent="0.25">
      <c r="L2558">
        <f t="shared" si="90"/>
        <v>0</v>
      </c>
      <c r="M2558">
        <f t="shared" si="89"/>
        <v>0</v>
      </c>
    </row>
    <row r="2559" spans="12:13" x14ac:dyDescent="0.25">
      <c r="L2559">
        <f t="shared" si="90"/>
        <v>0</v>
      </c>
      <c r="M2559">
        <f t="shared" ref="M2559:M2622" si="91">+I2559/IF(H2559 = 0,1,H2559)</f>
        <v>0</v>
      </c>
    </row>
    <row r="2560" spans="12:13" x14ac:dyDescent="0.25">
      <c r="L2560">
        <f t="shared" si="90"/>
        <v>0</v>
      </c>
      <c r="M2560">
        <f t="shared" si="91"/>
        <v>0</v>
      </c>
    </row>
    <row r="2561" spans="12:13" x14ac:dyDescent="0.25">
      <c r="L2561">
        <f t="shared" si="90"/>
        <v>0</v>
      </c>
      <c r="M2561">
        <f t="shared" si="91"/>
        <v>0</v>
      </c>
    </row>
    <row r="2562" spans="12:13" x14ac:dyDescent="0.25">
      <c r="L2562">
        <f t="shared" si="90"/>
        <v>0</v>
      </c>
      <c r="M2562">
        <f t="shared" si="91"/>
        <v>0</v>
      </c>
    </row>
    <row r="2563" spans="12:13" x14ac:dyDescent="0.25">
      <c r="L2563">
        <f t="shared" si="90"/>
        <v>0</v>
      </c>
      <c r="M2563">
        <f t="shared" si="91"/>
        <v>0</v>
      </c>
    </row>
    <row r="2564" spans="12:13" x14ac:dyDescent="0.25">
      <c r="L2564">
        <f t="shared" si="90"/>
        <v>0</v>
      </c>
      <c r="M2564">
        <f t="shared" si="91"/>
        <v>0</v>
      </c>
    </row>
    <row r="2565" spans="12:13" x14ac:dyDescent="0.25">
      <c r="L2565">
        <f t="shared" si="90"/>
        <v>0</v>
      </c>
      <c r="M2565">
        <f t="shared" si="91"/>
        <v>0</v>
      </c>
    </row>
    <row r="2566" spans="12:13" x14ac:dyDescent="0.25">
      <c r="L2566">
        <f t="shared" si="90"/>
        <v>0</v>
      </c>
      <c r="M2566">
        <f t="shared" si="91"/>
        <v>0</v>
      </c>
    </row>
    <row r="2567" spans="12:13" x14ac:dyDescent="0.25">
      <c r="L2567">
        <f t="shared" si="90"/>
        <v>0</v>
      </c>
      <c r="M2567">
        <f t="shared" si="91"/>
        <v>0</v>
      </c>
    </row>
    <row r="2568" spans="12:13" x14ac:dyDescent="0.25">
      <c r="L2568">
        <f t="shared" si="90"/>
        <v>0</v>
      </c>
      <c r="M2568">
        <f t="shared" si="91"/>
        <v>0</v>
      </c>
    </row>
    <row r="2569" spans="12:13" x14ac:dyDescent="0.25">
      <c r="L2569">
        <f t="shared" si="90"/>
        <v>0</v>
      </c>
      <c r="M2569">
        <f t="shared" si="91"/>
        <v>0</v>
      </c>
    </row>
    <row r="2570" spans="12:13" x14ac:dyDescent="0.25">
      <c r="L2570">
        <f t="shared" si="90"/>
        <v>0</v>
      </c>
      <c r="M2570">
        <f t="shared" si="91"/>
        <v>0</v>
      </c>
    </row>
    <row r="2571" spans="12:13" x14ac:dyDescent="0.25">
      <c r="L2571">
        <f t="shared" si="90"/>
        <v>0</v>
      </c>
      <c r="M2571">
        <f t="shared" si="91"/>
        <v>0</v>
      </c>
    </row>
    <row r="2572" spans="12:13" x14ac:dyDescent="0.25">
      <c r="L2572">
        <f t="shared" si="90"/>
        <v>0</v>
      </c>
      <c r="M2572">
        <f t="shared" si="91"/>
        <v>0</v>
      </c>
    </row>
    <row r="2573" spans="12:13" x14ac:dyDescent="0.25">
      <c r="L2573">
        <f t="shared" si="90"/>
        <v>0</v>
      </c>
      <c r="M2573">
        <f t="shared" si="91"/>
        <v>0</v>
      </c>
    </row>
    <row r="2574" spans="12:13" x14ac:dyDescent="0.25">
      <c r="L2574">
        <f t="shared" si="90"/>
        <v>0</v>
      </c>
      <c r="M2574">
        <f t="shared" si="91"/>
        <v>0</v>
      </c>
    </row>
    <row r="2575" spans="12:13" x14ac:dyDescent="0.25">
      <c r="L2575">
        <f t="shared" si="90"/>
        <v>0</v>
      </c>
      <c r="M2575">
        <f t="shared" si="91"/>
        <v>0</v>
      </c>
    </row>
    <row r="2576" spans="12:13" x14ac:dyDescent="0.25">
      <c r="L2576">
        <f t="shared" si="90"/>
        <v>0</v>
      </c>
      <c r="M2576">
        <f t="shared" si="91"/>
        <v>0</v>
      </c>
    </row>
    <row r="2577" spans="12:13" x14ac:dyDescent="0.25">
      <c r="L2577">
        <f t="shared" si="90"/>
        <v>0</v>
      </c>
      <c r="M2577">
        <f t="shared" si="91"/>
        <v>0</v>
      </c>
    </row>
    <row r="2578" spans="12:13" x14ac:dyDescent="0.25">
      <c r="L2578">
        <f t="shared" si="90"/>
        <v>0</v>
      </c>
      <c r="M2578">
        <f t="shared" si="91"/>
        <v>0</v>
      </c>
    </row>
    <row r="2579" spans="12:13" x14ac:dyDescent="0.25">
      <c r="L2579">
        <f t="shared" si="90"/>
        <v>0</v>
      </c>
      <c r="M2579">
        <f t="shared" si="91"/>
        <v>0</v>
      </c>
    </row>
    <row r="2580" spans="12:13" x14ac:dyDescent="0.25">
      <c r="L2580">
        <f t="shared" si="90"/>
        <v>0</v>
      </c>
      <c r="M2580">
        <f t="shared" si="91"/>
        <v>0</v>
      </c>
    </row>
    <row r="2581" spans="12:13" x14ac:dyDescent="0.25">
      <c r="L2581">
        <f t="shared" si="90"/>
        <v>0</v>
      </c>
      <c r="M2581">
        <f t="shared" si="91"/>
        <v>0</v>
      </c>
    </row>
    <row r="2582" spans="12:13" x14ac:dyDescent="0.25">
      <c r="L2582">
        <f t="shared" si="90"/>
        <v>0</v>
      </c>
      <c r="M2582">
        <f t="shared" si="91"/>
        <v>0</v>
      </c>
    </row>
    <row r="2583" spans="12:13" x14ac:dyDescent="0.25">
      <c r="L2583">
        <f t="shared" si="90"/>
        <v>0</v>
      </c>
      <c r="M2583">
        <f t="shared" si="91"/>
        <v>0</v>
      </c>
    </row>
    <row r="2584" spans="12:13" x14ac:dyDescent="0.25">
      <c r="L2584">
        <f t="shared" si="90"/>
        <v>0</v>
      </c>
      <c r="M2584">
        <f t="shared" si="91"/>
        <v>0</v>
      </c>
    </row>
    <row r="2585" spans="12:13" x14ac:dyDescent="0.25">
      <c r="L2585">
        <f t="shared" si="90"/>
        <v>0</v>
      </c>
      <c r="M2585">
        <f t="shared" si="91"/>
        <v>0</v>
      </c>
    </row>
    <row r="2586" spans="12:13" x14ac:dyDescent="0.25">
      <c r="L2586">
        <f t="shared" si="90"/>
        <v>0</v>
      </c>
      <c r="M2586">
        <f t="shared" si="91"/>
        <v>0</v>
      </c>
    </row>
    <row r="2587" spans="12:13" x14ac:dyDescent="0.25">
      <c r="L2587">
        <f t="shared" si="90"/>
        <v>0</v>
      </c>
      <c r="M2587">
        <f t="shared" si="91"/>
        <v>0</v>
      </c>
    </row>
    <row r="2588" spans="12:13" x14ac:dyDescent="0.25">
      <c r="L2588">
        <f t="shared" si="90"/>
        <v>0</v>
      </c>
      <c r="M2588">
        <f t="shared" si="91"/>
        <v>0</v>
      </c>
    </row>
    <row r="2589" spans="12:13" x14ac:dyDescent="0.25">
      <c r="L2589">
        <f t="shared" si="90"/>
        <v>0</v>
      </c>
      <c r="M2589">
        <f t="shared" si="91"/>
        <v>0</v>
      </c>
    </row>
    <row r="2590" spans="12:13" x14ac:dyDescent="0.25">
      <c r="L2590">
        <f t="shared" si="90"/>
        <v>0</v>
      </c>
      <c r="M2590">
        <f t="shared" si="91"/>
        <v>0</v>
      </c>
    </row>
    <row r="2591" spans="12:13" x14ac:dyDescent="0.25">
      <c r="L2591">
        <f t="shared" si="90"/>
        <v>0</v>
      </c>
      <c r="M2591">
        <f t="shared" si="91"/>
        <v>0</v>
      </c>
    </row>
    <row r="2592" spans="12:13" x14ac:dyDescent="0.25">
      <c r="L2592">
        <f t="shared" si="90"/>
        <v>0</v>
      </c>
      <c r="M2592">
        <f t="shared" si="91"/>
        <v>0</v>
      </c>
    </row>
    <row r="2593" spans="12:13" x14ac:dyDescent="0.25">
      <c r="L2593">
        <f t="shared" si="90"/>
        <v>0</v>
      </c>
      <c r="M2593">
        <f t="shared" si="91"/>
        <v>0</v>
      </c>
    </row>
    <row r="2594" spans="12:13" x14ac:dyDescent="0.25">
      <c r="L2594">
        <f t="shared" si="90"/>
        <v>0</v>
      </c>
      <c r="M2594">
        <f t="shared" si="91"/>
        <v>0</v>
      </c>
    </row>
    <row r="2595" spans="12:13" x14ac:dyDescent="0.25">
      <c r="L2595">
        <f t="shared" si="90"/>
        <v>0</v>
      </c>
      <c r="M2595">
        <f t="shared" si="91"/>
        <v>0</v>
      </c>
    </row>
    <row r="2596" spans="12:13" x14ac:dyDescent="0.25">
      <c r="L2596">
        <f t="shared" si="90"/>
        <v>0</v>
      </c>
      <c r="M2596">
        <f t="shared" si="91"/>
        <v>0</v>
      </c>
    </row>
    <row r="2597" spans="12:13" x14ac:dyDescent="0.25">
      <c r="L2597">
        <f t="shared" si="90"/>
        <v>0</v>
      </c>
      <c r="M2597">
        <f t="shared" si="91"/>
        <v>0</v>
      </c>
    </row>
    <row r="2598" spans="12:13" x14ac:dyDescent="0.25">
      <c r="L2598">
        <f t="shared" si="90"/>
        <v>0</v>
      </c>
      <c r="M2598">
        <f t="shared" si="91"/>
        <v>0</v>
      </c>
    </row>
    <row r="2599" spans="12:13" x14ac:dyDescent="0.25">
      <c r="L2599">
        <f t="shared" si="90"/>
        <v>0</v>
      </c>
      <c r="M2599">
        <f t="shared" si="91"/>
        <v>0</v>
      </c>
    </row>
    <row r="2600" spans="12:13" x14ac:dyDescent="0.25">
      <c r="L2600">
        <f t="shared" si="90"/>
        <v>0</v>
      </c>
      <c r="M2600">
        <f t="shared" si="91"/>
        <v>0</v>
      </c>
    </row>
    <row r="2601" spans="12:13" x14ac:dyDescent="0.25">
      <c r="L2601">
        <f t="shared" si="90"/>
        <v>0</v>
      </c>
      <c r="M2601">
        <f t="shared" si="91"/>
        <v>0</v>
      </c>
    </row>
    <row r="2602" spans="12:13" x14ac:dyDescent="0.25">
      <c r="L2602">
        <f t="shared" si="90"/>
        <v>0</v>
      </c>
      <c r="M2602">
        <f t="shared" si="91"/>
        <v>0</v>
      </c>
    </row>
    <row r="2603" spans="12:13" x14ac:dyDescent="0.25">
      <c r="L2603">
        <f t="shared" si="90"/>
        <v>0</v>
      </c>
      <c r="M2603">
        <f t="shared" si="91"/>
        <v>0</v>
      </c>
    </row>
    <row r="2604" spans="12:13" x14ac:dyDescent="0.25">
      <c r="L2604">
        <f t="shared" si="90"/>
        <v>0</v>
      </c>
      <c r="M2604">
        <f t="shared" si="91"/>
        <v>0</v>
      </c>
    </row>
    <row r="2605" spans="12:13" x14ac:dyDescent="0.25">
      <c r="L2605">
        <f t="shared" si="90"/>
        <v>0</v>
      </c>
      <c r="M2605">
        <f t="shared" si="91"/>
        <v>0</v>
      </c>
    </row>
    <row r="2606" spans="12:13" x14ac:dyDescent="0.25">
      <c r="L2606">
        <f t="shared" ref="L2606:L2669" si="92">+I2606+H2606</f>
        <v>0</v>
      </c>
      <c r="M2606">
        <f t="shared" si="91"/>
        <v>0</v>
      </c>
    </row>
    <row r="2607" spans="12:13" x14ac:dyDescent="0.25">
      <c r="L2607">
        <f t="shared" si="92"/>
        <v>0</v>
      </c>
      <c r="M2607">
        <f t="shared" si="91"/>
        <v>0</v>
      </c>
    </row>
    <row r="2608" spans="12:13" x14ac:dyDescent="0.25">
      <c r="L2608">
        <f t="shared" si="92"/>
        <v>0</v>
      </c>
      <c r="M2608">
        <f t="shared" si="91"/>
        <v>0</v>
      </c>
    </row>
    <row r="2609" spans="12:13" x14ac:dyDescent="0.25">
      <c r="L2609">
        <f t="shared" si="92"/>
        <v>0</v>
      </c>
      <c r="M2609">
        <f t="shared" si="91"/>
        <v>0</v>
      </c>
    </row>
    <row r="2610" spans="12:13" x14ac:dyDescent="0.25">
      <c r="L2610">
        <f t="shared" si="92"/>
        <v>0</v>
      </c>
      <c r="M2610">
        <f t="shared" si="91"/>
        <v>0</v>
      </c>
    </row>
    <row r="2611" spans="12:13" x14ac:dyDescent="0.25">
      <c r="L2611">
        <f t="shared" si="92"/>
        <v>0</v>
      </c>
      <c r="M2611">
        <f t="shared" si="91"/>
        <v>0</v>
      </c>
    </row>
    <row r="2612" spans="12:13" x14ac:dyDescent="0.25">
      <c r="L2612">
        <f t="shared" si="92"/>
        <v>0</v>
      </c>
      <c r="M2612">
        <f t="shared" si="91"/>
        <v>0</v>
      </c>
    </row>
    <row r="2613" spans="12:13" x14ac:dyDescent="0.25">
      <c r="L2613">
        <f t="shared" si="92"/>
        <v>0</v>
      </c>
      <c r="M2613">
        <f t="shared" si="91"/>
        <v>0</v>
      </c>
    </row>
    <row r="2614" spans="12:13" x14ac:dyDescent="0.25">
      <c r="L2614">
        <f t="shared" si="92"/>
        <v>0</v>
      </c>
      <c r="M2614">
        <f t="shared" si="91"/>
        <v>0</v>
      </c>
    </row>
    <row r="2615" spans="12:13" x14ac:dyDescent="0.25">
      <c r="L2615">
        <f t="shared" si="92"/>
        <v>0</v>
      </c>
      <c r="M2615">
        <f t="shared" si="91"/>
        <v>0</v>
      </c>
    </row>
    <row r="2616" spans="12:13" x14ac:dyDescent="0.25">
      <c r="L2616">
        <f t="shared" si="92"/>
        <v>0</v>
      </c>
      <c r="M2616">
        <f t="shared" si="91"/>
        <v>0</v>
      </c>
    </row>
    <row r="2617" spans="12:13" x14ac:dyDescent="0.25">
      <c r="L2617">
        <f t="shared" si="92"/>
        <v>0</v>
      </c>
      <c r="M2617">
        <f t="shared" si="91"/>
        <v>0</v>
      </c>
    </row>
    <row r="2618" spans="12:13" x14ac:dyDescent="0.25">
      <c r="L2618">
        <f t="shared" si="92"/>
        <v>0</v>
      </c>
      <c r="M2618">
        <f t="shared" si="91"/>
        <v>0</v>
      </c>
    </row>
    <row r="2619" spans="12:13" x14ac:dyDescent="0.25">
      <c r="L2619">
        <f t="shared" si="92"/>
        <v>0</v>
      </c>
      <c r="M2619">
        <f t="shared" si="91"/>
        <v>0</v>
      </c>
    </row>
    <row r="2620" spans="12:13" x14ac:dyDescent="0.25">
      <c r="L2620">
        <f t="shared" si="92"/>
        <v>0</v>
      </c>
      <c r="M2620">
        <f t="shared" si="91"/>
        <v>0</v>
      </c>
    </row>
    <row r="2621" spans="12:13" x14ac:dyDescent="0.25">
      <c r="L2621">
        <f t="shared" si="92"/>
        <v>0</v>
      </c>
      <c r="M2621">
        <f t="shared" si="91"/>
        <v>0</v>
      </c>
    </row>
    <row r="2622" spans="12:13" x14ac:dyDescent="0.25">
      <c r="L2622">
        <f t="shared" si="92"/>
        <v>0</v>
      </c>
      <c r="M2622">
        <f t="shared" si="91"/>
        <v>0</v>
      </c>
    </row>
    <row r="2623" spans="12:13" x14ac:dyDescent="0.25">
      <c r="L2623">
        <f t="shared" si="92"/>
        <v>0</v>
      </c>
      <c r="M2623">
        <f t="shared" ref="M2623:M2686" si="93">+I2623/IF(H2623 = 0,1,H2623)</f>
        <v>0</v>
      </c>
    </row>
    <row r="2624" spans="12:13" x14ac:dyDescent="0.25">
      <c r="L2624">
        <f t="shared" si="92"/>
        <v>0</v>
      </c>
      <c r="M2624">
        <f t="shared" si="93"/>
        <v>0</v>
      </c>
    </row>
    <row r="2625" spans="12:13" x14ac:dyDescent="0.25">
      <c r="L2625">
        <f t="shared" si="92"/>
        <v>0</v>
      </c>
      <c r="M2625">
        <f t="shared" si="93"/>
        <v>0</v>
      </c>
    </row>
    <row r="2626" spans="12:13" x14ac:dyDescent="0.25">
      <c r="L2626">
        <f t="shared" si="92"/>
        <v>0</v>
      </c>
      <c r="M2626">
        <f t="shared" si="93"/>
        <v>0</v>
      </c>
    </row>
    <row r="2627" spans="12:13" x14ac:dyDescent="0.25">
      <c r="L2627">
        <f t="shared" si="92"/>
        <v>0</v>
      </c>
      <c r="M2627">
        <f t="shared" si="93"/>
        <v>0</v>
      </c>
    </row>
    <row r="2628" spans="12:13" x14ac:dyDescent="0.25">
      <c r="L2628">
        <f t="shared" si="92"/>
        <v>0</v>
      </c>
      <c r="M2628">
        <f t="shared" si="93"/>
        <v>0</v>
      </c>
    </row>
    <row r="2629" spans="12:13" x14ac:dyDescent="0.25">
      <c r="L2629">
        <f t="shared" si="92"/>
        <v>0</v>
      </c>
      <c r="M2629">
        <f t="shared" si="93"/>
        <v>0</v>
      </c>
    </row>
    <row r="2630" spans="12:13" x14ac:dyDescent="0.25">
      <c r="L2630">
        <f t="shared" si="92"/>
        <v>0</v>
      </c>
      <c r="M2630">
        <f t="shared" si="93"/>
        <v>0</v>
      </c>
    </row>
    <row r="2631" spans="12:13" x14ac:dyDescent="0.25">
      <c r="L2631">
        <f t="shared" si="92"/>
        <v>0</v>
      </c>
      <c r="M2631">
        <f t="shared" si="93"/>
        <v>0</v>
      </c>
    </row>
    <row r="2632" spans="12:13" x14ac:dyDescent="0.25">
      <c r="L2632">
        <f t="shared" si="92"/>
        <v>0</v>
      </c>
      <c r="M2632">
        <f t="shared" si="93"/>
        <v>0</v>
      </c>
    </row>
    <row r="2633" spans="12:13" x14ac:dyDescent="0.25">
      <c r="L2633">
        <f t="shared" si="92"/>
        <v>0</v>
      </c>
      <c r="M2633">
        <f t="shared" si="93"/>
        <v>0</v>
      </c>
    </row>
    <row r="2634" spans="12:13" x14ac:dyDescent="0.25">
      <c r="L2634">
        <f t="shared" si="92"/>
        <v>0</v>
      </c>
      <c r="M2634">
        <f t="shared" si="93"/>
        <v>0</v>
      </c>
    </row>
    <row r="2635" spans="12:13" x14ac:dyDescent="0.25">
      <c r="L2635">
        <f t="shared" si="92"/>
        <v>0</v>
      </c>
      <c r="M2635">
        <f t="shared" si="93"/>
        <v>0</v>
      </c>
    </row>
    <row r="2636" spans="12:13" x14ac:dyDescent="0.25">
      <c r="L2636">
        <f t="shared" si="92"/>
        <v>0</v>
      </c>
      <c r="M2636">
        <f t="shared" si="93"/>
        <v>0</v>
      </c>
    </row>
    <row r="2637" spans="12:13" x14ac:dyDescent="0.25">
      <c r="L2637">
        <f t="shared" si="92"/>
        <v>0</v>
      </c>
      <c r="M2637">
        <f t="shared" si="93"/>
        <v>0</v>
      </c>
    </row>
    <row r="2638" spans="12:13" x14ac:dyDescent="0.25">
      <c r="L2638">
        <f t="shared" si="92"/>
        <v>0</v>
      </c>
      <c r="M2638">
        <f t="shared" si="93"/>
        <v>0</v>
      </c>
    </row>
    <row r="2639" spans="12:13" x14ac:dyDescent="0.25">
      <c r="L2639">
        <f t="shared" si="92"/>
        <v>0</v>
      </c>
      <c r="M2639">
        <f t="shared" si="93"/>
        <v>0</v>
      </c>
    </row>
    <row r="2640" spans="12:13" x14ac:dyDescent="0.25">
      <c r="L2640">
        <f t="shared" si="92"/>
        <v>0</v>
      </c>
      <c r="M2640">
        <f t="shared" si="93"/>
        <v>0</v>
      </c>
    </row>
    <row r="2641" spans="12:13" x14ac:dyDescent="0.25">
      <c r="L2641">
        <f t="shared" si="92"/>
        <v>0</v>
      </c>
      <c r="M2641">
        <f t="shared" si="93"/>
        <v>0</v>
      </c>
    </row>
    <row r="2642" spans="12:13" x14ac:dyDescent="0.25">
      <c r="L2642">
        <f t="shared" si="92"/>
        <v>0</v>
      </c>
      <c r="M2642">
        <f t="shared" si="93"/>
        <v>0</v>
      </c>
    </row>
    <row r="2643" spans="12:13" x14ac:dyDescent="0.25">
      <c r="L2643">
        <f t="shared" si="92"/>
        <v>0</v>
      </c>
      <c r="M2643">
        <f t="shared" si="93"/>
        <v>0</v>
      </c>
    </row>
    <row r="2644" spans="12:13" x14ac:dyDescent="0.25">
      <c r="L2644">
        <f t="shared" si="92"/>
        <v>0</v>
      </c>
      <c r="M2644">
        <f t="shared" si="93"/>
        <v>0</v>
      </c>
    </row>
    <row r="2645" spans="12:13" x14ac:dyDescent="0.25">
      <c r="L2645">
        <f t="shared" si="92"/>
        <v>0</v>
      </c>
      <c r="M2645">
        <f t="shared" si="93"/>
        <v>0</v>
      </c>
    </row>
    <row r="2646" spans="12:13" x14ac:dyDescent="0.25">
      <c r="L2646">
        <f t="shared" si="92"/>
        <v>0</v>
      </c>
      <c r="M2646">
        <f t="shared" si="93"/>
        <v>0</v>
      </c>
    </row>
    <row r="2647" spans="12:13" x14ac:dyDescent="0.25">
      <c r="L2647">
        <f t="shared" si="92"/>
        <v>0</v>
      </c>
      <c r="M2647">
        <f t="shared" si="93"/>
        <v>0</v>
      </c>
    </row>
    <row r="2648" spans="12:13" x14ac:dyDescent="0.25">
      <c r="L2648">
        <f t="shared" si="92"/>
        <v>0</v>
      </c>
      <c r="M2648">
        <f t="shared" si="93"/>
        <v>0</v>
      </c>
    </row>
    <row r="2649" spans="12:13" x14ac:dyDescent="0.25">
      <c r="L2649">
        <f t="shared" si="92"/>
        <v>0</v>
      </c>
      <c r="M2649">
        <f t="shared" si="93"/>
        <v>0</v>
      </c>
    </row>
    <row r="2650" spans="12:13" x14ac:dyDescent="0.25">
      <c r="L2650">
        <f t="shared" si="92"/>
        <v>0</v>
      </c>
      <c r="M2650">
        <f t="shared" si="93"/>
        <v>0</v>
      </c>
    </row>
    <row r="2651" spans="12:13" x14ac:dyDescent="0.25">
      <c r="L2651">
        <f t="shared" si="92"/>
        <v>0</v>
      </c>
      <c r="M2651">
        <f t="shared" si="93"/>
        <v>0</v>
      </c>
    </row>
    <row r="2652" spans="12:13" x14ac:dyDescent="0.25">
      <c r="L2652">
        <f t="shared" si="92"/>
        <v>0</v>
      </c>
      <c r="M2652">
        <f t="shared" si="93"/>
        <v>0</v>
      </c>
    </row>
    <row r="2653" spans="12:13" x14ac:dyDescent="0.25">
      <c r="L2653">
        <f t="shared" si="92"/>
        <v>0</v>
      </c>
      <c r="M2653">
        <f t="shared" si="93"/>
        <v>0</v>
      </c>
    </row>
    <row r="2654" spans="12:13" x14ac:dyDescent="0.25">
      <c r="L2654">
        <f t="shared" si="92"/>
        <v>0</v>
      </c>
      <c r="M2654">
        <f t="shared" si="93"/>
        <v>0</v>
      </c>
    </row>
    <row r="2655" spans="12:13" x14ac:dyDescent="0.25">
      <c r="L2655">
        <f t="shared" si="92"/>
        <v>0</v>
      </c>
      <c r="M2655">
        <f t="shared" si="93"/>
        <v>0</v>
      </c>
    </row>
    <row r="2656" spans="12:13" x14ac:dyDescent="0.25">
      <c r="L2656">
        <f t="shared" si="92"/>
        <v>0</v>
      </c>
      <c r="M2656">
        <f t="shared" si="93"/>
        <v>0</v>
      </c>
    </row>
    <row r="2657" spans="12:13" x14ac:dyDescent="0.25">
      <c r="L2657">
        <f t="shared" si="92"/>
        <v>0</v>
      </c>
      <c r="M2657">
        <f t="shared" si="93"/>
        <v>0</v>
      </c>
    </row>
    <row r="2658" spans="12:13" x14ac:dyDescent="0.25">
      <c r="L2658">
        <f t="shared" si="92"/>
        <v>0</v>
      </c>
      <c r="M2658">
        <f t="shared" si="93"/>
        <v>0</v>
      </c>
    </row>
    <row r="2659" spans="12:13" x14ac:dyDescent="0.25">
      <c r="L2659">
        <f t="shared" si="92"/>
        <v>0</v>
      </c>
      <c r="M2659">
        <f t="shared" si="93"/>
        <v>0</v>
      </c>
    </row>
    <row r="2660" spans="12:13" x14ac:dyDescent="0.25">
      <c r="L2660">
        <f t="shared" si="92"/>
        <v>0</v>
      </c>
      <c r="M2660">
        <f t="shared" si="93"/>
        <v>0</v>
      </c>
    </row>
    <row r="2661" spans="12:13" x14ac:dyDescent="0.25">
      <c r="L2661">
        <f t="shared" si="92"/>
        <v>0</v>
      </c>
      <c r="M2661">
        <f t="shared" si="93"/>
        <v>0</v>
      </c>
    </row>
    <row r="2662" spans="12:13" x14ac:dyDescent="0.25">
      <c r="L2662">
        <f t="shared" si="92"/>
        <v>0</v>
      </c>
      <c r="M2662">
        <f t="shared" si="93"/>
        <v>0</v>
      </c>
    </row>
    <row r="2663" spans="12:13" x14ac:dyDescent="0.25">
      <c r="L2663">
        <f t="shared" si="92"/>
        <v>0</v>
      </c>
      <c r="M2663">
        <f t="shared" si="93"/>
        <v>0</v>
      </c>
    </row>
    <row r="2664" spans="12:13" x14ac:dyDescent="0.25">
      <c r="L2664">
        <f t="shared" si="92"/>
        <v>0</v>
      </c>
      <c r="M2664">
        <f t="shared" si="93"/>
        <v>0</v>
      </c>
    </row>
    <row r="2665" spans="12:13" x14ac:dyDescent="0.25">
      <c r="L2665">
        <f t="shared" si="92"/>
        <v>0</v>
      </c>
      <c r="M2665">
        <f t="shared" si="93"/>
        <v>0</v>
      </c>
    </row>
    <row r="2666" spans="12:13" x14ac:dyDescent="0.25">
      <c r="L2666">
        <f t="shared" si="92"/>
        <v>0</v>
      </c>
      <c r="M2666">
        <f t="shared" si="93"/>
        <v>0</v>
      </c>
    </row>
    <row r="2667" spans="12:13" x14ac:dyDescent="0.25">
      <c r="L2667">
        <f t="shared" si="92"/>
        <v>0</v>
      </c>
      <c r="M2667">
        <f t="shared" si="93"/>
        <v>0</v>
      </c>
    </row>
    <row r="2668" spans="12:13" x14ac:dyDescent="0.25">
      <c r="L2668">
        <f t="shared" si="92"/>
        <v>0</v>
      </c>
      <c r="M2668">
        <f t="shared" si="93"/>
        <v>0</v>
      </c>
    </row>
    <row r="2669" spans="12:13" x14ac:dyDescent="0.25">
      <c r="L2669">
        <f t="shared" si="92"/>
        <v>0</v>
      </c>
      <c r="M2669">
        <f t="shared" si="93"/>
        <v>0</v>
      </c>
    </row>
    <row r="2670" spans="12:13" x14ac:dyDescent="0.25">
      <c r="L2670">
        <f t="shared" ref="L2670:L2733" si="94">+I2670+H2670</f>
        <v>0</v>
      </c>
      <c r="M2670">
        <f t="shared" si="93"/>
        <v>0</v>
      </c>
    </row>
    <row r="2671" spans="12:13" x14ac:dyDescent="0.25">
      <c r="L2671">
        <f t="shared" si="94"/>
        <v>0</v>
      </c>
      <c r="M2671">
        <f t="shared" si="93"/>
        <v>0</v>
      </c>
    </row>
    <row r="2672" spans="12:13" x14ac:dyDescent="0.25">
      <c r="L2672">
        <f t="shared" si="94"/>
        <v>0</v>
      </c>
      <c r="M2672">
        <f t="shared" si="93"/>
        <v>0</v>
      </c>
    </row>
    <row r="2673" spans="12:13" x14ac:dyDescent="0.25">
      <c r="L2673">
        <f t="shared" si="94"/>
        <v>0</v>
      </c>
      <c r="M2673">
        <f t="shared" si="93"/>
        <v>0</v>
      </c>
    </row>
    <row r="2674" spans="12:13" x14ac:dyDescent="0.25">
      <c r="L2674">
        <f t="shared" si="94"/>
        <v>0</v>
      </c>
      <c r="M2674">
        <f t="shared" si="93"/>
        <v>0</v>
      </c>
    </row>
    <row r="2675" spans="12:13" x14ac:dyDescent="0.25">
      <c r="L2675">
        <f t="shared" si="94"/>
        <v>0</v>
      </c>
      <c r="M2675">
        <f t="shared" si="93"/>
        <v>0</v>
      </c>
    </row>
    <row r="2676" spans="12:13" x14ac:dyDescent="0.25">
      <c r="L2676">
        <f t="shared" si="94"/>
        <v>0</v>
      </c>
      <c r="M2676">
        <f t="shared" si="93"/>
        <v>0</v>
      </c>
    </row>
    <row r="2677" spans="12:13" x14ac:dyDescent="0.25">
      <c r="L2677">
        <f t="shared" si="94"/>
        <v>0</v>
      </c>
      <c r="M2677">
        <f t="shared" si="93"/>
        <v>0</v>
      </c>
    </row>
    <row r="2678" spans="12:13" x14ac:dyDescent="0.25">
      <c r="L2678">
        <f t="shared" si="94"/>
        <v>0</v>
      </c>
      <c r="M2678">
        <f t="shared" si="93"/>
        <v>0</v>
      </c>
    </row>
    <row r="2679" spans="12:13" x14ac:dyDescent="0.25">
      <c r="L2679">
        <f t="shared" si="94"/>
        <v>0</v>
      </c>
      <c r="M2679">
        <f t="shared" si="93"/>
        <v>0</v>
      </c>
    </row>
    <row r="2680" spans="12:13" x14ac:dyDescent="0.25">
      <c r="L2680">
        <f t="shared" si="94"/>
        <v>0</v>
      </c>
      <c r="M2680">
        <f t="shared" si="93"/>
        <v>0</v>
      </c>
    </row>
    <row r="2681" spans="12:13" x14ac:dyDescent="0.25">
      <c r="L2681">
        <f t="shared" si="94"/>
        <v>0</v>
      </c>
      <c r="M2681">
        <f t="shared" si="93"/>
        <v>0</v>
      </c>
    </row>
    <row r="2682" spans="12:13" x14ac:dyDescent="0.25">
      <c r="L2682">
        <f t="shared" si="94"/>
        <v>0</v>
      </c>
      <c r="M2682">
        <f t="shared" si="93"/>
        <v>0</v>
      </c>
    </row>
    <row r="2683" spans="12:13" x14ac:dyDescent="0.25">
      <c r="L2683">
        <f t="shared" si="94"/>
        <v>0</v>
      </c>
      <c r="M2683">
        <f t="shared" si="93"/>
        <v>0</v>
      </c>
    </row>
    <row r="2684" spans="12:13" x14ac:dyDescent="0.25">
      <c r="L2684">
        <f t="shared" si="94"/>
        <v>0</v>
      </c>
      <c r="M2684">
        <f t="shared" si="93"/>
        <v>0</v>
      </c>
    </row>
    <row r="2685" spans="12:13" x14ac:dyDescent="0.25">
      <c r="L2685">
        <f t="shared" si="94"/>
        <v>0</v>
      </c>
      <c r="M2685">
        <f t="shared" si="93"/>
        <v>0</v>
      </c>
    </row>
    <row r="2686" spans="12:13" x14ac:dyDescent="0.25">
      <c r="L2686">
        <f t="shared" si="94"/>
        <v>0</v>
      </c>
      <c r="M2686">
        <f t="shared" si="93"/>
        <v>0</v>
      </c>
    </row>
    <row r="2687" spans="12:13" x14ac:dyDescent="0.25">
      <c r="L2687">
        <f t="shared" si="94"/>
        <v>0</v>
      </c>
      <c r="M2687">
        <f t="shared" ref="M2687:M2750" si="95">+I2687/IF(H2687 = 0,1,H2687)</f>
        <v>0</v>
      </c>
    </row>
    <row r="2688" spans="12:13" x14ac:dyDescent="0.25">
      <c r="L2688">
        <f t="shared" si="94"/>
        <v>0</v>
      </c>
      <c r="M2688">
        <f t="shared" si="95"/>
        <v>0</v>
      </c>
    </row>
    <row r="2689" spans="12:13" x14ac:dyDescent="0.25">
      <c r="L2689">
        <f t="shared" si="94"/>
        <v>0</v>
      </c>
      <c r="M2689">
        <f t="shared" si="95"/>
        <v>0</v>
      </c>
    </row>
    <row r="2690" spans="12:13" x14ac:dyDescent="0.25">
      <c r="L2690">
        <f t="shared" si="94"/>
        <v>0</v>
      </c>
      <c r="M2690">
        <f t="shared" si="95"/>
        <v>0</v>
      </c>
    </row>
    <row r="2691" spans="12:13" x14ac:dyDescent="0.25">
      <c r="L2691">
        <f t="shared" si="94"/>
        <v>0</v>
      </c>
      <c r="M2691">
        <f t="shared" si="95"/>
        <v>0</v>
      </c>
    </row>
    <row r="2692" spans="12:13" x14ac:dyDescent="0.25">
      <c r="L2692">
        <f t="shared" si="94"/>
        <v>0</v>
      </c>
      <c r="M2692">
        <f t="shared" si="95"/>
        <v>0</v>
      </c>
    </row>
    <row r="2693" spans="12:13" x14ac:dyDescent="0.25">
      <c r="L2693">
        <f t="shared" si="94"/>
        <v>0</v>
      </c>
      <c r="M2693">
        <f t="shared" si="95"/>
        <v>0</v>
      </c>
    </row>
    <row r="2694" spans="12:13" x14ac:dyDescent="0.25">
      <c r="L2694">
        <f t="shared" si="94"/>
        <v>0</v>
      </c>
      <c r="M2694">
        <f t="shared" si="95"/>
        <v>0</v>
      </c>
    </row>
    <row r="2695" spans="12:13" x14ac:dyDescent="0.25">
      <c r="L2695">
        <f t="shared" si="94"/>
        <v>0</v>
      </c>
      <c r="M2695">
        <f t="shared" si="95"/>
        <v>0</v>
      </c>
    </row>
    <row r="2696" spans="12:13" x14ac:dyDescent="0.25">
      <c r="L2696">
        <f t="shared" si="94"/>
        <v>0</v>
      </c>
      <c r="M2696">
        <f t="shared" si="95"/>
        <v>0</v>
      </c>
    </row>
    <row r="2697" spans="12:13" x14ac:dyDescent="0.25">
      <c r="L2697">
        <f t="shared" si="94"/>
        <v>0</v>
      </c>
      <c r="M2697">
        <f t="shared" si="95"/>
        <v>0</v>
      </c>
    </row>
    <row r="2698" spans="12:13" x14ac:dyDescent="0.25">
      <c r="L2698">
        <f t="shared" si="94"/>
        <v>0</v>
      </c>
      <c r="M2698">
        <f t="shared" si="95"/>
        <v>0</v>
      </c>
    </row>
    <row r="2699" spans="12:13" x14ac:dyDescent="0.25">
      <c r="L2699">
        <f t="shared" si="94"/>
        <v>0</v>
      </c>
      <c r="M2699">
        <f t="shared" si="95"/>
        <v>0</v>
      </c>
    </row>
    <row r="2700" spans="12:13" x14ac:dyDescent="0.25">
      <c r="L2700">
        <f t="shared" si="94"/>
        <v>0</v>
      </c>
      <c r="M2700">
        <f t="shared" si="95"/>
        <v>0</v>
      </c>
    </row>
    <row r="2701" spans="12:13" x14ac:dyDescent="0.25">
      <c r="L2701">
        <f t="shared" si="94"/>
        <v>0</v>
      </c>
      <c r="M2701">
        <f t="shared" si="95"/>
        <v>0</v>
      </c>
    </row>
    <row r="2702" spans="12:13" x14ac:dyDescent="0.25">
      <c r="L2702">
        <f t="shared" si="94"/>
        <v>0</v>
      </c>
      <c r="M2702">
        <f t="shared" si="95"/>
        <v>0</v>
      </c>
    </row>
    <row r="2703" spans="12:13" x14ac:dyDescent="0.25">
      <c r="L2703">
        <f t="shared" si="94"/>
        <v>0</v>
      </c>
      <c r="M2703">
        <f t="shared" si="95"/>
        <v>0</v>
      </c>
    </row>
    <row r="2704" spans="12:13" x14ac:dyDescent="0.25">
      <c r="L2704">
        <f t="shared" si="94"/>
        <v>0</v>
      </c>
      <c r="M2704">
        <f t="shared" si="95"/>
        <v>0</v>
      </c>
    </row>
    <row r="2705" spans="12:13" x14ac:dyDescent="0.25">
      <c r="L2705">
        <f t="shared" si="94"/>
        <v>0</v>
      </c>
      <c r="M2705">
        <f t="shared" si="95"/>
        <v>0</v>
      </c>
    </row>
    <row r="2706" spans="12:13" x14ac:dyDescent="0.25">
      <c r="L2706">
        <f t="shared" si="94"/>
        <v>0</v>
      </c>
      <c r="M2706">
        <f t="shared" si="95"/>
        <v>0</v>
      </c>
    </row>
    <row r="2707" spans="12:13" x14ac:dyDescent="0.25">
      <c r="L2707">
        <f t="shared" si="94"/>
        <v>0</v>
      </c>
      <c r="M2707">
        <f t="shared" si="95"/>
        <v>0</v>
      </c>
    </row>
    <row r="2708" spans="12:13" x14ac:dyDescent="0.25">
      <c r="L2708">
        <f t="shared" si="94"/>
        <v>0</v>
      </c>
      <c r="M2708">
        <f t="shared" si="95"/>
        <v>0</v>
      </c>
    </row>
    <row r="2709" spans="12:13" x14ac:dyDescent="0.25">
      <c r="L2709">
        <f t="shared" si="94"/>
        <v>0</v>
      </c>
      <c r="M2709">
        <f t="shared" si="95"/>
        <v>0</v>
      </c>
    </row>
    <row r="2710" spans="12:13" x14ac:dyDescent="0.25">
      <c r="L2710">
        <f t="shared" si="94"/>
        <v>0</v>
      </c>
      <c r="M2710">
        <f t="shared" si="95"/>
        <v>0</v>
      </c>
    </row>
    <row r="2711" spans="12:13" x14ac:dyDescent="0.25">
      <c r="L2711">
        <f t="shared" si="94"/>
        <v>0</v>
      </c>
      <c r="M2711">
        <f t="shared" si="95"/>
        <v>0</v>
      </c>
    </row>
    <row r="2712" spans="12:13" x14ac:dyDescent="0.25">
      <c r="L2712">
        <f t="shared" si="94"/>
        <v>0</v>
      </c>
      <c r="M2712">
        <f t="shared" si="95"/>
        <v>0</v>
      </c>
    </row>
    <row r="2713" spans="12:13" x14ac:dyDescent="0.25">
      <c r="L2713">
        <f t="shared" si="94"/>
        <v>0</v>
      </c>
      <c r="M2713">
        <f t="shared" si="95"/>
        <v>0</v>
      </c>
    </row>
    <row r="2714" spans="12:13" x14ac:dyDescent="0.25">
      <c r="L2714">
        <f t="shared" si="94"/>
        <v>0</v>
      </c>
      <c r="M2714">
        <f t="shared" si="95"/>
        <v>0</v>
      </c>
    </row>
    <row r="2715" spans="12:13" x14ac:dyDescent="0.25">
      <c r="L2715">
        <f t="shared" si="94"/>
        <v>0</v>
      </c>
      <c r="M2715">
        <f t="shared" si="95"/>
        <v>0</v>
      </c>
    </row>
    <row r="2716" spans="12:13" x14ac:dyDescent="0.25">
      <c r="L2716">
        <f t="shared" si="94"/>
        <v>0</v>
      </c>
      <c r="M2716">
        <f t="shared" si="95"/>
        <v>0</v>
      </c>
    </row>
    <row r="2717" spans="12:13" x14ac:dyDescent="0.25">
      <c r="L2717">
        <f t="shared" si="94"/>
        <v>0</v>
      </c>
      <c r="M2717">
        <f t="shared" si="95"/>
        <v>0</v>
      </c>
    </row>
    <row r="2718" spans="12:13" x14ac:dyDescent="0.25">
      <c r="L2718">
        <f t="shared" si="94"/>
        <v>0</v>
      </c>
      <c r="M2718">
        <f t="shared" si="95"/>
        <v>0</v>
      </c>
    </row>
    <row r="2719" spans="12:13" x14ac:dyDescent="0.25">
      <c r="L2719">
        <f t="shared" si="94"/>
        <v>0</v>
      </c>
      <c r="M2719">
        <f t="shared" si="95"/>
        <v>0</v>
      </c>
    </row>
    <row r="2720" spans="12:13" x14ac:dyDescent="0.25">
      <c r="L2720">
        <f t="shared" si="94"/>
        <v>0</v>
      </c>
      <c r="M2720">
        <f t="shared" si="95"/>
        <v>0</v>
      </c>
    </row>
    <row r="2721" spans="12:13" x14ac:dyDescent="0.25">
      <c r="L2721">
        <f t="shared" si="94"/>
        <v>0</v>
      </c>
      <c r="M2721">
        <f t="shared" si="95"/>
        <v>0</v>
      </c>
    </row>
    <row r="2722" spans="12:13" x14ac:dyDescent="0.25">
      <c r="L2722">
        <f t="shared" si="94"/>
        <v>0</v>
      </c>
      <c r="M2722">
        <f t="shared" si="95"/>
        <v>0</v>
      </c>
    </row>
    <row r="2723" spans="12:13" x14ac:dyDescent="0.25">
      <c r="L2723">
        <f t="shared" si="94"/>
        <v>0</v>
      </c>
      <c r="M2723">
        <f t="shared" si="95"/>
        <v>0</v>
      </c>
    </row>
    <row r="2724" spans="12:13" x14ac:dyDescent="0.25">
      <c r="L2724">
        <f t="shared" si="94"/>
        <v>0</v>
      </c>
      <c r="M2724">
        <f t="shared" si="95"/>
        <v>0</v>
      </c>
    </row>
    <row r="2725" spans="12:13" x14ac:dyDescent="0.25">
      <c r="L2725">
        <f t="shared" si="94"/>
        <v>0</v>
      </c>
      <c r="M2725">
        <f t="shared" si="95"/>
        <v>0</v>
      </c>
    </row>
    <row r="2726" spans="12:13" x14ac:dyDescent="0.25">
      <c r="L2726">
        <f t="shared" si="94"/>
        <v>0</v>
      </c>
      <c r="M2726">
        <f t="shared" si="95"/>
        <v>0</v>
      </c>
    </row>
    <row r="2727" spans="12:13" x14ac:dyDescent="0.25">
      <c r="L2727">
        <f t="shared" si="94"/>
        <v>0</v>
      </c>
      <c r="M2727">
        <f t="shared" si="95"/>
        <v>0</v>
      </c>
    </row>
    <row r="2728" spans="12:13" x14ac:dyDescent="0.25">
      <c r="L2728">
        <f t="shared" si="94"/>
        <v>0</v>
      </c>
      <c r="M2728">
        <f t="shared" si="95"/>
        <v>0</v>
      </c>
    </row>
    <row r="2729" spans="12:13" x14ac:dyDescent="0.25">
      <c r="L2729">
        <f t="shared" si="94"/>
        <v>0</v>
      </c>
      <c r="M2729">
        <f t="shared" si="95"/>
        <v>0</v>
      </c>
    </row>
    <row r="2730" spans="12:13" x14ac:dyDescent="0.25">
      <c r="L2730">
        <f t="shared" si="94"/>
        <v>0</v>
      </c>
      <c r="M2730">
        <f t="shared" si="95"/>
        <v>0</v>
      </c>
    </row>
    <row r="2731" spans="12:13" x14ac:dyDescent="0.25">
      <c r="L2731">
        <f t="shared" si="94"/>
        <v>0</v>
      </c>
      <c r="M2731">
        <f t="shared" si="95"/>
        <v>0</v>
      </c>
    </row>
    <row r="2732" spans="12:13" x14ac:dyDescent="0.25">
      <c r="L2732">
        <f t="shared" si="94"/>
        <v>0</v>
      </c>
      <c r="M2732">
        <f t="shared" si="95"/>
        <v>0</v>
      </c>
    </row>
    <row r="2733" spans="12:13" x14ac:dyDescent="0.25">
      <c r="L2733">
        <f t="shared" si="94"/>
        <v>0</v>
      </c>
      <c r="M2733">
        <f t="shared" si="95"/>
        <v>0</v>
      </c>
    </row>
    <row r="2734" spans="12:13" x14ac:dyDescent="0.25">
      <c r="L2734">
        <f t="shared" ref="L2734:L2797" si="96">+I2734+H2734</f>
        <v>0</v>
      </c>
      <c r="M2734">
        <f t="shared" si="95"/>
        <v>0</v>
      </c>
    </row>
    <row r="2735" spans="12:13" x14ac:dyDescent="0.25">
      <c r="L2735">
        <f t="shared" si="96"/>
        <v>0</v>
      </c>
      <c r="M2735">
        <f t="shared" si="95"/>
        <v>0</v>
      </c>
    </row>
    <row r="2736" spans="12:13" x14ac:dyDescent="0.25">
      <c r="L2736">
        <f t="shared" si="96"/>
        <v>0</v>
      </c>
      <c r="M2736">
        <f t="shared" si="95"/>
        <v>0</v>
      </c>
    </row>
    <row r="2737" spans="12:13" x14ac:dyDescent="0.25">
      <c r="L2737">
        <f t="shared" si="96"/>
        <v>0</v>
      </c>
      <c r="M2737">
        <f t="shared" si="95"/>
        <v>0</v>
      </c>
    </row>
    <row r="2738" spans="12:13" x14ac:dyDescent="0.25">
      <c r="L2738">
        <f t="shared" si="96"/>
        <v>0</v>
      </c>
      <c r="M2738">
        <f t="shared" si="95"/>
        <v>0</v>
      </c>
    </row>
    <row r="2739" spans="12:13" x14ac:dyDescent="0.25">
      <c r="L2739">
        <f t="shared" si="96"/>
        <v>0</v>
      </c>
      <c r="M2739">
        <f t="shared" si="95"/>
        <v>0</v>
      </c>
    </row>
    <row r="2740" spans="12:13" x14ac:dyDescent="0.25">
      <c r="L2740">
        <f t="shared" si="96"/>
        <v>0</v>
      </c>
      <c r="M2740">
        <f t="shared" si="95"/>
        <v>0</v>
      </c>
    </row>
    <row r="2741" spans="12:13" x14ac:dyDescent="0.25">
      <c r="L2741">
        <f t="shared" si="96"/>
        <v>0</v>
      </c>
      <c r="M2741">
        <f t="shared" si="95"/>
        <v>0</v>
      </c>
    </row>
    <row r="2742" spans="12:13" x14ac:dyDescent="0.25">
      <c r="L2742">
        <f t="shared" si="96"/>
        <v>0</v>
      </c>
      <c r="M2742">
        <f t="shared" si="95"/>
        <v>0</v>
      </c>
    </row>
    <row r="2743" spans="12:13" x14ac:dyDescent="0.25">
      <c r="L2743">
        <f t="shared" si="96"/>
        <v>0</v>
      </c>
      <c r="M2743">
        <f t="shared" si="95"/>
        <v>0</v>
      </c>
    </row>
    <row r="2744" spans="12:13" x14ac:dyDescent="0.25">
      <c r="L2744">
        <f t="shared" si="96"/>
        <v>0</v>
      </c>
      <c r="M2744">
        <f t="shared" si="95"/>
        <v>0</v>
      </c>
    </row>
    <row r="2745" spans="12:13" x14ac:dyDescent="0.25">
      <c r="L2745">
        <f t="shared" si="96"/>
        <v>0</v>
      </c>
      <c r="M2745">
        <f t="shared" si="95"/>
        <v>0</v>
      </c>
    </row>
    <row r="2746" spans="12:13" x14ac:dyDescent="0.25">
      <c r="L2746">
        <f t="shared" si="96"/>
        <v>0</v>
      </c>
      <c r="M2746">
        <f t="shared" si="95"/>
        <v>0</v>
      </c>
    </row>
    <row r="2747" spans="12:13" x14ac:dyDescent="0.25">
      <c r="L2747">
        <f t="shared" si="96"/>
        <v>0</v>
      </c>
      <c r="M2747">
        <f t="shared" si="95"/>
        <v>0</v>
      </c>
    </row>
    <row r="2748" spans="12:13" x14ac:dyDescent="0.25">
      <c r="L2748">
        <f t="shared" si="96"/>
        <v>0</v>
      </c>
      <c r="M2748">
        <f t="shared" si="95"/>
        <v>0</v>
      </c>
    </row>
    <row r="2749" spans="12:13" x14ac:dyDescent="0.25">
      <c r="L2749">
        <f t="shared" si="96"/>
        <v>0</v>
      </c>
      <c r="M2749">
        <f t="shared" si="95"/>
        <v>0</v>
      </c>
    </row>
    <row r="2750" spans="12:13" x14ac:dyDescent="0.25">
      <c r="L2750">
        <f t="shared" si="96"/>
        <v>0</v>
      </c>
      <c r="M2750">
        <f t="shared" si="95"/>
        <v>0</v>
      </c>
    </row>
    <row r="2751" spans="12:13" x14ac:dyDescent="0.25">
      <c r="L2751">
        <f t="shared" si="96"/>
        <v>0</v>
      </c>
      <c r="M2751">
        <f t="shared" ref="M2751:M2814" si="97">+I2751/IF(H2751 = 0,1,H2751)</f>
        <v>0</v>
      </c>
    </row>
    <row r="2752" spans="12:13" x14ac:dyDescent="0.25">
      <c r="L2752">
        <f t="shared" si="96"/>
        <v>0</v>
      </c>
      <c r="M2752">
        <f t="shared" si="97"/>
        <v>0</v>
      </c>
    </row>
    <row r="2753" spans="12:13" x14ac:dyDescent="0.25">
      <c r="L2753">
        <f t="shared" si="96"/>
        <v>0</v>
      </c>
      <c r="M2753">
        <f t="shared" si="97"/>
        <v>0</v>
      </c>
    </row>
    <row r="2754" spans="12:13" x14ac:dyDescent="0.25">
      <c r="L2754">
        <f t="shared" si="96"/>
        <v>0</v>
      </c>
      <c r="M2754">
        <f t="shared" si="97"/>
        <v>0</v>
      </c>
    </row>
    <row r="2755" spans="12:13" x14ac:dyDescent="0.25">
      <c r="L2755">
        <f t="shared" si="96"/>
        <v>0</v>
      </c>
      <c r="M2755">
        <f t="shared" si="97"/>
        <v>0</v>
      </c>
    </row>
    <row r="2756" spans="12:13" x14ac:dyDescent="0.25">
      <c r="L2756">
        <f t="shared" si="96"/>
        <v>0</v>
      </c>
      <c r="M2756">
        <f t="shared" si="97"/>
        <v>0</v>
      </c>
    </row>
    <row r="2757" spans="12:13" x14ac:dyDescent="0.25">
      <c r="L2757">
        <f t="shared" si="96"/>
        <v>0</v>
      </c>
      <c r="M2757">
        <f t="shared" si="97"/>
        <v>0</v>
      </c>
    </row>
    <row r="2758" spans="12:13" x14ac:dyDescent="0.25">
      <c r="L2758">
        <f t="shared" si="96"/>
        <v>0</v>
      </c>
      <c r="M2758">
        <f t="shared" si="97"/>
        <v>0</v>
      </c>
    </row>
    <row r="2759" spans="12:13" x14ac:dyDescent="0.25">
      <c r="L2759">
        <f t="shared" si="96"/>
        <v>0</v>
      </c>
      <c r="M2759">
        <f t="shared" si="97"/>
        <v>0</v>
      </c>
    </row>
    <row r="2760" spans="12:13" x14ac:dyDescent="0.25">
      <c r="L2760">
        <f t="shared" si="96"/>
        <v>0</v>
      </c>
      <c r="M2760">
        <f t="shared" si="97"/>
        <v>0</v>
      </c>
    </row>
    <row r="2761" spans="12:13" x14ac:dyDescent="0.25">
      <c r="L2761">
        <f t="shared" si="96"/>
        <v>0</v>
      </c>
      <c r="M2761">
        <f t="shared" si="97"/>
        <v>0</v>
      </c>
    </row>
    <row r="2762" spans="12:13" x14ac:dyDescent="0.25">
      <c r="L2762">
        <f t="shared" si="96"/>
        <v>0</v>
      </c>
      <c r="M2762">
        <f t="shared" si="97"/>
        <v>0</v>
      </c>
    </row>
    <row r="2763" spans="12:13" x14ac:dyDescent="0.25">
      <c r="L2763">
        <f t="shared" si="96"/>
        <v>0</v>
      </c>
      <c r="M2763">
        <f t="shared" si="97"/>
        <v>0</v>
      </c>
    </row>
    <row r="2764" spans="12:13" x14ac:dyDescent="0.25">
      <c r="L2764">
        <f t="shared" si="96"/>
        <v>0</v>
      </c>
      <c r="M2764">
        <f t="shared" si="97"/>
        <v>0</v>
      </c>
    </row>
    <row r="2765" spans="12:13" x14ac:dyDescent="0.25">
      <c r="L2765">
        <f t="shared" si="96"/>
        <v>0</v>
      </c>
      <c r="M2765">
        <f t="shared" si="97"/>
        <v>0</v>
      </c>
    </row>
    <row r="2766" spans="12:13" x14ac:dyDescent="0.25">
      <c r="L2766">
        <f t="shared" si="96"/>
        <v>0</v>
      </c>
      <c r="M2766">
        <f t="shared" si="97"/>
        <v>0</v>
      </c>
    </row>
    <row r="2767" spans="12:13" x14ac:dyDescent="0.25">
      <c r="L2767">
        <f t="shared" si="96"/>
        <v>0</v>
      </c>
      <c r="M2767">
        <f t="shared" si="97"/>
        <v>0</v>
      </c>
    </row>
    <row r="2768" spans="12:13" x14ac:dyDescent="0.25">
      <c r="L2768">
        <f t="shared" si="96"/>
        <v>0</v>
      </c>
      <c r="M2768">
        <f t="shared" si="97"/>
        <v>0</v>
      </c>
    </row>
    <row r="2769" spans="12:13" x14ac:dyDescent="0.25">
      <c r="L2769">
        <f t="shared" si="96"/>
        <v>0</v>
      </c>
      <c r="M2769">
        <f t="shared" si="97"/>
        <v>0</v>
      </c>
    </row>
    <row r="2770" spans="12:13" x14ac:dyDescent="0.25">
      <c r="L2770">
        <f t="shared" si="96"/>
        <v>0</v>
      </c>
      <c r="M2770">
        <f t="shared" si="97"/>
        <v>0</v>
      </c>
    </row>
    <row r="2771" spans="12:13" x14ac:dyDescent="0.25">
      <c r="L2771">
        <f t="shared" si="96"/>
        <v>0</v>
      </c>
      <c r="M2771">
        <f t="shared" si="97"/>
        <v>0</v>
      </c>
    </row>
    <row r="2772" spans="12:13" x14ac:dyDescent="0.25">
      <c r="L2772">
        <f t="shared" si="96"/>
        <v>0</v>
      </c>
      <c r="M2772">
        <f t="shared" si="97"/>
        <v>0</v>
      </c>
    </row>
    <row r="2773" spans="12:13" x14ac:dyDescent="0.25">
      <c r="L2773">
        <f t="shared" si="96"/>
        <v>0</v>
      </c>
      <c r="M2773">
        <f t="shared" si="97"/>
        <v>0</v>
      </c>
    </row>
    <row r="2774" spans="12:13" x14ac:dyDescent="0.25">
      <c r="L2774">
        <f t="shared" si="96"/>
        <v>0</v>
      </c>
      <c r="M2774">
        <f t="shared" si="97"/>
        <v>0</v>
      </c>
    </row>
    <row r="2775" spans="12:13" x14ac:dyDescent="0.25">
      <c r="L2775">
        <f t="shared" si="96"/>
        <v>0</v>
      </c>
      <c r="M2775">
        <f t="shared" si="97"/>
        <v>0</v>
      </c>
    </row>
    <row r="2776" spans="12:13" x14ac:dyDescent="0.25">
      <c r="L2776">
        <f t="shared" si="96"/>
        <v>0</v>
      </c>
      <c r="M2776">
        <f t="shared" si="97"/>
        <v>0</v>
      </c>
    </row>
    <row r="2777" spans="12:13" x14ac:dyDescent="0.25">
      <c r="L2777">
        <f t="shared" si="96"/>
        <v>0</v>
      </c>
      <c r="M2777">
        <f t="shared" si="97"/>
        <v>0</v>
      </c>
    </row>
    <row r="2778" spans="12:13" x14ac:dyDescent="0.25">
      <c r="L2778">
        <f t="shared" si="96"/>
        <v>0</v>
      </c>
      <c r="M2778">
        <f t="shared" si="97"/>
        <v>0</v>
      </c>
    </row>
    <row r="2779" spans="12:13" x14ac:dyDescent="0.25">
      <c r="L2779">
        <f t="shared" si="96"/>
        <v>0</v>
      </c>
      <c r="M2779">
        <f t="shared" si="97"/>
        <v>0</v>
      </c>
    </row>
    <row r="2780" spans="12:13" x14ac:dyDescent="0.25">
      <c r="L2780">
        <f t="shared" si="96"/>
        <v>0</v>
      </c>
      <c r="M2780">
        <f t="shared" si="97"/>
        <v>0</v>
      </c>
    </row>
    <row r="2781" spans="12:13" x14ac:dyDescent="0.25">
      <c r="L2781">
        <f t="shared" si="96"/>
        <v>0</v>
      </c>
      <c r="M2781">
        <f t="shared" si="97"/>
        <v>0</v>
      </c>
    </row>
    <row r="2782" spans="12:13" x14ac:dyDescent="0.25">
      <c r="L2782">
        <f t="shared" si="96"/>
        <v>0</v>
      </c>
      <c r="M2782">
        <f t="shared" si="97"/>
        <v>0</v>
      </c>
    </row>
    <row r="2783" spans="12:13" x14ac:dyDescent="0.25">
      <c r="L2783">
        <f t="shared" si="96"/>
        <v>0</v>
      </c>
      <c r="M2783">
        <f t="shared" si="97"/>
        <v>0</v>
      </c>
    </row>
    <row r="2784" spans="12:13" x14ac:dyDescent="0.25">
      <c r="L2784">
        <f t="shared" si="96"/>
        <v>0</v>
      </c>
      <c r="M2784">
        <f t="shared" si="97"/>
        <v>0</v>
      </c>
    </row>
    <row r="2785" spans="12:13" x14ac:dyDescent="0.25">
      <c r="L2785">
        <f t="shared" si="96"/>
        <v>0</v>
      </c>
      <c r="M2785">
        <f t="shared" si="97"/>
        <v>0</v>
      </c>
    </row>
    <row r="2786" spans="12:13" x14ac:dyDescent="0.25">
      <c r="L2786">
        <f t="shared" si="96"/>
        <v>0</v>
      </c>
      <c r="M2786">
        <f t="shared" si="97"/>
        <v>0</v>
      </c>
    </row>
    <row r="2787" spans="12:13" x14ac:dyDescent="0.25">
      <c r="L2787">
        <f t="shared" si="96"/>
        <v>0</v>
      </c>
      <c r="M2787">
        <f t="shared" si="97"/>
        <v>0</v>
      </c>
    </row>
    <row r="2788" spans="12:13" x14ac:dyDescent="0.25">
      <c r="L2788">
        <f t="shared" si="96"/>
        <v>0</v>
      </c>
      <c r="M2788">
        <f t="shared" si="97"/>
        <v>0</v>
      </c>
    </row>
    <row r="2789" spans="12:13" x14ac:dyDescent="0.25">
      <c r="L2789">
        <f t="shared" si="96"/>
        <v>0</v>
      </c>
      <c r="M2789">
        <f t="shared" si="97"/>
        <v>0</v>
      </c>
    </row>
    <row r="2790" spans="12:13" x14ac:dyDescent="0.25">
      <c r="L2790">
        <f t="shared" si="96"/>
        <v>0</v>
      </c>
      <c r="M2790">
        <f t="shared" si="97"/>
        <v>0</v>
      </c>
    </row>
    <row r="2791" spans="12:13" x14ac:dyDescent="0.25">
      <c r="L2791">
        <f t="shared" si="96"/>
        <v>0</v>
      </c>
      <c r="M2791">
        <f t="shared" si="97"/>
        <v>0</v>
      </c>
    </row>
    <row r="2792" spans="12:13" x14ac:dyDescent="0.25">
      <c r="L2792">
        <f t="shared" si="96"/>
        <v>0</v>
      </c>
      <c r="M2792">
        <f t="shared" si="97"/>
        <v>0</v>
      </c>
    </row>
    <row r="2793" spans="12:13" x14ac:dyDescent="0.25">
      <c r="L2793">
        <f t="shared" si="96"/>
        <v>0</v>
      </c>
      <c r="M2793">
        <f t="shared" si="97"/>
        <v>0</v>
      </c>
    </row>
    <row r="2794" spans="12:13" x14ac:dyDescent="0.25">
      <c r="L2794">
        <f t="shared" si="96"/>
        <v>0</v>
      </c>
      <c r="M2794">
        <f t="shared" si="97"/>
        <v>0</v>
      </c>
    </row>
    <row r="2795" spans="12:13" x14ac:dyDescent="0.25">
      <c r="L2795">
        <f t="shared" si="96"/>
        <v>0</v>
      </c>
      <c r="M2795">
        <f t="shared" si="97"/>
        <v>0</v>
      </c>
    </row>
    <row r="2796" spans="12:13" x14ac:dyDescent="0.25">
      <c r="L2796">
        <f t="shared" si="96"/>
        <v>0</v>
      </c>
      <c r="M2796">
        <f t="shared" si="97"/>
        <v>0</v>
      </c>
    </row>
    <row r="2797" spans="12:13" x14ac:dyDescent="0.25">
      <c r="L2797">
        <f t="shared" si="96"/>
        <v>0</v>
      </c>
      <c r="M2797">
        <f t="shared" si="97"/>
        <v>0</v>
      </c>
    </row>
    <row r="2798" spans="12:13" x14ac:dyDescent="0.25">
      <c r="L2798">
        <f t="shared" ref="L2798:L2861" si="98">+I2798+H2798</f>
        <v>0</v>
      </c>
      <c r="M2798">
        <f t="shared" si="97"/>
        <v>0</v>
      </c>
    </row>
    <row r="2799" spans="12:13" x14ac:dyDescent="0.25">
      <c r="L2799">
        <f t="shared" si="98"/>
        <v>0</v>
      </c>
      <c r="M2799">
        <f t="shared" si="97"/>
        <v>0</v>
      </c>
    </row>
    <row r="2800" spans="12:13" x14ac:dyDescent="0.25">
      <c r="L2800">
        <f t="shared" si="98"/>
        <v>0</v>
      </c>
      <c r="M2800">
        <f t="shared" si="97"/>
        <v>0</v>
      </c>
    </row>
    <row r="2801" spans="12:13" x14ac:dyDescent="0.25">
      <c r="L2801">
        <f t="shared" si="98"/>
        <v>0</v>
      </c>
      <c r="M2801">
        <f t="shared" si="97"/>
        <v>0</v>
      </c>
    </row>
    <row r="2802" spans="12:13" x14ac:dyDescent="0.25">
      <c r="L2802">
        <f t="shared" si="98"/>
        <v>0</v>
      </c>
      <c r="M2802">
        <f t="shared" si="97"/>
        <v>0</v>
      </c>
    </row>
    <row r="2803" spans="12:13" x14ac:dyDescent="0.25">
      <c r="L2803">
        <f t="shared" si="98"/>
        <v>0</v>
      </c>
      <c r="M2803">
        <f t="shared" si="97"/>
        <v>0</v>
      </c>
    </row>
    <row r="2804" spans="12:13" x14ac:dyDescent="0.25">
      <c r="L2804">
        <f t="shared" si="98"/>
        <v>0</v>
      </c>
      <c r="M2804">
        <f t="shared" si="97"/>
        <v>0</v>
      </c>
    </row>
    <row r="2805" spans="12:13" x14ac:dyDescent="0.25">
      <c r="L2805">
        <f t="shared" si="98"/>
        <v>0</v>
      </c>
      <c r="M2805">
        <f t="shared" si="97"/>
        <v>0</v>
      </c>
    </row>
    <row r="2806" spans="12:13" x14ac:dyDescent="0.25">
      <c r="L2806">
        <f t="shared" si="98"/>
        <v>0</v>
      </c>
      <c r="M2806">
        <f t="shared" si="97"/>
        <v>0</v>
      </c>
    </row>
    <row r="2807" spans="12:13" x14ac:dyDescent="0.25">
      <c r="L2807">
        <f t="shared" si="98"/>
        <v>0</v>
      </c>
      <c r="M2807">
        <f t="shared" si="97"/>
        <v>0</v>
      </c>
    </row>
    <row r="2808" spans="12:13" x14ac:dyDescent="0.25">
      <c r="L2808">
        <f t="shared" si="98"/>
        <v>0</v>
      </c>
      <c r="M2808">
        <f t="shared" si="97"/>
        <v>0</v>
      </c>
    </row>
    <row r="2809" spans="12:13" x14ac:dyDescent="0.25">
      <c r="L2809">
        <f t="shared" si="98"/>
        <v>0</v>
      </c>
      <c r="M2809">
        <f t="shared" si="97"/>
        <v>0</v>
      </c>
    </row>
    <row r="2810" spans="12:13" x14ac:dyDescent="0.25">
      <c r="L2810">
        <f t="shared" si="98"/>
        <v>0</v>
      </c>
      <c r="M2810">
        <f t="shared" si="97"/>
        <v>0</v>
      </c>
    </row>
    <row r="2811" spans="12:13" x14ac:dyDescent="0.25">
      <c r="L2811">
        <f t="shared" si="98"/>
        <v>0</v>
      </c>
      <c r="M2811">
        <f t="shared" si="97"/>
        <v>0</v>
      </c>
    </row>
    <row r="2812" spans="12:13" x14ac:dyDescent="0.25">
      <c r="L2812">
        <f t="shared" si="98"/>
        <v>0</v>
      </c>
      <c r="M2812">
        <f t="shared" si="97"/>
        <v>0</v>
      </c>
    </row>
    <row r="2813" spans="12:13" x14ac:dyDescent="0.25">
      <c r="L2813">
        <f t="shared" si="98"/>
        <v>0</v>
      </c>
      <c r="M2813">
        <f t="shared" si="97"/>
        <v>0</v>
      </c>
    </row>
    <row r="2814" spans="12:13" x14ac:dyDescent="0.25">
      <c r="L2814">
        <f t="shared" si="98"/>
        <v>0</v>
      </c>
      <c r="M2814">
        <f t="shared" si="97"/>
        <v>0</v>
      </c>
    </row>
    <row r="2815" spans="12:13" x14ac:dyDescent="0.25">
      <c r="L2815">
        <f t="shared" si="98"/>
        <v>0</v>
      </c>
      <c r="M2815">
        <f t="shared" ref="M2815:M2878" si="99">+I2815/IF(H2815 = 0,1,H2815)</f>
        <v>0</v>
      </c>
    </row>
    <row r="2816" spans="12:13" x14ac:dyDescent="0.25">
      <c r="L2816">
        <f t="shared" si="98"/>
        <v>0</v>
      </c>
      <c r="M2816">
        <f t="shared" si="99"/>
        <v>0</v>
      </c>
    </row>
    <row r="2817" spans="12:13" x14ac:dyDescent="0.25">
      <c r="L2817">
        <f t="shared" si="98"/>
        <v>0</v>
      </c>
      <c r="M2817">
        <f t="shared" si="99"/>
        <v>0</v>
      </c>
    </row>
    <row r="2818" spans="12:13" x14ac:dyDescent="0.25">
      <c r="L2818">
        <f t="shared" si="98"/>
        <v>0</v>
      </c>
      <c r="M2818">
        <f t="shared" si="99"/>
        <v>0</v>
      </c>
    </row>
    <row r="2819" spans="12:13" x14ac:dyDescent="0.25">
      <c r="L2819">
        <f t="shared" si="98"/>
        <v>0</v>
      </c>
      <c r="M2819">
        <f t="shared" si="99"/>
        <v>0</v>
      </c>
    </row>
    <row r="2820" spans="12:13" x14ac:dyDescent="0.25">
      <c r="L2820">
        <f t="shared" si="98"/>
        <v>0</v>
      </c>
      <c r="M2820">
        <f t="shared" si="99"/>
        <v>0</v>
      </c>
    </row>
    <row r="2821" spans="12:13" x14ac:dyDescent="0.25">
      <c r="L2821">
        <f t="shared" si="98"/>
        <v>0</v>
      </c>
      <c r="M2821">
        <f t="shared" si="99"/>
        <v>0</v>
      </c>
    </row>
    <row r="2822" spans="12:13" x14ac:dyDescent="0.25">
      <c r="L2822">
        <f t="shared" si="98"/>
        <v>0</v>
      </c>
      <c r="M2822">
        <f t="shared" si="99"/>
        <v>0</v>
      </c>
    </row>
    <row r="2823" spans="12:13" x14ac:dyDescent="0.25">
      <c r="L2823">
        <f t="shared" si="98"/>
        <v>0</v>
      </c>
      <c r="M2823">
        <f t="shared" si="99"/>
        <v>0</v>
      </c>
    </row>
    <row r="2824" spans="12:13" x14ac:dyDescent="0.25">
      <c r="L2824">
        <f t="shared" si="98"/>
        <v>0</v>
      </c>
      <c r="M2824">
        <f t="shared" si="99"/>
        <v>0</v>
      </c>
    </row>
    <row r="2825" spans="12:13" x14ac:dyDescent="0.25">
      <c r="L2825">
        <f t="shared" si="98"/>
        <v>0</v>
      </c>
      <c r="M2825">
        <f t="shared" si="99"/>
        <v>0</v>
      </c>
    </row>
    <row r="2826" spans="12:13" x14ac:dyDescent="0.25">
      <c r="L2826">
        <f t="shared" si="98"/>
        <v>0</v>
      </c>
      <c r="M2826">
        <f t="shared" si="99"/>
        <v>0</v>
      </c>
    </row>
    <row r="2827" spans="12:13" x14ac:dyDescent="0.25">
      <c r="L2827">
        <f t="shared" si="98"/>
        <v>0</v>
      </c>
      <c r="M2827">
        <f t="shared" si="99"/>
        <v>0</v>
      </c>
    </row>
    <row r="2828" spans="12:13" x14ac:dyDescent="0.25">
      <c r="L2828">
        <f t="shared" si="98"/>
        <v>0</v>
      </c>
      <c r="M2828">
        <f t="shared" si="99"/>
        <v>0</v>
      </c>
    </row>
    <row r="2829" spans="12:13" x14ac:dyDescent="0.25">
      <c r="L2829">
        <f t="shared" si="98"/>
        <v>0</v>
      </c>
      <c r="M2829">
        <f t="shared" si="99"/>
        <v>0</v>
      </c>
    </row>
    <row r="2830" spans="12:13" x14ac:dyDescent="0.25">
      <c r="L2830">
        <f t="shared" si="98"/>
        <v>0</v>
      </c>
      <c r="M2830">
        <f t="shared" si="99"/>
        <v>0</v>
      </c>
    </row>
    <row r="2831" spans="12:13" x14ac:dyDescent="0.25">
      <c r="L2831">
        <f t="shared" si="98"/>
        <v>0</v>
      </c>
      <c r="M2831">
        <f t="shared" si="99"/>
        <v>0</v>
      </c>
    </row>
    <row r="2832" spans="12:13" x14ac:dyDescent="0.25">
      <c r="L2832">
        <f t="shared" si="98"/>
        <v>0</v>
      </c>
      <c r="M2832">
        <f t="shared" si="99"/>
        <v>0</v>
      </c>
    </row>
    <row r="2833" spans="12:13" x14ac:dyDescent="0.25">
      <c r="L2833">
        <f t="shared" si="98"/>
        <v>0</v>
      </c>
      <c r="M2833">
        <f t="shared" si="99"/>
        <v>0</v>
      </c>
    </row>
    <row r="2834" spans="12:13" x14ac:dyDescent="0.25">
      <c r="L2834">
        <f t="shared" si="98"/>
        <v>0</v>
      </c>
      <c r="M2834">
        <f t="shared" si="99"/>
        <v>0</v>
      </c>
    </row>
    <row r="2835" spans="12:13" x14ac:dyDescent="0.25">
      <c r="L2835">
        <f t="shared" si="98"/>
        <v>0</v>
      </c>
      <c r="M2835">
        <f t="shared" si="99"/>
        <v>0</v>
      </c>
    </row>
    <row r="2836" spans="12:13" x14ac:dyDescent="0.25">
      <c r="L2836">
        <f t="shared" si="98"/>
        <v>0</v>
      </c>
      <c r="M2836">
        <f t="shared" si="99"/>
        <v>0</v>
      </c>
    </row>
    <row r="2837" spans="12:13" x14ac:dyDescent="0.25">
      <c r="L2837">
        <f t="shared" si="98"/>
        <v>0</v>
      </c>
      <c r="M2837">
        <f t="shared" si="99"/>
        <v>0</v>
      </c>
    </row>
    <row r="2838" spans="12:13" x14ac:dyDescent="0.25">
      <c r="L2838">
        <f t="shared" si="98"/>
        <v>0</v>
      </c>
      <c r="M2838">
        <f t="shared" si="99"/>
        <v>0</v>
      </c>
    </row>
    <row r="2839" spans="12:13" x14ac:dyDescent="0.25">
      <c r="L2839">
        <f t="shared" si="98"/>
        <v>0</v>
      </c>
      <c r="M2839">
        <f t="shared" si="99"/>
        <v>0</v>
      </c>
    </row>
    <row r="2840" spans="12:13" x14ac:dyDescent="0.25">
      <c r="L2840">
        <f t="shared" si="98"/>
        <v>0</v>
      </c>
      <c r="M2840">
        <f t="shared" si="99"/>
        <v>0</v>
      </c>
    </row>
    <row r="2841" spans="12:13" x14ac:dyDescent="0.25">
      <c r="L2841">
        <f t="shared" si="98"/>
        <v>0</v>
      </c>
      <c r="M2841">
        <f t="shared" si="99"/>
        <v>0</v>
      </c>
    </row>
    <row r="2842" spans="12:13" x14ac:dyDescent="0.25">
      <c r="L2842">
        <f t="shared" si="98"/>
        <v>0</v>
      </c>
      <c r="M2842">
        <f t="shared" si="99"/>
        <v>0</v>
      </c>
    </row>
    <row r="2843" spans="12:13" x14ac:dyDescent="0.25">
      <c r="L2843">
        <f t="shared" si="98"/>
        <v>0</v>
      </c>
      <c r="M2843">
        <f t="shared" si="99"/>
        <v>0</v>
      </c>
    </row>
    <row r="2844" spans="12:13" x14ac:dyDescent="0.25">
      <c r="L2844">
        <f t="shared" si="98"/>
        <v>0</v>
      </c>
      <c r="M2844">
        <f t="shared" si="99"/>
        <v>0</v>
      </c>
    </row>
    <row r="2845" spans="12:13" x14ac:dyDescent="0.25">
      <c r="L2845">
        <f t="shared" si="98"/>
        <v>0</v>
      </c>
      <c r="M2845">
        <f t="shared" si="99"/>
        <v>0</v>
      </c>
    </row>
    <row r="2846" spans="12:13" x14ac:dyDescent="0.25">
      <c r="L2846">
        <f t="shared" si="98"/>
        <v>0</v>
      </c>
      <c r="M2846">
        <f t="shared" si="99"/>
        <v>0</v>
      </c>
    </row>
    <row r="2847" spans="12:13" x14ac:dyDescent="0.25">
      <c r="L2847">
        <f t="shared" si="98"/>
        <v>0</v>
      </c>
      <c r="M2847">
        <f t="shared" si="99"/>
        <v>0</v>
      </c>
    </row>
    <row r="2848" spans="12:13" x14ac:dyDescent="0.25">
      <c r="L2848">
        <f t="shared" si="98"/>
        <v>0</v>
      </c>
      <c r="M2848">
        <f t="shared" si="99"/>
        <v>0</v>
      </c>
    </row>
    <row r="2849" spans="12:13" x14ac:dyDescent="0.25">
      <c r="L2849">
        <f t="shared" si="98"/>
        <v>0</v>
      </c>
      <c r="M2849">
        <f t="shared" si="99"/>
        <v>0</v>
      </c>
    </row>
    <row r="2850" spans="12:13" x14ac:dyDescent="0.25">
      <c r="L2850">
        <f t="shared" si="98"/>
        <v>0</v>
      </c>
      <c r="M2850">
        <f t="shared" si="99"/>
        <v>0</v>
      </c>
    </row>
    <row r="2851" spans="12:13" x14ac:dyDescent="0.25">
      <c r="L2851">
        <f t="shared" si="98"/>
        <v>0</v>
      </c>
      <c r="M2851">
        <f t="shared" si="99"/>
        <v>0</v>
      </c>
    </row>
    <row r="2852" spans="12:13" x14ac:dyDescent="0.25">
      <c r="L2852">
        <f t="shared" si="98"/>
        <v>0</v>
      </c>
      <c r="M2852">
        <f t="shared" si="99"/>
        <v>0</v>
      </c>
    </row>
    <row r="2853" spans="12:13" x14ac:dyDescent="0.25">
      <c r="L2853">
        <f t="shared" si="98"/>
        <v>0</v>
      </c>
      <c r="M2853">
        <f t="shared" si="99"/>
        <v>0</v>
      </c>
    </row>
    <row r="2854" spans="12:13" x14ac:dyDescent="0.25">
      <c r="L2854">
        <f t="shared" si="98"/>
        <v>0</v>
      </c>
      <c r="M2854">
        <f t="shared" si="99"/>
        <v>0</v>
      </c>
    </row>
    <row r="2855" spans="12:13" x14ac:dyDescent="0.25">
      <c r="L2855">
        <f t="shared" si="98"/>
        <v>0</v>
      </c>
      <c r="M2855">
        <f t="shared" si="99"/>
        <v>0</v>
      </c>
    </row>
    <row r="2856" spans="12:13" x14ac:dyDescent="0.25">
      <c r="L2856">
        <f t="shared" si="98"/>
        <v>0</v>
      </c>
      <c r="M2856">
        <f t="shared" si="99"/>
        <v>0</v>
      </c>
    </row>
    <row r="2857" spans="12:13" x14ac:dyDescent="0.25">
      <c r="L2857">
        <f t="shared" si="98"/>
        <v>0</v>
      </c>
      <c r="M2857">
        <f t="shared" si="99"/>
        <v>0</v>
      </c>
    </row>
    <row r="2858" spans="12:13" x14ac:dyDescent="0.25">
      <c r="L2858">
        <f t="shared" si="98"/>
        <v>0</v>
      </c>
      <c r="M2858">
        <f t="shared" si="99"/>
        <v>0</v>
      </c>
    </row>
    <row r="2859" spans="12:13" x14ac:dyDescent="0.25">
      <c r="L2859">
        <f t="shared" si="98"/>
        <v>0</v>
      </c>
      <c r="M2859">
        <f t="shared" si="99"/>
        <v>0</v>
      </c>
    </row>
    <row r="2860" spans="12:13" x14ac:dyDescent="0.25">
      <c r="L2860">
        <f t="shared" si="98"/>
        <v>0</v>
      </c>
      <c r="M2860">
        <f t="shared" si="99"/>
        <v>0</v>
      </c>
    </row>
    <row r="2861" spans="12:13" x14ac:dyDescent="0.25">
      <c r="L2861">
        <f t="shared" si="98"/>
        <v>0</v>
      </c>
      <c r="M2861">
        <f t="shared" si="99"/>
        <v>0</v>
      </c>
    </row>
    <row r="2862" spans="12:13" x14ac:dyDescent="0.25">
      <c r="L2862">
        <f t="shared" ref="L2862:L2925" si="100">+I2862+H2862</f>
        <v>0</v>
      </c>
      <c r="M2862">
        <f t="shared" si="99"/>
        <v>0</v>
      </c>
    </row>
    <row r="2863" spans="12:13" x14ac:dyDescent="0.25">
      <c r="L2863">
        <f t="shared" si="100"/>
        <v>0</v>
      </c>
      <c r="M2863">
        <f t="shared" si="99"/>
        <v>0</v>
      </c>
    </row>
    <row r="2864" spans="12:13" x14ac:dyDescent="0.25">
      <c r="L2864">
        <f t="shared" si="100"/>
        <v>0</v>
      </c>
      <c r="M2864">
        <f t="shared" si="99"/>
        <v>0</v>
      </c>
    </row>
    <row r="2865" spans="12:13" x14ac:dyDescent="0.25">
      <c r="L2865">
        <f t="shared" si="100"/>
        <v>0</v>
      </c>
      <c r="M2865">
        <f t="shared" si="99"/>
        <v>0</v>
      </c>
    </row>
    <row r="2866" spans="12:13" x14ac:dyDescent="0.25">
      <c r="L2866">
        <f t="shared" si="100"/>
        <v>0</v>
      </c>
      <c r="M2866">
        <f t="shared" si="99"/>
        <v>0</v>
      </c>
    </row>
    <row r="2867" spans="12:13" x14ac:dyDescent="0.25">
      <c r="L2867">
        <f t="shared" si="100"/>
        <v>0</v>
      </c>
      <c r="M2867">
        <f t="shared" si="99"/>
        <v>0</v>
      </c>
    </row>
    <row r="2868" spans="12:13" x14ac:dyDescent="0.25">
      <c r="L2868">
        <f t="shared" si="100"/>
        <v>0</v>
      </c>
      <c r="M2868">
        <f t="shared" si="99"/>
        <v>0</v>
      </c>
    </row>
    <row r="2869" spans="12:13" x14ac:dyDescent="0.25">
      <c r="L2869">
        <f t="shared" si="100"/>
        <v>0</v>
      </c>
      <c r="M2869">
        <f t="shared" si="99"/>
        <v>0</v>
      </c>
    </row>
    <row r="2870" spans="12:13" x14ac:dyDescent="0.25">
      <c r="L2870">
        <f t="shared" si="100"/>
        <v>0</v>
      </c>
      <c r="M2870">
        <f t="shared" si="99"/>
        <v>0</v>
      </c>
    </row>
    <row r="2871" spans="12:13" x14ac:dyDescent="0.25">
      <c r="L2871">
        <f t="shared" si="100"/>
        <v>0</v>
      </c>
      <c r="M2871">
        <f t="shared" si="99"/>
        <v>0</v>
      </c>
    </row>
    <row r="2872" spans="12:13" x14ac:dyDescent="0.25">
      <c r="L2872">
        <f t="shared" si="100"/>
        <v>0</v>
      </c>
      <c r="M2872">
        <f t="shared" si="99"/>
        <v>0</v>
      </c>
    </row>
    <row r="2873" spans="12:13" x14ac:dyDescent="0.25">
      <c r="L2873">
        <f t="shared" si="100"/>
        <v>0</v>
      </c>
      <c r="M2873">
        <f t="shared" si="99"/>
        <v>0</v>
      </c>
    </row>
    <row r="2874" spans="12:13" x14ac:dyDescent="0.25">
      <c r="L2874">
        <f t="shared" si="100"/>
        <v>0</v>
      </c>
      <c r="M2874">
        <f t="shared" si="99"/>
        <v>0</v>
      </c>
    </row>
    <row r="2875" spans="12:13" x14ac:dyDescent="0.25">
      <c r="L2875">
        <f t="shared" si="100"/>
        <v>0</v>
      </c>
      <c r="M2875">
        <f t="shared" si="99"/>
        <v>0</v>
      </c>
    </row>
    <row r="2876" spans="12:13" x14ac:dyDescent="0.25">
      <c r="L2876">
        <f t="shared" si="100"/>
        <v>0</v>
      </c>
      <c r="M2876">
        <f t="shared" si="99"/>
        <v>0</v>
      </c>
    </row>
    <row r="2877" spans="12:13" x14ac:dyDescent="0.25">
      <c r="L2877">
        <f t="shared" si="100"/>
        <v>0</v>
      </c>
      <c r="M2877">
        <f t="shared" si="99"/>
        <v>0</v>
      </c>
    </row>
    <row r="2878" spans="12:13" x14ac:dyDescent="0.25">
      <c r="L2878">
        <f t="shared" si="100"/>
        <v>0</v>
      </c>
      <c r="M2878">
        <f t="shared" si="99"/>
        <v>0</v>
      </c>
    </row>
    <row r="2879" spans="12:13" x14ac:dyDescent="0.25">
      <c r="L2879">
        <f t="shared" si="100"/>
        <v>0</v>
      </c>
      <c r="M2879">
        <f t="shared" ref="M2879:M2942" si="101">+I2879/IF(H2879 = 0,1,H2879)</f>
        <v>0</v>
      </c>
    </row>
    <row r="2880" spans="12:13" x14ac:dyDescent="0.25">
      <c r="L2880">
        <f t="shared" si="100"/>
        <v>0</v>
      </c>
      <c r="M2880">
        <f t="shared" si="101"/>
        <v>0</v>
      </c>
    </row>
    <row r="2881" spans="12:13" x14ac:dyDescent="0.25">
      <c r="L2881">
        <f t="shared" si="100"/>
        <v>0</v>
      </c>
      <c r="M2881">
        <f t="shared" si="101"/>
        <v>0</v>
      </c>
    </row>
    <row r="2882" spans="12:13" x14ac:dyDescent="0.25">
      <c r="L2882">
        <f t="shared" si="100"/>
        <v>0</v>
      </c>
      <c r="M2882">
        <f t="shared" si="101"/>
        <v>0</v>
      </c>
    </row>
    <row r="2883" spans="12:13" x14ac:dyDescent="0.25">
      <c r="L2883">
        <f t="shared" si="100"/>
        <v>0</v>
      </c>
      <c r="M2883">
        <f t="shared" si="101"/>
        <v>0</v>
      </c>
    </row>
    <row r="2884" spans="12:13" x14ac:dyDescent="0.25">
      <c r="L2884">
        <f t="shared" si="100"/>
        <v>0</v>
      </c>
      <c r="M2884">
        <f t="shared" si="101"/>
        <v>0</v>
      </c>
    </row>
    <row r="2885" spans="12:13" x14ac:dyDescent="0.25">
      <c r="L2885">
        <f t="shared" si="100"/>
        <v>0</v>
      </c>
      <c r="M2885">
        <f t="shared" si="101"/>
        <v>0</v>
      </c>
    </row>
    <row r="2886" spans="12:13" x14ac:dyDescent="0.25">
      <c r="L2886">
        <f t="shared" si="100"/>
        <v>0</v>
      </c>
      <c r="M2886">
        <f t="shared" si="101"/>
        <v>0</v>
      </c>
    </row>
    <row r="2887" spans="12:13" x14ac:dyDescent="0.25">
      <c r="L2887">
        <f t="shared" si="100"/>
        <v>0</v>
      </c>
      <c r="M2887">
        <f t="shared" si="101"/>
        <v>0</v>
      </c>
    </row>
    <row r="2888" spans="12:13" x14ac:dyDescent="0.25">
      <c r="L2888">
        <f t="shared" si="100"/>
        <v>0</v>
      </c>
      <c r="M2888">
        <f t="shared" si="101"/>
        <v>0</v>
      </c>
    </row>
    <row r="2889" spans="12:13" x14ac:dyDescent="0.25">
      <c r="L2889">
        <f t="shared" si="100"/>
        <v>0</v>
      </c>
      <c r="M2889">
        <f t="shared" si="101"/>
        <v>0</v>
      </c>
    </row>
    <row r="2890" spans="12:13" x14ac:dyDescent="0.25">
      <c r="L2890">
        <f t="shared" si="100"/>
        <v>0</v>
      </c>
      <c r="M2890">
        <f t="shared" si="101"/>
        <v>0</v>
      </c>
    </row>
    <row r="2891" spans="12:13" x14ac:dyDescent="0.25">
      <c r="L2891">
        <f t="shared" si="100"/>
        <v>0</v>
      </c>
      <c r="M2891">
        <f t="shared" si="101"/>
        <v>0</v>
      </c>
    </row>
    <row r="2892" spans="12:13" x14ac:dyDescent="0.25">
      <c r="L2892">
        <f t="shared" si="100"/>
        <v>0</v>
      </c>
      <c r="M2892">
        <f t="shared" si="101"/>
        <v>0</v>
      </c>
    </row>
    <row r="2893" spans="12:13" x14ac:dyDescent="0.25">
      <c r="L2893">
        <f t="shared" si="100"/>
        <v>0</v>
      </c>
      <c r="M2893">
        <f t="shared" si="101"/>
        <v>0</v>
      </c>
    </row>
    <row r="2894" spans="12:13" x14ac:dyDescent="0.25">
      <c r="L2894">
        <f t="shared" si="100"/>
        <v>0</v>
      </c>
      <c r="M2894">
        <f t="shared" si="101"/>
        <v>0</v>
      </c>
    </row>
    <row r="2895" spans="12:13" x14ac:dyDescent="0.25">
      <c r="L2895">
        <f t="shared" si="100"/>
        <v>0</v>
      </c>
      <c r="M2895">
        <f t="shared" si="101"/>
        <v>0</v>
      </c>
    </row>
    <row r="2896" spans="12:13" x14ac:dyDescent="0.25">
      <c r="L2896">
        <f t="shared" si="100"/>
        <v>0</v>
      </c>
      <c r="M2896">
        <f t="shared" si="101"/>
        <v>0</v>
      </c>
    </row>
    <row r="2897" spans="12:13" x14ac:dyDescent="0.25">
      <c r="L2897">
        <f t="shared" si="100"/>
        <v>0</v>
      </c>
      <c r="M2897">
        <f t="shared" si="101"/>
        <v>0</v>
      </c>
    </row>
    <row r="2898" spans="12:13" x14ac:dyDescent="0.25">
      <c r="L2898">
        <f t="shared" si="100"/>
        <v>0</v>
      </c>
      <c r="M2898">
        <f t="shared" si="101"/>
        <v>0</v>
      </c>
    </row>
    <row r="2899" spans="12:13" x14ac:dyDescent="0.25">
      <c r="L2899">
        <f t="shared" si="100"/>
        <v>0</v>
      </c>
      <c r="M2899">
        <f t="shared" si="101"/>
        <v>0</v>
      </c>
    </row>
    <row r="2900" spans="12:13" x14ac:dyDescent="0.25">
      <c r="L2900">
        <f t="shared" si="100"/>
        <v>0</v>
      </c>
      <c r="M2900">
        <f t="shared" si="101"/>
        <v>0</v>
      </c>
    </row>
    <row r="2901" spans="12:13" x14ac:dyDescent="0.25">
      <c r="L2901">
        <f t="shared" si="100"/>
        <v>0</v>
      </c>
      <c r="M2901">
        <f t="shared" si="101"/>
        <v>0</v>
      </c>
    </row>
    <row r="2902" spans="12:13" x14ac:dyDescent="0.25">
      <c r="L2902">
        <f t="shared" si="100"/>
        <v>0</v>
      </c>
      <c r="M2902">
        <f t="shared" si="101"/>
        <v>0</v>
      </c>
    </row>
    <row r="2903" spans="12:13" x14ac:dyDescent="0.25">
      <c r="L2903">
        <f t="shared" si="100"/>
        <v>0</v>
      </c>
      <c r="M2903">
        <f t="shared" si="101"/>
        <v>0</v>
      </c>
    </row>
    <row r="2904" spans="12:13" x14ac:dyDescent="0.25">
      <c r="L2904">
        <f t="shared" si="100"/>
        <v>0</v>
      </c>
      <c r="M2904">
        <f t="shared" si="101"/>
        <v>0</v>
      </c>
    </row>
    <row r="2905" spans="12:13" x14ac:dyDescent="0.25">
      <c r="L2905">
        <f t="shared" si="100"/>
        <v>0</v>
      </c>
      <c r="M2905">
        <f t="shared" si="101"/>
        <v>0</v>
      </c>
    </row>
    <row r="2906" spans="12:13" x14ac:dyDescent="0.25">
      <c r="L2906">
        <f t="shared" si="100"/>
        <v>0</v>
      </c>
      <c r="M2906">
        <f t="shared" si="101"/>
        <v>0</v>
      </c>
    </row>
    <row r="2907" spans="12:13" x14ac:dyDescent="0.25">
      <c r="L2907">
        <f t="shared" si="100"/>
        <v>0</v>
      </c>
      <c r="M2907">
        <f t="shared" si="101"/>
        <v>0</v>
      </c>
    </row>
    <row r="2908" spans="12:13" x14ac:dyDescent="0.25">
      <c r="L2908">
        <f t="shared" si="100"/>
        <v>0</v>
      </c>
      <c r="M2908">
        <f t="shared" si="101"/>
        <v>0</v>
      </c>
    </row>
    <row r="2909" spans="12:13" x14ac:dyDescent="0.25">
      <c r="L2909">
        <f t="shared" si="100"/>
        <v>0</v>
      </c>
      <c r="M2909">
        <f t="shared" si="101"/>
        <v>0</v>
      </c>
    </row>
    <row r="2910" spans="12:13" x14ac:dyDescent="0.25">
      <c r="L2910">
        <f t="shared" si="100"/>
        <v>0</v>
      </c>
      <c r="M2910">
        <f t="shared" si="101"/>
        <v>0</v>
      </c>
    </row>
    <row r="2911" spans="12:13" x14ac:dyDescent="0.25">
      <c r="L2911">
        <f t="shared" si="100"/>
        <v>0</v>
      </c>
      <c r="M2911">
        <f t="shared" si="101"/>
        <v>0</v>
      </c>
    </row>
    <row r="2912" spans="12:13" x14ac:dyDescent="0.25">
      <c r="L2912">
        <f t="shared" si="100"/>
        <v>0</v>
      </c>
      <c r="M2912">
        <f t="shared" si="101"/>
        <v>0</v>
      </c>
    </row>
    <row r="2913" spans="12:13" x14ac:dyDescent="0.25">
      <c r="L2913">
        <f t="shared" si="100"/>
        <v>0</v>
      </c>
      <c r="M2913">
        <f t="shared" si="101"/>
        <v>0</v>
      </c>
    </row>
    <row r="2914" spans="12:13" x14ac:dyDescent="0.25">
      <c r="L2914">
        <f t="shared" si="100"/>
        <v>0</v>
      </c>
      <c r="M2914">
        <f t="shared" si="101"/>
        <v>0</v>
      </c>
    </row>
    <row r="2915" spans="12:13" x14ac:dyDescent="0.25">
      <c r="L2915">
        <f t="shared" si="100"/>
        <v>0</v>
      </c>
      <c r="M2915">
        <f t="shared" si="101"/>
        <v>0</v>
      </c>
    </row>
    <row r="2916" spans="12:13" x14ac:dyDescent="0.25">
      <c r="L2916">
        <f t="shared" si="100"/>
        <v>0</v>
      </c>
      <c r="M2916">
        <f t="shared" si="101"/>
        <v>0</v>
      </c>
    </row>
    <row r="2917" spans="12:13" x14ac:dyDescent="0.25">
      <c r="L2917">
        <f t="shared" si="100"/>
        <v>0</v>
      </c>
      <c r="M2917">
        <f t="shared" si="101"/>
        <v>0</v>
      </c>
    </row>
    <row r="2918" spans="12:13" x14ac:dyDescent="0.25">
      <c r="L2918">
        <f t="shared" si="100"/>
        <v>0</v>
      </c>
      <c r="M2918">
        <f t="shared" si="101"/>
        <v>0</v>
      </c>
    </row>
    <row r="2919" spans="12:13" x14ac:dyDescent="0.25">
      <c r="L2919">
        <f t="shared" si="100"/>
        <v>0</v>
      </c>
      <c r="M2919">
        <f t="shared" si="101"/>
        <v>0</v>
      </c>
    </row>
    <row r="2920" spans="12:13" x14ac:dyDescent="0.25">
      <c r="L2920">
        <f t="shared" si="100"/>
        <v>0</v>
      </c>
      <c r="M2920">
        <f t="shared" si="101"/>
        <v>0</v>
      </c>
    </row>
    <row r="2921" spans="12:13" x14ac:dyDescent="0.25">
      <c r="L2921">
        <f t="shared" si="100"/>
        <v>0</v>
      </c>
      <c r="M2921">
        <f t="shared" si="101"/>
        <v>0</v>
      </c>
    </row>
    <row r="2922" spans="12:13" x14ac:dyDescent="0.25">
      <c r="L2922">
        <f t="shared" si="100"/>
        <v>0</v>
      </c>
      <c r="M2922">
        <f t="shared" si="101"/>
        <v>0</v>
      </c>
    </row>
    <row r="2923" spans="12:13" x14ac:dyDescent="0.25">
      <c r="L2923">
        <f t="shared" si="100"/>
        <v>0</v>
      </c>
      <c r="M2923">
        <f t="shared" si="101"/>
        <v>0</v>
      </c>
    </row>
    <row r="2924" spans="12:13" x14ac:dyDescent="0.25">
      <c r="L2924">
        <f t="shared" si="100"/>
        <v>0</v>
      </c>
      <c r="M2924">
        <f t="shared" si="101"/>
        <v>0</v>
      </c>
    </row>
    <row r="2925" spans="12:13" x14ac:dyDescent="0.25">
      <c r="L2925">
        <f t="shared" si="100"/>
        <v>0</v>
      </c>
      <c r="M2925">
        <f t="shared" si="101"/>
        <v>0</v>
      </c>
    </row>
    <row r="2926" spans="12:13" x14ac:dyDescent="0.25">
      <c r="L2926">
        <f t="shared" ref="L2926:L2989" si="102">+I2926+H2926</f>
        <v>0</v>
      </c>
      <c r="M2926">
        <f t="shared" si="101"/>
        <v>0</v>
      </c>
    </row>
    <row r="2927" spans="12:13" x14ac:dyDescent="0.25">
      <c r="L2927">
        <f t="shared" si="102"/>
        <v>0</v>
      </c>
      <c r="M2927">
        <f t="shared" si="101"/>
        <v>0</v>
      </c>
    </row>
    <row r="2928" spans="12:13" x14ac:dyDescent="0.25">
      <c r="L2928">
        <f t="shared" si="102"/>
        <v>0</v>
      </c>
      <c r="M2928">
        <f t="shared" si="101"/>
        <v>0</v>
      </c>
    </row>
    <row r="2929" spans="12:13" x14ac:dyDescent="0.25">
      <c r="L2929">
        <f t="shared" si="102"/>
        <v>0</v>
      </c>
      <c r="M2929">
        <f t="shared" si="101"/>
        <v>0</v>
      </c>
    </row>
    <row r="2930" spans="12:13" x14ac:dyDescent="0.25">
      <c r="L2930">
        <f t="shared" si="102"/>
        <v>0</v>
      </c>
      <c r="M2930">
        <f t="shared" si="101"/>
        <v>0</v>
      </c>
    </row>
    <row r="2931" spans="12:13" x14ac:dyDescent="0.25">
      <c r="L2931">
        <f t="shared" si="102"/>
        <v>0</v>
      </c>
      <c r="M2931">
        <f t="shared" si="101"/>
        <v>0</v>
      </c>
    </row>
    <row r="2932" spans="12:13" x14ac:dyDescent="0.25">
      <c r="L2932">
        <f t="shared" si="102"/>
        <v>0</v>
      </c>
      <c r="M2932">
        <f t="shared" si="101"/>
        <v>0</v>
      </c>
    </row>
    <row r="2933" spans="12:13" x14ac:dyDescent="0.25">
      <c r="L2933">
        <f t="shared" si="102"/>
        <v>0</v>
      </c>
      <c r="M2933">
        <f t="shared" si="101"/>
        <v>0</v>
      </c>
    </row>
    <row r="2934" spans="12:13" x14ac:dyDescent="0.25">
      <c r="L2934">
        <f t="shared" si="102"/>
        <v>0</v>
      </c>
      <c r="M2934">
        <f t="shared" si="101"/>
        <v>0</v>
      </c>
    </row>
    <row r="2935" spans="12:13" x14ac:dyDescent="0.25">
      <c r="L2935">
        <f t="shared" si="102"/>
        <v>0</v>
      </c>
      <c r="M2935">
        <f t="shared" si="101"/>
        <v>0</v>
      </c>
    </row>
    <row r="2936" spans="12:13" x14ac:dyDescent="0.25">
      <c r="L2936">
        <f t="shared" si="102"/>
        <v>0</v>
      </c>
      <c r="M2936">
        <f t="shared" si="101"/>
        <v>0</v>
      </c>
    </row>
    <row r="2937" spans="12:13" x14ac:dyDescent="0.25">
      <c r="L2937">
        <f t="shared" si="102"/>
        <v>0</v>
      </c>
      <c r="M2937">
        <f t="shared" si="101"/>
        <v>0</v>
      </c>
    </row>
    <row r="2938" spans="12:13" x14ac:dyDescent="0.25">
      <c r="L2938">
        <f t="shared" si="102"/>
        <v>0</v>
      </c>
      <c r="M2938">
        <f t="shared" si="101"/>
        <v>0</v>
      </c>
    </row>
    <row r="2939" spans="12:13" x14ac:dyDescent="0.25">
      <c r="L2939">
        <f t="shared" si="102"/>
        <v>0</v>
      </c>
      <c r="M2939">
        <f t="shared" si="101"/>
        <v>0</v>
      </c>
    </row>
    <row r="2940" spans="12:13" x14ac:dyDescent="0.25">
      <c r="L2940">
        <f t="shared" si="102"/>
        <v>0</v>
      </c>
      <c r="M2940">
        <f t="shared" si="101"/>
        <v>0</v>
      </c>
    </row>
    <row r="2941" spans="12:13" x14ac:dyDescent="0.25">
      <c r="L2941">
        <f t="shared" si="102"/>
        <v>0</v>
      </c>
      <c r="M2941">
        <f t="shared" si="101"/>
        <v>0</v>
      </c>
    </row>
    <row r="2942" spans="12:13" x14ac:dyDescent="0.25">
      <c r="L2942">
        <f t="shared" si="102"/>
        <v>0</v>
      </c>
      <c r="M2942">
        <f t="shared" si="101"/>
        <v>0</v>
      </c>
    </row>
    <row r="2943" spans="12:13" x14ac:dyDescent="0.25">
      <c r="L2943">
        <f t="shared" si="102"/>
        <v>0</v>
      </c>
      <c r="M2943">
        <f t="shared" ref="M2943:M3006" si="103">+I2943/IF(H2943 = 0,1,H2943)</f>
        <v>0</v>
      </c>
    </row>
    <row r="2944" spans="12:13" x14ac:dyDescent="0.25">
      <c r="L2944">
        <f t="shared" si="102"/>
        <v>0</v>
      </c>
      <c r="M2944">
        <f t="shared" si="103"/>
        <v>0</v>
      </c>
    </row>
    <row r="2945" spans="12:13" x14ac:dyDescent="0.25">
      <c r="L2945">
        <f t="shared" si="102"/>
        <v>0</v>
      </c>
      <c r="M2945">
        <f t="shared" si="103"/>
        <v>0</v>
      </c>
    </row>
    <row r="2946" spans="12:13" x14ac:dyDescent="0.25">
      <c r="L2946">
        <f t="shared" si="102"/>
        <v>0</v>
      </c>
      <c r="M2946">
        <f t="shared" si="103"/>
        <v>0</v>
      </c>
    </row>
    <row r="2947" spans="12:13" x14ac:dyDescent="0.25">
      <c r="L2947">
        <f t="shared" si="102"/>
        <v>0</v>
      </c>
      <c r="M2947">
        <f t="shared" si="103"/>
        <v>0</v>
      </c>
    </row>
    <row r="2948" spans="12:13" x14ac:dyDescent="0.25">
      <c r="L2948">
        <f t="shared" si="102"/>
        <v>0</v>
      </c>
      <c r="M2948">
        <f t="shared" si="103"/>
        <v>0</v>
      </c>
    </row>
    <row r="2949" spans="12:13" x14ac:dyDescent="0.25">
      <c r="L2949">
        <f t="shared" si="102"/>
        <v>0</v>
      </c>
      <c r="M2949">
        <f t="shared" si="103"/>
        <v>0</v>
      </c>
    </row>
    <row r="2950" spans="12:13" x14ac:dyDescent="0.25">
      <c r="L2950">
        <f t="shared" si="102"/>
        <v>0</v>
      </c>
      <c r="M2950">
        <f t="shared" si="103"/>
        <v>0</v>
      </c>
    </row>
    <row r="2951" spans="12:13" x14ac:dyDescent="0.25">
      <c r="L2951">
        <f t="shared" si="102"/>
        <v>0</v>
      </c>
      <c r="M2951">
        <f t="shared" si="103"/>
        <v>0</v>
      </c>
    </row>
    <row r="2952" spans="12:13" x14ac:dyDescent="0.25">
      <c r="L2952">
        <f t="shared" si="102"/>
        <v>0</v>
      </c>
      <c r="M2952">
        <f t="shared" si="103"/>
        <v>0</v>
      </c>
    </row>
    <row r="2953" spans="12:13" x14ac:dyDescent="0.25">
      <c r="L2953">
        <f t="shared" si="102"/>
        <v>0</v>
      </c>
      <c r="M2953">
        <f t="shared" si="103"/>
        <v>0</v>
      </c>
    </row>
    <row r="2954" spans="12:13" x14ac:dyDescent="0.25">
      <c r="L2954">
        <f t="shared" si="102"/>
        <v>0</v>
      </c>
      <c r="M2954">
        <f t="shared" si="103"/>
        <v>0</v>
      </c>
    </row>
    <row r="2955" spans="12:13" x14ac:dyDescent="0.25">
      <c r="L2955">
        <f t="shared" si="102"/>
        <v>0</v>
      </c>
      <c r="M2955">
        <f t="shared" si="103"/>
        <v>0</v>
      </c>
    </row>
    <row r="2956" spans="12:13" x14ac:dyDescent="0.25">
      <c r="L2956">
        <f t="shared" si="102"/>
        <v>0</v>
      </c>
      <c r="M2956">
        <f t="shared" si="103"/>
        <v>0</v>
      </c>
    </row>
    <row r="2957" spans="12:13" x14ac:dyDescent="0.25">
      <c r="L2957">
        <f t="shared" si="102"/>
        <v>0</v>
      </c>
      <c r="M2957">
        <f t="shared" si="103"/>
        <v>0</v>
      </c>
    </row>
    <row r="2958" spans="12:13" x14ac:dyDescent="0.25">
      <c r="L2958">
        <f t="shared" si="102"/>
        <v>0</v>
      </c>
      <c r="M2958">
        <f t="shared" si="103"/>
        <v>0</v>
      </c>
    </row>
    <row r="2959" spans="12:13" x14ac:dyDescent="0.25">
      <c r="L2959">
        <f t="shared" si="102"/>
        <v>0</v>
      </c>
      <c r="M2959">
        <f t="shared" si="103"/>
        <v>0</v>
      </c>
    </row>
    <row r="2960" spans="12:13" x14ac:dyDescent="0.25">
      <c r="L2960">
        <f t="shared" si="102"/>
        <v>0</v>
      </c>
      <c r="M2960">
        <f t="shared" si="103"/>
        <v>0</v>
      </c>
    </row>
    <row r="2961" spans="12:13" x14ac:dyDescent="0.25">
      <c r="L2961">
        <f t="shared" si="102"/>
        <v>0</v>
      </c>
      <c r="M2961">
        <f t="shared" si="103"/>
        <v>0</v>
      </c>
    </row>
    <row r="2962" spans="12:13" x14ac:dyDescent="0.25">
      <c r="L2962">
        <f t="shared" si="102"/>
        <v>0</v>
      </c>
      <c r="M2962">
        <f t="shared" si="103"/>
        <v>0</v>
      </c>
    </row>
    <row r="2963" spans="12:13" x14ac:dyDescent="0.25">
      <c r="L2963">
        <f t="shared" si="102"/>
        <v>0</v>
      </c>
      <c r="M2963">
        <f t="shared" si="103"/>
        <v>0</v>
      </c>
    </row>
    <row r="2964" spans="12:13" x14ac:dyDescent="0.25">
      <c r="L2964">
        <f t="shared" si="102"/>
        <v>0</v>
      </c>
      <c r="M2964">
        <f t="shared" si="103"/>
        <v>0</v>
      </c>
    </row>
    <row r="2965" spans="12:13" x14ac:dyDescent="0.25">
      <c r="L2965">
        <f t="shared" si="102"/>
        <v>0</v>
      </c>
      <c r="M2965">
        <f t="shared" si="103"/>
        <v>0</v>
      </c>
    </row>
    <row r="2966" spans="12:13" x14ac:dyDescent="0.25">
      <c r="L2966">
        <f t="shared" si="102"/>
        <v>0</v>
      </c>
      <c r="M2966">
        <f t="shared" si="103"/>
        <v>0</v>
      </c>
    </row>
    <row r="2967" spans="12:13" x14ac:dyDescent="0.25">
      <c r="L2967">
        <f t="shared" si="102"/>
        <v>0</v>
      </c>
      <c r="M2967">
        <f t="shared" si="103"/>
        <v>0</v>
      </c>
    </row>
    <row r="2968" spans="12:13" x14ac:dyDescent="0.25">
      <c r="L2968">
        <f t="shared" si="102"/>
        <v>0</v>
      </c>
      <c r="M2968">
        <f t="shared" si="103"/>
        <v>0</v>
      </c>
    </row>
    <row r="2969" spans="12:13" x14ac:dyDescent="0.25">
      <c r="L2969">
        <f t="shared" si="102"/>
        <v>0</v>
      </c>
      <c r="M2969">
        <f t="shared" si="103"/>
        <v>0</v>
      </c>
    </row>
    <row r="2970" spans="12:13" x14ac:dyDescent="0.25">
      <c r="L2970">
        <f t="shared" si="102"/>
        <v>0</v>
      </c>
      <c r="M2970">
        <f t="shared" si="103"/>
        <v>0</v>
      </c>
    </row>
    <row r="2971" spans="12:13" x14ac:dyDescent="0.25">
      <c r="L2971">
        <f t="shared" si="102"/>
        <v>0</v>
      </c>
      <c r="M2971">
        <f t="shared" si="103"/>
        <v>0</v>
      </c>
    </row>
    <row r="2972" spans="12:13" x14ac:dyDescent="0.25">
      <c r="L2972">
        <f t="shared" si="102"/>
        <v>0</v>
      </c>
      <c r="M2972">
        <f t="shared" si="103"/>
        <v>0</v>
      </c>
    </row>
    <row r="2973" spans="12:13" x14ac:dyDescent="0.25">
      <c r="L2973">
        <f t="shared" si="102"/>
        <v>0</v>
      </c>
      <c r="M2973">
        <f t="shared" si="103"/>
        <v>0</v>
      </c>
    </row>
    <row r="2974" spans="12:13" x14ac:dyDescent="0.25">
      <c r="L2974">
        <f t="shared" si="102"/>
        <v>0</v>
      </c>
      <c r="M2974">
        <f t="shared" si="103"/>
        <v>0</v>
      </c>
    </row>
    <row r="2975" spans="12:13" x14ac:dyDescent="0.25">
      <c r="L2975">
        <f t="shared" si="102"/>
        <v>0</v>
      </c>
      <c r="M2975">
        <f t="shared" si="103"/>
        <v>0</v>
      </c>
    </row>
    <row r="2976" spans="12:13" x14ac:dyDescent="0.25">
      <c r="L2976">
        <f t="shared" si="102"/>
        <v>0</v>
      </c>
      <c r="M2976">
        <f t="shared" si="103"/>
        <v>0</v>
      </c>
    </row>
    <row r="2977" spans="12:13" x14ac:dyDescent="0.25">
      <c r="L2977">
        <f t="shared" si="102"/>
        <v>0</v>
      </c>
      <c r="M2977">
        <f t="shared" si="103"/>
        <v>0</v>
      </c>
    </row>
    <row r="2978" spans="12:13" x14ac:dyDescent="0.25">
      <c r="L2978">
        <f t="shared" si="102"/>
        <v>0</v>
      </c>
      <c r="M2978">
        <f t="shared" si="103"/>
        <v>0</v>
      </c>
    </row>
    <row r="2979" spans="12:13" x14ac:dyDescent="0.25">
      <c r="L2979">
        <f t="shared" si="102"/>
        <v>0</v>
      </c>
      <c r="M2979">
        <f t="shared" si="103"/>
        <v>0</v>
      </c>
    </row>
    <row r="2980" spans="12:13" x14ac:dyDescent="0.25">
      <c r="L2980">
        <f t="shared" si="102"/>
        <v>0</v>
      </c>
      <c r="M2980">
        <f t="shared" si="103"/>
        <v>0</v>
      </c>
    </row>
    <row r="2981" spans="12:13" x14ac:dyDescent="0.25">
      <c r="L2981">
        <f t="shared" si="102"/>
        <v>0</v>
      </c>
      <c r="M2981">
        <f t="shared" si="103"/>
        <v>0</v>
      </c>
    </row>
    <row r="2982" spans="12:13" x14ac:dyDescent="0.25">
      <c r="L2982">
        <f t="shared" si="102"/>
        <v>0</v>
      </c>
      <c r="M2982">
        <f t="shared" si="103"/>
        <v>0</v>
      </c>
    </row>
    <row r="2983" spans="12:13" x14ac:dyDescent="0.25">
      <c r="L2983">
        <f t="shared" si="102"/>
        <v>0</v>
      </c>
      <c r="M2983">
        <f t="shared" si="103"/>
        <v>0</v>
      </c>
    </row>
    <row r="2984" spans="12:13" x14ac:dyDescent="0.25">
      <c r="L2984">
        <f t="shared" si="102"/>
        <v>0</v>
      </c>
      <c r="M2984">
        <f t="shared" si="103"/>
        <v>0</v>
      </c>
    </row>
    <row r="2985" spans="12:13" x14ac:dyDescent="0.25">
      <c r="L2985">
        <f t="shared" si="102"/>
        <v>0</v>
      </c>
      <c r="M2985">
        <f t="shared" si="103"/>
        <v>0</v>
      </c>
    </row>
    <row r="2986" spans="12:13" x14ac:dyDescent="0.25">
      <c r="L2986">
        <f t="shared" si="102"/>
        <v>0</v>
      </c>
      <c r="M2986">
        <f t="shared" si="103"/>
        <v>0</v>
      </c>
    </row>
    <row r="2987" spans="12:13" x14ac:dyDescent="0.25">
      <c r="L2987">
        <f t="shared" si="102"/>
        <v>0</v>
      </c>
      <c r="M2987">
        <f t="shared" si="103"/>
        <v>0</v>
      </c>
    </row>
    <row r="2988" spans="12:13" x14ac:dyDescent="0.25">
      <c r="L2988">
        <f t="shared" si="102"/>
        <v>0</v>
      </c>
      <c r="M2988">
        <f t="shared" si="103"/>
        <v>0</v>
      </c>
    </row>
    <row r="2989" spans="12:13" x14ac:dyDescent="0.25">
      <c r="L2989">
        <f t="shared" si="102"/>
        <v>0</v>
      </c>
      <c r="M2989">
        <f t="shared" si="103"/>
        <v>0</v>
      </c>
    </row>
    <row r="2990" spans="12:13" x14ac:dyDescent="0.25">
      <c r="L2990">
        <f t="shared" ref="L2990:L3053" si="104">+I2990+H2990</f>
        <v>0</v>
      </c>
      <c r="M2990">
        <f t="shared" si="103"/>
        <v>0</v>
      </c>
    </row>
    <row r="2991" spans="12:13" x14ac:dyDescent="0.25">
      <c r="L2991">
        <f t="shared" si="104"/>
        <v>0</v>
      </c>
      <c r="M2991">
        <f t="shared" si="103"/>
        <v>0</v>
      </c>
    </row>
    <row r="2992" spans="12:13" x14ac:dyDescent="0.25">
      <c r="L2992">
        <f t="shared" si="104"/>
        <v>0</v>
      </c>
      <c r="M2992">
        <f t="shared" si="103"/>
        <v>0</v>
      </c>
    </row>
    <row r="2993" spans="12:13" x14ac:dyDescent="0.25">
      <c r="L2993">
        <f t="shared" si="104"/>
        <v>0</v>
      </c>
      <c r="M2993">
        <f t="shared" si="103"/>
        <v>0</v>
      </c>
    </row>
    <row r="2994" spans="12:13" x14ac:dyDescent="0.25">
      <c r="L2994">
        <f t="shared" si="104"/>
        <v>0</v>
      </c>
      <c r="M2994">
        <f t="shared" si="103"/>
        <v>0</v>
      </c>
    </row>
    <row r="2995" spans="12:13" x14ac:dyDescent="0.25">
      <c r="L2995">
        <f t="shared" si="104"/>
        <v>0</v>
      </c>
      <c r="M2995">
        <f t="shared" si="103"/>
        <v>0</v>
      </c>
    </row>
    <row r="2996" spans="12:13" x14ac:dyDescent="0.25">
      <c r="L2996">
        <f t="shared" si="104"/>
        <v>0</v>
      </c>
      <c r="M2996">
        <f t="shared" si="103"/>
        <v>0</v>
      </c>
    </row>
    <row r="2997" spans="12:13" x14ac:dyDescent="0.25">
      <c r="L2997">
        <f t="shared" si="104"/>
        <v>0</v>
      </c>
      <c r="M2997">
        <f t="shared" si="103"/>
        <v>0</v>
      </c>
    </row>
    <row r="2998" spans="12:13" x14ac:dyDescent="0.25">
      <c r="L2998">
        <f t="shared" si="104"/>
        <v>0</v>
      </c>
      <c r="M2998">
        <f t="shared" si="103"/>
        <v>0</v>
      </c>
    </row>
    <row r="2999" spans="12:13" x14ac:dyDescent="0.25">
      <c r="L2999">
        <f t="shared" si="104"/>
        <v>0</v>
      </c>
      <c r="M2999">
        <f t="shared" si="103"/>
        <v>0</v>
      </c>
    </row>
    <row r="3000" spans="12:13" x14ac:dyDescent="0.25">
      <c r="L3000">
        <f t="shared" si="104"/>
        <v>0</v>
      </c>
      <c r="M3000">
        <f t="shared" si="103"/>
        <v>0</v>
      </c>
    </row>
    <row r="3001" spans="12:13" x14ac:dyDescent="0.25">
      <c r="L3001">
        <f t="shared" si="104"/>
        <v>0</v>
      </c>
      <c r="M3001">
        <f t="shared" si="103"/>
        <v>0</v>
      </c>
    </row>
    <row r="3002" spans="12:13" x14ac:dyDescent="0.25">
      <c r="L3002">
        <f t="shared" si="104"/>
        <v>0</v>
      </c>
      <c r="M3002">
        <f t="shared" si="103"/>
        <v>0</v>
      </c>
    </row>
    <row r="3003" spans="12:13" x14ac:dyDescent="0.25">
      <c r="L3003">
        <f t="shared" si="104"/>
        <v>0</v>
      </c>
      <c r="M3003">
        <f t="shared" si="103"/>
        <v>0</v>
      </c>
    </row>
    <row r="3004" spans="12:13" x14ac:dyDescent="0.25">
      <c r="L3004">
        <f t="shared" si="104"/>
        <v>0</v>
      </c>
      <c r="M3004">
        <f t="shared" si="103"/>
        <v>0</v>
      </c>
    </row>
    <row r="3005" spans="12:13" x14ac:dyDescent="0.25">
      <c r="L3005">
        <f t="shared" si="104"/>
        <v>0</v>
      </c>
      <c r="M3005">
        <f t="shared" si="103"/>
        <v>0</v>
      </c>
    </row>
    <row r="3006" spans="12:13" x14ac:dyDescent="0.25">
      <c r="L3006">
        <f t="shared" si="104"/>
        <v>0</v>
      </c>
      <c r="M3006">
        <f t="shared" si="103"/>
        <v>0</v>
      </c>
    </row>
    <row r="3007" spans="12:13" x14ac:dyDescent="0.25">
      <c r="L3007">
        <f t="shared" si="104"/>
        <v>0</v>
      </c>
      <c r="M3007">
        <f t="shared" ref="M3007:M3070" si="105">+I3007/IF(H3007 = 0,1,H3007)</f>
        <v>0</v>
      </c>
    </row>
    <row r="3008" spans="12:13" x14ac:dyDescent="0.25">
      <c r="L3008">
        <f t="shared" si="104"/>
        <v>0</v>
      </c>
      <c r="M3008">
        <f t="shared" si="105"/>
        <v>0</v>
      </c>
    </row>
    <row r="3009" spans="12:13" x14ac:dyDescent="0.25">
      <c r="L3009">
        <f t="shared" si="104"/>
        <v>0</v>
      </c>
      <c r="M3009">
        <f t="shared" si="105"/>
        <v>0</v>
      </c>
    </row>
    <row r="3010" spans="12:13" x14ac:dyDescent="0.25">
      <c r="L3010">
        <f t="shared" si="104"/>
        <v>0</v>
      </c>
      <c r="M3010">
        <f t="shared" si="105"/>
        <v>0</v>
      </c>
    </row>
    <row r="3011" spans="12:13" x14ac:dyDescent="0.25">
      <c r="L3011">
        <f t="shared" si="104"/>
        <v>0</v>
      </c>
      <c r="M3011">
        <f t="shared" si="105"/>
        <v>0</v>
      </c>
    </row>
    <row r="3012" spans="12:13" x14ac:dyDescent="0.25">
      <c r="L3012">
        <f t="shared" si="104"/>
        <v>0</v>
      </c>
      <c r="M3012">
        <f t="shared" si="105"/>
        <v>0</v>
      </c>
    </row>
    <row r="3013" spans="12:13" x14ac:dyDescent="0.25">
      <c r="L3013">
        <f t="shared" si="104"/>
        <v>0</v>
      </c>
      <c r="M3013">
        <f t="shared" si="105"/>
        <v>0</v>
      </c>
    </row>
    <row r="3014" spans="12:13" x14ac:dyDescent="0.25">
      <c r="L3014">
        <f t="shared" si="104"/>
        <v>0</v>
      </c>
      <c r="M3014">
        <f t="shared" si="105"/>
        <v>0</v>
      </c>
    </row>
    <row r="3015" spans="12:13" x14ac:dyDescent="0.25">
      <c r="L3015">
        <f t="shared" si="104"/>
        <v>0</v>
      </c>
      <c r="M3015">
        <f t="shared" si="105"/>
        <v>0</v>
      </c>
    </row>
    <row r="3016" spans="12:13" x14ac:dyDescent="0.25">
      <c r="L3016">
        <f t="shared" si="104"/>
        <v>0</v>
      </c>
      <c r="M3016">
        <f t="shared" si="105"/>
        <v>0</v>
      </c>
    </row>
    <row r="3017" spans="12:13" x14ac:dyDescent="0.25">
      <c r="L3017">
        <f t="shared" si="104"/>
        <v>0</v>
      </c>
      <c r="M3017">
        <f t="shared" si="105"/>
        <v>0</v>
      </c>
    </row>
    <row r="3018" spans="12:13" x14ac:dyDescent="0.25">
      <c r="L3018">
        <f t="shared" si="104"/>
        <v>0</v>
      </c>
      <c r="M3018">
        <f t="shared" si="105"/>
        <v>0</v>
      </c>
    </row>
    <row r="3019" spans="12:13" x14ac:dyDescent="0.25">
      <c r="L3019">
        <f t="shared" si="104"/>
        <v>0</v>
      </c>
      <c r="M3019">
        <f t="shared" si="105"/>
        <v>0</v>
      </c>
    </row>
    <row r="3020" spans="12:13" x14ac:dyDescent="0.25">
      <c r="L3020">
        <f t="shared" si="104"/>
        <v>0</v>
      </c>
      <c r="M3020">
        <f t="shared" si="105"/>
        <v>0</v>
      </c>
    </row>
    <row r="3021" spans="12:13" x14ac:dyDescent="0.25">
      <c r="L3021">
        <f t="shared" si="104"/>
        <v>0</v>
      </c>
      <c r="M3021">
        <f t="shared" si="105"/>
        <v>0</v>
      </c>
    </row>
    <row r="3022" spans="12:13" x14ac:dyDescent="0.25">
      <c r="L3022">
        <f t="shared" si="104"/>
        <v>0</v>
      </c>
      <c r="M3022">
        <f t="shared" si="105"/>
        <v>0</v>
      </c>
    </row>
    <row r="3023" spans="12:13" x14ac:dyDescent="0.25">
      <c r="L3023">
        <f t="shared" si="104"/>
        <v>0</v>
      </c>
      <c r="M3023">
        <f t="shared" si="105"/>
        <v>0</v>
      </c>
    </row>
    <row r="3024" spans="12:13" x14ac:dyDescent="0.25">
      <c r="L3024">
        <f t="shared" si="104"/>
        <v>0</v>
      </c>
      <c r="M3024">
        <f t="shared" si="105"/>
        <v>0</v>
      </c>
    </row>
    <row r="3025" spans="12:13" x14ac:dyDescent="0.25">
      <c r="L3025">
        <f t="shared" si="104"/>
        <v>0</v>
      </c>
      <c r="M3025">
        <f t="shared" si="105"/>
        <v>0</v>
      </c>
    </row>
    <row r="3026" spans="12:13" x14ac:dyDescent="0.25">
      <c r="L3026">
        <f t="shared" si="104"/>
        <v>0</v>
      </c>
      <c r="M3026">
        <f t="shared" si="105"/>
        <v>0</v>
      </c>
    </row>
    <row r="3027" spans="12:13" x14ac:dyDescent="0.25">
      <c r="L3027">
        <f t="shared" si="104"/>
        <v>0</v>
      </c>
      <c r="M3027">
        <f t="shared" si="105"/>
        <v>0</v>
      </c>
    </row>
    <row r="3028" spans="12:13" x14ac:dyDescent="0.25">
      <c r="L3028">
        <f t="shared" si="104"/>
        <v>0</v>
      </c>
      <c r="M3028">
        <f t="shared" si="105"/>
        <v>0</v>
      </c>
    </row>
    <row r="3029" spans="12:13" x14ac:dyDescent="0.25">
      <c r="L3029">
        <f t="shared" si="104"/>
        <v>0</v>
      </c>
      <c r="M3029">
        <f t="shared" si="105"/>
        <v>0</v>
      </c>
    </row>
    <row r="3030" spans="12:13" x14ac:dyDescent="0.25">
      <c r="L3030">
        <f t="shared" si="104"/>
        <v>0</v>
      </c>
      <c r="M3030">
        <f t="shared" si="105"/>
        <v>0</v>
      </c>
    </row>
    <row r="3031" spans="12:13" x14ac:dyDescent="0.25">
      <c r="L3031">
        <f t="shared" si="104"/>
        <v>0</v>
      </c>
      <c r="M3031">
        <f t="shared" si="105"/>
        <v>0</v>
      </c>
    </row>
    <row r="3032" spans="12:13" x14ac:dyDescent="0.25">
      <c r="L3032">
        <f t="shared" si="104"/>
        <v>0</v>
      </c>
      <c r="M3032">
        <f t="shared" si="105"/>
        <v>0</v>
      </c>
    </row>
    <row r="3033" spans="12:13" x14ac:dyDescent="0.25">
      <c r="L3033">
        <f t="shared" si="104"/>
        <v>0</v>
      </c>
      <c r="M3033">
        <f t="shared" si="105"/>
        <v>0</v>
      </c>
    </row>
    <row r="3034" spans="12:13" x14ac:dyDescent="0.25">
      <c r="L3034">
        <f t="shared" si="104"/>
        <v>0</v>
      </c>
      <c r="M3034">
        <f t="shared" si="105"/>
        <v>0</v>
      </c>
    </row>
    <row r="3035" spans="12:13" x14ac:dyDescent="0.25">
      <c r="L3035">
        <f t="shared" si="104"/>
        <v>0</v>
      </c>
      <c r="M3035">
        <f t="shared" si="105"/>
        <v>0</v>
      </c>
    </row>
    <row r="3036" spans="12:13" x14ac:dyDescent="0.25">
      <c r="L3036">
        <f t="shared" si="104"/>
        <v>0</v>
      </c>
      <c r="M3036">
        <f t="shared" si="105"/>
        <v>0</v>
      </c>
    </row>
    <row r="3037" spans="12:13" x14ac:dyDescent="0.25">
      <c r="L3037">
        <f t="shared" si="104"/>
        <v>0</v>
      </c>
      <c r="M3037">
        <f t="shared" si="105"/>
        <v>0</v>
      </c>
    </row>
    <row r="3038" spans="12:13" x14ac:dyDescent="0.25">
      <c r="L3038">
        <f t="shared" si="104"/>
        <v>0</v>
      </c>
      <c r="M3038">
        <f t="shared" si="105"/>
        <v>0</v>
      </c>
    </row>
    <row r="3039" spans="12:13" x14ac:dyDescent="0.25">
      <c r="L3039">
        <f t="shared" si="104"/>
        <v>0</v>
      </c>
      <c r="M3039">
        <f t="shared" si="105"/>
        <v>0</v>
      </c>
    </row>
    <row r="3040" spans="12:13" x14ac:dyDescent="0.25">
      <c r="L3040">
        <f t="shared" si="104"/>
        <v>0</v>
      </c>
      <c r="M3040">
        <f t="shared" si="105"/>
        <v>0</v>
      </c>
    </row>
    <row r="3041" spans="12:13" x14ac:dyDescent="0.25">
      <c r="L3041">
        <f t="shared" si="104"/>
        <v>0</v>
      </c>
      <c r="M3041">
        <f t="shared" si="105"/>
        <v>0</v>
      </c>
    </row>
    <row r="3042" spans="12:13" x14ac:dyDescent="0.25">
      <c r="L3042">
        <f t="shared" si="104"/>
        <v>0</v>
      </c>
      <c r="M3042">
        <f t="shared" si="105"/>
        <v>0</v>
      </c>
    </row>
    <row r="3043" spans="12:13" x14ac:dyDescent="0.25">
      <c r="L3043">
        <f t="shared" si="104"/>
        <v>0</v>
      </c>
      <c r="M3043">
        <f t="shared" si="105"/>
        <v>0</v>
      </c>
    </row>
    <row r="3044" spans="12:13" x14ac:dyDescent="0.25">
      <c r="L3044">
        <f t="shared" si="104"/>
        <v>0</v>
      </c>
      <c r="M3044">
        <f t="shared" si="105"/>
        <v>0</v>
      </c>
    </row>
    <row r="3045" spans="12:13" x14ac:dyDescent="0.25">
      <c r="L3045">
        <f t="shared" si="104"/>
        <v>0</v>
      </c>
      <c r="M3045">
        <f t="shared" si="105"/>
        <v>0</v>
      </c>
    </row>
    <row r="3046" spans="12:13" x14ac:dyDescent="0.25">
      <c r="L3046">
        <f t="shared" si="104"/>
        <v>0</v>
      </c>
      <c r="M3046">
        <f t="shared" si="105"/>
        <v>0</v>
      </c>
    </row>
    <row r="3047" spans="12:13" x14ac:dyDescent="0.25">
      <c r="L3047">
        <f t="shared" si="104"/>
        <v>0</v>
      </c>
      <c r="M3047">
        <f t="shared" si="105"/>
        <v>0</v>
      </c>
    </row>
    <row r="3048" spans="12:13" x14ac:dyDescent="0.25">
      <c r="L3048">
        <f t="shared" si="104"/>
        <v>0</v>
      </c>
      <c r="M3048">
        <f t="shared" si="105"/>
        <v>0</v>
      </c>
    </row>
    <row r="3049" spans="12:13" x14ac:dyDescent="0.25">
      <c r="L3049">
        <f t="shared" si="104"/>
        <v>0</v>
      </c>
      <c r="M3049">
        <f t="shared" si="105"/>
        <v>0</v>
      </c>
    </row>
    <row r="3050" spans="12:13" x14ac:dyDescent="0.25">
      <c r="L3050">
        <f t="shared" si="104"/>
        <v>0</v>
      </c>
      <c r="M3050">
        <f t="shared" si="105"/>
        <v>0</v>
      </c>
    </row>
    <row r="3051" spans="12:13" x14ac:dyDescent="0.25">
      <c r="L3051">
        <f t="shared" si="104"/>
        <v>0</v>
      </c>
      <c r="M3051">
        <f t="shared" si="105"/>
        <v>0</v>
      </c>
    </row>
    <row r="3052" spans="12:13" x14ac:dyDescent="0.25">
      <c r="L3052">
        <f t="shared" si="104"/>
        <v>0</v>
      </c>
      <c r="M3052">
        <f t="shared" si="105"/>
        <v>0</v>
      </c>
    </row>
    <row r="3053" spans="12:13" x14ac:dyDescent="0.25">
      <c r="L3053">
        <f t="shared" si="104"/>
        <v>0</v>
      </c>
      <c r="M3053">
        <f t="shared" si="105"/>
        <v>0</v>
      </c>
    </row>
    <row r="3054" spans="12:13" x14ac:dyDescent="0.25">
      <c r="L3054">
        <f t="shared" ref="L3054:L3117" si="106">+I3054+H3054</f>
        <v>0</v>
      </c>
      <c r="M3054">
        <f t="shared" si="105"/>
        <v>0</v>
      </c>
    </row>
    <row r="3055" spans="12:13" x14ac:dyDescent="0.25">
      <c r="L3055">
        <f t="shared" si="106"/>
        <v>0</v>
      </c>
      <c r="M3055">
        <f t="shared" si="105"/>
        <v>0</v>
      </c>
    </row>
    <row r="3056" spans="12:13" x14ac:dyDescent="0.25">
      <c r="L3056">
        <f t="shared" si="106"/>
        <v>0</v>
      </c>
      <c r="M3056">
        <f t="shared" si="105"/>
        <v>0</v>
      </c>
    </row>
    <row r="3057" spans="12:13" x14ac:dyDescent="0.25">
      <c r="L3057">
        <f t="shared" si="106"/>
        <v>0</v>
      </c>
      <c r="M3057">
        <f t="shared" si="105"/>
        <v>0</v>
      </c>
    </row>
    <row r="3058" spans="12:13" x14ac:dyDescent="0.25">
      <c r="L3058">
        <f t="shared" si="106"/>
        <v>0</v>
      </c>
      <c r="M3058">
        <f t="shared" si="105"/>
        <v>0</v>
      </c>
    </row>
    <row r="3059" spans="12:13" x14ac:dyDescent="0.25">
      <c r="L3059">
        <f t="shared" si="106"/>
        <v>0</v>
      </c>
      <c r="M3059">
        <f t="shared" si="105"/>
        <v>0</v>
      </c>
    </row>
    <row r="3060" spans="12:13" x14ac:dyDescent="0.25">
      <c r="L3060">
        <f t="shared" si="106"/>
        <v>0</v>
      </c>
      <c r="M3060">
        <f t="shared" si="105"/>
        <v>0</v>
      </c>
    </row>
    <row r="3061" spans="12:13" x14ac:dyDescent="0.25">
      <c r="L3061">
        <f t="shared" si="106"/>
        <v>0</v>
      </c>
      <c r="M3061">
        <f t="shared" si="105"/>
        <v>0</v>
      </c>
    </row>
    <row r="3062" spans="12:13" x14ac:dyDescent="0.25">
      <c r="L3062">
        <f t="shared" si="106"/>
        <v>0</v>
      </c>
      <c r="M3062">
        <f t="shared" si="105"/>
        <v>0</v>
      </c>
    </row>
    <row r="3063" spans="12:13" x14ac:dyDescent="0.25">
      <c r="L3063">
        <f t="shared" si="106"/>
        <v>0</v>
      </c>
      <c r="M3063">
        <f t="shared" si="105"/>
        <v>0</v>
      </c>
    </row>
    <row r="3064" spans="12:13" x14ac:dyDescent="0.25">
      <c r="L3064">
        <f t="shared" si="106"/>
        <v>0</v>
      </c>
      <c r="M3064">
        <f t="shared" si="105"/>
        <v>0</v>
      </c>
    </row>
    <row r="3065" spans="12:13" x14ac:dyDescent="0.25">
      <c r="L3065">
        <f t="shared" si="106"/>
        <v>0</v>
      </c>
      <c r="M3065">
        <f t="shared" si="105"/>
        <v>0</v>
      </c>
    </row>
    <row r="3066" spans="12:13" x14ac:dyDescent="0.25">
      <c r="L3066">
        <f t="shared" si="106"/>
        <v>0</v>
      </c>
      <c r="M3066">
        <f t="shared" si="105"/>
        <v>0</v>
      </c>
    </row>
    <row r="3067" spans="12:13" x14ac:dyDescent="0.25">
      <c r="L3067">
        <f t="shared" si="106"/>
        <v>0</v>
      </c>
      <c r="M3067">
        <f t="shared" si="105"/>
        <v>0</v>
      </c>
    </row>
    <row r="3068" spans="12:13" x14ac:dyDescent="0.25">
      <c r="L3068">
        <f t="shared" si="106"/>
        <v>0</v>
      </c>
      <c r="M3068">
        <f t="shared" si="105"/>
        <v>0</v>
      </c>
    </row>
    <row r="3069" spans="12:13" x14ac:dyDescent="0.25">
      <c r="L3069">
        <f t="shared" si="106"/>
        <v>0</v>
      </c>
      <c r="M3069">
        <f t="shared" si="105"/>
        <v>0</v>
      </c>
    </row>
    <row r="3070" spans="12:13" x14ac:dyDescent="0.25">
      <c r="L3070">
        <f t="shared" si="106"/>
        <v>0</v>
      </c>
      <c r="M3070">
        <f t="shared" si="105"/>
        <v>0</v>
      </c>
    </row>
    <row r="3071" spans="12:13" x14ac:dyDescent="0.25">
      <c r="L3071">
        <f t="shared" si="106"/>
        <v>0</v>
      </c>
      <c r="M3071">
        <f t="shared" ref="M3071:M3134" si="107">+I3071/IF(H3071 = 0,1,H3071)</f>
        <v>0</v>
      </c>
    </row>
    <row r="3072" spans="12:13" x14ac:dyDescent="0.25">
      <c r="L3072">
        <f t="shared" si="106"/>
        <v>0</v>
      </c>
      <c r="M3072">
        <f t="shared" si="107"/>
        <v>0</v>
      </c>
    </row>
    <row r="3073" spans="12:13" x14ac:dyDescent="0.25">
      <c r="L3073">
        <f t="shared" si="106"/>
        <v>0</v>
      </c>
      <c r="M3073">
        <f t="shared" si="107"/>
        <v>0</v>
      </c>
    </row>
    <row r="3074" spans="12:13" x14ac:dyDescent="0.25">
      <c r="L3074">
        <f t="shared" si="106"/>
        <v>0</v>
      </c>
      <c r="M3074">
        <f t="shared" si="107"/>
        <v>0</v>
      </c>
    </row>
    <row r="3075" spans="12:13" x14ac:dyDescent="0.25">
      <c r="L3075">
        <f t="shared" si="106"/>
        <v>0</v>
      </c>
      <c r="M3075">
        <f t="shared" si="107"/>
        <v>0</v>
      </c>
    </row>
    <row r="3076" spans="12:13" x14ac:dyDescent="0.25">
      <c r="L3076">
        <f t="shared" si="106"/>
        <v>0</v>
      </c>
      <c r="M3076">
        <f t="shared" si="107"/>
        <v>0</v>
      </c>
    </row>
    <row r="3077" spans="12:13" x14ac:dyDescent="0.25">
      <c r="L3077">
        <f t="shared" si="106"/>
        <v>0</v>
      </c>
      <c r="M3077">
        <f t="shared" si="107"/>
        <v>0</v>
      </c>
    </row>
    <row r="3078" spans="12:13" x14ac:dyDescent="0.25">
      <c r="L3078">
        <f t="shared" si="106"/>
        <v>0</v>
      </c>
      <c r="M3078">
        <f t="shared" si="107"/>
        <v>0</v>
      </c>
    </row>
    <row r="3079" spans="12:13" x14ac:dyDescent="0.25">
      <c r="L3079">
        <f t="shared" si="106"/>
        <v>0</v>
      </c>
      <c r="M3079">
        <f t="shared" si="107"/>
        <v>0</v>
      </c>
    </row>
    <row r="3080" spans="12:13" x14ac:dyDescent="0.25">
      <c r="L3080">
        <f t="shared" si="106"/>
        <v>0</v>
      </c>
      <c r="M3080">
        <f t="shared" si="107"/>
        <v>0</v>
      </c>
    </row>
    <row r="3081" spans="12:13" x14ac:dyDescent="0.25">
      <c r="L3081">
        <f t="shared" si="106"/>
        <v>0</v>
      </c>
      <c r="M3081">
        <f t="shared" si="107"/>
        <v>0</v>
      </c>
    </row>
    <row r="3082" spans="12:13" x14ac:dyDescent="0.25">
      <c r="L3082">
        <f t="shared" si="106"/>
        <v>0</v>
      </c>
      <c r="M3082">
        <f t="shared" si="107"/>
        <v>0</v>
      </c>
    </row>
    <row r="3083" spans="12:13" x14ac:dyDescent="0.25">
      <c r="L3083">
        <f t="shared" si="106"/>
        <v>0</v>
      </c>
      <c r="M3083">
        <f t="shared" si="107"/>
        <v>0</v>
      </c>
    </row>
    <row r="3084" spans="12:13" x14ac:dyDescent="0.25">
      <c r="L3084">
        <f t="shared" si="106"/>
        <v>0</v>
      </c>
      <c r="M3084">
        <f t="shared" si="107"/>
        <v>0</v>
      </c>
    </row>
    <row r="3085" spans="12:13" x14ac:dyDescent="0.25">
      <c r="L3085">
        <f t="shared" si="106"/>
        <v>0</v>
      </c>
      <c r="M3085">
        <f t="shared" si="107"/>
        <v>0</v>
      </c>
    </row>
    <row r="3086" spans="12:13" x14ac:dyDescent="0.25">
      <c r="L3086">
        <f t="shared" si="106"/>
        <v>0</v>
      </c>
      <c r="M3086">
        <f t="shared" si="107"/>
        <v>0</v>
      </c>
    </row>
    <row r="3087" spans="12:13" x14ac:dyDescent="0.25">
      <c r="L3087">
        <f t="shared" si="106"/>
        <v>0</v>
      </c>
      <c r="M3087">
        <f t="shared" si="107"/>
        <v>0</v>
      </c>
    </row>
    <row r="3088" spans="12:13" x14ac:dyDescent="0.25">
      <c r="L3088">
        <f t="shared" si="106"/>
        <v>0</v>
      </c>
      <c r="M3088">
        <f t="shared" si="107"/>
        <v>0</v>
      </c>
    </row>
    <row r="3089" spans="12:13" x14ac:dyDescent="0.25">
      <c r="L3089">
        <f t="shared" si="106"/>
        <v>0</v>
      </c>
      <c r="M3089">
        <f t="shared" si="107"/>
        <v>0</v>
      </c>
    </row>
    <row r="3090" spans="12:13" x14ac:dyDescent="0.25">
      <c r="L3090">
        <f t="shared" si="106"/>
        <v>0</v>
      </c>
      <c r="M3090">
        <f t="shared" si="107"/>
        <v>0</v>
      </c>
    </row>
    <row r="3091" spans="12:13" x14ac:dyDescent="0.25">
      <c r="L3091">
        <f t="shared" si="106"/>
        <v>0</v>
      </c>
      <c r="M3091">
        <f t="shared" si="107"/>
        <v>0</v>
      </c>
    </row>
    <row r="3092" spans="12:13" x14ac:dyDescent="0.25">
      <c r="L3092">
        <f t="shared" si="106"/>
        <v>0</v>
      </c>
      <c r="M3092">
        <f t="shared" si="107"/>
        <v>0</v>
      </c>
    </row>
    <row r="3093" spans="12:13" x14ac:dyDescent="0.25">
      <c r="L3093">
        <f t="shared" si="106"/>
        <v>0</v>
      </c>
      <c r="M3093">
        <f t="shared" si="107"/>
        <v>0</v>
      </c>
    </row>
    <row r="3094" spans="12:13" x14ac:dyDescent="0.25">
      <c r="L3094">
        <f t="shared" si="106"/>
        <v>0</v>
      </c>
      <c r="M3094">
        <f t="shared" si="107"/>
        <v>0</v>
      </c>
    </row>
    <row r="3095" spans="12:13" x14ac:dyDescent="0.25">
      <c r="L3095">
        <f t="shared" si="106"/>
        <v>0</v>
      </c>
      <c r="M3095">
        <f t="shared" si="107"/>
        <v>0</v>
      </c>
    </row>
    <row r="3096" spans="12:13" x14ac:dyDescent="0.25">
      <c r="L3096">
        <f t="shared" si="106"/>
        <v>0</v>
      </c>
      <c r="M3096">
        <f t="shared" si="107"/>
        <v>0</v>
      </c>
    </row>
    <row r="3097" spans="12:13" x14ac:dyDescent="0.25">
      <c r="L3097">
        <f t="shared" si="106"/>
        <v>0</v>
      </c>
      <c r="M3097">
        <f t="shared" si="107"/>
        <v>0</v>
      </c>
    </row>
    <row r="3098" spans="12:13" x14ac:dyDescent="0.25">
      <c r="L3098">
        <f t="shared" si="106"/>
        <v>0</v>
      </c>
      <c r="M3098">
        <f t="shared" si="107"/>
        <v>0</v>
      </c>
    </row>
    <row r="3099" spans="12:13" x14ac:dyDescent="0.25">
      <c r="L3099">
        <f t="shared" si="106"/>
        <v>0</v>
      </c>
      <c r="M3099">
        <f t="shared" si="107"/>
        <v>0</v>
      </c>
    </row>
    <row r="3100" spans="12:13" x14ac:dyDescent="0.25">
      <c r="L3100">
        <f t="shared" si="106"/>
        <v>0</v>
      </c>
      <c r="M3100">
        <f t="shared" si="107"/>
        <v>0</v>
      </c>
    </row>
    <row r="3101" spans="12:13" x14ac:dyDescent="0.25">
      <c r="L3101">
        <f t="shared" si="106"/>
        <v>0</v>
      </c>
      <c r="M3101">
        <f t="shared" si="107"/>
        <v>0</v>
      </c>
    </row>
    <row r="3102" spans="12:13" x14ac:dyDescent="0.25">
      <c r="L3102">
        <f t="shared" si="106"/>
        <v>0</v>
      </c>
      <c r="M3102">
        <f t="shared" si="107"/>
        <v>0</v>
      </c>
    </row>
    <row r="3103" spans="12:13" x14ac:dyDescent="0.25">
      <c r="L3103">
        <f t="shared" si="106"/>
        <v>0</v>
      </c>
      <c r="M3103">
        <f t="shared" si="107"/>
        <v>0</v>
      </c>
    </row>
    <row r="3104" spans="12:13" x14ac:dyDescent="0.25">
      <c r="L3104">
        <f t="shared" si="106"/>
        <v>0</v>
      </c>
      <c r="M3104">
        <f t="shared" si="107"/>
        <v>0</v>
      </c>
    </row>
    <row r="3105" spans="12:13" x14ac:dyDescent="0.25">
      <c r="L3105">
        <f t="shared" si="106"/>
        <v>0</v>
      </c>
      <c r="M3105">
        <f t="shared" si="107"/>
        <v>0</v>
      </c>
    </row>
    <row r="3106" spans="12:13" x14ac:dyDescent="0.25">
      <c r="L3106">
        <f t="shared" si="106"/>
        <v>0</v>
      </c>
      <c r="M3106">
        <f t="shared" si="107"/>
        <v>0</v>
      </c>
    </row>
    <row r="3107" spans="12:13" x14ac:dyDescent="0.25">
      <c r="L3107">
        <f t="shared" si="106"/>
        <v>0</v>
      </c>
      <c r="M3107">
        <f t="shared" si="107"/>
        <v>0</v>
      </c>
    </row>
    <row r="3108" spans="12:13" x14ac:dyDescent="0.25">
      <c r="L3108">
        <f t="shared" si="106"/>
        <v>0</v>
      </c>
      <c r="M3108">
        <f t="shared" si="107"/>
        <v>0</v>
      </c>
    </row>
    <row r="3109" spans="12:13" x14ac:dyDescent="0.25">
      <c r="L3109">
        <f t="shared" si="106"/>
        <v>0</v>
      </c>
      <c r="M3109">
        <f t="shared" si="107"/>
        <v>0</v>
      </c>
    </row>
    <row r="3110" spans="12:13" x14ac:dyDescent="0.25">
      <c r="L3110">
        <f t="shared" si="106"/>
        <v>0</v>
      </c>
      <c r="M3110">
        <f t="shared" si="107"/>
        <v>0</v>
      </c>
    </row>
    <row r="3111" spans="12:13" x14ac:dyDescent="0.25">
      <c r="L3111">
        <f t="shared" si="106"/>
        <v>0</v>
      </c>
      <c r="M3111">
        <f t="shared" si="107"/>
        <v>0</v>
      </c>
    </row>
    <row r="3112" spans="12:13" x14ac:dyDescent="0.25">
      <c r="L3112">
        <f t="shared" si="106"/>
        <v>0</v>
      </c>
      <c r="M3112">
        <f t="shared" si="107"/>
        <v>0</v>
      </c>
    </row>
    <row r="3113" spans="12:13" x14ac:dyDescent="0.25">
      <c r="L3113">
        <f t="shared" si="106"/>
        <v>0</v>
      </c>
      <c r="M3113">
        <f t="shared" si="107"/>
        <v>0</v>
      </c>
    </row>
    <row r="3114" spans="12:13" x14ac:dyDescent="0.25">
      <c r="L3114">
        <f t="shared" si="106"/>
        <v>0</v>
      </c>
      <c r="M3114">
        <f t="shared" si="107"/>
        <v>0</v>
      </c>
    </row>
    <row r="3115" spans="12:13" x14ac:dyDescent="0.25">
      <c r="L3115">
        <f t="shared" si="106"/>
        <v>0</v>
      </c>
      <c r="M3115">
        <f t="shared" si="107"/>
        <v>0</v>
      </c>
    </row>
    <row r="3116" spans="12:13" x14ac:dyDescent="0.25">
      <c r="L3116">
        <f t="shared" si="106"/>
        <v>0</v>
      </c>
      <c r="M3116">
        <f t="shared" si="107"/>
        <v>0</v>
      </c>
    </row>
    <row r="3117" spans="12:13" x14ac:dyDescent="0.25">
      <c r="L3117">
        <f t="shared" si="106"/>
        <v>0</v>
      </c>
      <c r="M3117">
        <f t="shared" si="107"/>
        <v>0</v>
      </c>
    </row>
    <row r="3118" spans="12:13" x14ac:dyDescent="0.25">
      <c r="L3118">
        <f t="shared" ref="L3118:L3181" si="108">+I3118+H3118</f>
        <v>0</v>
      </c>
      <c r="M3118">
        <f t="shared" si="107"/>
        <v>0</v>
      </c>
    </row>
    <row r="3119" spans="12:13" x14ac:dyDescent="0.25">
      <c r="L3119">
        <f t="shared" si="108"/>
        <v>0</v>
      </c>
      <c r="M3119">
        <f t="shared" si="107"/>
        <v>0</v>
      </c>
    </row>
    <row r="3120" spans="12:13" x14ac:dyDescent="0.25">
      <c r="L3120">
        <f t="shared" si="108"/>
        <v>0</v>
      </c>
      <c r="M3120">
        <f t="shared" si="107"/>
        <v>0</v>
      </c>
    </row>
    <row r="3121" spans="12:13" x14ac:dyDescent="0.25">
      <c r="L3121">
        <f t="shared" si="108"/>
        <v>0</v>
      </c>
      <c r="M3121">
        <f t="shared" si="107"/>
        <v>0</v>
      </c>
    </row>
    <row r="3122" spans="12:13" x14ac:dyDescent="0.25">
      <c r="L3122">
        <f t="shared" si="108"/>
        <v>0</v>
      </c>
      <c r="M3122">
        <f t="shared" si="107"/>
        <v>0</v>
      </c>
    </row>
    <row r="3123" spans="12:13" x14ac:dyDescent="0.25">
      <c r="L3123">
        <f t="shared" si="108"/>
        <v>0</v>
      </c>
      <c r="M3123">
        <f t="shared" si="107"/>
        <v>0</v>
      </c>
    </row>
    <row r="3124" spans="12:13" x14ac:dyDescent="0.25">
      <c r="L3124">
        <f t="shared" si="108"/>
        <v>0</v>
      </c>
      <c r="M3124">
        <f t="shared" si="107"/>
        <v>0</v>
      </c>
    </row>
    <row r="3125" spans="12:13" x14ac:dyDescent="0.25">
      <c r="L3125">
        <f t="shared" si="108"/>
        <v>0</v>
      </c>
      <c r="M3125">
        <f t="shared" si="107"/>
        <v>0</v>
      </c>
    </row>
    <row r="3126" spans="12:13" x14ac:dyDescent="0.25">
      <c r="L3126">
        <f t="shared" si="108"/>
        <v>0</v>
      </c>
      <c r="M3126">
        <f t="shared" si="107"/>
        <v>0</v>
      </c>
    </row>
    <row r="3127" spans="12:13" x14ac:dyDescent="0.25">
      <c r="L3127">
        <f t="shared" si="108"/>
        <v>0</v>
      </c>
      <c r="M3127">
        <f t="shared" si="107"/>
        <v>0</v>
      </c>
    </row>
    <row r="3128" spans="12:13" x14ac:dyDescent="0.25">
      <c r="L3128">
        <f t="shared" si="108"/>
        <v>0</v>
      </c>
      <c r="M3128">
        <f t="shared" si="107"/>
        <v>0</v>
      </c>
    </row>
    <row r="3129" spans="12:13" x14ac:dyDescent="0.25">
      <c r="L3129">
        <f t="shared" si="108"/>
        <v>0</v>
      </c>
      <c r="M3129">
        <f t="shared" si="107"/>
        <v>0</v>
      </c>
    </row>
    <row r="3130" spans="12:13" x14ac:dyDescent="0.25">
      <c r="L3130">
        <f t="shared" si="108"/>
        <v>0</v>
      </c>
      <c r="M3130">
        <f t="shared" si="107"/>
        <v>0</v>
      </c>
    </row>
    <row r="3131" spans="12:13" x14ac:dyDescent="0.25">
      <c r="L3131">
        <f t="shared" si="108"/>
        <v>0</v>
      </c>
      <c r="M3131">
        <f t="shared" si="107"/>
        <v>0</v>
      </c>
    </row>
    <row r="3132" spans="12:13" x14ac:dyDescent="0.25">
      <c r="L3132">
        <f t="shared" si="108"/>
        <v>0</v>
      </c>
      <c r="M3132">
        <f t="shared" si="107"/>
        <v>0</v>
      </c>
    </row>
    <row r="3133" spans="12:13" x14ac:dyDescent="0.25">
      <c r="L3133">
        <f t="shared" si="108"/>
        <v>0</v>
      </c>
      <c r="M3133">
        <f t="shared" si="107"/>
        <v>0</v>
      </c>
    </row>
    <row r="3134" spans="12:13" x14ac:dyDescent="0.25">
      <c r="L3134">
        <f t="shared" si="108"/>
        <v>0</v>
      </c>
      <c r="M3134">
        <f t="shared" si="107"/>
        <v>0</v>
      </c>
    </row>
    <row r="3135" spans="12:13" x14ac:dyDescent="0.25">
      <c r="L3135">
        <f t="shared" si="108"/>
        <v>0</v>
      </c>
      <c r="M3135">
        <f t="shared" ref="M3135:M3198" si="109">+I3135/IF(H3135 = 0,1,H3135)</f>
        <v>0</v>
      </c>
    </row>
    <row r="3136" spans="12:13" x14ac:dyDescent="0.25">
      <c r="L3136">
        <f t="shared" si="108"/>
        <v>0</v>
      </c>
      <c r="M3136">
        <f t="shared" si="109"/>
        <v>0</v>
      </c>
    </row>
    <row r="3137" spans="12:13" x14ac:dyDescent="0.25">
      <c r="L3137">
        <f t="shared" si="108"/>
        <v>0</v>
      </c>
      <c r="M3137">
        <f t="shared" si="109"/>
        <v>0</v>
      </c>
    </row>
    <row r="3138" spans="12:13" x14ac:dyDescent="0.25">
      <c r="L3138">
        <f t="shared" si="108"/>
        <v>0</v>
      </c>
      <c r="M3138">
        <f t="shared" si="109"/>
        <v>0</v>
      </c>
    </row>
    <row r="3139" spans="12:13" x14ac:dyDescent="0.25">
      <c r="L3139">
        <f t="shared" si="108"/>
        <v>0</v>
      </c>
      <c r="M3139">
        <f t="shared" si="109"/>
        <v>0</v>
      </c>
    </row>
    <row r="3140" spans="12:13" x14ac:dyDescent="0.25">
      <c r="L3140">
        <f t="shared" si="108"/>
        <v>0</v>
      </c>
      <c r="M3140">
        <f t="shared" si="109"/>
        <v>0</v>
      </c>
    </row>
    <row r="3141" spans="12:13" x14ac:dyDescent="0.25">
      <c r="L3141">
        <f t="shared" si="108"/>
        <v>0</v>
      </c>
      <c r="M3141">
        <f t="shared" si="109"/>
        <v>0</v>
      </c>
    </row>
    <row r="3142" spans="12:13" x14ac:dyDescent="0.25">
      <c r="L3142">
        <f t="shared" si="108"/>
        <v>0</v>
      </c>
      <c r="M3142">
        <f t="shared" si="109"/>
        <v>0</v>
      </c>
    </row>
    <row r="3143" spans="12:13" x14ac:dyDescent="0.25">
      <c r="L3143">
        <f t="shared" si="108"/>
        <v>0</v>
      </c>
      <c r="M3143">
        <f t="shared" si="109"/>
        <v>0</v>
      </c>
    </row>
    <row r="3144" spans="12:13" x14ac:dyDescent="0.25">
      <c r="L3144">
        <f t="shared" si="108"/>
        <v>0</v>
      </c>
      <c r="M3144">
        <f t="shared" si="109"/>
        <v>0</v>
      </c>
    </row>
    <row r="3145" spans="12:13" x14ac:dyDescent="0.25">
      <c r="L3145">
        <f t="shared" si="108"/>
        <v>0</v>
      </c>
      <c r="M3145">
        <f t="shared" si="109"/>
        <v>0</v>
      </c>
    </row>
    <row r="3146" spans="12:13" x14ac:dyDescent="0.25">
      <c r="L3146">
        <f t="shared" si="108"/>
        <v>0</v>
      </c>
      <c r="M3146">
        <f t="shared" si="109"/>
        <v>0</v>
      </c>
    </row>
    <row r="3147" spans="12:13" x14ac:dyDescent="0.25">
      <c r="L3147">
        <f t="shared" si="108"/>
        <v>0</v>
      </c>
      <c r="M3147">
        <f t="shared" si="109"/>
        <v>0</v>
      </c>
    </row>
    <row r="3148" spans="12:13" x14ac:dyDescent="0.25">
      <c r="L3148">
        <f t="shared" si="108"/>
        <v>0</v>
      </c>
      <c r="M3148">
        <f t="shared" si="109"/>
        <v>0</v>
      </c>
    </row>
    <row r="3149" spans="12:13" x14ac:dyDescent="0.25">
      <c r="L3149">
        <f t="shared" si="108"/>
        <v>0</v>
      </c>
      <c r="M3149">
        <f t="shared" si="109"/>
        <v>0</v>
      </c>
    </row>
    <row r="3150" spans="12:13" x14ac:dyDescent="0.25">
      <c r="L3150">
        <f t="shared" si="108"/>
        <v>0</v>
      </c>
      <c r="M3150">
        <f t="shared" si="109"/>
        <v>0</v>
      </c>
    </row>
    <row r="3151" spans="12:13" x14ac:dyDescent="0.25">
      <c r="L3151">
        <f t="shared" si="108"/>
        <v>0</v>
      </c>
      <c r="M3151">
        <f t="shared" si="109"/>
        <v>0</v>
      </c>
    </row>
    <row r="3152" spans="12:13" x14ac:dyDescent="0.25">
      <c r="L3152">
        <f t="shared" si="108"/>
        <v>0</v>
      </c>
      <c r="M3152">
        <f t="shared" si="109"/>
        <v>0</v>
      </c>
    </row>
    <row r="3153" spans="12:13" x14ac:dyDescent="0.25">
      <c r="L3153">
        <f t="shared" si="108"/>
        <v>0</v>
      </c>
      <c r="M3153">
        <f t="shared" si="109"/>
        <v>0</v>
      </c>
    </row>
    <row r="3154" spans="12:13" x14ac:dyDescent="0.25">
      <c r="L3154">
        <f t="shared" si="108"/>
        <v>0</v>
      </c>
      <c r="M3154">
        <f t="shared" si="109"/>
        <v>0</v>
      </c>
    </row>
    <row r="3155" spans="12:13" x14ac:dyDescent="0.25">
      <c r="L3155">
        <f t="shared" si="108"/>
        <v>0</v>
      </c>
      <c r="M3155">
        <f t="shared" si="109"/>
        <v>0</v>
      </c>
    </row>
    <row r="3156" spans="12:13" x14ac:dyDescent="0.25">
      <c r="L3156">
        <f t="shared" si="108"/>
        <v>0</v>
      </c>
      <c r="M3156">
        <f t="shared" si="109"/>
        <v>0</v>
      </c>
    </row>
    <row r="3157" spans="12:13" x14ac:dyDescent="0.25">
      <c r="L3157">
        <f t="shared" si="108"/>
        <v>0</v>
      </c>
      <c r="M3157">
        <f t="shared" si="109"/>
        <v>0</v>
      </c>
    </row>
    <row r="3158" spans="12:13" x14ac:dyDescent="0.25">
      <c r="L3158">
        <f t="shared" si="108"/>
        <v>0</v>
      </c>
      <c r="M3158">
        <f t="shared" si="109"/>
        <v>0</v>
      </c>
    </row>
    <row r="3159" spans="12:13" x14ac:dyDescent="0.25">
      <c r="L3159">
        <f t="shared" si="108"/>
        <v>0</v>
      </c>
      <c r="M3159">
        <f t="shared" si="109"/>
        <v>0</v>
      </c>
    </row>
    <row r="3160" spans="12:13" x14ac:dyDescent="0.25">
      <c r="L3160">
        <f t="shared" si="108"/>
        <v>0</v>
      </c>
      <c r="M3160">
        <f t="shared" si="109"/>
        <v>0</v>
      </c>
    </row>
    <row r="3161" spans="12:13" x14ac:dyDescent="0.25">
      <c r="L3161">
        <f t="shared" si="108"/>
        <v>0</v>
      </c>
      <c r="M3161">
        <f t="shared" si="109"/>
        <v>0</v>
      </c>
    </row>
    <row r="3162" spans="12:13" x14ac:dyDescent="0.25">
      <c r="L3162">
        <f t="shared" si="108"/>
        <v>0</v>
      </c>
      <c r="M3162">
        <f t="shared" si="109"/>
        <v>0</v>
      </c>
    </row>
    <row r="3163" spans="12:13" x14ac:dyDescent="0.25">
      <c r="L3163">
        <f t="shared" si="108"/>
        <v>0</v>
      </c>
      <c r="M3163">
        <f t="shared" si="109"/>
        <v>0</v>
      </c>
    </row>
    <row r="3164" spans="12:13" x14ac:dyDescent="0.25">
      <c r="L3164">
        <f t="shared" si="108"/>
        <v>0</v>
      </c>
      <c r="M3164">
        <f t="shared" si="109"/>
        <v>0</v>
      </c>
    </row>
    <row r="3165" spans="12:13" x14ac:dyDescent="0.25">
      <c r="L3165">
        <f t="shared" si="108"/>
        <v>0</v>
      </c>
      <c r="M3165">
        <f t="shared" si="109"/>
        <v>0</v>
      </c>
    </row>
    <row r="3166" spans="12:13" x14ac:dyDescent="0.25">
      <c r="L3166">
        <f t="shared" si="108"/>
        <v>0</v>
      </c>
      <c r="M3166">
        <f t="shared" si="109"/>
        <v>0</v>
      </c>
    </row>
    <row r="3167" spans="12:13" x14ac:dyDescent="0.25">
      <c r="L3167">
        <f t="shared" si="108"/>
        <v>0</v>
      </c>
      <c r="M3167">
        <f t="shared" si="109"/>
        <v>0</v>
      </c>
    </row>
    <row r="3168" spans="12:13" x14ac:dyDescent="0.25">
      <c r="L3168">
        <f t="shared" si="108"/>
        <v>0</v>
      </c>
      <c r="M3168">
        <f t="shared" si="109"/>
        <v>0</v>
      </c>
    </row>
    <row r="3169" spans="12:13" x14ac:dyDescent="0.25">
      <c r="L3169">
        <f t="shared" si="108"/>
        <v>0</v>
      </c>
      <c r="M3169">
        <f t="shared" si="109"/>
        <v>0</v>
      </c>
    </row>
    <row r="3170" spans="12:13" x14ac:dyDescent="0.25">
      <c r="L3170">
        <f t="shared" si="108"/>
        <v>0</v>
      </c>
      <c r="M3170">
        <f t="shared" si="109"/>
        <v>0</v>
      </c>
    </row>
    <row r="3171" spans="12:13" x14ac:dyDescent="0.25">
      <c r="L3171">
        <f t="shared" si="108"/>
        <v>0</v>
      </c>
      <c r="M3171">
        <f t="shared" si="109"/>
        <v>0</v>
      </c>
    </row>
    <row r="3172" spans="12:13" x14ac:dyDescent="0.25">
      <c r="L3172">
        <f t="shared" si="108"/>
        <v>0</v>
      </c>
      <c r="M3172">
        <f t="shared" si="109"/>
        <v>0</v>
      </c>
    </row>
    <row r="3173" spans="12:13" x14ac:dyDescent="0.25">
      <c r="L3173">
        <f t="shared" si="108"/>
        <v>0</v>
      </c>
      <c r="M3173">
        <f t="shared" si="109"/>
        <v>0</v>
      </c>
    </row>
    <row r="3174" spans="12:13" x14ac:dyDescent="0.25">
      <c r="L3174">
        <f t="shared" si="108"/>
        <v>0</v>
      </c>
      <c r="M3174">
        <f t="shared" si="109"/>
        <v>0</v>
      </c>
    </row>
    <row r="3175" spans="12:13" x14ac:dyDescent="0.25">
      <c r="L3175">
        <f t="shared" si="108"/>
        <v>0</v>
      </c>
      <c r="M3175">
        <f t="shared" si="109"/>
        <v>0</v>
      </c>
    </row>
    <row r="3176" spans="12:13" x14ac:dyDescent="0.25">
      <c r="L3176">
        <f t="shared" si="108"/>
        <v>0</v>
      </c>
      <c r="M3176">
        <f t="shared" si="109"/>
        <v>0</v>
      </c>
    </row>
    <row r="3177" spans="12:13" x14ac:dyDescent="0.25">
      <c r="L3177">
        <f t="shared" si="108"/>
        <v>0</v>
      </c>
      <c r="M3177">
        <f t="shared" si="109"/>
        <v>0</v>
      </c>
    </row>
    <row r="3178" spans="12:13" x14ac:dyDescent="0.25">
      <c r="L3178">
        <f t="shared" si="108"/>
        <v>0</v>
      </c>
      <c r="M3178">
        <f t="shared" si="109"/>
        <v>0</v>
      </c>
    </row>
    <row r="3179" spans="12:13" x14ac:dyDescent="0.25">
      <c r="L3179">
        <f t="shared" si="108"/>
        <v>0</v>
      </c>
      <c r="M3179">
        <f t="shared" si="109"/>
        <v>0</v>
      </c>
    </row>
    <row r="3180" spans="12:13" x14ac:dyDescent="0.25">
      <c r="L3180">
        <f t="shared" si="108"/>
        <v>0</v>
      </c>
      <c r="M3180">
        <f t="shared" si="109"/>
        <v>0</v>
      </c>
    </row>
    <row r="3181" spans="12:13" x14ac:dyDescent="0.25">
      <c r="L3181">
        <f t="shared" si="108"/>
        <v>0</v>
      </c>
      <c r="M3181">
        <f t="shared" si="109"/>
        <v>0</v>
      </c>
    </row>
    <row r="3182" spans="12:13" x14ac:dyDescent="0.25">
      <c r="L3182">
        <f t="shared" ref="L3182:L3245" si="110">+I3182+H3182</f>
        <v>0</v>
      </c>
      <c r="M3182">
        <f t="shared" si="109"/>
        <v>0</v>
      </c>
    </row>
    <row r="3183" spans="12:13" x14ac:dyDescent="0.25">
      <c r="L3183">
        <f t="shared" si="110"/>
        <v>0</v>
      </c>
      <c r="M3183">
        <f t="shared" si="109"/>
        <v>0</v>
      </c>
    </row>
    <row r="3184" spans="12:13" x14ac:dyDescent="0.25">
      <c r="L3184">
        <f t="shared" si="110"/>
        <v>0</v>
      </c>
      <c r="M3184">
        <f t="shared" si="109"/>
        <v>0</v>
      </c>
    </row>
    <row r="3185" spans="12:13" x14ac:dyDescent="0.25">
      <c r="L3185">
        <f t="shared" si="110"/>
        <v>0</v>
      </c>
      <c r="M3185">
        <f t="shared" si="109"/>
        <v>0</v>
      </c>
    </row>
    <row r="3186" spans="12:13" x14ac:dyDescent="0.25">
      <c r="L3186">
        <f t="shared" si="110"/>
        <v>0</v>
      </c>
      <c r="M3186">
        <f t="shared" si="109"/>
        <v>0</v>
      </c>
    </row>
    <row r="3187" spans="12:13" x14ac:dyDescent="0.25">
      <c r="L3187">
        <f t="shared" si="110"/>
        <v>0</v>
      </c>
      <c r="M3187">
        <f t="shared" si="109"/>
        <v>0</v>
      </c>
    </row>
    <row r="3188" spans="12:13" x14ac:dyDescent="0.25">
      <c r="L3188">
        <f t="shared" si="110"/>
        <v>0</v>
      </c>
      <c r="M3188">
        <f t="shared" si="109"/>
        <v>0</v>
      </c>
    </row>
    <row r="3189" spans="12:13" x14ac:dyDescent="0.25">
      <c r="L3189">
        <f t="shared" si="110"/>
        <v>0</v>
      </c>
      <c r="M3189">
        <f t="shared" si="109"/>
        <v>0</v>
      </c>
    </row>
    <row r="3190" spans="12:13" x14ac:dyDescent="0.25">
      <c r="L3190">
        <f t="shared" si="110"/>
        <v>0</v>
      </c>
      <c r="M3190">
        <f t="shared" si="109"/>
        <v>0</v>
      </c>
    </row>
    <row r="3191" spans="12:13" x14ac:dyDescent="0.25">
      <c r="L3191">
        <f t="shared" si="110"/>
        <v>0</v>
      </c>
      <c r="M3191">
        <f t="shared" si="109"/>
        <v>0</v>
      </c>
    </row>
    <row r="3192" spans="12:13" x14ac:dyDescent="0.25">
      <c r="L3192">
        <f t="shared" si="110"/>
        <v>0</v>
      </c>
      <c r="M3192">
        <f t="shared" si="109"/>
        <v>0</v>
      </c>
    </row>
    <row r="3193" spans="12:13" x14ac:dyDescent="0.25">
      <c r="L3193">
        <f t="shared" si="110"/>
        <v>0</v>
      </c>
      <c r="M3193">
        <f t="shared" si="109"/>
        <v>0</v>
      </c>
    </row>
    <row r="3194" spans="12:13" x14ac:dyDescent="0.25">
      <c r="L3194">
        <f t="shared" si="110"/>
        <v>0</v>
      </c>
      <c r="M3194">
        <f t="shared" si="109"/>
        <v>0</v>
      </c>
    </row>
    <row r="3195" spans="12:13" x14ac:dyDescent="0.25">
      <c r="L3195">
        <f t="shared" si="110"/>
        <v>0</v>
      </c>
      <c r="M3195">
        <f t="shared" si="109"/>
        <v>0</v>
      </c>
    </row>
    <row r="3196" spans="12:13" x14ac:dyDescent="0.25">
      <c r="L3196">
        <f t="shared" si="110"/>
        <v>0</v>
      </c>
      <c r="M3196">
        <f t="shared" si="109"/>
        <v>0</v>
      </c>
    </row>
    <row r="3197" spans="12:13" x14ac:dyDescent="0.25">
      <c r="L3197">
        <f t="shared" si="110"/>
        <v>0</v>
      </c>
      <c r="M3197">
        <f t="shared" si="109"/>
        <v>0</v>
      </c>
    </row>
    <row r="3198" spans="12:13" x14ac:dyDescent="0.25">
      <c r="L3198">
        <f t="shared" si="110"/>
        <v>0</v>
      </c>
      <c r="M3198">
        <f t="shared" si="109"/>
        <v>0</v>
      </c>
    </row>
    <row r="3199" spans="12:13" x14ac:dyDescent="0.25">
      <c r="L3199">
        <f t="shared" si="110"/>
        <v>0</v>
      </c>
      <c r="M3199">
        <f t="shared" ref="M3199:M3262" si="111">+I3199/IF(H3199 = 0,1,H3199)</f>
        <v>0</v>
      </c>
    </row>
    <row r="3200" spans="12:13" x14ac:dyDescent="0.25">
      <c r="L3200">
        <f t="shared" si="110"/>
        <v>0</v>
      </c>
      <c r="M3200">
        <f t="shared" si="111"/>
        <v>0</v>
      </c>
    </row>
    <row r="3201" spans="12:13" x14ac:dyDescent="0.25">
      <c r="L3201">
        <f t="shared" si="110"/>
        <v>0</v>
      </c>
      <c r="M3201">
        <f t="shared" si="111"/>
        <v>0</v>
      </c>
    </row>
    <row r="3202" spans="12:13" x14ac:dyDescent="0.25">
      <c r="L3202">
        <f t="shared" si="110"/>
        <v>0</v>
      </c>
      <c r="M3202">
        <f t="shared" si="111"/>
        <v>0</v>
      </c>
    </row>
    <row r="3203" spans="12:13" x14ac:dyDescent="0.25">
      <c r="L3203">
        <f t="shared" si="110"/>
        <v>0</v>
      </c>
      <c r="M3203">
        <f t="shared" si="111"/>
        <v>0</v>
      </c>
    </row>
    <row r="3204" spans="12:13" x14ac:dyDescent="0.25">
      <c r="L3204">
        <f t="shared" si="110"/>
        <v>0</v>
      </c>
      <c r="M3204">
        <f t="shared" si="111"/>
        <v>0</v>
      </c>
    </row>
    <row r="3205" spans="12:13" x14ac:dyDescent="0.25">
      <c r="L3205">
        <f t="shared" si="110"/>
        <v>0</v>
      </c>
      <c r="M3205">
        <f t="shared" si="111"/>
        <v>0</v>
      </c>
    </row>
    <row r="3206" spans="12:13" x14ac:dyDescent="0.25">
      <c r="L3206">
        <f t="shared" si="110"/>
        <v>0</v>
      </c>
      <c r="M3206">
        <f t="shared" si="111"/>
        <v>0</v>
      </c>
    </row>
    <row r="3207" spans="12:13" x14ac:dyDescent="0.25">
      <c r="L3207">
        <f t="shared" si="110"/>
        <v>0</v>
      </c>
      <c r="M3207">
        <f t="shared" si="111"/>
        <v>0</v>
      </c>
    </row>
    <row r="3208" spans="12:13" x14ac:dyDescent="0.25">
      <c r="L3208">
        <f t="shared" si="110"/>
        <v>0</v>
      </c>
      <c r="M3208">
        <f t="shared" si="111"/>
        <v>0</v>
      </c>
    </row>
    <row r="3209" spans="12:13" x14ac:dyDescent="0.25">
      <c r="L3209">
        <f t="shared" si="110"/>
        <v>0</v>
      </c>
      <c r="M3209">
        <f t="shared" si="111"/>
        <v>0</v>
      </c>
    </row>
    <row r="3210" spans="12:13" x14ac:dyDescent="0.25">
      <c r="L3210">
        <f t="shared" si="110"/>
        <v>0</v>
      </c>
      <c r="M3210">
        <f t="shared" si="111"/>
        <v>0</v>
      </c>
    </row>
    <row r="3211" spans="12:13" x14ac:dyDescent="0.25">
      <c r="L3211">
        <f t="shared" si="110"/>
        <v>0</v>
      </c>
      <c r="M3211">
        <f t="shared" si="111"/>
        <v>0</v>
      </c>
    </row>
    <row r="3212" spans="12:13" x14ac:dyDescent="0.25">
      <c r="L3212">
        <f t="shared" si="110"/>
        <v>0</v>
      </c>
      <c r="M3212">
        <f t="shared" si="111"/>
        <v>0</v>
      </c>
    </row>
    <row r="3213" spans="12:13" x14ac:dyDescent="0.25">
      <c r="L3213">
        <f t="shared" si="110"/>
        <v>0</v>
      </c>
      <c r="M3213">
        <f t="shared" si="111"/>
        <v>0</v>
      </c>
    </row>
    <row r="3214" spans="12:13" x14ac:dyDescent="0.25">
      <c r="L3214">
        <f t="shared" si="110"/>
        <v>0</v>
      </c>
      <c r="M3214">
        <f t="shared" si="111"/>
        <v>0</v>
      </c>
    </row>
    <row r="3215" spans="12:13" x14ac:dyDescent="0.25">
      <c r="L3215">
        <f t="shared" si="110"/>
        <v>0</v>
      </c>
      <c r="M3215">
        <f t="shared" si="111"/>
        <v>0</v>
      </c>
    </row>
    <row r="3216" spans="12:13" x14ac:dyDescent="0.25">
      <c r="L3216">
        <f t="shared" si="110"/>
        <v>0</v>
      </c>
      <c r="M3216">
        <f t="shared" si="111"/>
        <v>0</v>
      </c>
    </row>
    <row r="3217" spans="12:13" x14ac:dyDescent="0.25">
      <c r="L3217">
        <f t="shared" si="110"/>
        <v>0</v>
      </c>
      <c r="M3217">
        <f t="shared" si="111"/>
        <v>0</v>
      </c>
    </row>
    <row r="3218" spans="12:13" x14ac:dyDescent="0.25">
      <c r="L3218">
        <f t="shared" si="110"/>
        <v>0</v>
      </c>
      <c r="M3218">
        <f t="shared" si="111"/>
        <v>0</v>
      </c>
    </row>
    <row r="3219" spans="12:13" x14ac:dyDescent="0.25">
      <c r="L3219">
        <f t="shared" si="110"/>
        <v>0</v>
      </c>
      <c r="M3219">
        <f t="shared" si="111"/>
        <v>0</v>
      </c>
    </row>
    <row r="3220" spans="12:13" x14ac:dyDescent="0.25">
      <c r="L3220">
        <f t="shared" si="110"/>
        <v>0</v>
      </c>
      <c r="M3220">
        <f t="shared" si="111"/>
        <v>0</v>
      </c>
    </row>
    <row r="3221" spans="12:13" x14ac:dyDescent="0.25">
      <c r="L3221">
        <f t="shared" si="110"/>
        <v>0</v>
      </c>
      <c r="M3221">
        <f t="shared" si="111"/>
        <v>0</v>
      </c>
    </row>
    <row r="3222" spans="12:13" x14ac:dyDescent="0.25">
      <c r="L3222">
        <f t="shared" si="110"/>
        <v>0</v>
      </c>
      <c r="M3222">
        <f t="shared" si="111"/>
        <v>0</v>
      </c>
    </row>
    <row r="3223" spans="12:13" x14ac:dyDescent="0.25">
      <c r="L3223">
        <f t="shared" si="110"/>
        <v>0</v>
      </c>
      <c r="M3223">
        <f t="shared" si="111"/>
        <v>0</v>
      </c>
    </row>
    <row r="3224" spans="12:13" x14ac:dyDescent="0.25">
      <c r="L3224">
        <f t="shared" si="110"/>
        <v>0</v>
      </c>
      <c r="M3224">
        <f t="shared" si="111"/>
        <v>0</v>
      </c>
    </row>
    <row r="3225" spans="12:13" x14ac:dyDescent="0.25">
      <c r="L3225">
        <f t="shared" si="110"/>
        <v>0</v>
      </c>
      <c r="M3225">
        <f t="shared" si="111"/>
        <v>0</v>
      </c>
    </row>
    <row r="3226" spans="12:13" x14ac:dyDescent="0.25">
      <c r="L3226">
        <f t="shared" si="110"/>
        <v>0</v>
      </c>
      <c r="M3226">
        <f t="shared" si="111"/>
        <v>0</v>
      </c>
    </row>
    <row r="3227" spans="12:13" x14ac:dyDescent="0.25">
      <c r="L3227">
        <f t="shared" si="110"/>
        <v>0</v>
      </c>
      <c r="M3227">
        <f t="shared" si="111"/>
        <v>0</v>
      </c>
    </row>
    <row r="3228" spans="12:13" x14ac:dyDescent="0.25">
      <c r="L3228">
        <f t="shared" si="110"/>
        <v>0</v>
      </c>
      <c r="M3228">
        <f t="shared" si="111"/>
        <v>0</v>
      </c>
    </row>
    <row r="3229" spans="12:13" x14ac:dyDescent="0.25">
      <c r="L3229">
        <f t="shared" si="110"/>
        <v>0</v>
      </c>
      <c r="M3229">
        <f t="shared" si="111"/>
        <v>0</v>
      </c>
    </row>
    <row r="3230" spans="12:13" x14ac:dyDescent="0.25">
      <c r="L3230">
        <f t="shared" si="110"/>
        <v>0</v>
      </c>
      <c r="M3230">
        <f t="shared" si="111"/>
        <v>0</v>
      </c>
    </row>
    <row r="3231" spans="12:13" x14ac:dyDescent="0.25">
      <c r="L3231">
        <f t="shared" si="110"/>
        <v>0</v>
      </c>
      <c r="M3231">
        <f t="shared" si="111"/>
        <v>0</v>
      </c>
    </row>
    <row r="3232" spans="12:13" x14ac:dyDescent="0.25">
      <c r="L3232">
        <f t="shared" si="110"/>
        <v>0</v>
      </c>
      <c r="M3232">
        <f t="shared" si="111"/>
        <v>0</v>
      </c>
    </row>
    <row r="3233" spans="12:13" x14ac:dyDescent="0.25">
      <c r="L3233">
        <f t="shared" si="110"/>
        <v>0</v>
      </c>
      <c r="M3233">
        <f t="shared" si="111"/>
        <v>0</v>
      </c>
    </row>
    <row r="3234" spans="12:13" x14ac:dyDescent="0.25">
      <c r="L3234">
        <f t="shared" si="110"/>
        <v>0</v>
      </c>
      <c r="M3234">
        <f t="shared" si="111"/>
        <v>0</v>
      </c>
    </row>
    <row r="3235" spans="12:13" x14ac:dyDescent="0.25">
      <c r="L3235">
        <f t="shared" si="110"/>
        <v>0</v>
      </c>
      <c r="M3235">
        <f t="shared" si="111"/>
        <v>0</v>
      </c>
    </row>
    <row r="3236" spans="12:13" x14ac:dyDescent="0.25">
      <c r="L3236">
        <f t="shared" si="110"/>
        <v>0</v>
      </c>
      <c r="M3236">
        <f t="shared" si="111"/>
        <v>0</v>
      </c>
    </row>
    <row r="3237" spans="12:13" x14ac:dyDescent="0.25">
      <c r="L3237">
        <f t="shared" si="110"/>
        <v>0</v>
      </c>
      <c r="M3237">
        <f t="shared" si="111"/>
        <v>0</v>
      </c>
    </row>
    <row r="3238" spans="12:13" x14ac:dyDescent="0.25">
      <c r="L3238">
        <f t="shared" si="110"/>
        <v>0</v>
      </c>
      <c r="M3238">
        <f t="shared" si="111"/>
        <v>0</v>
      </c>
    </row>
    <row r="3239" spans="12:13" x14ac:dyDescent="0.25">
      <c r="L3239">
        <f t="shared" si="110"/>
        <v>0</v>
      </c>
      <c r="M3239">
        <f t="shared" si="111"/>
        <v>0</v>
      </c>
    </row>
    <row r="3240" spans="12:13" x14ac:dyDescent="0.25">
      <c r="L3240">
        <f t="shared" si="110"/>
        <v>0</v>
      </c>
      <c r="M3240">
        <f t="shared" si="111"/>
        <v>0</v>
      </c>
    </row>
    <row r="3241" spans="12:13" x14ac:dyDescent="0.25">
      <c r="L3241">
        <f t="shared" si="110"/>
        <v>0</v>
      </c>
      <c r="M3241">
        <f t="shared" si="111"/>
        <v>0</v>
      </c>
    </row>
    <row r="3242" spans="12:13" x14ac:dyDescent="0.25">
      <c r="L3242">
        <f t="shared" si="110"/>
        <v>0</v>
      </c>
      <c r="M3242">
        <f t="shared" si="111"/>
        <v>0</v>
      </c>
    </row>
    <row r="3243" spans="12:13" x14ac:dyDescent="0.25">
      <c r="L3243">
        <f t="shared" si="110"/>
        <v>0</v>
      </c>
      <c r="M3243">
        <f t="shared" si="111"/>
        <v>0</v>
      </c>
    </row>
    <row r="3244" spans="12:13" x14ac:dyDescent="0.25">
      <c r="L3244">
        <f t="shared" si="110"/>
        <v>0</v>
      </c>
      <c r="M3244">
        <f t="shared" si="111"/>
        <v>0</v>
      </c>
    </row>
    <row r="3245" spans="12:13" x14ac:dyDescent="0.25">
      <c r="L3245">
        <f t="shared" si="110"/>
        <v>0</v>
      </c>
      <c r="M3245">
        <f t="shared" si="111"/>
        <v>0</v>
      </c>
    </row>
    <row r="3246" spans="12:13" x14ac:dyDescent="0.25">
      <c r="L3246">
        <f t="shared" ref="L3246:L3309" si="112">+I3246+H3246</f>
        <v>0</v>
      </c>
      <c r="M3246">
        <f t="shared" si="111"/>
        <v>0</v>
      </c>
    </row>
    <row r="3247" spans="12:13" x14ac:dyDescent="0.25">
      <c r="L3247">
        <f t="shared" si="112"/>
        <v>0</v>
      </c>
      <c r="M3247">
        <f t="shared" si="111"/>
        <v>0</v>
      </c>
    </row>
    <row r="3248" spans="12:13" x14ac:dyDescent="0.25">
      <c r="L3248">
        <f t="shared" si="112"/>
        <v>0</v>
      </c>
      <c r="M3248">
        <f t="shared" si="111"/>
        <v>0</v>
      </c>
    </row>
    <row r="3249" spans="12:13" x14ac:dyDescent="0.25">
      <c r="L3249">
        <f t="shared" si="112"/>
        <v>0</v>
      </c>
      <c r="M3249">
        <f t="shared" si="111"/>
        <v>0</v>
      </c>
    </row>
    <row r="3250" spans="12:13" x14ac:dyDescent="0.25">
      <c r="L3250">
        <f t="shared" si="112"/>
        <v>0</v>
      </c>
      <c r="M3250">
        <f t="shared" si="111"/>
        <v>0</v>
      </c>
    </row>
    <row r="3251" spans="12:13" x14ac:dyDescent="0.25">
      <c r="L3251">
        <f t="shared" si="112"/>
        <v>0</v>
      </c>
      <c r="M3251">
        <f t="shared" si="111"/>
        <v>0</v>
      </c>
    </row>
    <row r="3252" spans="12:13" x14ac:dyDescent="0.25">
      <c r="L3252">
        <f t="shared" si="112"/>
        <v>0</v>
      </c>
      <c r="M3252">
        <f t="shared" si="111"/>
        <v>0</v>
      </c>
    </row>
    <row r="3253" spans="12:13" x14ac:dyDescent="0.25">
      <c r="L3253">
        <f t="shared" si="112"/>
        <v>0</v>
      </c>
      <c r="M3253">
        <f t="shared" si="111"/>
        <v>0</v>
      </c>
    </row>
    <row r="3254" spans="12:13" x14ac:dyDescent="0.25">
      <c r="L3254">
        <f t="shared" si="112"/>
        <v>0</v>
      </c>
      <c r="M3254">
        <f t="shared" si="111"/>
        <v>0</v>
      </c>
    </row>
    <row r="3255" spans="12:13" x14ac:dyDescent="0.25">
      <c r="L3255">
        <f t="shared" si="112"/>
        <v>0</v>
      </c>
      <c r="M3255">
        <f t="shared" si="111"/>
        <v>0</v>
      </c>
    </row>
    <row r="3256" spans="12:13" x14ac:dyDescent="0.25">
      <c r="L3256">
        <f t="shared" si="112"/>
        <v>0</v>
      </c>
      <c r="M3256">
        <f t="shared" si="111"/>
        <v>0</v>
      </c>
    </row>
    <row r="3257" spans="12:13" x14ac:dyDescent="0.25">
      <c r="L3257">
        <f t="shared" si="112"/>
        <v>0</v>
      </c>
      <c r="M3257">
        <f t="shared" si="111"/>
        <v>0</v>
      </c>
    </row>
    <row r="3258" spans="12:13" x14ac:dyDescent="0.25">
      <c r="L3258">
        <f t="shared" si="112"/>
        <v>0</v>
      </c>
      <c r="M3258">
        <f t="shared" si="111"/>
        <v>0</v>
      </c>
    </row>
    <row r="3259" spans="12:13" x14ac:dyDescent="0.25">
      <c r="L3259">
        <f t="shared" si="112"/>
        <v>0</v>
      </c>
      <c r="M3259">
        <f t="shared" si="111"/>
        <v>0</v>
      </c>
    </row>
    <row r="3260" spans="12:13" x14ac:dyDescent="0.25">
      <c r="L3260">
        <f t="shared" si="112"/>
        <v>0</v>
      </c>
      <c r="M3260">
        <f t="shared" si="111"/>
        <v>0</v>
      </c>
    </row>
    <row r="3261" spans="12:13" x14ac:dyDescent="0.25">
      <c r="L3261">
        <f t="shared" si="112"/>
        <v>0</v>
      </c>
      <c r="M3261">
        <f t="shared" si="111"/>
        <v>0</v>
      </c>
    </row>
    <row r="3262" spans="12:13" x14ac:dyDescent="0.25">
      <c r="L3262">
        <f t="shared" si="112"/>
        <v>0</v>
      </c>
      <c r="M3262">
        <f t="shared" si="111"/>
        <v>0</v>
      </c>
    </row>
    <row r="3263" spans="12:13" x14ac:dyDescent="0.25">
      <c r="L3263">
        <f t="shared" si="112"/>
        <v>0</v>
      </c>
      <c r="M3263">
        <f t="shared" ref="M3263:M3326" si="113">+I3263/IF(H3263 = 0,1,H3263)</f>
        <v>0</v>
      </c>
    </row>
    <row r="3264" spans="12:13" x14ac:dyDescent="0.25">
      <c r="L3264">
        <f t="shared" si="112"/>
        <v>0</v>
      </c>
      <c r="M3264">
        <f t="shared" si="113"/>
        <v>0</v>
      </c>
    </row>
    <row r="3265" spans="12:13" x14ac:dyDescent="0.25">
      <c r="L3265">
        <f t="shared" si="112"/>
        <v>0</v>
      </c>
      <c r="M3265">
        <f t="shared" si="113"/>
        <v>0</v>
      </c>
    </row>
    <row r="3266" spans="12:13" x14ac:dyDescent="0.25">
      <c r="L3266">
        <f t="shared" si="112"/>
        <v>0</v>
      </c>
      <c r="M3266">
        <f t="shared" si="113"/>
        <v>0</v>
      </c>
    </row>
    <row r="3267" spans="12:13" x14ac:dyDescent="0.25">
      <c r="L3267">
        <f t="shared" si="112"/>
        <v>0</v>
      </c>
      <c r="M3267">
        <f t="shared" si="113"/>
        <v>0</v>
      </c>
    </row>
    <row r="3268" spans="12:13" x14ac:dyDescent="0.25">
      <c r="L3268">
        <f t="shared" si="112"/>
        <v>0</v>
      </c>
      <c r="M3268">
        <f t="shared" si="113"/>
        <v>0</v>
      </c>
    </row>
    <row r="3269" spans="12:13" x14ac:dyDescent="0.25">
      <c r="L3269">
        <f t="shared" si="112"/>
        <v>0</v>
      </c>
      <c r="M3269">
        <f t="shared" si="113"/>
        <v>0</v>
      </c>
    </row>
    <row r="3270" spans="12:13" x14ac:dyDescent="0.25">
      <c r="L3270">
        <f t="shared" si="112"/>
        <v>0</v>
      </c>
      <c r="M3270">
        <f t="shared" si="113"/>
        <v>0</v>
      </c>
    </row>
    <row r="3271" spans="12:13" x14ac:dyDescent="0.25">
      <c r="L3271">
        <f t="shared" si="112"/>
        <v>0</v>
      </c>
      <c r="M3271">
        <f t="shared" si="113"/>
        <v>0</v>
      </c>
    </row>
    <row r="3272" spans="12:13" x14ac:dyDescent="0.25">
      <c r="L3272">
        <f t="shared" si="112"/>
        <v>0</v>
      </c>
      <c r="M3272">
        <f t="shared" si="113"/>
        <v>0</v>
      </c>
    </row>
    <row r="3273" spans="12:13" x14ac:dyDescent="0.25">
      <c r="L3273">
        <f t="shared" si="112"/>
        <v>0</v>
      </c>
      <c r="M3273">
        <f t="shared" si="113"/>
        <v>0</v>
      </c>
    </row>
    <row r="3274" spans="12:13" x14ac:dyDescent="0.25">
      <c r="L3274">
        <f t="shared" si="112"/>
        <v>0</v>
      </c>
      <c r="M3274">
        <f t="shared" si="113"/>
        <v>0</v>
      </c>
    </row>
    <row r="3275" spans="12:13" x14ac:dyDescent="0.25">
      <c r="L3275">
        <f t="shared" si="112"/>
        <v>0</v>
      </c>
      <c r="M3275">
        <f t="shared" si="113"/>
        <v>0</v>
      </c>
    </row>
    <row r="3276" spans="12:13" x14ac:dyDescent="0.25">
      <c r="L3276">
        <f t="shared" si="112"/>
        <v>0</v>
      </c>
      <c r="M3276">
        <f t="shared" si="113"/>
        <v>0</v>
      </c>
    </row>
    <row r="3277" spans="12:13" x14ac:dyDescent="0.25">
      <c r="L3277">
        <f t="shared" si="112"/>
        <v>0</v>
      </c>
      <c r="M3277">
        <f t="shared" si="113"/>
        <v>0</v>
      </c>
    </row>
    <row r="3278" spans="12:13" x14ac:dyDescent="0.25">
      <c r="L3278">
        <f t="shared" si="112"/>
        <v>0</v>
      </c>
      <c r="M3278">
        <f t="shared" si="113"/>
        <v>0</v>
      </c>
    </row>
    <row r="3279" spans="12:13" x14ac:dyDescent="0.25">
      <c r="L3279">
        <f t="shared" si="112"/>
        <v>0</v>
      </c>
      <c r="M3279">
        <f t="shared" si="113"/>
        <v>0</v>
      </c>
    </row>
    <row r="3280" spans="12:13" x14ac:dyDescent="0.25">
      <c r="L3280">
        <f t="shared" si="112"/>
        <v>0</v>
      </c>
      <c r="M3280">
        <f t="shared" si="113"/>
        <v>0</v>
      </c>
    </row>
    <row r="3281" spans="12:13" x14ac:dyDescent="0.25">
      <c r="L3281">
        <f t="shared" si="112"/>
        <v>0</v>
      </c>
      <c r="M3281">
        <f t="shared" si="113"/>
        <v>0</v>
      </c>
    </row>
    <row r="3282" spans="12:13" x14ac:dyDescent="0.25">
      <c r="L3282">
        <f t="shared" si="112"/>
        <v>0</v>
      </c>
      <c r="M3282">
        <f t="shared" si="113"/>
        <v>0</v>
      </c>
    </row>
    <row r="3283" spans="12:13" x14ac:dyDescent="0.25">
      <c r="L3283">
        <f t="shared" si="112"/>
        <v>0</v>
      </c>
      <c r="M3283">
        <f t="shared" si="113"/>
        <v>0</v>
      </c>
    </row>
    <row r="3284" spans="12:13" x14ac:dyDescent="0.25">
      <c r="L3284">
        <f t="shared" si="112"/>
        <v>0</v>
      </c>
      <c r="M3284">
        <f t="shared" si="113"/>
        <v>0</v>
      </c>
    </row>
    <row r="3285" spans="12:13" x14ac:dyDescent="0.25">
      <c r="L3285">
        <f t="shared" si="112"/>
        <v>0</v>
      </c>
      <c r="M3285">
        <f t="shared" si="113"/>
        <v>0</v>
      </c>
    </row>
    <row r="3286" spans="12:13" x14ac:dyDescent="0.25">
      <c r="L3286">
        <f t="shared" si="112"/>
        <v>0</v>
      </c>
      <c r="M3286">
        <f t="shared" si="113"/>
        <v>0</v>
      </c>
    </row>
    <row r="3287" spans="12:13" x14ac:dyDescent="0.25">
      <c r="L3287">
        <f t="shared" si="112"/>
        <v>0</v>
      </c>
      <c r="M3287">
        <f t="shared" si="113"/>
        <v>0</v>
      </c>
    </row>
    <row r="3288" spans="12:13" x14ac:dyDescent="0.25">
      <c r="L3288">
        <f t="shared" si="112"/>
        <v>0</v>
      </c>
      <c r="M3288">
        <f t="shared" si="113"/>
        <v>0</v>
      </c>
    </row>
    <row r="3289" spans="12:13" x14ac:dyDescent="0.25">
      <c r="L3289">
        <f t="shared" si="112"/>
        <v>0</v>
      </c>
      <c r="M3289">
        <f t="shared" si="113"/>
        <v>0</v>
      </c>
    </row>
    <row r="3290" spans="12:13" x14ac:dyDescent="0.25">
      <c r="L3290">
        <f t="shared" si="112"/>
        <v>0</v>
      </c>
      <c r="M3290">
        <f t="shared" si="113"/>
        <v>0</v>
      </c>
    </row>
    <row r="3291" spans="12:13" x14ac:dyDescent="0.25">
      <c r="L3291">
        <f t="shared" si="112"/>
        <v>0</v>
      </c>
      <c r="M3291">
        <f t="shared" si="113"/>
        <v>0</v>
      </c>
    </row>
    <row r="3292" spans="12:13" x14ac:dyDescent="0.25">
      <c r="L3292">
        <f t="shared" si="112"/>
        <v>0</v>
      </c>
      <c r="M3292">
        <f t="shared" si="113"/>
        <v>0</v>
      </c>
    </row>
    <row r="3293" spans="12:13" x14ac:dyDescent="0.25">
      <c r="L3293">
        <f t="shared" si="112"/>
        <v>0</v>
      </c>
      <c r="M3293">
        <f t="shared" si="113"/>
        <v>0</v>
      </c>
    </row>
    <row r="3294" spans="12:13" x14ac:dyDescent="0.25">
      <c r="L3294">
        <f t="shared" si="112"/>
        <v>0</v>
      </c>
      <c r="M3294">
        <f t="shared" si="113"/>
        <v>0</v>
      </c>
    </row>
    <row r="3295" spans="12:13" x14ac:dyDescent="0.25">
      <c r="L3295">
        <f t="shared" si="112"/>
        <v>0</v>
      </c>
      <c r="M3295">
        <f t="shared" si="113"/>
        <v>0</v>
      </c>
    </row>
    <row r="3296" spans="12:13" x14ac:dyDescent="0.25">
      <c r="L3296">
        <f t="shared" si="112"/>
        <v>0</v>
      </c>
      <c r="M3296">
        <f t="shared" si="113"/>
        <v>0</v>
      </c>
    </row>
    <row r="3297" spans="12:13" x14ac:dyDescent="0.25">
      <c r="L3297">
        <f t="shared" si="112"/>
        <v>0</v>
      </c>
      <c r="M3297">
        <f t="shared" si="113"/>
        <v>0</v>
      </c>
    </row>
    <row r="3298" spans="12:13" x14ac:dyDescent="0.25">
      <c r="L3298">
        <f t="shared" si="112"/>
        <v>0</v>
      </c>
      <c r="M3298">
        <f t="shared" si="113"/>
        <v>0</v>
      </c>
    </row>
    <row r="3299" spans="12:13" x14ac:dyDescent="0.25">
      <c r="L3299">
        <f t="shared" si="112"/>
        <v>0</v>
      </c>
      <c r="M3299">
        <f t="shared" si="113"/>
        <v>0</v>
      </c>
    </row>
    <row r="3300" spans="12:13" x14ac:dyDescent="0.25">
      <c r="L3300">
        <f t="shared" si="112"/>
        <v>0</v>
      </c>
      <c r="M3300">
        <f t="shared" si="113"/>
        <v>0</v>
      </c>
    </row>
    <row r="3301" spans="12:13" x14ac:dyDescent="0.25">
      <c r="L3301">
        <f t="shared" si="112"/>
        <v>0</v>
      </c>
      <c r="M3301">
        <f t="shared" si="113"/>
        <v>0</v>
      </c>
    </row>
    <row r="3302" spans="12:13" x14ac:dyDescent="0.25">
      <c r="L3302">
        <f t="shared" si="112"/>
        <v>0</v>
      </c>
      <c r="M3302">
        <f t="shared" si="113"/>
        <v>0</v>
      </c>
    </row>
    <row r="3303" spans="12:13" x14ac:dyDescent="0.25">
      <c r="L3303">
        <f t="shared" si="112"/>
        <v>0</v>
      </c>
      <c r="M3303">
        <f t="shared" si="113"/>
        <v>0</v>
      </c>
    </row>
    <row r="3304" spans="12:13" x14ac:dyDescent="0.25">
      <c r="L3304">
        <f t="shared" si="112"/>
        <v>0</v>
      </c>
      <c r="M3304">
        <f t="shared" si="113"/>
        <v>0</v>
      </c>
    </row>
    <row r="3305" spans="12:13" x14ac:dyDescent="0.25">
      <c r="L3305">
        <f t="shared" si="112"/>
        <v>0</v>
      </c>
      <c r="M3305">
        <f t="shared" si="113"/>
        <v>0</v>
      </c>
    </row>
    <row r="3306" spans="12:13" x14ac:dyDescent="0.25">
      <c r="L3306">
        <f t="shared" si="112"/>
        <v>0</v>
      </c>
      <c r="M3306">
        <f t="shared" si="113"/>
        <v>0</v>
      </c>
    </row>
    <row r="3307" spans="12:13" x14ac:dyDescent="0.25">
      <c r="L3307">
        <f t="shared" si="112"/>
        <v>0</v>
      </c>
      <c r="M3307">
        <f t="shared" si="113"/>
        <v>0</v>
      </c>
    </row>
    <row r="3308" spans="12:13" x14ac:dyDescent="0.25">
      <c r="L3308">
        <f t="shared" si="112"/>
        <v>0</v>
      </c>
      <c r="M3308">
        <f t="shared" si="113"/>
        <v>0</v>
      </c>
    </row>
    <row r="3309" spans="12:13" x14ac:dyDescent="0.25">
      <c r="L3309">
        <f t="shared" si="112"/>
        <v>0</v>
      </c>
      <c r="M3309">
        <f t="shared" si="113"/>
        <v>0</v>
      </c>
    </row>
    <row r="3310" spans="12:13" x14ac:dyDescent="0.25">
      <c r="L3310">
        <f t="shared" ref="L3310:L3373" si="114">+I3310+H3310</f>
        <v>0</v>
      </c>
      <c r="M3310">
        <f t="shared" si="113"/>
        <v>0</v>
      </c>
    </row>
    <row r="3311" spans="12:13" x14ac:dyDescent="0.25">
      <c r="L3311">
        <f t="shared" si="114"/>
        <v>0</v>
      </c>
      <c r="M3311">
        <f t="shared" si="113"/>
        <v>0</v>
      </c>
    </row>
    <row r="3312" spans="12:13" x14ac:dyDescent="0.25">
      <c r="L3312">
        <f t="shared" si="114"/>
        <v>0</v>
      </c>
      <c r="M3312">
        <f t="shared" si="113"/>
        <v>0</v>
      </c>
    </row>
    <row r="3313" spans="12:13" x14ac:dyDescent="0.25">
      <c r="L3313">
        <f t="shared" si="114"/>
        <v>0</v>
      </c>
      <c r="M3313">
        <f t="shared" si="113"/>
        <v>0</v>
      </c>
    </row>
    <row r="3314" spans="12:13" x14ac:dyDescent="0.25">
      <c r="L3314">
        <f t="shared" si="114"/>
        <v>0</v>
      </c>
      <c r="M3314">
        <f t="shared" si="113"/>
        <v>0</v>
      </c>
    </row>
    <row r="3315" spans="12:13" x14ac:dyDescent="0.25">
      <c r="L3315">
        <f t="shared" si="114"/>
        <v>0</v>
      </c>
      <c r="M3315">
        <f t="shared" si="113"/>
        <v>0</v>
      </c>
    </row>
    <row r="3316" spans="12:13" x14ac:dyDescent="0.25">
      <c r="L3316">
        <f t="shared" si="114"/>
        <v>0</v>
      </c>
      <c r="M3316">
        <f t="shared" si="113"/>
        <v>0</v>
      </c>
    </row>
    <row r="3317" spans="12:13" x14ac:dyDescent="0.25">
      <c r="L3317">
        <f t="shared" si="114"/>
        <v>0</v>
      </c>
      <c r="M3317">
        <f t="shared" si="113"/>
        <v>0</v>
      </c>
    </row>
    <row r="3318" spans="12:13" x14ac:dyDescent="0.25">
      <c r="L3318">
        <f t="shared" si="114"/>
        <v>0</v>
      </c>
      <c r="M3318">
        <f t="shared" si="113"/>
        <v>0</v>
      </c>
    </row>
    <row r="3319" spans="12:13" x14ac:dyDescent="0.25">
      <c r="L3319">
        <f t="shared" si="114"/>
        <v>0</v>
      </c>
      <c r="M3319">
        <f t="shared" si="113"/>
        <v>0</v>
      </c>
    </row>
    <row r="3320" spans="12:13" x14ac:dyDescent="0.25">
      <c r="L3320">
        <f t="shared" si="114"/>
        <v>0</v>
      </c>
      <c r="M3320">
        <f t="shared" si="113"/>
        <v>0</v>
      </c>
    </row>
    <row r="3321" spans="12:13" x14ac:dyDescent="0.25">
      <c r="L3321">
        <f t="shared" si="114"/>
        <v>0</v>
      </c>
      <c r="M3321">
        <f t="shared" si="113"/>
        <v>0</v>
      </c>
    </row>
    <row r="3322" spans="12:13" x14ac:dyDescent="0.25">
      <c r="L3322">
        <f t="shared" si="114"/>
        <v>0</v>
      </c>
      <c r="M3322">
        <f t="shared" si="113"/>
        <v>0</v>
      </c>
    </row>
    <row r="3323" spans="12:13" x14ac:dyDescent="0.25">
      <c r="L3323">
        <f t="shared" si="114"/>
        <v>0</v>
      </c>
      <c r="M3323">
        <f t="shared" si="113"/>
        <v>0</v>
      </c>
    </row>
    <row r="3324" spans="12:13" x14ac:dyDescent="0.25">
      <c r="L3324">
        <f t="shared" si="114"/>
        <v>0</v>
      </c>
      <c r="M3324">
        <f t="shared" si="113"/>
        <v>0</v>
      </c>
    </row>
    <row r="3325" spans="12:13" x14ac:dyDescent="0.25">
      <c r="L3325">
        <f t="shared" si="114"/>
        <v>0</v>
      </c>
      <c r="M3325">
        <f t="shared" si="113"/>
        <v>0</v>
      </c>
    </row>
    <row r="3326" spans="12:13" x14ac:dyDescent="0.25">
      <c r="L3326">
        <f t="shared" si="114"/>
        <v>0</v>
      </c>
      <c r="M3326">
        <f t="shared" si="113"/>
        <v>0</v>
      </c>
    </row>
    <row r="3327" spans="12:13" x14ac:dyDescent="0.25">
      <c r="L3327">
        <f t="shared" si="114"/>
        <v>0</v>
      </c>
      <c r="M3327">
        <f t="shared" ref="M3327:M3390" si="115">+I3327/IF(H3327 = 0,1,H3327)</f>
        <v>0</v>
      </c>
    </row>
    <row r="3328" spans="12:13" x14ac:dyDescent="0.25">
      <c r="L3328">
        <f t="shared" si="114"/>
        <v>0</v>
      </c>
      <c r="M3328">
        <f t="shared" si="115"/>
        <v>0</v>
      </c>
    </row>
    <row r="3329" spans="12:13" x14ac:dyDescent="0.25">
      <c r="L3329">
        <f t="shared" si="114"/>
        <v>0</v>
      </c>
      <c r="M3329">
        <f t="shared" si="115"/>
        <v>0</v>
      </c>
    </row>
    <row r="3330" spans="12:13" x14ac:dyDescent="0.25">
      <c r="L3330">
        <f t="shared" si="114"/>
        <v>0</v>
      </c>
      <c r="M3330">
        <f t="shared" si="115"/>
        <v>0</v>
      </c>
    </row>
    <row r="3331" spans="12:13" x14ac:dyDescent="0.25">
      <c r="L3331">
        <f t="shared" si="114"/>
        <v>0</v>
      </c>
      <c r="M3331">
        <f t="shared" si="115"/>
        <v>0</v>
      </c>
    </row>
    <row r="3332" spans="12:13" x14ac:dyDescent="0.25">
      <c r="L3332">
        <f t="shared" si="114"/>
        <v>0</v>
      </c>
      <c r="M3332">
        <f t="shared" si="115"/>
        <v>0</v>
      </c>
    </row>
    <row r="3333" spans="12:13" x14ac:dyDescent="0.25">
      <c r="L3333">
        <f t="shared" si="114"/>
        <v>0</v>
      </c>
      <c r="M3333">
        <f t="shared" si="115"/>
        <v>0</v>
      </c>
    </row>
    <row r="3334" spans="12:13" x14ac:dyDescent="0.25">
      <c r="L3334">
        <f t="shared" si="114"/>
        <v>0</v>
      </c>
      <c r="M3334">
        <f t="shared" si="115"/>
        <v>0</v>
      </c>
    </row>
    <row r="3335" spans="12:13" x14ac:dyDescent="0.25">
      <c r="L3335">
        <f t="shared" si="114"/>
        <v>0</v>
      </c>
      <c r="M3335">
        <f t="shared" si="115"/>
        <v>0</v>
      </c>
    </row>
    <row r="3336" spans="12:13" x14ac:dyDescent="0.25">
      <c r="L3336">
        <f t="shared" si="114"/>
        <v>0</v>
      </c>
      <c r="M3336">
        <f t="shared" si="115"/>
        <v>0</v>
      </c>
    </row>
    <row r="3337" spans="12:13" x14ac:dyDescent="0.25">
      <c r="L3337">
        <f t="shared" si="114"/>
        <v>0</v>
      </c>
      <c r="M3337">
        <f t="shared" si="115"/>
        <v>0</v>
      </c>
    </row>
    <row r="3338" spans="12:13" x14ac:dyDescent="0.25">
      <c r="L3338">
        <f t="shared" si="114"/>
        <v>0</v>
      </c>
      <c r="M3338">
        <f t="shared" si="115"/>
        <v>0</v>
      </c>
    </row>
    <row r="3339" spans="12:13" x14ac:dyDescent="0.25">
      <c r="L3339">
        <f t="shared" si="114"/>
        <v>0</v>
      </c>
      <c r="M3339">
        <f t="shared" si="115"/>
        <v>0</v>
      </c>
    </row>
    <row r="3340" spans="12:13" x14ac:dyDescent="0.25">
      <c r="L3340">
        <f t="shared" si="114"/>
        <v>0</v>
      </c>
      <c r="M3340">
        <f t="shared" si="115"/>
        <v>0</v>
      </c>
    </row>
    <row r="3341" spans="12:13" x14ac:dyDescent="0.25">
      <c r="L3341">
        <f t="shared" si="114"/>
        <v>0</v>
      </c>
      <c r="M3341">
        <f t="shared" si="115"/>
        <v>0</v>
      </c>
    </row>
    <row r="3342" spans="12:13" x14ac:dyDescent="0.25">
      <c r="L3342">
        <f t="shared" si="114"/>
        <v>0</v>
      </c>
      <c r="M3342">
        <f t="shared" si="115"/>
        <v>0</v>
      </c>
    </row>
    <row r="3343" spans="12:13" x14ac:dyDescent="0.25">
      <c r="L3343">
        <f t="shared" si="114"/>
        <v>0</v>
      </c>
      <c r="M3343">
        <f t="shared" si="115"/>
        <v>0</v>
      </c>
    </row>
    <row r="3344" spans="12:13" x14ac:dyDescent="0.25">
      <c r="L3344">
        <f t="shared" si="114"/>
        <v>0</v>
      </c>
      <c r="M3344">
        <f t="shared" si="115"/>
        <v>0</v>
      </c>
    </row>
    <row r="3345" spans="12:13" x14ac:dyDescent="0.25">
      <c r="L3345">
        <f t="shared" si="114"/>
        <v>0</v>
      </c>
      <c r="M3345">
        <f t="shared" si="115"/>
        <v>0</v>
      </c>
    </row>
    <row r="3346" spans="12:13" x14ac:dyDescent="0.25">
      <c r="L3346">
        <f t="shared" si="114"/>
        <v>0</v>
      </c>
      <c r="M3346">
        <f t="shared" si="115"/>
        <v>0</v>
      </c>
    </row>
    <row r="3347" spans="12:13" x14ac:dyDescent="0.25">
      <c r="L3347">
        <f t="shared" si="114"/>
        <v>0</v>
      </c>
      <c r="M3347">
        <f t="shared" si="115"/>
        <v>0</v>
      </c>
    </row>
    <row r="3348" spans="12:13" x14ac:dyDescent="0.25">
      <c r="L3348">
        <f t="shared" si="114"/>
        <v>0</v>
      </c>
      <c r="M3348">
        <f t="shared" si="115"/>
        <v>0</v>
      </c>
    </row>
    <row r="3349" spans="12:13" x14ac:dyDescent="0.25">
      <c r="L3349">
        <f t="shared" si="114"/>
        <v>0</v>
      </c>
      <c r="M3349">
        <f t="shared" si="115"/>
        <v>0</v>
      </c>
    </row>
    <row r="3350" spans="12:13" x14ac:dyDescent="0.25">
      <c r="L3350">
        <f t="shared" si="114"/>
        <v>0</v>
      </c>
      <c r="M3350">
        <f t="shared" si="115"/>
        <v>0</v>
      </c>
    </row>
    <row r="3351" spans="12:13" x14ac:dyDescent="0.25">
      <c r="L3351">
        <f t="shared" si="114"/>
        <v>0</v>
      </c>
      <c r="M3351">
        <f t="shared" si="115"/>
        <v>0</v>
      </c>
    </row>
    <row r="3352" spans="12:13" x14ac:dyDescent="0.25">
      <c r="L3352">
        <f t="shared" si="114"/>
        <v>0</v>
      </c>
      <c r="M3352">
        <f t="shared" si="115"/>
        <v>0</v>
      </c>
    </row>
    <row r="3353" spans="12:13" x14ac:dyDescent="0.25">
      <c r="L3353">
        <f t="shared" si="114"/>
        <v>0</v>
      </c>
      <c r="M3353">
        <f t="shared" si="115"/>
        <v>0</v>
      </c>
    </row>
    <row r="3354" spans="12:13" x14ac:dyDescent="0.25">
      <c r="L3354">
        <f t="shared" si="114"/>
        <v>0</v>
      </c>
      <c r="M3354">
        <f t="shared" si="115"/>
        <v>0</v>
      </c>
    </row>
    <row r="3355" spans="12:13" x14ac:dyDescent="0.25">
      <c r="L3355">
        <f t="shared" si="114"/>
        <v>0</v>
      </c>
      <c r="M3355">
        <f t="shared" si="115"/>
        <v>0</v>
      </c>
    </row>
    <row r="3356" spans="12:13" x14ac:dyDescent="0.25">
      <c r="L3356">
        <f t="shared" si="114"/>
        <v>0</v>
      </c>
      <c r="M3356">
        <f t="shared" si="115"/>
        <v>0</v>
      </c>
    </row>
    <row r="3357" spans="12:13" x14ac:dyDescent="0.25">
      <c r="L3357">
        <f t="shared" si="114"/>
        <v>0</v>
      </c>
      <c r="M3357">
        <f t="shared" si="115"/>
        <v>0</v>
      </c>
    </row>
    <row r="3358" spans="12:13" x14ac:dyDescent="0.25">
      <c r="L3358">
        <f t="shared" si="114"/>
        <v>0</v>
      </c>
      <c r="M3358">
        <f t="shared" si="115"/>
        <v>0</v>
      </c>
    </row>
    <row r="3359" spans="12:13" x14ac:dyDescent="0.25">
      <c r="L3359">
        <f t="shared" si="114"/>
        <v>0</v>
      </c>
      <c r="M3359">
        <f t="shared" si="115"/>
        <v>0</v>
      </c>
    </row>
    <row r="3360" spans="12:13" x14ac:dyDescent="0.25">
      <c r="L3360">
        <f t="shared" si="114"/>
        <v>0</v>
      </c>
      <c r="M3360">
        <f t="shared" si="115"/>
        <v>0</v>
      </c>
    </row>
    <row r="3361" spans="12:13" x14ac:dyDescent="0.25">
      <c r="L3361">
        <f t="shared" si="114"/>
        <v>0</v>
      </c>
      <c r="M3361">
        <f t="shared" si="115"/>
        <v>0</v>
      </c>
    </row>
    <row r="3362" spans="12:13" x14ac:dyDescent="0.25">
      <c r="L3362">
        <f t="shared" si="114"/>
        <v>0</v>
      </c>
      <c r="M3362">
        <f t="shared" si="115"/>
        <v>0</v>
      </c>
    </row>
    <row r="3363" spans="12:13" x14ac:dyDescent="0.25">
      <c r="L3363">
        <f t="shared" si="114"/>
        <v>0</v>
      </c>
      <c r="M3363">
        <f t="shared" si="115"/>
        <v>0</v>
      </c>
    </row>
    <row r="3364" spans="12:13" x14ac:dyDescent="0.25">
      <c r="L3364">
        <f t="shared" si="114"/>
        <v>0</v>
      </c>
      <c r="M3364">
        <f t="shared" si="115"/>
        <v>0</v>
      </c>
    </row>
    <row r="3365" spans="12:13" x14ac:dyDescent="0.25">
      <c r="L3365">
        <f t="shared" si="114"/>
        <v>0</v>
      </c>
      <c r="M3365">
        <f t="shared" si="115"/>
        <v>0</v>
      </c>
    </row>
    <row r="3366" spans="12:13" x14ac:dyDescent="0.25">
      <c r="L3366">
        <f t="shared" si="114"/>
        <v>0</v>
      </c>
      <c r="M3366">
        <f t="shared" si="115"/>
        <v>0</v>
      </c>
    </row>
    <row r="3367" spans="12:13" x14ac:dyDescent="0.25">
      <c r="L3367">
        <f t="shared" si="114"/>
        <v>0</v>
      </c>
      <c r="M3367">
        <f t="shared" si="115"/>
        <v>0</v>
      </c>
    </row>
    <row r="3368" spans="12:13" x14ac:dyDescent="0.25">
      <c r="L3368">
        <f t="shared" si="114"/>
        <v>0</v>
      </c>
      <c r="M3368">
        <f t="shared" si="115"/>
        <v>0</v>
      </c>
    </row>
    <row r="3369" spans="12:13" x14ac:dyDescent="0.25">
      <c r="L3369">
        <f t="shared" si="114"/>
        <v>0</v>
      </c>
      <c r="M3369">
        <f t="shared" si="115"/>
        <v>0</v>
      </c>
    </row>
    <row r="3370" spans="12:13" x14ac:dyDescent="0.25">
      <c r="L3370">
        <f t="shared" si="114"/>
        <v>0</v>
      </c>
      <c r="M3370">
        <f t="shared" si="115"/>
        <v>0</v>
      </c>
    </row>
    <row r="3371" spans="12:13" x14ac:dyDescent="0.25">
      <c r="L3371">
        <f t="shared" si="114"/>
        <v>0</v>
      </c>
      <c r="M3371">
        <f t="shared" si="115"/>
        <v>0</v>
      </c>
    </row>
    <row r="3372" spans="12:13" x14ac:dyDescent="0.25">
      <c r="L3372">
        <f t="shared" si="114"/>
        <v>0</v>
      </c>
      <c r="M3372">
        <f t="shared" si="115"/>
        <v>0</v>
      </c>
    </row>
    <row r="3373" spans="12:13" x14ac:dyDescent="0.25">
      <c r="L3373">
        <f t="shared" si="114"/>
        <v>0</v>
      </c>
      <c r="M3373">
        <f t="shared" si="115"/>
        <v>0</v>
      </c>
    </row>
    <row r="3374" spans="12:13" x14ac:dyDescent="0.25">
      <c r="L3374">
        <f t="shared" ref="L3374:L3437" si="116">+I3374+H3374</f>
        <v>0</v>
      </c>
      <c r="M3374">
        <f t="shared" si="115"/>
        <v>0</v>
      </c>
    </row>
    <row r="3375" spans="12:13" x14ac:dyDescent="0.25">
      <c r="L3375">
        <f t="shared" si="116"/>
        <v>0</v>
      </c>
      <c r="M3375">
        <f t="shared" si="115"/>
        <v>0</v>
      </c>
    </row>
    <row r="3376" spans="12:13" x14ac:dyDescent="0.25">
      <c r="L3376">
        <f t="shared" si="116"/>
        <v>0</v>
      </c>
      <c r="M3376">
        <f t="shared" si="115"/>
        <v>0</v>
      </c>
    </row>
    <row r="3377" spans="12:13" x14ac:dyDescent="0.25">
      <c r="L3377">
        <f t="shared" si="116"/>
        <v>0</v>
      </c>
      <c r="M3377">
        <f t="shared" si="115"/>
        <v>0</v>
      </c>
    </row>
    <row r="3378" spans="12:13" x14ac:dyDescent="0.25">
      <c r="L3378">
        <f t="shared" si="116"/>
        <v>0</v>
      </c>
      <c r="M3378">
        <f t="shared" si="115"/>
        <v>0</v>
      </c>
    </row>
    <row r="3379" spans="12:13" x14ac:dyDescent="0.25">
      <c r="L3379">
        <f t="shared" si="116"/>
        <v>0</v>
      </c>
      <c r="M3379">
        <f t="shared" si="115"/>
        <v>0</v>
      </c>
    </row>
    <row r="3380" spans="12:13" x14ac:dyDescent="0.25">
      <c r="L3380">
        <f t="shared" si="116"/>
        <v>0</v>
      </c>
      <c r="M3380">
        <f t="shared" si="115"/>
        <v>0</v>
      </c>
    </row>
    <row r="3381" spans="12:13" x14ac:dyDescent="0.25">
      <c r="L3381">
        <f t="shared" si="116"/>
        <v>0</v>
      </c>
      <c r="M3381">
        <f t="shared" si="115"/>
        <v>0</v>
      </c>
    </row>
    <row r="3382" spans="12:13" x14ac:dyDescent="0.25">
      <c r="L3382">
        <f t="shared" si="116"/>
        <v>0</v>
      </c>
      <c r="M3382">
        <f t="shared" si="115"/>
        <v>0</v>
      </c>
    </row>
    <row r="3383" spans="12:13" x14ac:dyDescent="0.25">
      <c r="L3383">
        <f t="shared" si="116"/>
        <v>0</v>
      </c>
      <c r="M3383">
        <f t="shared" si="115"/>
        <v>0</v>
      </c>
    </row>
    <row r="3384" spans="12:13" x14ac:dyDescent="0.25">
      <c r="L3384">
        <f t="shared" si="116"/>
        <v>0</v>
      </c>
      <c r="M3384">
        <f t="shared" si="115"/>
        <v>0</v>
      </c>
    </row>
    <row r="3385" spans="12:13" x14ac:dyDescent="0.25">
      <c r="L3385">
        <f t="shared" si="116"/>
        <v>0</v>
      </c>
      <c r="M3385">
        <f t="shared" si="115"/>
        <v>0</v>
      </c>
    </row>
    <row r="3386" spans="12:13" x14ac:dyDescent="0.25">
      <c r="L3386">
        <f t="shared" si="116"/>
        <v>0</v>
      </c>
      <c r="M3386">
        <f t="shared" si="115"/>
        <v>0</v>
      </c>
    </row>
    <row r="3387" spans="12:13" x14ac:dyDescent="0.25">
      <c r="L3387">
        <f t="shared" si="116"/>
        <v>0</v>
      </c>
      <c r="M3387">
        <f t="shared" si="115"/>
        <v>0</v>
      </c>
    </row>
    <row r="3388" spans="12:13" x14ac:dyDescent="0.25">
      <c r="L3388">
        <f t="shared" si="116"/>
        <v>0</v>
      </c>
      <c r="M3388">
        <f t="shared" si="115"/>
        <v>0</v>
      </c>
    </row>
    <row r="3389" spans="12:13" x14ac:dyDescent="0.25">
      <c r="L3389">
        <f t="shared" si="116"/>
        <v>0</v>
      </c>
      <c r="M3389">
        <f t="shared" si="115"/>
        <v>0</v>
      </c>
    </row>
    <row r="3390" spans="12:13" x14ac:dyDescent="0.25">
      <c r="L3390">
        <f t="shared" si="116"/>
        <v>0</v>
      </c>
      <c r="M3390">
        <f t="shared" si="115"/>
        <v>0</v>
      </c>
    </row>
    <row r="3391" spans="12:13" x14ac:dyDescent="0.25">
      <c r="L3391">
        <f t="shared" si="116"/>
        <v>0</v>
      </c>
      <c r="M3391">
        <f t="shared" ref="M3391:M3453" si="117">+I3391/IF(H3391 = 0,1,H3391)</f>
        <v>0</v>
      </c>
    </row>
    <row r="3392" spans="12:13" x14ac:dyDescent="0.25">
      <c r="L3392">
        <f t="shared" si="116"/>
        <v>0</v>
      </c>
      <c r="M3392">
        <f t="shared" si="117"/>
        <v>0</v>
      </c>
    </row>
    <row r="3393" spans="12:13" x14ac:dyDescent="0.25">
      <c r="L3393">
        <f t="shared" si="116"/>
        <v>0</v>
      </c>
      <c r="M3393">
        <f t="shared" si="117"/>
        <v>0</v>
      </c>
    </row>
    <row r="3394" spans="12:13" x14ac:dyDescent="0.25">
      <c r="L3394">
        <f t="shared" si="116"/>
        <v>0</v>
      </c>
      <c r="M3394">
        <f t="shared" si="117"/>
        <v>0</v>
      </c>
    </row>
    <row r="3395" spans="12:13" x14ac:dyDescent="0.25">
      <c r="L3395">
        <f t="shared" si="116"/>
        <v>0</v>
      </c>
      <c r="M3395">
        <f t="shared" si="117"/>
        <v>0</v>
      </c>
    </row>
    <row r="3396" spans="12:13" x14ac:dyDescent="0.25">
      <c r="L3396">
        <f t="shared" si="116"/>
        <v>0</v>
      </c>
      <c r="M3396">
        <f t="shared" si="117"/>
        <v>0</v>
      </c>
    </row>
    <row r="3397" spans="12:13" x14ac:dyDescent="0.25">
      <c r="L3397">
        <f t="shared" si="116"/>
        <v>0</v>
      </c>
      <c r="M3397">
        <f t="shared" si="117"/>
        <v>0</v>
      </c>
    </row>
    <row r="3398" spans="12:13" x14ac:dyDescent="0.25">
      <c r="L3398">
        <f t="shared" si="116"/>
        <v>0</v>
      </c>
      <c r="M3398">
        <f t="shared" si="117"/>
        <v>0</v>
      </c>
    </row>
    <row r="3399" spans="12:13" x14ac:dyDescent="0.25">
      <c r="L3399">
        <f t="shared" si="116"/>
        <v>0</v>
      </c>
      <c r="M3399">
        <f t="shared" si="117"/>
        <v>0</v>
      </c>
    </row>
    <row r="3400" spans="12:13" x14ac:dyDescent="0.25">
      <c r="L3400">
        <f t="shared" si="116"/>
        <v>0</v>
      </c>
      <c r="M3400">
        <f t="shared" si="117"/>
        <v>0</v>
      </c>
    </row>
    <row r="3401" spans="12:13" x14ac:dyDescent="0.25">
      <c r="L3401">
        <f t="shared" si="116"/>
        <v>0</v>
      </c>
      <c r="M3401">
        <f t="shared" si="117"/>
        <v>0</v>
      </c>
    </row>
    <row r="3402" spans="12:13" x14ac:dyDescent="0.25">
      <c r="L3402">
        <f t="shared" si="116"/>
        <v>0</v>
      </c>
      <c r="M3402">
        <f t="shared" si="117"/>
        <v>0</v>
      </c>
    </row>
    <row r="3403" spans="12:13" x14ac:dyDescent="0.25">
      <c r="L3403">
        <f t="shared" si="116"/>
        <v>0</v>
      </c>
      <c r="M3403">
        <f t="shared" si="117"/>
        <v>0</v>
      </c>
    </row>
    <row r="3404" spans="12:13" x14ac:dyDescent="0.25">
      <c r="L3404">
        <f t="shared" si="116"/>
        <v>0</v>
      </c>
      <c r="M3404">
        <f t="shared" si="117"/>
        <v>0</v>
      </c>
    </row>
    <row r="3405" spans="12:13" x14ac:dyDescent="0.25">
      <c r="L3405">
        <f t="shared" si="116"/>
        <v>0</v>
      </c>
      <c r="M3405">
        <f t="shared" si="117"/>
        <v>0</v>
      </c>
    </row>
    <row r="3406" spans="12:13" x14ac:dyDescent="0.25">
      <c r="L3406">
        <f t="shared" si="116"/>
        <v>0</v>
      </c>
      <c r="M3406">
        <f t="shared" si="117"/>
        <v>0</v>
      </c>
    </row>
    <row r="3407" spans="12:13" x14ac:dyDescent="0.25">
      <c r="L3407">
        <f t="shared" si="116"/>
        <v>0</v>
      </c>
      <c r="M3407">
        <f t="shared" si="117"/>
        <v>0</v>
      </c>
    </row>
    <row r="3408" spans="12:13" x14ac:dyDescent="0.25">
      <c r="L3408">
        <f t="shared" si="116"/>
        <v>0</v>
      </c>
      <c r="M3408">
        <f t="shared" si="117"/>
        <v>0</v>
      </c>
    </row>
    <row r="3409" spans="12:13" x14ac:dyDescent="0.25">
      <c r="L3409">
        <f t="shared" si="116"/>
        <v>0</v>
      </c>
      <c r="M3409">
        <f t="shared" si="117"/>
        <v>0</v>
      </c>
    </row>
    <row r="3410" spans="12:13" x14ac:dyDescent="0.25">
      <c r="L3410">
        <f t="shared" si="116"/>
        <v>0</v>
      </c>
      <c r="M3410">
        <f t="shared" si="117"/>
        <v>0</v>
      </c>
    </row>
    <row r="3411" spans="12:13" x14ac:dyDescent="0.25">
      <c r="L3411">
        <f t="shared" si="116"/>
        <v>0</v>
      </c>
      <c r="M3411">
        <f t="shared" si="117"/>
        <v>0</v>
      </c>
    </row>
    <row r="3412" spans="12:13" x14ac:dyDescent="0.25">
      <c r="L3412">
        <f t="shared" si="116"/>
        <v>0</v>
      </c>
      <c r="M3412">
        <f t="shared" si="117"/>
        <v>0</v>
      </c>
    </row>
    <row r="3413" spans="12:13" x14ac:dyDescent="0.25">
      <c r="L3413">
        <f t="shared" si="116"/>
        <v>0</v>
      </c>
      <c r="M3413">
        <f t="shared" si="117"/>
        <v>0</v>
      </c>
    </row>
    <row r="3414" spans="12:13" x14ac:dyDescent="0.25">
      <c r="L3414">
        <f t="shared" si="116"/>
        <v>0</v>
      </c>
      <c r="M3414">
        <f t="shared" si="117"/>
        <v>0</v>
      </c>
    </row>
    <row r="3415" spans="12:13" x14ac:dyDescent="0.25">
      <c r="L3415">
        <f t="shared" si="116"/>
        <v>0</v>
      </c>
      <c r="M3415">
        <f t="shared" si="117"/>
        <v>0</v>
      </c>
    </row>
    <row r="3416" spans="12:13" x14ac:dyDescent="0.25">
      <c r="L3416">
        <f t="shared" si="116"/>
        <v>0</v>
      </c>
      <c r="M3416">
        <f t="shared" si="117"/>
        <v>0</v>
      </c>
    </row>
    <row r="3417" spans="12:13" x14ac:dyDescent="0.25">
      <c r="L3417">
        <f t="shared" si="116"/>
        <v>0</v>
      </c>
      <c r="M3417">
        <f t="shared" si="117"/>
        <v>0</v>
      </c>
    </row>
    <row r="3418" spans="12:13" x14ac:dyDescent="0.25">
      <c r="L3418">
        <f t="shared" si="116"/>
        <v>0</v>
      </c>
      <c r="M3418">
        <f t="shared" si="117"/>
        <v>0</v>
      </c>
    </row>
    <row r="3419" spans="12:13" x14ac:dyDescent="0.25">
      <c r="L3419">
        <f t="shared" si="116"/>
        <v>0</v>
      </c>
      <c r="M3419">
        <f t="shared" si="117"/>
        <v>0</v>
      </c>
    </row>
    <row r="3420" spans="12:13" x14ac:dyDescent="0.25">
      <c r="L3420">
        <f t="shared" si="116"/>
        <v>0</v>
      </c>
      <c r="M3420">
        <f t="shared" si="117"/>
        <v>0</v>
      </c>
    </row>
    <row r="3421" spans="12:13" x14ac:dyDescent="0.25">
      <c r="L3421">
        <f t="shared" si="116"/>
        <v>0</v>
      </c>
      <c r="M3421">
        <f t="shared" si="117"/>
        <v>0</v>
      </c>
    </row>
    <row r="3422" spans="12:13" x14ac:dyDescent="0.25">
      <c r="L3422">
        <f t="shared" si="116"/>
        <v>0</v>
      </c>
      <c r="M3422">
        <f t="shared" si="117"/>
        <v>0</v>
      </c>
    </row>
    <row r="3423" spans="12:13" x14ac:dyDescent="0.25">
      <c r="L3423">
        <f t="shared" si="116"/>
        <v>0</v>
      </c>
      <c r="M3423">
        <f t="shared" si="117"/>
        <v>0</v>
      </c>
    </row>
    <row r="3424" spans="12:13" x14ac:dyDescent="0.25">
      <c r="L3424">
        <f t="shared" si="116"/>
        <v>0</v>
      </c>
      <c r="M3424">
        <f t="shared" si="117"/>
        <v>0</v>
      </c>
    </row>
    <row r="3425" spans="12:13" x14ac:dyDescent="0.25">
      <c r="L3425">
        <f t="shared" si="116"/>
        <v>0</v>
      </c>
      <c r="M3425">
        <f t="shared" si="117"/>
        <v>0</v>
      </c>
    </row>
    <row r="3426" spans="12:13" x14ac:dyDescent="0.25">
      <c r="L3426">
        <f t="shared" si="116"/>
        <v>0</v>
      </c>
      <c r="M3426">
        <f t="shared" si="117"/>
        <v>0</v>
      </c>
    </row>
    <row r="3427" spans="12:13" x14ac:dyDescent="0.25">
      <c r="L3427">
        <f t="shared" si="116"/>
        <v>0</v>
      </c>
      <c r="M3427">
        <f t="shared" si="117"/>
        <v>0</v>
      </c>
    </row>
    <row r="3428" spans="12:13" x14ac:dyDescent="0.25">
      <c r="L3428">
        <f t="shared" si="116"/>
        <v>0</v>
      </c>
      <c r="M3428">
        <f t="shared" si="117"/>
        <v>0</v>
      </c>
    </row>
    <row r="3429" spans="12:13" x14ac:dyDescent="0.25">
      <c r="L3429">
        <f t="shared" si="116"/>
        <v>0</v>
      </c>
      <c r="M3429">
        <f t="shared" si="117"/>
        <v>0</v>
      </c>
    </row>
    <row r="3430" spans="12:13" x14ac:dyDescent="0.25">
      <c r="L3430">
        <f t="shared" si="116"/>
        <v>0</v>
      </c>
      <c r="M3430">
        <f t="shared" si="117"/>
        <v>0</v>
      </c>
    </row>
    <row r="3431" spans="12:13" x14ac:dyDescent="0.25">
      <c r="L3431">
        <f t="shared" si="116"/>
        <v>0</v>
      </c>
      <c r="M3431">
        <f t="shared" si="117"/>
        <v>0</v>
      </c>
    </row>
    <row r="3432" spans="12:13" x14ac:dyDescent="0.25">
      <c r="L3432">
        <f t="shared" si="116"/>
        <v>0</v>
      </c>
      <c r="M3432">
        <f t="shared" si="117"/>
        <v>0</v>
      </c>
    </row>
    <row r="3433" spans="12:13" x14ac:dyDescent="0.25">
      <c r="L3433">
        <f t="shared" si="116"/>
        <v>0</v>
      </c>
      <c r="M3433">
        <f t="shared" si="117"/>
        <v>0</v>
      </c>
    </row>
    <row r="3434" spans="12:13" x14ac:dyDescent="0.25">
      <c r="L3434">
        <f t="shared" si="116"/>
        <v>0</v>
      </c>
      <c r="M3434">
        <f t="shared" si="117"/>
        <v>0</v>
      </c>
    </row>
    <row r="3435" spans="12:13" x14ac:dyDescent="0.25">
      <c r="L3435">
        <f t="shared" si="116"/>
        <v>0</v>
      </c>
      <c r="M3435">
        <f t="shared" si="117"/>
        <v>0</v>
      </c>
    </row>
    <row r="3436" spans="12:13" x14ac:dyDescent="0.25">
      <c r="L3436">
        <f t="shared" si="116"/>
        <v>0</v>
      </c>
      <c r="M3436">
        <f t="shared" si="117"/>
        <v>0</v>
      </c>
    </row>
    <row r="3437" spans="12:13" x14ac:dyDescent="0.25">
      <c r="L3437">
        <f t="shared" si="116"/>
        <v>0</v>
      </c>
      <c r="M3437">
        <f t="shared" si="117"/>
        <v>0</v>
      </c>
    </row>
    <row r="3438" spans="12:13" x14ac:dyDescent="0.25">
      <c r="L3438">
        <f t="shared" ref="L3438:L3453" si="118">+I3438+H3438</f>
        <v>0</v>
      </c>
      <c r="M3438">
        <f t="shared" si="117"/>
        <v>0</v>
      </c>
    </row>
    <row r="3439" spans="12:13" x14ac:dyDescent="0.25">
      <c r="L3439">
        <f t="shared" si="118"/>
        <v>0</v>
      </c>
      <c r="M3439">
        <f t="shared" si="117"/>
        <v>0</v>
      </c>
    </row>
    <row r="3440" spans="12:13" x14ac:dyDescent="0.25">
      <c r="L3440">
        <f t="shared" si="118"/>
        <v>0</v>
      </c>
      <c r="M3440">
        <f t="shared" si="117"/>
        <v>0</v>
      </c>
    </row>
    <row r="3441" spans="12:13" x14ac:dyDescent="0.25">
      <c r="L3441">
        <f t="shared" si="118"/>
        <v>0</v>
      </c>
      <c r="M3441">
        <f t="shared" si="117"/>
        <v>0</v>
      </c>
    </row>
    <row r="3442" spans="12:13" x14ac:dyDescent="0.25">
      <c r="L3442">
        <f t="shared" si="118"/>
        <v>0</v>
      </c>
      <c r="M3442">
        <f t="shared" si="117"/>
        <v>0</v>
      </c>
    </row>
    <row r="3443" spans="12:13" x14ac:dyDescent="0.25">
      <c r="L3443">
        <f t="shared" si="118"/>
        <v>0</v>
      </c>
      <c r="M3443">
        <f t="shared" si="117"/>
        <v>0</v>
      </c>
    </row>
    <row r="3444" spans="12:13" x14ac:dyDescent="0.25">
      <c r="L3444">
        <f t="shared" si="118"/>
        <v>0</v>
      </c>
      <c r="M3444">
        <f t="shared" si="117"/>
        <v>0</v>
      </c>
    </row>
    <row r="3445" spans="12:13" x14ac:dyDescent="0.25">
      <c r="L3445">
        <f t="shared" si="118"/>
        <v>0</v>
      </c>
      <c r="M3445">
        <f t="shared" si="117"/>
        <v>0</v>
      </c>
    </row>
    <row r="3446" spans="12:13" x14ac:dyDescent="0.25">
      <c r="L3446">
        <f t="shared" si="118"/>
        <v>0</v>
      </c>
      <c r="M3446">
        <f t="shared" si="117"/>
        <v>0</v>
      </c>
    </row>
    <row r="3447" spans="12:13" x14ac:dyDescent="0.25">
      <c r="L3447">
        <f t="shared" si="118"/>
        <v>0</v>
      </c>
      <c r="M3447">
        <f t="shared" si="117"/>
        <v>0</v>
      </c>
    </row>
    <row r="3448" spans="12:13" x14ac:dyDescent="0.25">
      <c r="L3448">
        <f t="shared" si="118"/>
        <v>0</v>
      </c>
      <c r="M3448">
        <f t="shared" si="117"/>
        <v>0</v>
      </c>
    </row>
    <row r="3449" spans="12:13" x14ac:dyDescent="0.25">
      <c r="L3449">
        <f t="shared" si="118"/>
        <v>0</v>
      </c>
      <c r="M3449">
        <f t="shared" si="117"/>
        <v>0</v>
      </c>
    </row>
    <row r="3450" spans="12:13" x14ac:dyDescent="0.25">
      <c r="L3450">
        <f t="shared" si="118"/>
        <v>0</v>
      </c>
      <c r="M3450">
        <f t="shared" si="117"/>
        <v>0</v>
      </c>
    </row>
    <row r="3451" spans="12:13" x14ac:dyDescent="0.25">
      <c r="L3451">
        <f t="shared" si="118"/>
        <v>0</v>
      </c>
      <c r="M3451">
        <f t="shared" si="117"/>
        <v>0</v>
      </c>
    </row>
    <row r="3452" spans="12:13" x14ac:dyDescent="0.25">
      <c r="L3452">
        <f t="shared" si="118"/>
        <v>0</v>
      </c>
      <c r="M3452">
        <f t="shared" si="117"/>
        <v>0</v>
      </c>
    </row>
    <row r="3453" spans="12:13" x14ac:dyDescent="0.25">
      <c r="L3453">
        <f t="shared" si="118"/>
        <v>0</v>
      </c>
      <c r="M3453">
        <f t="shared" si="117"/>
        <v>0</v>
      </c>
    </row>
  </sheetData>
  <mergeCells count="10">
    <mergeCell ref="B7:C7"/>
    <mergeCell ref="R19:S19"/>
    <mergeCell ref="T19:W19"/>
    <mergeCell ref="AA19:AB19"/>
    <mergeCell ref="AC19:AD19"/>
    <mergeCell ref="T35:W35"/>
    <mergeCell ref="Z35:AA35"/>
    <mergeCell ref="AB35:AC35"/>
    <mergeCell ref="AD35:AE35"/>
    <mergeCell ref="AE19:AF19"/>
  </mergeCells>
  <phoneticPr fontId="12" type="noConversion"/>
  <conditionalFormatting sqref="N18 J10:K18 M10:M18 A10:A67 B10:F18">
    <cfRule type="cellIs" dxfId="23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356" t="s">
        <v>3</v>
      </c>
      <c r="D3" s="356"/>
      <c r="E3" t="s">
        <v>84</v>
      </c>
      <c r="F3">
        <f>Plants!$G$1</f>
        <v>41000</v>
      </c>
      <c r="J3" t="s">
        <v>86</v>
      </c>
      <c r="K3" s="356" t="s">
        <v>3</v>
      </c>
      <c r="L3" s="356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356" t="s">
        <v>60</v>
      </c>
      <c r="D17" s="356"/>
      <c r="E17" t="s">
        <v>84</v>
      </c>
      <c r="F17">
        <f>Plants!$G$1</f>
        <v>41000</v>
      </c>
      <c r="J17" t="s">
        <v>86</v>
      </c>
      <c r="K17" s="356" t="s">
        <v>60</v>
      </c>
      <c r="L17" s="356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356" t="s">
        <v>4</v>
      </c>
      <c r="D31" s="356"/>
      <c r="E31" t="s">
        <v>84</v>
      </c>
      <c r="F31">
        <f>Plants!$G$1</f>
        <v>41000</v>
      </c>
      <c r="J31" t="s">
        <v>86</v>
      </c>
      <c r="K31" s="356" t="s">
        <v>4</v>
      </c>
      <c r="L31" s="356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356" t="s">
        <v>5</v>
      </c>
      <c r="D45" s="356"/>
      <c r="E45" t="s">
        <v>84</v>
      </c>
      <c r="F45">
        <f>Plants!$G$1</f>
        <v>41000</v>
      </c>
      <c r="J45" t="s">
        <v>86</v>
      </c>
      <c r="K45" s="356" t="s">
        <v>5</v>
      </c>
      <c r="L45" s="356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356" t="s">
        <v>30</v>
      </c>
      <c r="D59" s="356"/>
      <c r="E59" t="s">
        <v>84</v>
      </c>
      <c r="F59">
        <f>Plants!$G$1</f>
        <v>41000</v>
      </c>
      <c r="J59" t="s">
        <v>86</v>
      </c>
      <c r="K59" s="356" t="s">
        <v>30</v>
      </c>
      <c r="L59" s="356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356" t="s">
        <v>87</v>
      </c>
      <c r="D3" s="356"/>
      <c r="E3" t="s">
        <v>84</v>
      </c>
      <c r="F3">
        <f>Plants!$G$1</f>
        <v>41000</v>
      </c>
      <c r="J3" t="s">
        <v>86</v>
      </c>
      <c r="K3" s="356" t="s">
        <v>10</v>
      </c>
      <c r="L3" s="356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356" t="s">
        <v>11</v>
      </c>
      <c r="D18" s="356"/>
      <c r="E18" t="s">
        <v>84</v>
      </c>
      <c r="F18">
        <f>Plants!$G$1</f>
        <v>41000</v>
      </c>
      <c r="J18" t="s">
        <v>86</v>
      </c>
      <c r="K18" s="356" t="s">
        <v>11</v>
      </c>
      <c r="L18" s="356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356" t="s">
        <v>9</v>
      </c>
      <c r="D33" s="356"/>
      <c r="E33" t="s">
        <v>84</v>
      </c>
      <c r="F33">
        <f>Plants!$G$1</f>
        <v>41000</v>
      </c>
      <c r="J33" t="s">
        <v>86</v>
      </c>
      <c r="K33" s="356" t="s">
        <v>9</v>
      </c>
      <c r="L33" s="356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356" t="s">
        <v>31</v>
      </c>
      <c r="D48" s="356"/>
      <c r="E48" t="s">
        <v>84</v>
      </c>
      <c r="F48">
        <f>Plants!$G$1</f>
        <v>41000</v>
      </c>
      <c r="J48" t="s">
        <v>86</v>
      </c>
      <c r="K48" s="356" t="s">
        <v>31</v>
      </c>
      <c r="L48" s="356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356" t="s">
        <v>88</v>
      </c>
      <c r="D63" s="356"/>
      <c r="E63" t="s">
        <v>84</v>
      </c>
      <c r="F63">
        <f>Plants!$G$1</f>
        <v>41000</v>
      </c>
      <c r="J63" t="s">
        <v>86</v>
      </c>
      <c r="K63" s="356" t="s">
        <v>27</v>
      </c>
      <c r="L63" s="356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356" t="s">
        <v>2</v>
      </c>
      <c r="D78" s="356"/>
      <c r="E78" t="s">
        <v>84</v>
      </c>
      <c r="F78">
        <f>Plants!$G$1</f>
        <v>41000</v>
      </c>
      <c r="J78" t="s">
        <v>86</v>
      </c>
      <c r="K78" s="356" t="s">
        <v>2</v>
      </c>
      <c r="L78" s="356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356" t="s">
        <v>44</v>
      </c>
      <c r="D93" s="356"/>
      <c r="E93" t="s">
        <v>84</v>
      </c>
      <c r="F93">
        <f>Plants!$G$1</f>
        <v>41000</v>
      </c>
      <c r="J93" t="s">
        <v>86</v>
      </c>
      <c r="K93" s="356" t="s">
        <v>89</v>
      </c>
      <c r="L93" s="356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3:D3"/>
    <mergeCell ref="K3:L3"/>
    <mergeCell ref="C18:D18"/>
    <mergeCell ref="K18:L18"/>
    <mergeCell ref="C33:D33"/>
    <mergeCell ref="K33:L33"/>
    <mergeCell ref="C93:D93"/>
    <mergeCell ref="K93:L93"/>
    <mergeCell ref="C48:D48"/>
    <mergeCell ref="K48:L48"/>
    <mergeCell ref="C63:D63"/>
    <mergeCell ref="K63:L63"/>
    <mergeCell ref="C78:D78"/>
    <mergeCell ref="K78:L7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081"/>
  <sheetViews>
    <sheetView topLeftCell="L1" zoomScale="190" zoomScaleNormal="190" workbookViewId="0">
      <selection activeCell="Q5" sqref="Q5:Z256"/>
    </sheetView>
  </sheetViews>
  <sheetFormatPr defaultRowHeight="12.5" x14ac:dyDescent="0.25"/>
  <cols>
    <col min="1" max="1" width="5.90625" bestFit="1" customWidth="1"/>
    <col min="2" max="2" width="10.906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x14ac:dyDescent="0.25">
      <c r="B3" s="2">
        <v>44683</v>
      </c>
      <c r="C3" s="3" t="s">
        <v>60</v>
      </c>
      <c r="D3" s="95" t="s">
        <v>27</v>
      </c>
      <c r="E3" s="3" t="s">
        <v>26</v>
      </c>
      <c r="F3" s="5" t="s">
        <v>1</v>
      </c>
      <c r="G3" s="133">
        <v>58.62</v>
      </c>
      <c r="H3" s="133">
        <v>7.12</v>
      </c>
      <c r="I3" s="133">
        <v>4.38</v>
      </c>
      <c r="J3" s="133">
        <v>5.8</v>
      </c>
      <c r="K3" s="133">
        <v>65.400000000000006</v>
      </c>
      <c r="L3" s="133">
        <v>78</v>
      </c>
      <c r="R3" t="s">
        <v>26</v>
      </c>
      <c r="S3" t="s">
        <v>0</v>
      </c>
    </row>
    <row r="4" spans="1:28" x14ac:dyDescent="0.25">
      <c r="B4" s="2">
        <v>44685</v>
      </c>
      <c r="C4" s="3" t="s">
        <v>60</v>
      </c>
      <c r="D4" s="95" t="s">
        <v>27</v>
      </c>
      <c r="E4" s="3" t="s">
        <v>26</v>
      </c>
      <c r="F4" s="5" t="s">
        <v>1</v>
      </c>
      <c r="G4" s="133">
        <v>60.89</v>
      </c>
      <c r="H4" s="133">
        <v>4.03</v>
      </c>
      <c r="I4" s="133">
        <v>4.49</v>
      </c>
      <c r="J4" s="133">
        <v>7.9</v>
      </c>
      <c r="K4" s="133">
        <v>50</v>
      </c>
      <c r="L4" s="133">
        <v>85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x14ac:dyDescent="0.25">
      <c r="B5" s="2">
        <v>44685</v>
      </c>
      <c r="C5" s="3" t="s">
        <v>60</v>
      </c>
      <c r="D5" s="95" t="s">
        <v>27</v>
      </c>
      <c r="E5" s="3" t="s">
        <v>26</v>
      </c>
      <c r="F5" s="5" t="s">
        <v>1</v>
      </c>
      <c r="G5" s="133">
        <v>59.82</v>
      </c>
      <c r="H5" s="133">
        <v>4.7300000000000004</v>
      </c>
      <c r="I5" s="133">
        <v>4.7300000000000004</v>
      </c>
      <c r="J5" s="133">
        <v>6</v>
      </c>
      <c r="K5" s="133">
        <v>53.3</v>
      </c>
      <c r="L5" s="133">
        <v>86</v>
      </c>
      <c r="P5" s="355"/>
      <c r="Q5" s="2">
        <v>44682</v>
      </c>
      <c r="R5" s="3" t="s">
        <v>3</v>
      </c>
      <c r="S5" s="95" t="s">
        <v>27</v>
      </c>
      <c r="T5" s="3" t="s">
        <v>26</v>
      </c>
      <c r="U5" s="5" t="s">
        <v>0</v>
      </c>
      <c r="V5" s="355">
        <v>61.78</v>
      </c>
      <c r="W5" s="355">
        <v>4.7699999999999996</v>
      </c>
      <c r="X5" s="355">
        <v>2.92</v>
      </c>
      <c r="Y5" s="355">
        <v>14.8</v>
      </c>
      <c r="Z5" s="355">
        <v>61.5</v>
      </c>
      <c r="AA5" s="355">
        <v>853</v>
      </c>
      <c r="AB5" s="355"/>
    </row>
    <row r="6" spans="1:28" x14ac:dyDescent="0.25">
      <c r="B6" s="2">
        <v>44686</v>
      </c>
      <c r="C6" s="3" t="s">
        <v>60</v>
      </c>
      <c r="D6" s="95" t="s">
        <v>27</v>
      </c>
      <c r="E6" s="3" t="s">
        <v>26</v>
      </c>
      <c r="F6" s="5" t="s">
        <v>1</v>
      </c>
      <c r="G6" s="133">
        <v>59.45</v>
      </c>
      <c r="H6" s="133">
        <v>6.32</v>
      </c>
      <c r="I6" s="133">
        <v>4.26</v>
      </c>
      <c r="J6" s="133">
        <v>5.7</v>
      </c>
      <c r="K6" s="133">
        <v>56.6</v>
      </c>
      <c r="L6" s="133">
        <v>90</v>
      </c>
      <c r="P6" s="355"/>
      <c r="Q6" s="2">
        <v>44684</v>
      </c>
      <c r="R6" s="3" t="s">
        <v>3</v>
      </c>
      <c r="S6" s="95" t="s">
        <v>27</v>
      </c>
      <c r="T6" s="3" t="s">
        <v>26</v>
      </c>
      <c r="U6" s="5" t="s">
        <v>0</v>
      </c>
      <c r="V6" s="355">
        <v>62.71</v>
      </c>
      <c r="W6" s="355">
        <v>3.51</v>
      </c>
      <c r="X6" s="355">
        <v>3.07</v>
      </c>
      <c r="Y6" s="355">
        <v>16.600000000000001</v>
      </c>
      <c r="Z6" s="355">
        <v>32.1</v>
      </c>
      <c r="AA6" s="355">
        <v>707</v>
      </c>
      <c r="AB6" s="355"/>
    </row>
    <row r="7" spans="1:28" x14ac:dyDescent="0.25">
      <c r="B7" s="2">
        <v>44689</v>
      </c>
      <c r="C7" s="3" t="s">
        <v>60</v>
      </c>
      <c r="D7" s="95" t="s">
        <v>27</v>
      </c>
      <c r="E7" s="3" t="s">
        <v>26</v>
      </c>
      <c r="F7" s="5" t="s">
        <v>1</v>
      </c>
      <c r="G7" s="133">
        <v>60.35</v>
      </c>
      <c r="H7" s="133">
        <v>10.27</v>
      </c>
      <c r="I7" s="133">
        <v>1.44</v>
      </c>
      <c r="J7" s="133">
        <v>5.9</v>
      </c>
      <c r="K7" s="133">
        <v>54.8</v>
      </c>
      <c r="L7" s="133">
        <v>101</v>
      </c>
      <c r="P7" s="355"/>
      <c r="Q7" s="2">
        <v>44684</v>
      </c>
      <c r="R7" s="3" t="s">
        <v>3</v>
      </c>
      <c r="S7" s="95" t="s">
        <v>27</v>
      </c>
      <c r="T7" s="3" t="s">
        <v>26</v>
      </c>
      <c r="U7" s="5" t="s">
        <v>0</v>
      </c>
      <c r="V7" s="355">
        <v>62.83</v>
      </c>
      <c r="W7" s="355">
        <v>3.59</v>
      </c>
      <c r="X7" s="355">
        <v>2.91</v>
      </c>
      <c r="Y7" s="355">
        <v>13.4</v>
      </c>
      <c r="Z7" s="355">
        <v>27.6</v>
      </c>
      <c r="AA7" s="355">
        <v>713</v>
      </c>
      <c r="AB7" s="355"/>
    </row>
    <row r="8" spans="1:28" x14ac:dyDescent="0.25">
      <c r="B8" s="2">
        <v>44690</v>
      </c>
      <c r="C8" s="3" t="s">
        <v>60</v>
      </c>
      <c r="D8" s="95" t="s">
        <v>27</v>
      </c>
      <c r="E8" s="3" t="s">
        <v>26</v>
      </c>
      <c r="F8" s="5" t="s">
        <v>1</v>
      </c>
      <c r="G8" s="133">
        <v>61.1</v>
      </c>
      <c r="H8" s="133">
        <v>9.09</v>
      </c>
      <c r="I8" s="133">
        <v>1.38</v>
      </c>
      <c r="J8" s="133">
        <v>4.3</v>
      </c>
      <c r="K8" s="133">
        <v>57.7</v>
      </c>
      <c r="L8" s="133">
        <v>102</v>
      </c>
      <c r="P8" s="355"/>
      <c r="Q8" s="2">
        <v>44685</v>
      </c>
      <c r="R8" s="3" t="s">
        <v>3</v>
      </c>
      <c r="S8" s="95" t="s">
        <v>27</v>
      </c>
      <c r="T8" s="3" t="s">
        <v>26</v>
      </c>
      <c r="U8" s="5" t="s">
        <v>0</v>
      </c>
      <c r="V8" s="355">
        <v>62.76</v>
      </c>
      <c r="W8" s="355">
        <v>3.73</v>
      </c>
      <c r="X8" s="355">
        <v>2.78</v>
      </c>
      <c r="Y8" s="355">
        <v>15.6</v>
      </c>
      <c r="Z8" s="355">
        <v>31.5</v>
      </c>
      <c r="AA8" s="355">
        <v>717</v>
      </c>
      <c r="AB8" s="355"/>
    </row>
    <row r="9" spans="1:28" x14ac:dyDescent="0.25">
      <c r="B9" s="2">
        <v>44691</v>
      </c>
      <c r="C9" s="3" t="s">
        <v>60</v>
      </c>
      <c r="D9" s="95" t="s">
        <v>27</v>
      </c>
      <c r="E9" s="3" t="s">
        <v>26</v>
      </c>
      <c r="F9" s="5" t="s">
        <v>1</v>
      </c>
      <c r="G9" s="133">
        <v>61.85</v>
      </c>
      <c r="H9" s="133">
        <v>4.49</v>
      </c>
      <c r="I9" s="133">
        <v>3.28</v>
      </c>
      <c r="J9" s="133">
        <v>6.9</v>
      </c>
      <c r="K9" s="133">
        <v>52.9</v>
      </c>
      <c r="L9" s="133">
        <v>105</v>
      </c>
      <c r="P9" s="355"/>
      <c r="Q9" s="2">
        <v>44686</v>
      </c>
      <c r="R9" s="3" t="s">
        <v>3</v>
      </c>
      <c r="S9" s="95" t="s">
        <v>27</v>
      </c>
      <c r="T9" s="3" t="s">
        <v>26</v>
      </c>
      <c r="U9" s="5" t="s">
        <v>0</v>
      </c>
      <c r="V9" s="355">
        <v>62.39</v>
      </c>
      <c r="W9" s="355">
        <v>4.22</v>
      </c>
      <c r="X9" s="355">
        <v>2.71</v>
      </c>
      <c r="Y9" s="355">
        <v>12.3</v>
      </c>
      <c r="Z9" s="355">
        <v>26.5</v>
      </c>
      <c r="AA9" s="355">
        <v>723</v>
      </c>
      <c r="AB9" s="355"/>
    </row>
    <row r="10" spans="1:28" x14ac:dyDescent="0.25">
      <c r="B10" s="2">
        <v>44692</v>
      </c>
      <c r="C10" s="3" t="s">
        <v>60</v>
      </c>
      <c r="D10" s="95" t="s">
        <v>27</v>
      </c>
      <c r="E10" s="3" t="s">
        <v>26</v>
      </c>
      <c r="F10" s="5" t="s">
        <v>1</v>
      </c>
      <c r="G10" s="133">
        <v>62.45</v>
      </c>
      <c r="H10" s="133">
        <v>3.93</v>
      </c>
      <c r="I10" s="133">
        <v>2.98</v>
      </c>
      <c r="J10" s="133">
        <v>6.1</v>
      </c>
      <c r="K10" s="133">
        <v>57.2</v>
      </c>
      <c r="L10" s="133">
        <v>109</v>
      </c>
      <c r="P10" s="355"/>
      <c r="Q10" s="2">
        <v>44688</v>
      </c>
      <c r="R10" s="3" t="s">
        <v>3</v>
      </c>
      <c r="S10" s="95" t="s">
        <v>27</v>
      </c>
      <c r="T10" s="3" t="s">
        <v>26</v>
      </c>
      <c r="U10" s="5" t="s">
        <v>0</v>
      </c>
      <c r="V10" s="355">
        <v>62.8</v>
      </c>
      <c r="W10" s="355">
        <v>3.6</v>
      </c>
      <c r="X10" s="355">
        <v>2.74</v>
      </c>
      <c r="Y10" s="355">
        <v>9.5</v>
      </c>
      <c r="Z10" s="355">
        <v>24.3</v>
      </c>
      <c r="AA10" s="355">
        <v>736</v>
      </c>
      <c r="AB10" s="355"/>
    </row>
    <row r="11" spans="1:28" x14ac:dyDescent="0.25">
      <c r="B11" s="2">
        <v>44693</v>
      </c>
      <c r="C11" s="3" t="s">
        <v>60</v>
      </c>
      <c r="D11" s="95" t="s">
        <v>27</v>
      </c>
      <c r="E11" s="3" t="s">
        <v>26</v>
      </c>
      <c r="F11" s="5" t="s">
        <v>1</v>
      </c>
      <c r="G11" s="133">
        <v>60.25</v>
      </c>
      <c r="H11" s="133">
        <v>5.0599999999999996</v>
      </c>
      <c r="I11" s="133">
        <v>3.89</v>
      </c>
      <c r="J11" s="133">
        <v>8.1</v>
      </c>
      <c r="K11" s="133">
        <v>49.4</v>
      </c>
      <c r="L11" s="133">
        <v>114</v>
      </c>
      <c r="P11" s="355"/>
      <c r="Q11" s="2">
        <v>44689</v>
      </c>
      <c r="R11" s="3" t="s">
        <v>3</v>
      </c>
      <c r="S11" s="95" t="s">
        <v>27</v>
      </c>
      <c r="T11" s="3" t="s">
        <v>26</v>
      </c>
      <c r="U11" s="5" t="s">
        <v>0</v>
      </c>
      <c r="V11" s="355">
        <v>62.29</v>
      </c>
      <c r="W11" s="355">
        <v>3.86</v>
      </c>
      <c r="X11" s="355">
        <v>3.31</v>
      </c>
      <c r="Y11" s="355">
        <v>12.4</v>
      </c>
      <c r="Z11" s="355">
        <v>18.5</v>
      </c>
      <c r="AA11" s="355">
        <v>740</v>
      </c>
      <c r="AB11" s="355"/>
    </row>
    <row r="12" spans="1:28" ht="14.5" x14ac:dyDescent="0.25">
      <c r="B12" s="2">
        <v>44698</v>
      </c>
      <c r="C12" s="3" t="s">
        <v>60</v>
      </c>
      <c r="D12" s="95" t="s">
        <v>27</v>
      </c>
      <c r="E12" s="3" t="s">
        <v>26</v>
      </c>
      <c r="F12" s="5" t="s">
        <v>1</v>
      </c>
      <c r="G12" s="133">
        <v>57.35</v>
      </c>
      <c r="H12" s="133">
        <v>8.81</v>
      </c>
      <c r="I12" s="133">
        <v>5.22</v>
      </c>
      <c r="J12" s="133">
        <v>9.6</v>
      </c>
      <c r="K12" s="133">
        <v>38.5</v>
      </c>
      <c r="L12" s="133">
        <v>125</v>
      </c>
      <c r="P12" s="355"/>
      <c r="Q12" s="45">
        <v>44693</v>
      </c>
      <c r="R12" s="3" t="s">
        <v>3</v>
      </c>
      <c r="S12" s="95" t="s">
        <v>27</v>
      </c>
      <c r="T12" s="3" t="s">
        <v>26</v>
      </c>
      <c r="U12" s="5" t="s">
        <v>0</v>
      </c>
      <c r="V12" s="61">
        <v>62.66</v>
      </c>
      <c r="W12" s="66">
        <v>3.76</v>
      </c>
      <c r="X12" s="61">
        <v>2.79</v>
      </c>
      <c r="Y12" s="61">
        <v>11.2</v>
      </c>
      <c r="Z12" s="61">
        <v>27.3</v>
      </c>
      <c r="AA12" s="61">
        <v>758</v>
      </c>
      <c r="AB12" s="355"/>
    </row>
    <row r="13" spans="1:28" ht="14.5" x14ac:dyDescent="0.25">
      <c r="B13" s="2">
        <v>44700</v>
      </c>
      <c r="C13" s="3" t="s">
        <v>60</v>
      </c>
      <c r="D13" s="95" t="s">
        <v>27</v>
      </c>
      <c r="E13" s="3" t="s">
        <v>26</v>
      </c>
      <c r="F13" s="5" t="s">
        <v>1</v>
      </c>
      <c r="G13" s="133">
        <v>59.31</v>
      </c>
      <c r="H13" s="133">
        <v>6.42</v>
      </c>
      <c r="I13" s="133">
        <v>4.07</v>
      </c>
      <c r="J13" s="133">
        <v>7.1</v>
      </c>
      <c r="K13" s="133">
        <v>50.5</v>
      </c>
      <c r="L13" s="133">
        <v>133</v>
      </c>
      <c r="P13" s="355"/>
      <c r="Q13" s="45">
        <v>44694</v>
      </c>
      <c r="R13" s="3" t="s">
        <v>3</v>
      </c>
      <c r="S13" s="95" t="s">
        <v>27</v>
      </c>
      <c r="T13" s="3" t="s">
        <v>26</v>
      </c>
      <c r="U13" s="5" t="s">
        <v>0</v>
      </c>
      <c r="V13" s="61">
        <v>61.57</v>
      </c>
      <c r="W13" s="61">
        <v>5.96</v>
      </c>
      <c r="X13" s="61">
        <v>2.4500000000000002</v>
      </c>
      <c r="Y13" s="61">
        <v>10.6</v>
      </c>
      <c r="Z13" s="61">
        <v>29.2</v>
      </c>
      <c r="AA13" s="61">
        <v>764</v>
      </c>
      <c r="AB13" s="355"/>
    </row>
    <row r="14" spans="1:28" ht="14.5" x14ac:dyDescent="0.25">
      <c r="B14" s="2">
        <v>44700</v>
      </c>
      <c r="C14" s="3" t="s">
        <v>60</v>
      </c>
      <c r="D14" s="95" t="s">
        <v>27</v>
      </c>
      <c r="E14" s="3" t="s">
        <v>26</v>
      </c>
      <c r="F14" s="5" t="s">
        <v>1</v>
      </c>
      <c r="G14" s="133">
        <v>60.49</v>
      </c>
      <c r="H14" s="133">
        <v>4.54</v>
      </c>
      <c r="I14" s="133">
        <v>3.76</v>
      </c>
      <c r="J14" s="133">
        <v>6.7</v>
      </c>
      <c r="K14" s="133">
        <v>50.8</v>
      </c>
      <c r="L14" s="133">
        <v>137</v>
      </c>
      <c r="P14" s="355"/>
      <c r="Q14" s="45">
        <v>44696</v>
      </c>
      <c r="R14" s="3" t="s">
        <v>3</v>
      </c>
      <c r="S14" s="95" t="s">
        <v>27</v>
      </c>
      <c r="T14" s="3" t="s">
        <v>26</v>
      </c>
      <c r="U14" s="5" t="s">
        <v>0</v>
      </c>
      <c r="V14" s="61">
        <v>62.41</v>
      </c>
      <c r="W14" s="61">
        <v>3.89</v>
      </c>
      <c r="X14" s="61">
        <v>3.02</v>
      </c>
      <c r="Y14" s="61">
        <v>9.1</v>
      </c>
      <c r="Z14" s="66">
        <v>28.5</v>
      </c>
      <c r="AA14" s="61">
        <v>774</v>
      </c>
      <c r="AB14" s="355"/>
    </row>
    <row r="15" spans="1:28" ht="14.5" x14ac:dyDescent="0.25">
      <c r="B15" s="2">
        <v>44701</v>
      </c>
      <c r="C15" s="3" t="s">
        <v>60</v>
      </c>
      <c r="D15" s="95" t="s">
        <v>27</v>
      </c>
      <c r="E15" s="3" t="s">
        <v>26</v>
      </c>
      <c r="F15" s="5" t="s">
        <v>1</v>
      </c>
      <c r="G15" s="133">
        <v>58.87</v>
      </c>
      <c r="H15" s="133">
        <v>6.65</v>
      </c>
      <c r="I15" s="133">
        <v>4.58</v>
      </c>
      <c r="J15" s="133">
        <v>10.8</v>
      </c>
      <c r="K15" s="133">
        <v>33</v>
      </c>
      <c r="L15" s="133">
        <v>138</v>
      </c>
      <c r="P15" s="355"/>
      <c r="Q15" s="45">
        <v>44696</v>
      </c>
      <c r="R15" s="3" t="s">
        <v>3</v>
      </c>
      <c r="S15" s="95" t="s">
        <v>27</v>
      </c>
      <c r="T15" s="3" t="s">
        <v>26</v>
      </c>
      <c r="U15" s="5" t="s">
        <v>0</v>
      </c>
      <c r="V15" s="61">
        <v>62.87</v>
      </c>
      <c r="W15" s="66">
        <v>3.85</v>
      </c>
      <c r="X15" s="61">
        <v>2.4</v>
      </c>
      <c r="Y15" s="61">
        <v>10.7</v>
      </c>
      <c r="Z15" s="66">
        <v>25.2</v>
      </c>
      <c r="AA15" s="61">
        <v>778</v>
      </c>
      <c r="AB15" s="355"/>
    </row>
    <row r="16" spans="1:28" ht="14.5" x14ac:dyDescent="0.25">
      <c r="B16" s="2">
        <v>44701</v>
      </c>
      <c r="C16" s="3" t="s">
        <v>60</v>
      </c>
      <c r="D16" s="95" t="s">
        <v>27</v>
      </c>
      <c r="E16" s="3" t="s">
        <v>26</v>
      </c>
      <c r="F16" s="5" t="s">
        <v>1</v>
      </c>
      <c r="G16" s="133">
        <v>60.37</v>
      </c>
      <c r="H16" s="133">
        <v>5.14</v>
      </c>
      <c r="I16" s="133">
        <v>3.66</v>
      </c>
      <c r="J16" s="133">
        <v>7.6</v>
      </c>
      <c r="K16" s="133">
        <v>42.8</v>
      </c>
      <c r="L16" s="133">
        <v>144</v>
      </c>
      <c r="P16" s="355"/>
      <c r="Q16" s="45">
        <v>44697</v>
      </c>
      <c r="R16" s="3" t="s">
        <v>3</v>
      </c>
      <c r="S16" s="95" t="s">
        <v>27</v>
      </c>
      <c r="T16" s="3" t="s">
        <v>26</v>
      </c>
      <c r="U16" s="5" t="s">
        <v>0</v>
      </c>
      <c r="V16" s="61">
        <v>62.14</v>
      </c>
      <c r="W16" s="61">
        <v>4.84</v>
      </c>
      <c r="X16" s="61">
        <v>2.64</v>
      </c>
      <c r="Y16" s="61">
        <v>11.3</v>
      </c>
      <c r="Z16" s="61">
        <v>27.2</v>
      </c>
      <c r="AA16" s="61">
        <v>787</v>
      </c>
      <c r="AB16" s="355"/>
    </row>
    <row r="17" spans="2:28" ht="14.5" x14ac:dyDescent="0.25">
      <c r="B17" s="2">
        <v>44702</v>
      </c>
      <c r="C17" s="3" t="s">
        <v>60</v>
      </c>
      <c r="D17" s="95" t="s">
        <v>27</v>
      </c>
      <c r="E17" s="3" t="s">
        <v>26</v>
      </c>
      <c r="F17" s="5" t="s">
        <v>1</v>
      </c>
      <c r="G17" s="133">
        <v>62.04</v>
      </c>
      <c r="H17" s="133">
        <v>4.72</v>
      </c>
      <c r="I17" s="133">
        <v>2.7</v>
      </c>
      <c r="J17" s="133">
        <v>11.4</v>
      </c>
      <c r="K17" s="133">
        <v>40.799999999999997</v>
      </c>
      <c r="L17" s="133">
        <v>146</v>
      </c>
      <c r="P17" s="355"/>
      <c r="Q17" s="45">
        <v>44698</v>
      </c>
      <c r="R17" s="3" t="s">
        <v>3</v>
      </c>
      <c r="S17" s="95" t="s">
        <v>27</v>
      </c>
      <c r="T17" s="3" t="s">
        <v>26</v>
      </c>
      <c r="U17" s="5" t="s">
        <v>0</v>
      </c>
      <c r="V17" s="61">
        <v>62.91</v>
      </c>
      <c r="W17" s="61">
        <v>3.6</v>
      </c>
      <c r="X17" s="61">
        <v>2.59</v>
      </c>
      <c r="Y17" s="61">
        <v>13.1</v>
      </c>
      <c r="Z17" s="66">
        <v>26.3</v>
      </c>
      <c r="AA17" s="61">
        <v>793</v>
      </c>
      <c r="AB17" s="355"/>
    </row>
    <row r="18" spans="2:28" ht="14.5" x14ac:dyDescent="0.25">
      <c r="B18" s="2">
        <v>44704</v>
      </c>
      <c r="C18" s="3" t="s">
        <v>60</v>
      </c>
      <c r="D18" s="95" t="s">
        <v>27</v>
      </c>
      <c r="E18" s="3" t="s">
        <v>26</v>
      </c>
      <c r="F18" s="5" t="s">
        <v>1</v>
      </c>
      <c r="G18" s="133">
        <v>60.51</v>
      </c>
      <c r="H18" s="133">
        <v>6.71</v>
      </c>
      <c r="I18" s="133">
        <v>2.92</v>
      </c>
      <c r="J18" s="133">
        <v>4</v>
      </c>
      <c r="K18" s="133">
        <v>57.8</v>
      </c>
      <c r="L18" s="133">
        <v>148</v>
      </c>
      <c r="P18" s="355"/>
      <c r="Q18" s="45">
        <v>44699</v>
      </c>
      <c r="R18" s="3" t="s">
        <v>3</v>
      </c>
      <c r="S18" s="95" t="s">
        <v>27</v>
      </c>
      <c r="T18" s="3" t="s">
        <v>26</v>
      </c>
      <c r="U18" s="5" t="s">
        <v>0</v>
      </c>
      <c r="V18" s="61">
        <v>62.41</v>
      </c>
      <c r="W18" s="61">
        <v>4.5599999999999996</v>
      </c>
      <c r="X18" s="61">
        <v>2.44</v>
      </c>
      <c r="Y18" s="61">
        <v>22.5</v>
      </c>
      <c r="Z18" s="61">
        <v>19.2</v>
      </c>
      <c r="AA18" s="61">
        <v>799</v>
      </c>
      <c r="AB18" s="355"/>
    </row>
    <row r="19" spans="2:28" ht="14.5" x14ac:dyDescent="0.25">
      <c r="B19" s="2">
        <v>44706</v>
      </c>
      <c r="C19" s="3" t="s">
        <v>60</v>
      </c>
      <c r="D19" s="95" t="s">
        <v>27</v>
      </c>
      <c r="E19" s="3" t="s">
        <v>26</v>
      </c>
      <c r="F19" s="5" t="s">
        <v>1</v>
      </c>
      <c r="G19" s="133">
        <v>59.44</v>
      </c>
      <c r="H19" s="133">
        <v>6.37</v>
      </c>
      <c r="I19" s="133">
        <v>3.74</v>
      </c>
      <c r="J19" s="133">
        <v>8.1</v>
      </c>
      <c r="K19" s="133">
        <v>49.5</v>
      </c>
      <c r="L19" s="133">
        <v>151</v>
      </c>
      <c r="P19" s="355"/>
      <c r="Q19" s="81">
        <v>44701</v>
      </c>
      <c r="R19" s="3" t="s">
        <v>3</v>
      </c>
      <c r="S19" s="95" t="s">
        <v>27</v>
      </c>
      <c r="T19" s="3" t="s">
        <v>26</v>
      </c>
      <c r="U19" s="5" t="s">
        <v>0</v>
      </c>
      <c r="V19" s="67">
        <v>62.92</v>
      </c>
      <c r="W19" s="46">
        <v>3.96</v>
      </c>
      <c r="X19" s="67">
        <v>2.42</v>
      </c>
      <c r="Y19" s="67">
        <v>11.5</v>
      </c>
      <c r="Z19" s="67">
        <v>26.3</v>
      </c>
      <c r="AA19" s="67">
        <v>807</v>
      </c>
      <c r="AB19" s="355"/>
    </row>
    <row r="20" spans="2:28" ht="14.5" x14ac:dyDescent="0.25">
      <c r="B20" s="2">
        <v>44707</v>
      </c>
      <c r="C20" s="3" t="s">
        <v>60</v>
      </c>
      <c r="D20" s="95" t="s">
        <v>27</v>
      </c>
      <c r="E20" s="3" t="s">
        <v>26</v>
      </c>
      <c r="F20" s="5" t="s">
        <v>1</v>
      </c>
      <c r="G20" s="133">
        <v>59.29</v>
      </c>
      <c r="H20" s="133">
        <v>10.6</v>
      </c>
      <c r="I20" s="133">
        <v>2.37</v>
      </c>
      <c r="J20" s="133">
        <v>8.1999999999999993</v>
      </c>
      <c r="K20" s="133">
        <v>49.4</v>
      </c>
      <c r="L20" s="133">
        <v>152</v>
      </c>
      <c r="P20" s="355"/>
      <c r="Q20" s="45">
        <v>44702</v>
      </c>
      <c r="R20" s="3" t="s">
        <v>3</v>
      </c>
      <c r="S20" s="95" t="s">
        <v>27</v>
      </c>
      <c r="T20" s="3" t="s">
        <v>26</v>
      </c>
      <c r="U20" s="5" t="s">
        <v>0</v>
      </c>
      <c r="V20" s="61">
        <v>61.5</v>
      </c>
      <c r="W20" s="61">
        <v>5.71</v>
      </c>
      <c r="X20" s="61">
        <v>2.68</v>
      </c>
      <c r="Y20" s="61">
        <v>12.1</v>
      </c>
      <c r="Z20" s="66">
        <v>24.3</v>
      </c>
      <c r="AA20" s="61">
        <v>811</v>
      </c>
      <c r="AB20" s="355"/>
    </row>
    <row r="21" spans="2:28" ht="14.5" x14ac:dyDescent="0.25">
      <c r="B21" s="2">
        <v>44707</v>
      </c>
      <c r="C21" s="3" t="s">
        <v>60</v>
      </c>
      <c r="D21" s="95" t="s">
        <v>27</v>
      </c>
      <c r="E21" s="3" t="s">
        <v>26</v>
      </c>
      <c r="F21" s="5" t="s">
        <v>1</v>
      </c>
      <c r="G21" s="133">
        <v>62.34</v>
      </c>
      <c r="H21" s="133">
        <v>4.7300000000000004</v>
      </c>
      <c r="I21" s="133">
        <v>2.4900000000000002</v>
      </c>
      <c r="J21" s="133">
        <v>6.7</v>
      </c>
      <c r="K21" s="133">
        <v>50.8</v>
      </c>
      <c r="L21" s="133">
        <v>156</v>
      </c>
      <c r="P21" s="355"/>
      <c r="Q21" s="45">
        <v>44703</v>
      </c>
      <c r="R21" s="3" t="s">
        <v>3</v>
      </c>
      <c r="S21" s="95" t="s">
        <v>27</v>
      </c>
      <c r="T21" s="3" t="s">
        <v>26</v>
      </c>
      <c r="U21" s="5" t="s">
        <v>0</v>
      </c>
      <c r="V21" s="61">
        <v>62.03</v>
      </c>
      <c r="W21" s="61">
        <v>5.23</v>
      </c>
      <c r="X21" s="61">
        <v>2.4</v>
      </c>
      <c r="Y21" s="61">
        <v>15.3</v>
      </c>
      <c r="Z21" s="61">
        <v>28.5</v>
      </c>
      <c r="AA21" s="61">
        <v>816</v>
      </c>
      <c r="AB21" s="355"/>
    </row>
    <row r="22" spans="2:28" ht="14.5" x14ac:dyDescent="0.25">
      <c r="B22" s="2">
        <v>44709</v>
      </c>
      <c r="C22" s="3" t="s">
        <v>60</v>
      </c>
      <c r="D22" s="95" t="s">
        <v>27</v>
      </c>
      <c r="E22" s="3" t="s">
        <v>26</v>
      </c>
      <c r="F22" s="5" t="s">
        <v>1</v>
      </c>
      <c r="G22" s="133">
        <v>62.3</v>
      </c>
      <c r="H22" s="133">
        <v>4.57</v>
      </c>
      <c r="I22" s="133">
        <v>2.63</v>
      </c>
      <c r="J22" s="133">
        <v>9.8000000000000007</v>
      </c>
      <c r="K22" s="133">
        <v>46.2</v>
      </c>
      <c r="L22" s="133">
        <v>158</v>
      </c>
      <c r="P22" s="355"/>
      <c r="Q22" s="45">
        <v>44704</v>
      </c>
      <c r="R22" s="3" t="s">
        <v>3</v>
      </c>
      <c r="S22" s="95" t="s">
        <v>27</v>
      </c>
      <c r="T22" s="3" t="s">
        <v>26</v>
      </c>
      <c r="U22" s="5" t="s">
        <v>0</v>
      </c>
      <c r="V22" s="61">
        <v>61.69</v>
      </c>
      <c r="W22" s="61">
        <v>5.65</v>
      </c>
      <c r="X22" s="61">
        <v>2.38</v>
      </c>
      <c r="Y22" s="61">
        <v>14.3</v>
      </c>
      <c r="Z22" s="61">
        <v>27.2</v>
      </c>
      <c r="AA22" s="61">
        <v>820</v>
      </c>
      <c r="AB22" s="355"/>
    </row>
    <row r="23" spans="2:28" ht="14.5" x14ac:dyDescent="0.25">
      <c r="B23" s="2">
        <v>44709</v>
      </c>
      <c r="C23" s="3" t="s">
        <v>60</v>
      </c>
      <c r="D23" s="95" t="s">
        <v>27</v>
      </c>
      <c r="E23" s="3" t="s">
        <v>26</v>
      </c>
      <c r="F23" s="5" t="s">
        <v>1</v>
      </c>
      <c r="G23" s="133">
        <v>62</v>
      </c>
      <c r="H23" s="133">
        <v>6.22</v>
      </c>
      <c r="I23" s="133">
        <v>2.2799999999999998</v>
      </c>
      <c r="J23" s="133">
        <v>7.9</v>
      </c>
      <c r="K23" s="133">
        <v>49.5</v>
      </c>
      <c r="L23" s="133">
        <v>159</v>
      </c>
      <c r="P23" s="355"/>
      <c r="Q23" s="45">
        <v>44707</v>
      </c>
      <c r="R23" s="3" t="s">
        <v>3</v>
      </c>
      <c r="S23" s="95" t="s">
        <v>27</v>
      </c>
      <c r="T23" s="3" t="s">
        <v>26</v>
      </c>
      <c r="U23" s="5" t="s">
        <v>0</v>
      </c>
      <c r="V23" s="61">
        <v>62.2</v>
      </c>
      <c r="W23" s="61">
        <v>4.8600000000000003</v>
      </c>
      <c r="X23" s="61">
        <v>2.54</v>
      </c>
      <c r="Y23" s="61">
        <v>16.100000000000001</v>
      </c>
      <c r="Z23" s="66">
        <v>26.5</v>
      </c>
      <c r="AA23" s="61">
        <v>831</v>
      </c>
      <c r="AB23" s="355"/>
    </row>
    <row r="24" spans="2:28" ht="14.5" x14ac:dyDescent="0.25">
      <c r="B24" s="2">
        <v>44711</v>
      </c>
      <c r="C24" s="3" t="s">
        <v>60</v>
      </c>
      <c r="D24" s="95" t="s">
        <v>27</v>
      </c>
      <c r="E24" s="3" t="s">
        <v>26</v>
      </c>
      <c r="F24" s="5" t="s">
        <v>1</v>
      </c>
      <c r="G24" s="133">
        <v>58.12</v>
      </c>
      <c r="H24" s="133">
        <v>6.46</v>
      </c>
      <c r="I24" s="133">
        <v>5.28</v>
      </c>
      <c r="J24" s="133">
        <v>8</v>
      </c>
      <c r="K24" s="133">
        <v>42.7</v>
      </c>
      <c r="L24" s="133">
        <v>165</v>
      </c>
      <c r="P24" s="355"/>
      <c r="Q24" s="45">
        <v>44707</v>
      </c>
      <c r="R24" s="3" t="s">
        <v>3</v>
      </c>
      <c r="S24" s="95" t="s">
        <v>27</v>
      </c>
      <c r="T24" s="3" t="s">
        <v>26</v>
      </c>
      <c r="U24" s="5" t="s">
        <v>0</v>
      </c>
      <c r="V24" s="61">
        <v>62.77</v>
      </c>
      <c r="W24" s="66">
        <v>3.53</v>
      </c>
      <c r="X24" s="61">
        <v>2.86</v>
      </c>
      <c r="Y24" s="61">
        <v>15.4</v>
      </c>
      <c r="Z24" s="49">
        <v>27.7</v>
      </c>
      <c r="AA24" s="61">
        <v>835</v>
      </c>
      <c r="AB24" s="355"/>
    </row>
    <row r="25" spans="2:28" ht="14.5" x14ac:dyDescent="0.35">
      <c r="B25" s="2">
        <v>44712</v>
      </c>
      <c r="C25" s="3" t="s">
        <v>60</v>
      </c>
      <c r="D25" s="95" t="s">
        <v>27</v>
      </c>
      <c r="E25" s="3" t="s">
        <v>26</v>
      </c>
      <c r="F25" s="5" t="s">
        <v>1</v>
      </c>
      <c r="G25" s="133">
        <v>60.11</v>
      </c>
      <c r="H25" s="133">
        <v>6.15</v>
      </c>
      <c r="I25" s="133">
        <v>3.8</v>
      </c>
      <c r="J25" s="133">
        <v>8.1</v>
      </c>
      <c r="K25" s="133">
        <v>51.6</v>
      </c>
      <c r="L25" s="133">
        <v>167</v>
      </c>
      <c r="P25" s="355"/>
      <c r="Q25" s="82">
        <v>44708</v>
      </c>
      <c r="R25" s="3" t="s">
        <v>3</v>
      </c>
      <c r="S25" s="95" t="s">
        <v>27</v>
      </c>
      <c r="T25" s="3" t="s">
        <v>26</v>
      </c>
      <c r="U25" s="5" t="s">
        <v>0</v>
      </c>
      <c r="V25" s="57">
        <v>62.83</v>
      </c>
      <c r="W25" s="56">
        <v>3.47</v>
      </c>
      <c r="X25" s="57">
        <v>2.84</v>
      </c>
      <c r="Y25" s="57">
        <v>12.4</v>
      </c>
      <c r="Z25" s="70">
        <v>25.6</v>
      </c>
      <c r="AA25" s="58">
        <v>840</v>
      </c>
      <c r="AB25" s="355"/>
    </row>
    <row r="26" spans="2:28" ht="14.5" x14ac:dyDescent="0.35">
      <c r="B26" s="2">
        <v>44682</v>
      </c>
      <c r="C26" s="3" t="s">
        <v>3</v>
      </c>
      <c r="D26" s="95" t="s">
        <v>27</v>
      </c>
      <c r="E26" s="3" t="s">
        <v>26</v>
      </c>
      <c r="F26" s="5" t="s">
        <v>0</v>
      </c>
      <c r="G26" s="133">
        <v>61.78</v>
      </c>
      <c r="H26" s="133">
        <v>4.7699999999999996</v>
      </c>
      <c r="I26" s="133">
        <v>2.92</v>
      </c>
      <c r="J26" s="133">
        <v>14.8</v>
      </c>
      <c r="K26" s="133">
        <v>61.5</v>
      </c>
      <c r="L26" s="133">
        <v>853</v>
      </c>
      <c r="P26" s="355"/>
      <c r="Q26" s="83">
        <v>44710</v>
      </c>
      <c r="R26" s="3" t="s">
        <v>3</v>
      </c>
      <c r="S26" s="95" t="s">
        <v>27</v>
      </c>
      <c r="T26" s="3" t="s">
        <v>26</v>
      </c>
      <c r="U26" s="5" t="s">
        <v>0</v>
      </c>
      <c r="V26" s="57">
        <v>62.87</v>
      </c>
      <c r="W26" s="56">
        <v>3.6</v>
      </c>
      <c r="X26" s="57">
        <v>2.7</v>
      </c>
      <c r="Y26" s="57">
        <v>12.7</v>
      </c>
      <c r="Z26" s="57">
        <v>24.3</v>
      </c>
      <c r="AA26" s="56">
        <v>846</v>
      </c>
      <c r="AB26" s="355"/>
    </row>
    <row r="27" spans="2:28" ht="14.5" x14ac:dyDescent="0.35">
      <c r="B27" s="2">
        <v>44684</v>
      </c>
      <c r="C27" s="3" t="s">
        <v>3</v>
      </c>
      <c r="D27" s="95" t="s">
        <v>27</v>
      </c>
      <c r="E27" s="3" t="s">
        <v>26</v>
      </c>
      <c r="F27" s="5" t="s">
        <v>0</v>
      </c>
      <c r="G27" s="133">
        <v>62.71</v>
      </c>
      <c r="H27" s="133">
        <v>3.51</v>
      </c>
      <c r="I27" s="133">
        <v>3.07</v>
      </c>
      <c r="J27" s="133">
        <v>16.600000000000001</v>
      </c>
      <c r="K27" s="133">
        <v>32.1</v>
      </c>
      <c r="L27" s="133">
        <v>707</v>
      </c>
      <c r="P27" s="355"/>
      <c r="Q27" s="83">
        <v>44711</v>
      </c>
      <c r="R27" s="3" t="s">
        <v>3</v>
      </c>
      <c r="S27" s="95" t="s">
        <v>27</v>
      </c>
      <c r="T27" s="3" t="s">
        <v>26</v>
      </c>
      <c r="U27" s="5" t="s">
        <v>0</v>
      </c>
      <c r="V27" s="57">
        <v>61.85</v>
      </c>
      <c r="W27" s="56">
        <v>5.41</v>
      </c>
      <c r="X27" s="57">
        <v>2.4900000000000002</v>
      </c>
      <c r="Y27" s="57">
        <v>7.3</v>
      </c>
      <c r="Z27" s="57">
        <v>36.200000000000003</v>
      </c>
      <c r="AA27" s="56">
        <v>855</v>
      </c>
      <c r="AB27" s="355"/>
    </row>
    <row r="28" spans="2:28" ht="14.5" x14ac:dyDescent="0.35">
      <c r="B28" s="2">
        <v>44684</v>
      </c>
      <c r="C28" s="3" t="s">
        <v>3</v>
      </c>
      <c r="D28" s="95" t="s">
        <v>27</v>
      </c>
      <c r="E28" s="3" t="s">
        <v>26</v>
      </c>
      <c r="F28" s="5" t="s">
        <v>0</v>
      </c>
      <c r="G28" s="133">
        <v>62.83</v>
      </c>
      <c r="H28" s="133">
        <v>3.59</v>
      </c>
      <c r="I28" s="133">
        <v>2.91</v>
      </c>
      <c r="J28" s="133">
        <v>13.4</v>
      </c>
      <c r="K28" s="133">
        <v>27.6</v>
      </c>
      <c r="L28" s="133">
        <v>713</v>
      </c>
      <c r="P28" s="355"/>
      <c r="Q28" s="83">
        <v>44689</v>
      </c>
      <c r="R28" s="3" t="s">
        <v>3</v>
      </c>
      <c r="S28" s="95" t="s">
        <v>44</v>
      </c>
      <c r="T28" s="3" t="s">
        <v>26</v>
      </c>
      <c r="U28" s="5" t="s">
        <v>0</v>
      </c>
      <c r="V28" s="57">
        <v>63.5</v>
      </c>
      <c r="W28" s="57">
        <v>2.81</v>
      </c>
      <c r="X28" s="57">
        <v>2.4</v>
      </c>
      <c r="Y28" s="57">
        <v>6.1</v>
      </c>
      <c r="Z28" s="70">
        <v>9.6999999999999993</v>
      </c>
      <c r="AA28" s="56" t="s">
        <v>227</v>
      </c>
      <c r="AB28" s="355"/>
    </row>
    <row r="29" spans="2:28" ht="14.5" x14ac:dyDescent="0.35">
      <c r="B29" s="2">
        <v>44685</v>
      </c>
      <c r="C29" s="3" t="s">
        <v>3</v>
      </c>
      <c r="D29" s="95" t="s">
        <v>27</v>
      </c>
      <c r="E29" s="3" t="s">
        <v>26</v>
      </c>
      <c r="F29" s="5" t="s">
        <v>0</v>
      </c>
      <c r="G29" s="133">
        <v>62.76</v>
      </c>
      <c r="H29" s="133">
        <v>3.73</v>
      </c>
      <c r="I29" s="133">
        <v>2.78</v>
      </c>
      <c r="J29" s="133">
        <v>15.6</v>
      </c>
      <c r="K29" s="133">
        <v>31.5</v>
      </c>
      <c r="L29" s="133">
        <v>717</v>
      </c>
      <c r="P29" s="355"/>
      <c r="Q29" s="82">
        <v>44705</v>
      </c>
      <c r="R29" s="3" t="s">
        <v>3</v>
      </c>
      <c r="S29" s="95" t="s">
        <v>44</v>
      </c>
      <c r="T29" s="3" t="s">
        <v>26</v>
      </c>
      <c r="U29" s="5" t="s">
        <v>0</v>
      </c>
      <c r="V29" s="59">
        <v>63.7</v>
      </c>
      <c r="W29" s="59">
        <v>2.82</v>
      </c>
      <c r="X29" s="59">
        <v>2.14</v>
      </c>
      <c r="Y29" s="59">
        <v>8.1999999999999993</v>
      </c>
      <c r="Z29" s="80">
        <v>10.4</v>
      </c>
      <c r="AA29" s="58" t="s">
        <v>228</v>
      </c>
      <c r="AB29" s="355"/>
    </row>
    <row r="30" spans="2:28" ht="14.5" x14ac:dyDescent="0.25">
      <c r="B30" s="2">
        <v>44686</v>
      </c>
      <c r="C30" s="3" t="s">
        <v>3</v>
      </c>
      <c r="D30" s="95" t="s">
        <v>27</v>
      </c>
      <c r="E30" s="3" t="s">
        <v>26</v>
      </c>
      <c r="F30" s="5" t="s">
        <v>0</v>
      </c>
      <c r="G30" s="133">
        <v>62.39</v>
      </c>
      <c r="H30" s="133">
        <v>4.22</v>
      </c>
      <c r="I30" s="133">
        <v>2.71</v>
      </c>
      <c r="J30" s="133">
        <v>12.3</v>
      </c>
      <c r="K30" s="133">
        <v>26.5</v>
      </c>
      <c r="L30" s="133">
        <v>723</v>
      </c>
      <c r="P30" s="355"/>
      <c r="Q30" s="86">
        <v>44682</v>
      </c>
      <c r="R30" s="3" t="s">
        <v>3</v>
      </c>
      <c r="S30" s="95" t="s">
        <v>2</v>
      </c>
      <c r="T30" s="3" t="s">
        <v>26</v>
      </c>
      <c r="U30" s="5" t="s">
        <v>0</v>
      </c>
      <c r="V30" s="60">
        <v>61.8</v>
      </c>
      <c r="W30" s="60">
        <v>4.7300000000000004</v>
      </c>
      <c r="X30" s="60">
        <v>2.84</v>
      </c>
      <c r="Y30" s="60">
        <v>8.5</v>
      </c>
      <c r="Z30" s="60">
        <v>34.4</v>
      </c>
      <c r="AA30" s="60">
        <v>850</v>
      </c>
      <c r="AB30" s="355"/>
    </row>
    <row r="31" spans="2:28" ht="14.5" x14ac:dyDescent="0.25">
      <c r="B31" s="2">
        <v>44688</v>
      </c>
      <c r="C31" s="3" t="s">
        <v>3</v>
      </c>
      <c r="D31" s="95" t="s">
        <v>27</v>
      </c>
      <c r="E31" s="3" t="s">
        <v>26</v>
      </c>
      <c r="F31" s="5" t="s">
        <v>0</v>
      </c>
      <c r="G31" s="133">
        <v>62.8</v>
      </c>
      <c r="H31" s="133">
        <v>3.6</v>
      </c>
      <c r="I31" s="133">
        <v>2.74</v>
      </c>
      <c r="J31" s="133">
        <v>9.5</v>
      </c>
      <c r="K31" s="133">
        <v>24.3</v>
      </c>
      <c r="L31" s="133">
        <v>736</v>
      </c>
      <c r="P31" s="355"/>
      <c r="Q31" s="86">
        <v>44684</v>
      </c>
      <c r="R31" s="3" t="s">
        <v>3</v>
      </c>
      <c r="S31" s="95" t="s">
        <v>2</v>
      </c>
      <c r="T31" s="3" t="s">
        <v>26</v>
      </c>
      <c r="U31" s="5" t="s">
        <v>0</v>
      </c>
      <c r="V31" s="60">
        <v>60.5</v>
      </c>
      <c r="W31" s="79">
        <v>7.13</v>
      </c>
      <c r="X31" s="60">
        <v>2.71</v>
      </c>
      <c r="Y31" s="60">
        <v>12.1</v>
      </c>
      <c r="Z31" s="60">
        <v>30.7</v>
      </c>
      <c r="AA31" s="60">
        <v>706</v>
      </c>
      <c r="AB31" s="355"/>
    </row>
    <row r="32" spans="2:28" ht="14.5" x14ac:dyDescent="0.25">
      <c r="B32" s="2">
        <v>44689</v>
      </c>
      <c r="C32" s="3" t="s">
        <v>3</v>
      </c>
      <c r="D32" s="95" t="s">
        <v>27</v>
      </c>
      <c r="E32" s="3" t="s">
        <v>26</v>
      </c>
      <c r="F32" s="5" t="s">
        <v>0</v>
      </c>
      <c r="G32" s="133">
        <v>62.29</v>
      </c>
      <c r="H32" s="133">
        <v>3.86</v>
      </c>
      <c r="I32" s="133">
        <v>3.31</v>
      </c>
      <c r="J32" s="133">
        <v>12.4</v>
      </c>
      <c r="K32" s="133">
        <v>18.5</v>
      </c>
      <c r="L32" s="133">
        <v>740</v>
      </c>
      <c r="P32" s="355"/>
      <c r="Q32" s="86">
        <v>44684</v>
      </c>
      <c r="R32" s="3" t="s">
        <v>3</v>
      </c>
      <c r="S32" s="95" t="s">
        <v>2</v>
      </c>
      <c r="T32" s="3" t="s">
        <v>26</v>
      </c>
      <c r="U32" s="5" t="s">
        <v>0</v>
      </c>
      <c r="V32" s="60">
        <v>61.87</v>
      </c>
      <c r="W32" s="60">
        <v>4.95</v>
      </c>
      <c r="X32" s="60">
        <v>2.74</v>
      </c>
      <c r="Y32" s="60">
        <v>13.7</v>
      </c>
      <c r="Z32" s="79">
        <v>25.3</v>
      </c>
      <c r="AA32" s="60">
        <v>708</v>
      </c>
      <c r="AB32" s="355"/>
    </row>
    <row r="33" spans="2:28" ht="14.5" x14ac:dyDescent="0.25">
      <c r="B33" s="45">
        <v>44693</v>
      </c>
      <c r="C33" s="3" t="s">
        <v>3</v>
      </c>
      <c r="D33" s="95" t="s">
        <v>27</v>
      </c>
      <c r="E33" s="3" t="s">
        <v>26</v>
      </c>
      <c r="F33" s="5" t="s">
        <v>0</v>
      </c>
      <c r="G33" s="61">
        <v>62.66</v>
      </c>
      <c r="H33" s="66">
        <v>3.76</v>
      </c>
      <c r="I33" s="61">
        <v>2.79</v>
      </c>
      <c r="J33" s="61">
        <v>11.2</v>
      </c>
      <c r="K33" s="61">
        <v>27.3</v>
      </c>
      <c r="L33" s="61">
        <v>758</v>
      </c>
      <c r="P33" s="355"/>
      <c r="Q33" s="86">
        <v>44685</v>
      </c>
      <c r="R33" s="3" t="s">
        <v>3</v>
      </c>
      <c r="S33" s="95" t="s">
        <v>2</v>
      </c>
      <c r="T33" s="3" t="s">
        <v>26</v>
      </c>
      <c r="U33" s="5" t="s">
        <v>0</v>
      </c>
      <c r="V33" s="60">
        <v>61.4</v>
      </c>
      <c r="W33" s="60">
        <v>5.9</v>
      </c>
      <c r="X33" s="60">
        <v>2.65</v>
      </c>
      <c r="Y33" s="60">
        <v>17.2</v>
      </c>
      <c r="Z33" s="60">
        <v>24.5</v>
      </c>
      <c r="AA33" s="60">
        <v>714</v>
      </c>
      <c r="AB33" s="355"/>
    </row>
    <row r="34" spans="2:28" ht="14.5" x14ac:dyDescent="0.25">
      <c r="B34" s="45">
        <v>44694</v>
      </c>
      <c r="C34" s="3" t="s">
        <v>3</v>
      </c>
      <c r="D34" s="95" t="s">
        <v>27</v>
      </c>
      <c r="E34" s="3" t="s">
        <v>26</v>
      </c>
      <c r="F34" s="5" t="s">
        <v>0</v>
      </c>
      <c r="G34" s="61">
        <v>61.57</v>
      </c>
      <c r="H34" s="61">
        <v>5.96</v>
      </c>
      <c r="I34" s="61">
        <v>2.4500000000000002</v>
      </c>
      <c r="J34" s="61">
        <v>10.6</v>
      </c>
      <c r="K34" s="61">
        <v>29.2</v>
      </c>
      <c r="L34" s="61">
        <v>764</v>
      </c>
      <c r="P34" s="355"/>
      <c r="Q34" s="86">
        <v>44687</v>
      </c>
      <c r="R34" s="3" t="s">
        <v>3</v>
      </c>
      <c r="S34" s="95" t="s">
        <v>2</v>
      </c>
      <c r="T34" s="3" t="s">
        <v>26</v>
      </c>
      <c r="U34" s="5" t="s">
        <v>0</v>
      </c>
      <c r="V34" s="79">
        <v>61.48</v>
      </c>
      <c r="W34" s="79">
        <v>5.35</v>
      </c>
      <c r="X34" s="60">
        <v>2.89</v>
      </c>
      <c r="Y34" s="60">
        <v>14.5</v>
      </c>
      <c r="Z34" s="60">
        <v>22.3</v>
      </c>
      <c r="AA34" s="60">
        <v>725</v>
      </c>
      <c r="AB34" s="355"/>
    </row>
    <row r="35" spans="2:28" ht="14.5" x14ac:dyDescent="0.25">
      <c r="B35" s="45">
        <v>44696</v>
      </c>
      <c r="C35" s="3" t="s">
        <v>3</v>
      </c>
      <c r="D35" s="95" t="s">
        <v>27</v>
      </c>
      <c r="E35" s="3" t="s">
        <v>26</v>
      </c>
      <c r="F35" s="5" t="s">
        <v>0</v>
      </c>
      <c r="G35" s="61">
        <v>62.41</v>
      </c>
      <c r="H35" s="61">
        <v>3.89</v>
      </c>
      <c r="I35" s="61">
        <v>3.02</v>
      </c>
      <c r="J35" s="61">
        <v>9.1</v>
      </c>
      <c r="K35" s="66">
        <v>28.5</v>
      </c>
      <c r="L35" s="61">
        <v>774</v>
      </c>
      <c r="P35" s="355"/>
      <c r="Q35" s="86">
        <v>44687</v>
      </c>
      <c r="R35" s="3" t="s">
        <v>3</v>
      </c>
      <c r="S35" s="95" t="s">
        <v>2</v>
      </c>
      <c r="T35" s="3" t="s">
        <v>26</v>
      </c>
      <c r="U35" s="5" t="s">
        <v>0</v>
      </c>
      <c r="V35" s="47">
        <v>61.31</v>
      </c>
      <c r="W35" s="48">
        <v>5.61</v>
      </c>
      <c r="X35" s="47">
        <v>2.77</v>
      </c>
      <c r="Y35" s="60">
        <v>13.6</v>
      </c>
      <c r="Z35" s="79">
        <v>25.3</v>
      </c>
      <c r="AA35" s="60">
        <v>726</v>
      </c>
      <c r="AB35" s="355"/>
    </row>
    <row r="36" spans="2:28" ht="14.5" x14ac:dyDescent="0.35">
      <c r="B36" s="45">
        <v>44696</v>
      </c>
      <c r="C36" s="3" t="s">
        <v>3</v>
      </c>
      <c r="D36" s="95" t="s">
        <v>27</v>
      </c>
      <c r="E36" s="3" t="s">
        <v>26</v>
      </c>
      <c r="F36" s="5" t="s">
        <v>0</v>
      </c>
      <c r="G36" s="61">
        <v>62.87</v>
      </c>
      <c r="H36" s="66">
        <v>3.85</v>
      </c>
      <c r="I36" s="61">
        <v>2.4</v>
      </c>
      <c r="J36" s="61">
        <v>10.7</v>
      </c>
      <c r="K36" s="66">
        <v>25.2</v>
      </c>
      <c r="L36" s="61">
        <v>778</v>
      </c>
      <c r="P36" s="355"/>
      <c r="Q36" s="82">
        <v>44688</v>
      </c>
      <c r="R36" s="3" t="s">
        <v>3</v>
      </c>
      <c r="S36" s="95" t="s">
        <v>2</v>
      </c>
      <c r="T36" s="3" t="s">
        <v>26</v>
      </c>
      <c r="U36" s="5" t="s">
        <v>0</v>
      </c>
      <c r="V36" s="59">
        <v>62.09</v>
      </c>
      <c r="W36" s="59">
        <v>4.88</v>
      </c>
      <c r="X36" s="59">
        <v>2.67</v>
      </c>
      <c r="Y36" s="59">
        <v>11.3</v>
      </c>
      <c r="Z36" s="59">
        <v>29.2</v>
      </c>
      <c r="AA36" s="58">
        <v>731</v>
      </c>
      <c r="AB36" s="355"/>
    </row>
    <row r="37" spans="2:28" ht="14.5" x14ac:dyDescent="0.35">
      <c r="B37" s="45">
        <v>44697</v>
      </c>
      <c r="C37" s="3" t="s">
        <v>3</v>
      </c>
      <c r="D37" s="95" t="s">
        <v>27</v>
      </c>
      <c r="E37" s="3" t="s">
        <v>26</v>
      </c>
      <c r="F37" s="5" t="s">
        <v>0</v>
      </c>
      <c r="G37" s="61">
        <v>62.14</v>
      </c>
      <c r="H37" s="61">
        <v>4.84</v>
      </c>
      <c r="I37" s="61">
        <v>2.64</v>
      </c>
      <c r="J37" s="61">
        <v>11.3</v>
      </c>
      <c r="K37" s="61">
        <v>27.2</v>
      </c>
      <c r="L37" s="61">
        <v>787</v>
      </c>
      <c r="P37" s="355"/>
      <c r="Q37" s="83">
        <v>44689</v>
      </c>
      <c r="R37" s="3" t="s">
        <v>3</v>
      </c>
      <c r="S37" s="95" t="s">
        <v>2</v>
      </c>
      <c r="T37" s="3" t="s">
        <v>26</v>
      </c>
      <c r="U37" s="5" t="s">
        <v>0</v>
      </c>
      <c r="V37" s="57">
        <v>61.69</v>
      </c>
      <c r="W37" s="70">
        <v>4.87</v>
      </c>
      <c r="X37" s="57">
        <v>3.06</v>
      </c>
      <c r="Y37" s="57">
        <v>14.7</v>
      </c>
      <c r="Z37" s="57">
        <v>23.6</v>
      </c>
      <c r="AA37" s="56">
        <v>737</v>
      </c>
      <c r="AB37" s="355"/>
    </row>
    <row r="38" spans="2:28" ht="14.5" x14ac:dyDescent="0.35">
      <c r="B38" s="45">
        <v>44698</v>
      </c>
      <c r="C38" s="3" t="s">
        <v>3</v>
      </c>
      <c r="D38" s="95" t="s">
        <v>27</v>
      </c>
      <c r="E38" s="3" t="s">
        <v>26</v>
      </c>
      <c r="F38" s="5" t="s">
        <v>0</v>
      </c>
      <c r="G38" s="61">
        <v>62.91</v>
      </c>
      <c r="H38" s="61">
        <v>3.6</v>
      </c>
      <c r="I38" s="61">
        <v>2.59</v>
      </c>
      <c r="J38" s="61">
        <v>13.1</v>
      </c>
      <c r="K38" s="66">
        <v>26.3</v>
      </c>
      <c r="L38" s="61">
        <v>793</v>
      </c>
      <c r="P38" s="355"/>
      <c r="Q38" s="83">
        <v>44693</v>
      </c>
      <c r="R38" s="3" t="s">
        <v>3</v>
      </c>
      <c r="S38" s="95" t="s">
        <v>2</v>
      </c>
      <c r="T38" s="3" t="s">
        <v>26</v>
      </c>
      <c r="U38" s="5" t="s">
        <v>0</v>
      </c>
      <c r="V38" s="57">
        <v>61.86</v>
      </c>
      <c r="W38" s="57">
        <v>4.83</v>
      </c>
      <c r="X38" s="57">
        <v>3.05</v>
      </c>
      <c r="Y38" s="57">
        <v>11.4</v>
      </c>
      <c r="Z38" s="70">
        <v>25.6</v>
      </c>
      <c r="AA38" s="56">
        <v>759</v>
      </c>
      <c r="AB38" s="355"/>
    </row>
    <row r="39" spans="2:28" ht="14.5" x14ac:dyDescent="0.35">
      <c r="B39" s="45">
        <v>44699</v>
      </c>
      <c r="C39" s="3" t="s">
        <v>3</v>
      </c>
      <c r="D39" s="95" t="s">
        <v>27</v>
      </c>
      <c r="E39" s="3" t="s">
        <v>26</v>
      </c>
      <c r="F39" s="5" t="s">
        <v>0</v>
      </c>
      <c r="G39" s="61">
        <v>62.41</v>
      </c>
      <c r="H39" s="61">
        <v>4.5599999999999996</v>
      </c>
      <c r="I39" s="61">
        <v>2.44</v>
      </c>
      <c r="J39" s="61">
        <v>22.5</v>
      </c>
      <c r="K39" s="61">
        <v>19.2</v>
      </c>
      <c r="L39" s="61">
        <v>799</v>
      </c>
      <c r="P39" s="355"/>
      <c r="Q39" s="83">
        <v>44695</v>
      </c>
      <c r="R39" s="3" t="s">
        <v>3</v>
      </c>
      <c r="S39" s="95" t="s">
        <v>2</v>
      </c>
      <c r="T39" s="3" t="s">
        <v>26</v>
      </c>
      <c r="U39" s="5" t="s">
        <v>0</v>
      </c>
      <c r="V39" s="57">
        <v>62.29</v>
      </c>
      <c r="W39" s="70">
        <v>4.17</v>
      </c>
      <c r="X39" s="57">
        <v>2.9</v>
      </c>
      <c r="Y39" s="57">
        <v>16.3</v>
      </c>
      <c r="Z39" s="57">
        <v>27.4</v>
      </c>
      <c r="AA39" s="56">
        <v>769</v>
      </c>
      <c r="AB39" s="355"/>
    </row>
    <row r="40" spans="2:28" ht="14.5" x14ac:dyDescent="0.35">
      <c r="B40" s="81">
        <v>44701</v>
      </c>
      <c r="C40" s="3" t="s">
        <v>3</v>
      </c>
      <c r="D40" s="95" t="s">
        <v>27</v>
      </c>
      <c r="E40" s="3" t="s">
        <v>26</v>
      </c>
      <c r="F40" s="5" t="s">
        <v>0</v>
      </c>
      <c r="G40" s="67">
        <v>62.92</v>
      </c>
      <c r="H40" s="46">
        <v>3.96</v>
      </c>
      <c r="I40" s="67">
        <v>2.42</v>
      </c>
      <c r="J40" s="67">
        <v>11.5</v>
      </c>
      <c r="K40" s="67">
        <v>26.3</v>
      </c>
      <c r="L40" s="67">
        <v>807</v>
      </c>
      <c r="P40" s="355"/>
      <c r="Q40" s="83">
        <v>44696</v>
      </c>
      <c r="R40" s="3" t="s">
        <v>3</v>
      </c>
      <c r="S40" s="95" t="s">
        <v>2</v>
      </c>
      <c r="T40" s="3" t="s">
        <v>26</v>
      </c>
      <c r="U40" s="5" t="s">
        <v>0</v>
      </c>
      <c r="V40" s="57">
        <v>62.45</v>
      </c>
      <c r="W40" s="57">
        <v>4.12</v>
      </c>
      <c r="X40" s="57">
        <v>2.83</v>
      </c>
      <c r="Y40" s="57">
        <v>12.7</v>
      </c>
      <c r="Z40" s="57">
        <v>26.3</v>
      </c>
      <c r="AA40" s="56">
        <v>773</v>
      </c>
      <c r="AB40" s="355"/>
    </row>
    <row r="41" spans="2:28" ht="14.5" x14ac:dyDescent="0.25">
      <c r="B41" s="45">
        <v>44702</v>
      </c>
      <c r="C41" s="3" t="s">
        <v>3</v>
      </c>
      <c r="D41" s="95" t="s">
        <v>27</v>
      </c>
      <c r="E41" s="3" t="s">
        <v>26</v>
      </c>
      <c r="F41" s="5" t="s">
        <v>0</v>
      </c>
      <c r="G41" s="61">
        <v>61.5</v>
      </c>
      <c r="H41" s="61">
        <v>5.71</v>
      </c>
      <c r="I41" s="61">
        <v>2.68</v>
      </c>
      <c r="J41" s="61">
        <v>12.1</v>
      </c>
      <c r="K41" s="66">
        <v>24.3</v>
      </c>
      <c r="L41" s="61">
        <v>811</v>
      </c>
      <c r="P41" s="355"/>
      <c r="Q41" s="45">
        <v>44697</v>
      </c>
      <c r="R41" s="3" t="s">
        <v>3</v>
      </c>
      <c r="S41" s="95" t="s">
        <v>2</v>
      </c>
      <c r="T41" s="3" t="s">
        <v>26</v>
      </c>
      <c r="U41" s="5" t="s">
        <v>0</v>
      </c>
      <c r="V41" s="61">
        <v>62.13</v>
      </c>
      <c r="W41" s="66">
        <v>4.9000000000000004</v>
      </c>
      <c r="X41" s="61">
        <v>2.4</v>
      </c>
      <c r="Y41" s="61">
        <v>14.3</v>
      </c>
      <c r="Z41" s="61">
        <v>25.2</v>
      </c>
      <c r="AA41" s="61">
        <v>777</v>
      </c>
      <c r="AB41" s="355"/>
    </row>
    <row r="42" spans="2:28" ht="14.5" x14ac:dyDescent="0.25">
      <c r="B42" s="45">
        <v>44703</v>
      </c>
      <c r="C42" s="3" t="s">
        <v>3</v>
      </c>
      <c r="D42" s="95" t="s">
        <v>27</v>
      </c>
      <c r="E42" s="3" t="s">
        <v>26</v>
      </c>
      <c r="F42" s="5" t="s">
        <v>0</v>
      </c>
      <c r="G42" s="61">
        <v>62.03</v>
      </c>
      <c r="H42" s="61">
        <v>5.23</v>
      </c>
      <c r="I42" s="61">
        <v>2.4</v>
      </c>
      <c r="J42" s="61">
        <v>15.3</v>
      </c>
      <c r="K42" s="61">
        <v>28.5</v>
      </c>
      <c r="L42" s="61">
        <v>816</v>
      </c>
      <c r="P42" s="355"/>
      <c r="Q42" s="45">
        <v>44697</v>
      </c>
      <c r="R42" s="3" t="s">
        <v>3</v>
      </c>
      <c r="S42" s="95" t="s">
        <v>2</v>
      </c>
      <c r="T42" s="3" t="s">
        <v>26</v>
      </c>
      <c r="U42" s="5" t="s">
        <v>0</v>
      </c>
      <c r="V42" s="61">
        <v>61.28</v>
      </c>
      <c r="W42" s="61">
        <v>6.16</v>
      </c>
      <c r="X42" s="61">
        <v>2.5499999999999998</v>
      </c>
      <c r="Y42" s="61">
        <v>9.5</v>
      </c>
      <c r="Z42" s="61">
        <v>29.7</v>
      </c>
      <c r="AA42" s="61">
        <v>783</v>
      </c>
      <c r="AB42" s="355"/>
    </row>
    <row r="43" spans="2:28" ht="14.5" x14ac:dyDescent="0.25">
      <c r="B43" s="45">
        <v>44704</v>
      </c>
      <c r="C43" s="3" t="s">
        <v>3</v>
      </c>
      <c r="D43" s="95" t="s">
        <v>27</v>
      </c>
      <c r="E43" s="3" t="s">
        <v>26</v>
      </c>
      <c r="F43" s="5" t="s">
        <v>0</v>
      </c>
      <c r="G43" s="61">
        <v>61.69</v>
      </c>
      <c r="H43" s="61">
        <v>5.65</v>
      </c>
      <c r="I43" s="61">
        <v>2.38</v>
      </c>
      <c r="J43" s="61">
        <v>14.3</v>
      </c>
      <c r="K43" s="61">
        <v>27.2</v>
      </c>
      <c r="L43" s="61">
        <v>820</v>
      </c>
      <c r="P43" s="355"/>
      <c r="Q43" s="45">
        <v>44699</v>
      </c>
      <c r="R43" s="3" t="s">
        <v>3</v>
      </c>
      <c r="S43" s="95" t="s">
        <v>2</v>
      </c>
      <c r="T43" s="3" t="s">
        <v>26</v>
      </c>
      <c r="U43" s="5" t="s">
        <v>0</v>
      </c>
      <c r="V43" s="61">
        <v>61.29</v>
      </c>
      <c r="W43" s="61">
        <v>5.9</v>
      </c>
      <c r="X43" s="61">
        <v>2.71</v>
      </c>
      <c r="Y43" s="61">
        <v>15.2</v>
      </c>
      <c r="Z43" s="61">
        <v>26.3</v>
      </c>
      <c r="AA43" s="61">
        <v>790</v>
      </c>
      <c r="AB43" s="355"/>
    </row>
    <row r="44" spans="2:28" ht="14.5" x14ac:dyDescent="0.25">
      <c r="B44" s="45">
        <v>44707</v>
      </c>
      <c r="C44" s="3" t="s">
        <v>3</v>
      </c>
      <c r="D44" s="95" t="s">
        <v>27</v>
      </c>
      <c r="E44" s="3" t="s">
        <v>26</v>
      </c>
      <c r="F44" s="5" t="s">
        <v>0</v>
      </c>
      <c r="G44" s="61">
        <v>62.2</v>
      </c>
      <c r="H44" s="61">
        <v>4.8600000000000003</v>
      </c>
      <c r="I44" s="61">
        <v>2.54</v>
      </c>
      <c r="J44" s="61">
        <v>16.100000000000001</v>
      </c>
      <c r="K44" s="66">
        <v>26.5</v>
      </c>
      <c r="L44" s="61">
        <v>831</v>
      </c>
      <c r="P44" s="355"/>
      <c r="Q44" s="45">
        <v>44699</v>
      </c>
      <c r="R44" s="3" t="s">
        <v>3</v>
      </c>
      <c r="S44" s="95" t="s">
        <v>2</v>
      </c>
      <c r="T44" s="3" t="s">
        <v>26</v>
      </c>
      <c r="U44" s="5" t="s">
        <v>0</v>
      </c>
      <c r="V44" s="61">
        <v>60.55</v>
      </c>
      <c r="W44" s="61">
        <v>6.88</v>
      </c>
      <c r="X44" s="61">
        <v>2.87</v>
      </c>
      <c r="Y44" s="61">
        <v>13.7</v>
      </c>
      <c r="Z44" s="61">
        <v>22.2</v>
      </c>
      <c r="AA44" s="61">
        <v>795</v>
      </c>
      <c r="AB44" s="355"/>
    </row>
    <row r="45" spans="2:28" ht="14.5" x14ac:dyDescent="0.25">
      <c r="B45" s="45">
        <v>44707</v>
      </c>
      <c r="C45" s="3" t="s">
        <v>3</v>
      </c>
      <c r="D45" s="95" t="s">
        <v>27</v>
      </c>
      <c r="E45" s="3" t="s">
        <v>26</v>
      </c>
      <c r="F45" s="5" t="s">
        <v>0</v>
      </c>
      <c r="G45" s="61">
        <v>62.77</v>
      </c>
      <c r="H45" s="66">
        <v>3.53</v>
      </c>
      <c r="I45" s="61">
        <v>2.86</v>
      </c>
      <c r="J45" s="61">
        <v>15.4</v>
      </c>
      <c r="K45" s="49">
        <v>27.7</v>
      </c>
      <c r="L45" s="61">
        <v>835</v>
      </c>
      <c r="P45" s="355"/>
      <c r="Q45" s="45">
        <v>44700</v>
      </c>
      <c r="R45" s="3" t="s">
        <v>3</v>
      </c>
      <c r="S45" s="95" t="s">
        <v>2</v>
      </c>
      <c r="T45" s="3" t="s">
        <v>26</v>
      </c>
      <c r="U45" s="5" t="s">
        <v>0</v>
      </c>
      <c r="V45" s="61">
        <v>62.21</v>
      </c>
      <c r="W45" s="61">
        <v>4.93</v>
      </c>
      <c r="X45" s="61">
        <v>2.46</v>
      </c>
      <c r="Y45" s="61">
        <v>10.7</v>
      </c>
      <c r="Z45" s="61">
        <v>22.2</v>
      </c>
      <c r="AA45" s="61">
        <v>800</v>
      </c>
      <c r="AB45" s="355"/>
    </row>
    <row r="46" spans="2:28" ht="14.5" x14ac:dyDescent="0.35">
      <c r="B46" s="82">
        <v>44708</v>
      </c>
      <c r="C46" s="3" t="s">
        <v>3</v>
      </c>
      <c r="D46" s="95" t="s">
        <v>27</v>
      </c>
      <c r="E46" s="3" t="s">
        <v>26</v>
      </c>
      <c r="F46" s="5" t="s">
        <v>0</v>
      </c>
      <c r="G46" s="57">
        <v>62.83</v>
      </c>
      <c r="H46" s="56">
        <v>3.47</v>
      </c>
      <c r="I46" s="57">
        <v>2.84</v>
      </c>
      <c r="J46" s="57">
        <v>12.4</v>
      </c>
      <c r="K46" s="70">
        <v>25.6</v>
      </c>
      <c r="L46" s="58">
        <v>840</v>
      </c>
      <c r="P46" s="355"/>
      <c r="Q46" s="45">
        <v>44701</v>
      </c>
      <c r="R46" s="3" t="s">
        <v>3</v>
      </c>
      <c r="S46" s="95" t="s">
        <v>2</v>
      </c>
      <c r="T46" s="3" t="s">
        <v>26</v>
      </c>
      <c r="U46" s="5" t="s">
        <v>0</v>
      </c>
      <c r="V46" s="61">
        <v>62.45</v>
      </c>
      <c r="W46" s="61">
        <v>4.55</v>
      </c>
      <c r="X46" s="61">
        <v>2.4900000000000002</v>
      </c>
      <c r="Y46" s="61">
        <v>18.399999999999999</v>
      </c>
      <c r="Z46" s="61">
        <v>24.5</v>
      </c>
      <c r="AA46" s="61">
        <v>804</v>
      </c>
      <c r="AB46" s="355"/>
    </row>
    <row r="47" spans="2:28" ht="14.5" x14ac:dyDescent="0.35">
      <c r="B47" s="83">
        <v>44710</v>
      </c>
      <c r="C47" s="3" t="s">
        <v>3</v>
      </c>
      <c r="D47" s="95" t="s">
        <v>27</v>
      </c>
      <c r="E47" s="3" t="s">
        <v>26</v>
      </c>
      <c r="F47" s="5" t="s">
        <v>0</v>
      </c>
      <c r="G47" s="57">
        <v>62.87</v>
      </c>
      <c r="H47" s="56">
        <v>3.6</v>
      </c>
      <c r="I47" s="57">
        <v>2.7</v>
      </c>
      <c r="J47" s="57">
        <v>12.7</v>
      </c>
      <c r="K47" s="57">
        <v>24.3</v>
      </c>
      <c r="L47" s="56">
        <v>846</v>
      </c>
      <c r="P47" s="355"/>
      <c r="Q47" s="45">
        <v>44702</v>
      </c>
      <c r="R47" s="3" t="s">
        <v>3</v>
      </c>
      <c r="S47" s="95" t="s">
        <v>2</v>
      </c>
      <c r="T47" s="3" t="s">
        <v>26</v>
      </c>
      <c r="U47" s="5" t="s">
        <v>0</v>
      </c>
      <c r="V47" s="61">
        <v>61.83</v>
      </c>
      <c r="W47" s="66">
        <v>4.96</v>
      </c>
      <c r="X47" s="61">
        <v>2.87</v>
      </c>
      <c r="Y47" s="61">
        <v>12.2</v>
      </c>
      <c r="Z47" s="61">
        <v>23.3</v>
      </c>
      <c r="AA47" s="61">
        <v>808</v>
      </c>
      <c r="AB47" s="355"/>
    </row>
    <row r="48" spans="2:28" ht="14.5" x14ac:dyDescent="0.35">
      <c r="B48" s="83">
        <v>44711</v>
      </c>
      <c r="C48" s="3" t="s">
        <v>3</v>
      </c>
      <c r="D48" s="95" t="s">
        <v>27</v>
      </c>
      <c r="E48" s="3" t="s">
        <v>26</v>
      </c>
      <c r="F48" s="5" t="s">
        <v>0</v>
      </c>
      <c r="G48" s="57">
        <v>61.85</v>
      </c>
      <c r="H48" s="56">
        <v>5.41</v>
      </c>
      <c r="I48" s="57">
        <v>2.4900000000000002</v>
      </c>
      <c r="J48" s="57">
        <v>7.3</v>
      </c>
      <c r="K48" s="57">
        <v>36.200000000000003</v>
      </c>
      <c r="L48" s="56">
        <v>855</v>
      </c>
      <c r="P48" s="355"/>
      <c r="Q48" s="45">
        <v>44704</v>
      </c>
      <c r="R48" s="3" t="s">
        <v>3</v>
      </c>
      <c r="S48" s="95" t="s">
        <v>2</v>
      </c>
      <c r="T48" s="3" t="s">
        <v>26</v>
      </c>
      <c r="U48" s="5" t="s">
        <v>0</v>
      </c>
      <c r="V48" s="61">
        <v>62.24</v>
      </c>
      <c r="W48" s="66">
        <v>4.57</v>
      </c>
      <c r="X48" s="61">
        <v>2.62</v>
      </c>
      <c r="Y48" s="61">
        <v>13.1</v>
      </c>
      <c r="Z48" s="61">
        <v>26.4</v>
      </c>
      <c r="AA48" s="61">
        <v>817</v>
      </c>
      <c r="AB48" s="355"/>
    </row>
    <row r="49" spans="2:28" ht="14.5" x14ac:dyDescent="0.35">
      <c r="B49" s="83">
        <v>44682</v>
      </c>
      <c r="C49" s="3" t="s">
        <v>3</v>
      </c>
      <c r="D49" s="95" t="s">
        <v>27</v>
      </c>
      <c r="E49" s="3" t="s">
        <v>26</v>
      </c>
      <c r="F49" s="5" t="s">
        <v>1</v>
      </c>
      <c r="G49" s="57">
        <v>61.75</v>
      </c>
      <c r="H49" s="57">
        <v>4.8099999999999996</v>
      </c>
      <c r="I49" s="57">
        <v>3.21</v>
      </c>
      <c r="J49" s="56">
        <v>4.8</v>
      </c>
      <c r="K49" s="70">
        <v>45.4</v>
      </c>
      <c r="L49" s="56">
        <v>851</v>
      </c>
      <c r="P49" s="355"/>
      <c r="Q49" s="45">
        <v>44704</v>
      </c>
      <c r="R49" s="3" t="s">
        <v>3</v>
      </c>
      <c r="S49" s="95" t="s">
        <v>2</v>
      </c>
      <c r="T49" s="3" t="s">
        <v>26</v>
      </c>
      <c r="U49" s="5" t="s">
        <v>0</v>
      </c>
      <c r="V49" s="61">
        <v>61.35</v>
      </c>
      <c r="W49" s="61">
        <v>6.13</v>
      </c>
      <c r="X49" s="61">
        <v>2.4</v>
      </c>
      <c r="Y49" s="61">
        <v>10.5</v>
      </c>
      <c r="Z49" s="61">
        <v>30.3</v>
      </c>
      <c r="AA49" s="61">
        <v>819</v>
      </c>
      <c r="AB49" s="355"/>
    </row>
    <row r="50" spans="2:28" ht="14.5" x14ac:dyDescent="0.35">
      <c r="B50" s="82">
        <v>44683</v>
      </c>
      <c r="C50" s="3" t="s">
        <v>3</v>
      </c>
      <c r="D50" s="95" t="s">
        <v>27</v>
      </c>
      <c r="E50" s="3" t="s">
        <v>26</v>
      </c>
      <c r="F50" s="5" t="s">
        <v>1</v>
      </c>
      <c r="G50" s="59">
        <v>61.97</v>
      </c>
      <c r="H50" s="59">
        <v>4.5599999999999996</v>
      </c>
      <c r="I50" s="59">
        <v>3.16</v>
      </c>
      <c r="J50" s="58">
        <v>5.5</v>
      </c>
      <c r="K50" s="59">
        <v>46.1</v>
      </c>
      <c r="L50" s="58">
        <v>702</v>
      </c>
      <c r="P50" s="355"/>
      <c r="Q50" s="45">
        <v>44705</v>
      </c>
      <c r="R50" s="3" t="s">
        <v>3</v>
      </c>
      <c r="S50" s="95" t="s">
        <v>2</v>
      </c>
      <c r="T50" s="3" t="s">
        <v>26</v>
      </c>
      <c r="U50" s="5" t="s">
        <v>0</v>
      </c>
      <c r="V50" s="61">
        <v>61.37</v>
      </c>
      <c r="W50" s="61">
        <v>5.68</v>
      </c>
      <c r="X50" s="66">
        <v>2.91</v>
      </c>
      <c r="Y50" s="61">
        <v>15.2</v>
      </c>
      <c r="Z50" s="61">
        <v>25.5</v>
      </c>
      <c r="AA50" s="61">
        <v>821</v>
      </c>
      <c r="AB50" s="355"/>
    </row>
    <row r="51" spans="2:28" ht="14.5" x14ac:dyDescent="0.35">
      <c r="B51" s="82">
        <v>44685</v>
      </c>
      <c r="C51" s="3" t="s">
        <v>3</v>
      </c>
      <c r="D51" s="95" t="s">
        <v>27</v>
      </c>
      <c r="E51" s="3" t="s">
        <v>26</v>
      </c>
      <c r="F51" s="5" t="s">
        <v>1</v>
      </c>
      <c r="G51" s="59">
        <v>62.09</v>
      </c>
      <c r="H51" s="59">
        <v>4.72</v>
      </c>
      <c r="I51" s="59">
        <v>2.74</v>
      </c>
      <c r="J51" s="58">
        <v>6.3</v>
      </c>
      <c r="K51" s="59">
        <v>44</v>
      </c>
      <c r="L51" s="58">
        <v>712</v>
      </c>
      <c r="P51" s="355"/>
      <c r="Q51" s="45">
        <v>44707</v>
      </c>
      <c r="R51" s="3" t="s">
        <v>3</v>
      </c>
      <c r="S51" s="95" t="s">
        <v>2</v>
      </c>
      <c r="T51" s="3" t="s">
        <v>26</v>
      </c>
      <c r="U51" s="5" t="s">
        <v>0</v>
      </c>
      <c r="V51" s="61">
        <v>62.28</v>
      </c>
      <c r="W51" s="61">
        <v>4.3</v>
      </c>
      <c r="X51" s="61">
        <v>2.89</v>
      </c>
      <c r="Y51" s="61">
        <v>13.2</v>
      </c>
      <c r="Z51" s="61">
        <v>31.5</v>
      </c>
      <c r="AA51" s="61">
        <v>833</v>
      </c>
      <c r="AB51" s="355"/>
    </row>
    <row r="52" spans="2:28" ht="14.5" x14ac:dyDescent="0.35">
      <c r="B52" s="83">
        <v>44685</v>
      </c>
      <c r="C52" s="3" t="s">
        <v>3</v>
      </c>
      <c r="D52" s="95" t="s">
        <v>27</v>
      </c>
      <c r="E52" s="3" t="s">
        <v>26</v>
      </c>
      <c r="F52" s="5" t="s">
        <v>1</v>
      </c>
      <c r="G52" s="57">
        <v>61.2</v>
      </c>
      <c r="H52" s="57">
        <v>5.86</v>
      </c>
      <c r="I52" s="57">
        <v>3.07</v>
      </c>
      <c r="J52" s="56">
        <v>7.1</v>
      </c>
      <c r="K52" s="70">
        <v>45.2</v>
      </c>
      <c r="L52" s="56">
        <v>715</v>
      </c>
      <c r="P52" s="355"/>
      <c r="Q52" s="45">
        <v>44708</v>
      </c>
      <c r="R52" s="3" t="s">
        <v>3</v>
      </c>
      <c r="S52" s="95" t="s">
        <v>2</v>
      </c>
      <c r="T52" s="3" t="s">
        <v>26</v>
      </c>
      <c r="U52" s="5" t="s">
        <v>0</v>
      </c>
      <c r="V52" s="61">
        <v>60.78</v>
      </c>
      <c r="W52" s="61">
        <v>7.12</v>
      </c>
      <c r="X52" s="66">
        <v>2.3199999999999998</v>
      </c>
      <c r="Y52" s="61">
        <v>14.1</v>
      </c>
      <c r="Z52" s="61">
        <v>29.5</v>
      </c>
      <c r="AA52" s="61">
        <v>838</v>
      </c>
      <c r="AB52" s="355"/>
    </row>
    <row r="53" spans="2:28" ht="14.5" x14ac:dyDescent="0.35">
      <c r="B53" s="83">
        <v>44687</v>
      </c>
      <c r="C53" s="3" t="s">
        <v>3</v>
      </c>
      <c r="D53" s="95" t="s">
        <v>27</v>
      </c>
      <c r="E53" s="3" t="s">
        <v>26</v>
      </c>
      <c r="F53" s="5" t="s">
        <v>1</v>
      </c>
      <c r="G53" s="57">
        <v>62.01</v>
      </c>
      <c r="H53" s="57">
        <v>4.7</v>
      </c>
      <c r="I53" s="57">
        <v>2.96</v>
      </c>
      <c r="J53" s="56">
        <v>5.4</v>
      </c>
      <c r="K53" s="57">
        <v>42.1</v>
      </c>
      <c r="L53" s="56">
        <v>728</v>
      </c>
      <c r="P53" s="355"/>
      <c r="Q53" s="45">
        <v>44709</v>
      </c>
      <c r="R53" s="3" t="s">
        <v>3</v>
      </c>
      <c r="S53" s="95" t="s">
        <v>2</v>
      </c>
      <c r="T53" s="3" t="s">
        <v>26</v>
      </c>
      <c r="U53" s="5" t="s">
        <v>0</v>
      </c>
      <c r="V53" s="61">
        <v>61.97</v>
      </c>
      <c r="W53" s="61">
        <v>4.74</v>
      </c>
      <c r="X53" s="66">
        <v>2.85</v>
      </c>
      <c r="Y53" s="61">
        <v>16.3</v>
      </c>
      <c r="Z53" s="61">
        <v>28.5</v>
      </c>
      <c r="AA53" s="61">
        <v>843</v>
      </c>
      <c r="AB53" s="355"/>
    </row>
    <row r="54" spans="2:28" ht="14.5" x14ac:dyDescent="0.35">
      <c r="B54" s="83">
        <v>44688</v>
      </c>
      <c r="C54" s="3" t="s">
        <v>3</v>
      </c>
      <c r="D54" s="95" t="s">
        <v>27</v>
      </c>
      <c r="E54" s="3" t="s">
        <v>26</v>
      </c>
      <c r="F54" s="5" t="s">
        <v>1</v>
      </c>
      <c r="G54" s="57">
        <v>61.86</v>
      </c>
      <c r="H54" s="57">
        <v>4.8899999999999997</v>
      </c>
      <c r="I54" s="57">
        <v>2.9</v>
      </c>
      <c r="J54" s="56">
        <v>4.5999999999999996</v>
      </c>
      <c r="K54" s="70">
        <v>45.4</v>
      </c>
      <c r="L54" s="56">
        <v>723</v>
      </c>
      <c r="P54" s="355"/>
      <c r="Q54" s="45">
        <v>44710</v>
      </c>
      <c r="R54" s="3" t="s">
        <v>3</v>
      </c>
      <c r="S54" s="95" t="s">
        <v>2</v>
      </c>
      <c r="T54" s="3" t="s">
        <v>26</v>
      </c>
      <c r="U54" s="5" t="s">
        <v>0</v>
      </c>
      <c r="V54" s="68">
        <v>62.03</v>
      </c>
      <c r="W54" s="68">
        <v>4.84</v>
      </c>
      <c r="X54" s="69">
        <v>2.6</v>
      </c>
      <c r="Y54" s="68">
        <v>9.6999999999999993</v>
      </c>
      <c r="Z54" s="68">
        <v>34.200000000000003</v>
      </c>
      <c r="AA54" s="61">
        <v>847</v>
      </c>
      <c r="AB54" s="355"/>
    </row>
    <row r="55" spans="2:28" ht="14.5" x14ac:dyDescent="0.35">
      <c r="B55" s="82">
        <v>44688</v>
      </c>
      <c r="C55" s="3" t="s">
        <v>3</v>
      </c>
      <c r="D55" s="95" t="s">
        <v>27</v>
      </c>
      <c r="E55" s="3" t="s">
        <v>26</v>
      </c>
      <c r="F55" s="5" t="s">
        <v>1</v>
      </c>
      <c r="G55" s="59">
        <v>62.16</v>
      </c>
      <c r="H55" s="59">
        <v>4.8</v>
      </c>
      <c r="I55" s="59">
        <v>2.76</v>
      </c>
      <c r="J55" s="58">
        <v>5.3</v>
      </c>
      <c r="K55" s="59">
        <v>44.2</v>
      </c>
      <c r="L55" s="58">
        <v>732</v>
      </c>
      <c r="P55" s="355"/>
      <c r="Q55" s="45">
        <v>44712</v>
      </c>
      <c r="R55" s="3" t="s">
        <v>3</v>
      </c>
      <c r="S55" s="95" t="s">
        <v>2</v>
      </c>
      <c r="T55" s="3" t="s">
        <v>26</v>
      </c>
      <c r="U55" s="5" t="s">
        <v>0</v>
      </c>
      <c r="V55" s="68">
        <v>62.45</v>
      </c>
      <c r="W55" s="68">
        <v>4.13</v>
      </c>
      <c r="X55" s="69">
        <v>2.81</v>
      </c>
      <c r="Y55" s="68">
        <v>11.4</v>
      </c>
      <c r="Z55" s="68">
        <v>28.4</v>
      </c>
      <c r="AA55" s="61">
        <v>854</v>
      </c>
      <c r="AB55" s="355"/>
    </row>
    <row r="56" spans="2:28" ht="14.5" x14ac:dyDescent="0.35">
      <c r="B56" s="83">
        <v>44690</v>
      </c>
      <c r="C56" s="3" t="s">
        <v>3</v>
      </c>
      <c r="D56" s="95" t="s">
        <v>27</v>
      </c>
      <c r="E56" s="3" t="s">
        <v>26</v>
      </c>
      <c r="F56" s="5" t="s">
        <v>1</v>
      </c>
      <c r="G56" s="57">
        <v>62.1</v>
      </c>
      <c r="H56" s="57">
        <v>4.7699999999999996</v>
      </c>
      <c r="I56" s="57">
        <v>2.77</v>
      </c>
      <c r="J56" s="57">
        <v>0</v>
      </c>
      <c r="K56" s="70">
        <v>0</v>
      </c>
      <c r="L56" s="51">
        <v>742</v>
      </c>
      <c r="P56" s="355"/>
      <c r="Q56" s="86">
        <v>44695</v>
      </c>
      <c r="R56" s="3" t="s">
        <v>3</v>
      </c>
      <c r="S56" s="95" t="s">
        <v>9</v>
      </c>
      <c r="T56" s="3" t="s">
        <v>26</v>
      </c>
      <c r="U56" s="5" t="s">
        <v>0</v>
      </c>
      <c r="V56" s="60">
        <v>62.36</v>
      </c>
      <c r="W56" s="60">
        <v>3.42</v>
      </c>
      <c r="X56" s="60">
        <v>3.75</v>
      </c>
      <c r="Y56" s="60">
        <v>13.2</v>
      </c>
      <c r="Z56" s="60">
        <v>25.7</v>
      </c>
      <c r="AA56" s="60" t="s">
        <v>227</v>
      </c>
      <c r="AB56" s="355"/>
    </row>
    <row r="57" spans="2:28" ht="14.5" x14ac:dyDescent="0.35">
      <c r="B57" s="83">
        <v>44693</v>
      </c>
      <c r="C57" s="3" t="s">
        <v>3</v>
      </c>
      <c r="D57" s="95" t="s">
        <v>27</v>
      </c>
      <c r="E57" s="3" t="s">
        <v>26</v>
      </c>
      <c r="F57" s="5" t="s">
        <v>1</v>
      </c>
      <c r="G57" s="57">
        <v>61.7</v>
      </c>
      <c r="H57" s="70">
        <v>5.12</v>
      </c>
      <c r="I57" s="57">
        <v>3.1</v>
      </c>
      <c r="J57" s="57">
        <v>7.2</v>
      </c>
      <c r="K57" s="57">
        <v>44.5</v>
      </c>
      <c r="L57" s="56">
        <v>760</v>
      </c>
      <c r="P57" s="355"/>
      <c r="Q57" s="86">
        <v>44695</v>
      </c>
      <c r="R57" s="3" t="s">
        <v>3</v>
      </c>
      <c r="S57" s="95" t="s">
        <v>9</v>
      </c>
      <c r="T57" s="3" t="s">
        <v>26</v>
      </c>
      <c r="U57" s="5" t="s">
        <v>0</v>
      </c>
      <c r="V57" s="60">
        <v>62.59</v>
      </c>
      <c r="W57" s="60">
        <v>3.36</v>
      </c>
      <c r="X57" s="60">
        <v>3.48</v>
      </c>
      <c r="Y57" s="60">
        <v>11.3</v>
      </c>
      <c r="Z57" s="60">
        <v>29.5</v>
      </c>
      <c r="AA57" s="60" t="s">
        <v>228</v>
      </c>
      <c r="AB57" s="355"/>
    </row>
    <row r="58" spans="2:28" ht="14.5" x14ac:dyDescent="0.35">
      <c r="B58" s="83">
        <v>44694</v>
      </c>
      <c r="C58" s="3" t="s">
        <v>3</v>
      </c>
      <c r="D58" s="95" t="s">
        <v>27</v>
      </c>
      <c r="E58" s="3" t="s">
        <v>26</v>
      </c>
      <c r="F58" s="5" t="s">
        <v>1</v>
      </c>
      <c r="G58" s="57">
        <v>61.9</v>
      </c>
      <c r="H58" s="57">
        <v>4.84</v>
      </c>
      <c r="I58" s="57">
        <v>2.88</v>
      </c>
      <c r="J58" s="56">
        <v>5.3</v>
      </c>
      <c r="K58" s="70">
        <v>41.4</v>
      </c>
      <c r="L58" s="56">
        <v>765</v>
      </c>
      <c r="P58" s="355"/>
      <c r="Q58" s="86">
        <v>44701</v>
      </c>
      <c r="R58" s="3" t="s">
        <v>3</v>
      </c>
      <c r="S58" s="95" t="s">
        <v>9</v>
      </c>
      <c r="T58" s="3" t="s">
        <v>26</v>
      </c>
      <c r="U58" s="5" t="s">
        <v>0</v>
      </c>
      <c r="V58" s="60">
        <v>62.62</v>
      </c>
      <c r="W58" s="79">
        <v>3.7</v>
      </c>
      <c r="X58" s="60">
        <v>2.9</v>
      </c>
      <c r="Y58" s="60">
        <v>10.5</v>
      </c>
      <c r="Z58" s="60">
        <v>30.2</v>
      </c>
      <c r="AA58" s="60" t="s">
        <v>229</v>
      </c>
      <c r="AB58" s="355"/>
    </row>
    <row r="59" spans="2:28" ht="15.5" x14ac:dyDescent="0.35">
      <c r="B59" s="82">
        <v>44695</v>
      </c>
      <c r="C59" s="3" t="s">
        <v>3</v>
      </c>
      <c r="D59" s="95" t="s">
        <v>27</v>
      </c>
      <c r="E59" s="3" t="s">
        <v>26</v>
      </c>
      <c r="F59" s="5" t="s">
        <v>1</v>
      </c>
      <c r="G59" s="57">
        <v>61.34</v>
      </c>
      <c r="H59" s="57">
        <v>5.65</v>
      </c>
      <c r="I59" s="57">
        <v>3.09</v>
      </c>
      <c r="J59" s="56">
        <v>0</v>
      </c>
      <c r="K59" s="70">
        <v>0</v>
      </c>
      <c r="L59" s="58">
        <v>771</v>
      </c>
      <c r="P59" s="355"/>
      <c r="Q59" s="84">
        <v>44682</v>
      </c>
      <c r="R59" s="3" t="s">
        <v>3</v>
      </c>
      <c r="S59" s="95" t="s">
        <v>11</v>
      </c>
      <c r="T59" s="3" t="s">
        <v>26</v>
      </c>
      <c r="U59" s="5" t="s">
        <v>0</v>
      </c>
      <c r="V59" s="75">
        <v>63.11</v>
      </c>
      <c r="W59" s="76">
        <v>3.46</v>
      </c>
      <c r="X59" s="75">
        <v>2.62</v>
      </c>
      <c r="Y59" s="75">
        <v>10.5</v>
      </c>
      <c r="Z59" s="75">
        <v>28.3</v>
      </c>
      <c r="AA59" s="355" t="s">
        <v>227</v>
      </c>
      <c r="AB59" s="355"/>
    </row>
    <row r="60" spans="2:28" ht="15.5" x14ac:dyDescent="0.35">
      <c r="B60" s="82">
        <v>44696</v>
      </c>
      <c r="C60" s="3" t="s">
        <v>3</v>
      </c>
      <c r="D60" s="95" t="s">
        <v>27</v>
      </c>
      <c r="E60" s="3" t="s">
        <v>26</v>
      </c>
      <c r="F60" s="5" t="s">
        <v>1</v>
      </c>
      <c r="G60" s="59">
        <v>62.06</v>
      </c>
      <c r="H60" s="59">
        <v>5.08</v>
      </c>
      <c r="I60" s="59">
        <v>2.63</v>
      </c>
      <c r="J60" s="58">
        <v>6.1</v>
      </c>
      <c r="K60" s="50">
        <v>46.1</v>
      </c>
      <c r="L60" s="77">
        <v>776</v>
      </c>
      <c r="P60" s="355"/>
      <c r="Q60" s="92">
        <v>44684</v>
      </c>
      <c r="R60" s="3" t="s">
        <v>3</v>
      </c>
      <c r="S60" s="95" t="s">
        <v>11</v>
      </c>
      <c r="T60" s="3" t="s">
        <v>26</v>
      </c>
      <c r="U60" s="5" t="s">
        <v>0</v>
      </c>
      <c r="V60" s="77">
        <v>62.34</v>
      </c>
      <c r="W60" s="78">
        <v>4.38</v>
      </c>
      <c r="X60" s="77">
        <v>2.82</v>
      </c>
      <c r="Y60" s="77">
        <v>15.2</v>
      </c>
      <c r="Z60" s="77">
        <v>27.5</v>
      </c>
      <c r="AA60" s="355" t="s">
        <v>228</v>
      </c>
      <c r="AB60" s="355"/>
    </row>
    <row r="61" spans="2:28" ht="15.5" x14ac:dyDescent="0.25">
      <c r="B61" s="84">
        <v>44697</v>
      </c>
      <c r="C61" s="3" t="s">
        <v>3</v>
      </c>
      <c r="D61" s="95" t="s">
        <v>27</v>
      </c>
      <c r="E61" s="3" t="s">
        <v>26</v>
      </c>
      <c r="F61" s="5" t="s">
        <v>1</v>
      </c>
      <c r="G61" s="75">
        <v>61.59</v>
      </c>
      <c r="H61" s="75">
        <v>5.1100000000000003</v>
      </c>
      <c r="I61" s="75">
        <v>3.15</v>
      </c>
      <c r="J61" s="75">
        <v>4.9000000000000004</v>
      </c>
      <c r="K61" s="75">
        <v>40.4</v>
      </c>
      <c r="L61" s="75">
        <v>782</v>
      </c>
      <c r="P61" s="355"/>
      <c r="Q61" s="84">
        <v>44684</v>
      </c>
      <c r="R61" s="3" t="s">
        <v>3</v>
      </c>
      <c r="S61" s="95" t="s">
        <v>11</v>
      </c>
      <c r="T61" s="3" t="s">
        <v>26</v>
      </c>
      <c r="U61" s="5" t="s">
        <v>0</v>
      </c>
      <c r="V61" s="76">
        <v>62.51</v>
      </c>
      <c r="W61" s="76">
        <v>4.4000000000000004</v>
      </c>
      <c r="X61" s="75">
        <v>2.5499999999999998</v>
      </c>
      <c r="Y61" s="75">
        <v>11.5</v>
      </c>
      <c r="Z61" s="75">
        <v>24.4</v>
      </c>
      <c r="AA61" s="355" t="s">
        <v>229</v>
      </c>
      <c r="AB61" s="355"/>
    </row>
    <row r="62" spans="2:28" ht="15.5" x14ac:dyDescent="0.35">
      <c r="B62" s="84">
        <v>44698</v>
      </c>
      <c r="C62" s="3" t="s">
        <v>3</v>
      </c>
      <c r="D62" s="95" t="s">
        <v>27</v>
      </c>
      <c r="E62" s="3" t="s">
        <v>26</v>
      </c>
      <c r="F62" s="5" t="s">
        <v>1</v>
      </c>
      <c r="G62" s="75">
        <v>61.73</v>
      </c>
      <c r="H62" s="75">
        <v>5.26</v>
      </c>
      <c r="I62" s="75">
        <v>2.92</v>
      </c>
      <c r="J62" s="75">
        <v>7.1</v>
      </c>
      <c r="K62" s="75">
        <v>43.3</v>
      </c>
      <c r="L62" s="75">
        <v>791</v>
      </c>
      <c r="P62" s="355"/>
      <c r="Q62" s="83">
        <v>44686</v>
      </c>
      <c r="R62" s="3" t="s">
        <v>3</v>
      </c>
      <c r="S62" s="95" t="s">
        <v>11</v>
      </c>
      <c r="T62" s="3" t="s">
        <v>26</v>
      </c>
      <c r="U62" s="5" t="s">
        <v>0</v>
      </c>
      <c r="V62" s="57">
        <v>62.81</v>
      </c>
      <c r="W62" s="57">
        <v>3.64</v>
      </c>
      <c r="X62" s="57">
        <v>2.89</v>
      </c>
      <c r="Y62" s="57">
        <v>15.3</v>
      </c>
      <c r="Z62" s="57">
        <v>25.5</v>
      </c>
      <c r="AA62" s="355" t="s">
        <v>230</v>
      </c>
      <c r="AB62" s="355"/>
    </row>
    <row r="63" spans="2:28" ht="14.5" x14ac:dyDescent="0.35">
      <c r="B63" s="85">
        <v>44702</v>
      </c>
      <c r="C63" s="3" t="s">
        <v>3</v>
      </c>
      <c r="D63" s="95" t="s">
        <v>27</v>
      </c>
      <c r="E63" s="3" t="s">
        <v>26</v>
      </c>
      <c r="F63" s="5" t="s">
        <v>1</v>
      </c>
      <c r="G63" s="65">
        <v>61.83</v>
      </c>
      <c r="H63" s="65">
        <v>5.37</v>
      </c>
      <c r="I63" s="65">
        <v>2.67</v>
      </c>
      <c r="J63" s="65">
        <v>5.7</v>
      </c>
      <c r="K63" s="57">
        <v>46.5</v>
      </c>
      <c r="L63" s="62">
        <v>810</v>
      </c>
      <c r="P63" s="355"/>
      <c r="Q63" s="82">
        <v>44687</v>
      </c>
      <c r="R63" s="3" t="s">
        <v>3</v>
      </c>
      <c r="S63" s="95" t="s">
        <v>11</v>
      </c>
      <c r="T63" s="3" t="s">
        <v>26</v>
      </c>
      <c r="U63" s="5" t="s">
        <v>0</v>
      </c>
      <c r="V63" s="59">
        <v>61.85</v>
      </c>
      <c r="W63" s="80">
        <v>4.8899999999999997</v>
      </c>
      <c r="X63" s="59">
        <v>3.03</v>
      </c>
      <c r="Y63" s="59">
        <v>16.3</v>
      </c>
      <c r="Z63" s="59">
        <v>26.2</v>
      </c>
      <c r="AA63" s="355" t="s">
        <v>231</v>
      </c>
      <c r="AB63" s="355"/>
    </row>
    <row r="64" spans="2:28" ht="14.5" x14ac:dyDescent="0.35">
      <c r="B64" s="83">
        <v>44710</v>
      </c>
      <c r="C64" s="3" t="s">
        <v>3</v>
      </c>
      <c r="D64" s="95" t="s">
        <v>27</v>
      </c>
      <c r="E64" s="3" t="s">
        <v>26</v>
      </c>
      <c r="F64" s="5" t="s">
        <v>1</v>
      </c>
      <c r="G64" s="57">
        <v>61.54</v>
      </c>
      <c r="H64" s="57">
        <v>5.13</v>
      </c>
      <c r="I64" s="57">
        <v>3.01</v>
      </c>
      <c r="J64" s="57">
        <v>6.1</v>
      </c>
      <c r="K64" s="57">
        <v>43.2</v>
      </c>
      <c r="L64" s="56">
        <v>848</v>
      </c>
      <c r="P64" s="355"/>
      <c r="Q64" s="86">
        <v>44688</v>
      </c>
      <c r="R64" s="3" t="s">
        <v>3</v>
      </c>
      <c r="S64" s="95" t="s">
        <v>11</v>
      </c>
      <c r="T64" s="3" t="s">
        <v>26</v>
      </c>
      <c r="U64" s="5" t="s">
        <v>0</v>
      </c>
      <c r="V64" s="60">
        <v>62.89</v>
      </c>
      <c r="W64" s="79">
        <v>3.4</v>
      </c>
      <c r="X64" s="60">
        <v>2.82</v>
      </c>
      <c r="Y64" s="60">
        <v>12.3</v>
      </c>
      <c r="Z64" s="60">
        <v>25.2</v>
      </c>
      <c r="AA64" s="355" t="s">
        <v>232</v>
      </c>
      <c r="AB64" s="355"/>
    </row>
    <row r="65" spans="2:28" ht="14.5" x14ac:dyDescent="0.35">
      <c r="B65" s="83">
        <v>44689</v>
      </c>
      <c r="C65" s="3" t="s">
        <v>3</v>
      </c>
      <c r="D65" s="95" t="s">
        <v>44</v>
      </c>
      <c r="E65" s="3" t="s">
        <v>26</v>
      </c>
      <c r="F65" s="5" t="s">
        <v>0</v>
      </c>
      <c r="G65" s="57">
        <v>63.5</v>
      </c>
      <c r="H65" s="57">
        <v>2.81</v>
      </c>
      <c r="I65" s="57">
        <v>2.4</v>
      </c>
      <c r="J65" s="57">
        <v>6.1</v>
      </c>
      <c r="K65" s="70">
        <v>9.6999999999999993</v>
      </c>
      <c r="L65" s="56" t="s">
        <v>227</v>
      </c>
      <c r="P65" s="355"/>
      <c r="Q65" s="86">
        <v>44689</v>
      </c>
      <c r="R65" s="3" t="s">
        <v>3</v>
      </c>
      <c r="S65" s="95" t="s">
        <v>11</v>
      </c>
      <c r="T65" s="3" t="s">
        <v>26</v>
      </c>
      <c r="U65" s="5" t="s">
        <v>0</v>
      </c>
      <c r="V65" s="79">
        <v>62.67</v>
      </c>
      <c r="W65" s="79">
        <v>3.57</v>
      </c>
      <c r="X65" s="60">
        <v>2.98</v>
      </c>
      <c r="Y65" s="60">
        <v>15.5</v>
      </c>
      <c r="Z65" s="60">
        <v>27.5</v>
      </c>
      <c r="AA65" s="355" t="s">
        <v>233</v>
      </c>
      <c r="AB65" s="355"/>
    </row>
    <row r="66" spans="2:28" ht="14.5" x14ac:dyDescent="0.35">
      <c r="B66" s="82">
        <v>44705</v>
      </c>
      <c r="C66" s="3" t="s">
        <v>3</v>
      </c>
      <c r="D66" s="95" t="s">
        <v>44</v>
      </c>
      <c r="E66" s="3" t="s">
        <v>26</v>
      </c>
      <c r="F66" s="5" t="s">
        <v>0</v>
      </c>
      <c r="G66" s="59">
        <v>63.7</v>
      </c>
      <c r="H66" s="59">
        <v>2.82</v>
      </c>
      <c r="I66" s="59">
        <v>2.14</v>
      </c>
      <c r="J66" s="59">
        <v>8.1999999999999993</v>
      </c>
      <c r="K66" s="80">
        <v>10.4</v>
      </c>
      <c r="L66" s="58" t="s">
        <v>228</v>
      </c>
      <c r="P66" s="355"/>
      <c r="Q66" s="6">
        <v>44693</v>
      </c>
      <c r="R66" s="3" t="s">
        <v>3</v>
      </c>
      <c r="S66" s="95" t="s">
        <v>11</v>
      </c>
      <c r="T66" s="3" t="s">
        <v>26</v>
      </c>
      <c r="U66" s="5" t="s">
        <v>0</v>
      </c>
      <c r="V66" s="27">
        <v>62.84</v>
      </c>
      <c r="W66" s="28">
        <v>3.44</v>
      </c>
      <c r="X66" s="31">
        <v>2.85</v>
      </c>
      <c r="Y66" s="27">
        <v>18.3</v>
      </c>
      <c r="Z66" s="26">
        <v>27.5</v>
      </c>
      <c r="AA66" s="355" t="s">
        <v>234</v>
      </c>
      <c r="AB66" s="355"/>
    </row>
    <row r="67" spans="2:28" ht="14.5" x14ac:dyDescent="0.35">
      <c r="B67" s="86">
        <v>44682</v>
      </c>
      <c r="C67" s="3" t="s">
        <v>3</v>
      </c>
      <c r="D67" s="95" t="s">
        <v>2</v>
      </c>
      <c r="E67" s="3" t="s">
        <v>26</v>
      </c>
      <c r="F67" s="5" t="s">
        <v>0</v>
      </c>
      <c r="G67" s="60">
        <v>61.8</v>
      </c>
      <c r="H67" s="60">
        <v>4.7300000000000004</v>
      </c>
      <c r="I67" s="60">
        <v>2.84</v>
      </c>
      <c r="J67" s="60">
        <v>8.5</v>
      </c>
      <c r="K67" s="60">
        <v>34.4</v>
      </c>
      <c r="L67" s="60">
        <v>850</v>
      </c>
      <c r="P67" s="355"/>
      <c r="Q67" s="33">
        <v>44694</v>
      </c>
      <c r="R67" s="3" t="s">
        <v>3</v>
      </c>
      <c r="S67" s="95" t="s">
        <v>11</v>
      </c>
      <c r="T67" s="3" t="s">
        <v>26</v>
      </c>
      <c r="U67" s="5" t="s">
        <v>0</v>
      </c>
      <c r="V67" s="25">
        <v>62.68</v>
      </c>
      <c r="W67" s="25">
        <v>3.82</v>
      </c>
      <c r="X67" s="29">
        <v>2.7</v>
      </c>
      <c r="Y67" s="25">
        <v>13.2</v>
      </c>
      <c r="Z67" s="24">
        <v>26.5</v>
      </c>
      <c r="AA67" s="355" t="s">
        <v>235</v>
      </c>
      <c r="AB67" s="355"/>
    </row>
    <row r="68" spans="2:28" ht="14.5" x14ac:dyDescent="0.35">
      <c r="B68" s="86">
        <v>44684</v>
      </c>
      <c r="C68" s="3" t="s">
        <v>3</v>
      </c>
      <c r="D68" s="95" t="s">
        <v>2</v>
      </c>
      <c r="E68" s="3" t="s">
        <v>26</v>
      </c>
      <c r="F68" s="5" t="s">
        <v>0</v>
      </c>
      <c r="G68" s="60">
        <v>60.5</v>
      </c>
      <c r="H68" s="79">
        <v>7.13</v>
      </c>
      <c r="I68" s="60">
        <v>2.71</v>
      </c>
      <c r="J68" s="60">
        <v>12.1</v>
      </c>
      <c r="K68" s="60">
        <v>30.7</v>
      </c>
      <c r="L68" s="60">
        <v>706</v>
      </c>
      <c r="P68" s="355"/>
      <c r="Q68" s="33">
        <v>44698</v>
      </c>
      <c r="R68" s="3" t="s">
        <v>3</v>
      </c>
      <c r="S68" s="95" t="s">
        <v>11</v>
      </c>
      <c r="T68" s="3" t="s">
        <v>26</v>
      </c>
      <c r="U68" s="5" t="s">
        <v>0</v>
      </c>
      <c r="V68" s="27">
        <v>62.57</v>
      </c>
      <c r="W68" s="28">
        <v>3.47</v>
      </c>
      <c r="X68" s="26">
        <v>3.19</v>
      </c>
      <c r="Y68" s="27">
        <v>12.3</v>
      </c>
      <c r="Z68" s="26">
        <v>23.5</v>
      </c>
      <c r="AA68" s="355" t="s">
        <v>236</v>
      </c>
      <c r="AB68" s="355"/>
    </row>
    <row r="69" spans="2:28" ht="14.5" x14ac:dyDescent="0.35">
      <c r="B69" s="86">
        <v>44684</v>
      </c>
      <c r="C69" s="3" t="s">
        <v>3</v>
      </c>
      <c r="D69" s="95" t="s">
        <v>2</v>
      </c>
      <c r="E69" s="3" t="s">
        <v>26</v>
      </c>
      <c r="F69" s="5" t="s">
        <v>0</v>
      </c>
      <c r="G69" s="60">
        <v>61.87</v>
      </c>
      <c r="H69" s="60">
        <v>4.95</v>
      </c>
      <c r="I69" s="60">
        <v>2.74</v>
      </c>
      <c r="J69" s="60">
        <v>13.7</v>
      </c>
      <c r="K69" s="79">
        <v>25.3</v>
      </c>
      <c r="L69" s="60">
        <v>708</v>
      </c>
      <c r="P69" s="355"/>
      <c r="Q69" s="6">
        <v>44700</v>
      </c>
      <c r="R69" s="3" t="s">
        <v>3</v>
      </c>
      <c r="S69" s="95" t="s">
        <v>11</v>
      </c>
      <c r="T69" s="3" t="s">
        <v>26</v>
      </c>
      <c r="U69" s="5" t="s">
        <v>0</v>
      </c>
      <c r="V69" s="24">
        <v>62.9</v>
      </c>
      <c r="W69" s="24">
        <v>3.28</v>
      </c>
      <c r="X69" s="24">
        <v>2.93</v>
      </c>
      <c r="Y69" s="24">
        <v>16.399999999999999</v>
      </c>
      <c r="Z69" s="24">
        <v>26.5</v>
      </c>
      <c r="AA69" s="355" t="s">
        <v>237</v>
      </c>
      <c r="AB69" s="355"/>
    </row>
    <row r="70" spans="2:28" ht="14.5" x14ac:dyDescent="0.35">
      <c r="B70" s="86">
        <v>44685</v>
      </c>
      <c r="C70" s="3" t="s">
        <v>3</v>
      </c>
      <c r="D70" s="95" t="s">
        <v>2</v>
      </c>
      <c r="E70" s="3" t="s">
        <v>26</v>
      </c>
      <c r="F70" s="5" t="s">
        <v>0</v>
      </c>
      <c r="G70" s="60">
        <v>61.4</v>
      </c>
      <c r="H70" s="60">
        <v>5.9</v>
      </c>
      <c r="I70" s="60">
        <v>2.65</v>
      </c>
      <c r="J70" s="60">
        <v>17.2</v>
      </c>
      <c r="K70" s="60">
        <v>24.5</v>
      </c>
      <c r="L70" s="60">
        <v>714</v>
      </c>
      <c r="P70" s="355"/>
      <c r="Q70" s="6">
        <v>44701</v>
      </c>
      <c r="R70" s="3" t="s">
        <v>3</v>
      </c>
      <c r="S70" s="95" t="s">
        <v>11</v>
      </c>
      <c r="T70" s="3" t="s">
        <v>26</v>
      </c>
      <c r="U70" s="5" t="s">
        <v>0</v>
      </c>
      <c r="V70" s="24">
        <v>62.69</v>
      </c>
      <c r="W70" s="24">
        <v>3.34</v>
      </c>
      <c r="X70" s="24">
        <v>3.14</v>
      </c>
      <c r="Y70" s="32">
        <v>14.5</v>
      </c>
      <c r="Z70" s="24">
        <v>29.2</v>
      </c>
      <c r="AA70" s="355" t="s">
        <v>238</v>
      </c>
      <c r="AB70" s="355"/>
    </row>
    <row r="71" spans="2:28" ht="14.5" x14ac:dyDescent="0.35">
      <c r="B71" s="86">
        <v>44687</v>
      </c>
      <c r="C71" s="3" t="s">
        <v>3</v>
      </c>
      <c r="D71" s="95" t="s">
        <v>2</v>
      </c>
      <c r="E71" s="3" t="s">
        <v>26</v>
      </c>
      <c r="F71" s="5" t="s">
        <v>0</v>
      </c>
      <c r="G71" s="79">
        <v>61.48</v>
      </c>
      <c r="H71" s="79">
        <v>5.35</v>
      </c>
      <c r="I71" s="60">
        <v>2.89</v>
      </c>
      <c r="J71" s="60">
        <v>14.5</v>
      </c>
      <c r="K71" s="60">
        <v>22.3</v>
      </c>
      <c r="L71" s="60">
        <v>725</v>
      </c>
      <c r="P71" s="355"/>
      <c r="Q71" s="6">
        <v>44703</v>
      </c>
      <c r="R71" s="3" t="s">
        <v>3</v>
      </c>
      <c r="S71" s="95" t="s">
        <v>11</v>
      </c>
      <c r="T71" s="3" t="s">
        <v>26</v>
      </c>
      <c r="U71" s="5" t="s">
        <v>0</v>
      </c>
      <c r="V71" s="24">
        <v>62.71</v>
      </c>
      <c r="W71" s="24">
        <v>3.49</v>
      </c>
      <c r="X71" s="25">
        <v>3.07</v>
      </c>
      <c r="Y71" s="32">
        <v>15.2</v>
      </c>
      <c r="Z71" s="24">
        <v>22.7</v>
      </c>
      <c r="AA71" s="355" t="s">
        <v>239</v>
      </c>
      <c r="AB71" s="355"/>
    </row>
    <row r="72" spans="2:28" ht="14.5" x14ac:dyDescent="0.35">
      <c r="B72" s="86">
        <v>44687</v>
      </c>
      <c r="C72" s="3" t="s">
        <v>3</v>
      </c>
      <c r="D72" s="95" t="s">
        <v>2</v>
      </c>
      <c r="E72" s="3" t="s">
        <v>26</v>
      </c>
      <c r="F72" s="5" t="s">
        <v>0</v>
      </c>
      <c r="G72" s="47">
        <v>61.31</v>
      </c>
      <c r="H72" s="48">
        <v>5.61</v>
      </c>
      <c r="I72" s="47">
        <v>2.77</v>
      </c>
      <c r="J72" s="60">
        <v>13.6</v>
      </c>
      <c r="K72" s="79">
        <v>25.3</v>
      </c>
      <c r="L72" s="60">
        <v>726</v>
      </c>
      <c r="P72" s="355"/>
      <c r="Q72" s="6">
        <v>44703</v>
      </c>
      <c r="R72" s="3" t="s">
        <v>3</v>
      </c>
      <c r="S72" s="95" t="s">
        <v>11</v>
      </c>
      <c r="T72" s="3" t="s">
        <v>26</v>
      </c>
      <c r="U72" s="5" t="s">
        <v>0</v>
      </c>
      <c r="V72" s="29">
        <v>62.94</v>
      </c>
      <c r="W72" s="29">
        <v>3.43</v>
      </c>
      <c r="X72" s="29">
        <v>2.71</v>
      </c>
      <c r="Y72" s="32">
        <v>18.600000000000001</v>
      </c>
      <c r="Z72" s="24">
        <v>30.1</v>
      </c>
      <c r="AA72" s="355" t="s">
        <v>242</v>
      </c>
      <c r="AB72" s="355"/>
    </row>
    <row r="73" spans="2:28" ht="14.5" x14ac:dyDescent="0.35">
      <c r="B73" s="82">
        <v>44688</v>
      </c>
      <c r="C73" s="3" t="s">
        <v>3</v>
      </c>
      <c r="D73" s="95" t="s">
        <v>2</v>
      </c>
      <c r="E73" s="3" t="s">
        <v>26</v>
      </c>
      <c r="F73" s="5" t="s">
        <v>0</v>
      </c>
      <c r="G73" s="59">
        <v>62.09</v>
      </c>
      <c r="H73" s="59">
        <v>4.88</v>
      </c>
      <c r="I73" s="59">
        <v>2.67</v>
      </c>
      <c r="J73" s="59">
        <v>11.3</v>
      </c>
      <c r="K73" s="59">
        <v>29.2</v>
      </c>
      <c r="L73" s="58">
        <v>731</v>
      </c>
      <c r="P73" s="355"/>
      <c r="Q73" s="6">
        <v>44704</v>
      </c>
      <c r="R73" s="3" t="s">
        <v>3</v>
      </c>
      <c r="S73" s="95" t="s">
        <v>11</v>
      </c>
      <c r="T73" s="3" t="s">
        <v>26</v>
      </c>
      <c r="U73" s="5" t="s">
        <v>0</v>
      </c>
      <c r="V73" s="24">
        <v>62.66</v>
      </c>
      <c r="W73" s="29">
        <v>3.89</v>
      </c>
      <c r="X73" s="24">
        <v>2.65</v>
      </c>
      <c r="Y73" s="32">
        <v>14.7</v>
      </c>
      <c r="Z73" s="24">
        <v>32.200000000000003</v>
      </c>
      <c r="AA73" s="355" t="s">
        <v>243</v>
      </c>
      <c r="AB73" s="355"/>
    </row>
    <row r="74" spans="2:28" ht="14.5" x14ac:dyDescent="0.35">
      <c r="B74" s="83">
        <v>44689</v>
      </c>
      <c r="C74" s="3" t="s">
        <v>3</v>
      </c>
      <c r="D74" s="95" t="s">
        <v>2</v>
      </c>
      <c r="E74" s="3" t="s">
        <v>26</v>
      </c>
      <c r="F74" s="5" t="s">
        <v>0</v>
      </c>
      <c r="G74" s="57">
        <v>61.69</v>
      </c>
      <c r="H74" s="70">
        <v>4.87</v>
      </c>
      <c r="I74" s="57">
        <v>3.06</v>
      </c>
      <c r="J74" s="57">
        <v>14.7</v>
      </c>
      <c r="K74" s="57">
        <v>23.6</v>
      </c>
      <c r="L74" s="56">
        <v>737</v>
      </c>
      <c r="P74" s="355"/>
      <c r="Q74" s="6">
        <v>44705</v>
      </c>
      <c r="R74" s="3" t="s">
        <v>3</v>
      </c>
      <c r="S74" s="95" t="s">
        <v>11</v>
      </c>
      <c r="T74" s="3" t="s">
        <v>26</v>
      </c>
      <c r="U74" s="5" t="s">
        <v>0</v>
      </c>
      <c r="V74" s="25">
        <v>62.92</v>
      </c>
      <c r="W74" s="25">
        <v>3.61</v>
      </c>
      <c r="X74" s="24">
        <v>2.77</v>
      </c>
      <c r="Y74" s="20">
        <v>17.2</v>
      </c>
      <c r="Z74" s="24">
        <v>28.5</v>
      </c>
      <c r="AA74" s="355" t="s">
        <v>244</v>
      </c>
      <c r="AB74" s="355"/>
    </row>
    <row r="75" spans="2:28" ht="14.5" x14ac:dyDescent="0.35">
      <c r="B75" s="83">
        <v>44693</v>
      </c>
      <c r="C75" s="3" t="s">
        <v>3</v>
      </c>
      <c r="D75" s="95" t="s">
        <v>2</v>
      </c>
      <c r="E75" s="3" t="s">
        <v>26</v>
      </c>
      <c r="F75" s="5" t="s">
        <v>0</v>
      </c>
      <c r="G75" s="57">
        <v>61.86</v>
      </c>
      <c r="H75" s="57">
        <v>4.83</v>
      </c>
      <c r="I75" s="57">
        <v>3.05</v>
      </c>
      <c r="J75" s="57">
        <v>11.4</v>
      </c>
      <c r="K75" s="70">
        <v>25.6</v>
      </c>
      <c r="L75" s="56">
        <v>759</v>
      </c>
      <c r="P75" s="355"/>
      <c r="Q75" s="6">
        <v>44706</v>
      </c>
      <c r="R75" s="3" t="s">
        <v>3</v>
      </c>
      <c r="S75" s="95" t="s">
        <v>11</v>
      </c>
      <c r="T75" s="3" t="s">
        <v>26</v>
      </c>
      <c r="U75" s="5" t="s">
        <v>0</v>
      </c>
      <c r="V75" s="25">
        <v>62.59</v>
      </c>
      <c r="W75" s="25">
        <v>3.52</v>
      </c>
      <c r="X75" s="24">
        <v>3.31</v>
      </c>
      <c r="Y75" s="20">
        <v>15.3</v>
      </c>
      <c r="Z75" s="24">
        <v>30.2</v>
      </c>
      <c r="AA75" s="355" t="s">
        <v>245</v>
      </c>
      <c r="AB75" s="355"/>
    </row>
    <row r="76" spans="2:28" ht="14.5" x14ac:dyDescent="0.35">
      <c r="B76" s="83">
        <v>44695</v>
      </c>
      <c r="C76" s="3" t="s">
        <v>3</v>
      </c>
      <c r="D76" s="95" t="s">
        <v>2</v>
      </c>
      <c r="E76" s="3" t="s">
        <v>26</v>
      </c>
      <c r="F76" s="5" t="s">
        <v>0</v>
      </c>
      <c r="G76" s="57">
        <v>62.29</v>
      </c>
      <c r="H76" s="70">
        <v>4.17</v>
      </c>
      <c r="I76" s="57">
        <v>2.9</v>
      </c>
      <c r="J76" s="57">
        <v>16.3</v>
      </c>
      <c r="K76" s="57">
        <v>27.4</v>
      </c>
      <c r="L76" s="56">
        <v>769</v>
      </c>
      <c r="P76" s="355"/>
      <c r="Q76" s="281">
        <v>44682</v>
      </c>
      <c r="R76" s="3" t="s">
        <v>4</v>
      </c>
      <c r="S76" s="95" t="s">
        <v>11</v>
      </c>
      <c r="T76" s="3" t="s">
        <v>26</v>
      </c>
      <c r="U76" s="5" t="s">
        <v>0</v>
      </c>
      <c r="V76" s="286">
        <v>59.8</v>
      </c>
      <c r="W76" s="286">
        <v>4.2</v>
      </c>
      <c r="X76" s="283">
        <v>3.5</v>
      </c>
      <c r="Y76" s="283">
        <v>8.1</v>
      </c>
      <c r="Z76" s="286">
        <v>20.7</v>
      </c>
      <c r="AA76" s="283">
        <v>569</v>
      </c>
      <c r="AB76" s="355"/>
    </row>
    <row r="77" spans="2:28" ht="14.5" x14ac:dyDescent="0.35">
      <c r="B77" s="83">
        <v>44696</v>
      </c>
      <c r="C77" s="3" t="s">
        <v>3</v>
      </c>
      <c r="D77" s="95" t="s">
        <v>2</v>
      </c>
      <c r="E77" s="3" t="s">
        <v>26</v>
      </c>
      <c r="F77" s="5" t="s">
        <v>0</v>
      </c>
      <c r="G77" s="57">
        <v>62.45</v>
      </c>
      <c r="H77" s="57">
        <v>4.12</v>
      </c>
      <c r="I77" s="57">
        <v>2.83</v>
      </c>
      <c r="J77" s="57">
        <v>12.7</v>
      </c>
      <c r="K77" s="57">
        <v>26.3</v>
      </c>
      <c r="L77" s="56">
        <v>773</v>
      </c>
      <c r="P77" s="355"/>
      <c r="Q77" s="281">
        <v>44682</v>
      </c>
      <c r="R77" s="3" t="s">
        <v>4</v>
      </c>
      <c r="S77" s="95" t="s">
        <v>11</v>
      </c>
      <c r="T77" s="3" t="s">
        <v>26</v>
      </c>
      <c r="U77" s="5" t="s">
        <v>0</v>
      </c>
      <c r="V77" s="283">
        <v>61.5</v>
      </c>
      <c r="W77" s="283">
        <v>3.1</v>
      </c>
      <c r="X77" s="283">
        <v>1.9</v>
      </c>
      <c r="Y77" s="283">
        <v>14.8</v>
      </c>
      <c r="Z77" s="286">
        <v>26.8</v>
      </c>
      <c r="AA77" s="283">
        <v>569</v>
      </c>
      <c r="AB77" s="355"/>
    </row>
    <row r="78" spans="2:28" ht="14.5" x14ac:dyDescent="0.25">
      <c r="B78" s="45">
        <v>44697</v>
      </c>
      <c r="C78" s="3" t="s">
        <v>3</v>
      </c>
      <c r="D78" s="95" t="s">
        <v>2</v>
      </c>
      <c r="E78" s="3" t="s">
        <v>26</v>
      </c>
      <c r="F78" s="5" t="s">
        <v>0</v>
      </c>
      <c r="G78" s="61">
        <v>62.13</v>
      </c>
      <c r="H78" s="66">
        <v>4.9000000000000004</v>
      </c>
      <c r="I78" s="61">
        <v>2.4</v>
      </c>
      <c r="J78" s="61">
        <v>14.3</v>
      </c>
      <c r="K78" s="61">
        <v>25.2</v>
      </c>
      <c r="L78" s="61">
        <v>777</v>
      </c>
      <c r="P78" s="355"/>
      <c r="Q78" s="281">
        <v>44682</v>
      </c>
      <c r="R78" s="3" t="s">
        <v>4</v>
      </c>
      <c r="S78" s="95" t="s">
        <v>11</v>
      </c>
      <c r="T78" s="3" t="s">
        <v>26</v>
      </c>
      <c r="U78" s="5" t="s">
        <v>0</v>
      </c>
      <c r="V78" s="283">
        <v>62</v>
      </c>
      <c r="W78" s="283">
        <v>2.9</v>
      </c>
      <c r="X78" s="283">
        <v>2.6</v>
      </c>
      <c r="Y78" s="283">
        <v>21.9</v>
      </c>
      <c r="Z78" s="283">
        <v>11.2</v>
      </c>
      <c r="AA78" s="283">
        <v>568</v>
      </c>
      <c r="AB78" s="355"/>
    </row>
    <row r="79" spans="2:28" ht="14.5" x14ac:dyDescent="0.25">
      <c r="B79" s="45">
        <v>44697</v>
      </c>
      <c r="C79" s="3" t="s">
        <v>3</v>
      </c>
      <c r="D79" s="95" t="s">
        <v>2</v>
      </c>
      <c r="E79" s="3" t="s">
        <v>26</v>
      </c>
      <c r="F79" s="5" t="s">
        <v>0</v>
      </c>
      <c r="G79" s="61">
        <v>61.28</v>
      </c>
      <c r="H79" s="61">
        <v>6.16</v>
      </c>
      <c r="I79" s="61">
        <v>2.5499999999999998</v>
      </c>
      <c r="J79" s="61">
        <v>9.5</v>
      </c>
      <c r="K79" s="61">
        <v>29.7</v>
      </c>
      <c r="L79" s="61">
        <v>783</v>
      </c>
      <c r="P79" s="355"/>
      <c r="Q79" s="281">
        <v>44683</v>
      </c>
      <c r="R79" s="3" t="s">
        <v>4</v>
      </c>
      <c r="S79" s="95" t="s">
        <v>11</v>
      </c>
      <c r="T79" s="3" t="s">
        <v>26</v>
      </c>
      <c r="U79" s="5" t="s">
        <v>0</v>
      </c>
      <c r="V79" s="283">
        <v>61.1</v>
      </c>
      <c r="W79" s="283">
        <v>3.6</v>
      </c>
      <c r="X79" s="283">
        <v>2.8</v>
      </c>
      <c r="Y79" s="283">
        <v>20.399999999999999</v>
      </c>
      <c r="Z79" s="283">
        <v>12.6</v>
      </c>
      <c r="AA79" s="283">
        <v>501</v>
      </c>
      <c r="AB79" s="355"/>
    </row>
    <row r="80" spans="2:28" ht="14.5" x14ac:dyDescent="0.25">
      <c r="B80" s="45">
        <v>44699</v>
      </c>
      <c r="C80" s="3" t="s">
        <v>3</v>
      </c>
      <c r="D80" s="95" t="s">
        <v>2</v>
      </c>
      <c r="E80" s="3" t="s">
        <v>26</v>
      </c>
      <c r="F80" s="5" t="s">
        <v>0</v>
      </c>
      <c r="G80" s="61">
        <v>61.29</v>
      </c>
      <c r="H80" s="61">
        <v>5.9</v>
      </c>
      <c r="I80" s="61">
        <v>2.71</v>
      </c>
      <c r="J80" s="61">
        <v>15.2</v>
      </c>
      <c r="K80" s="61">
        <v>26.3</v>
      </c>
      <c r="L80" s="61">
        <v>790</v>
      </c>
      <c r="P80" s="355"/>
      <c r="Q80" s="281">
        <v>44684</v>
      </c>
      <c r="R80" s="3" t="s">
        <v>4</v>
      </c>
      <c r="S80" s="95" t="s">
        <v>11</v>
      </c>
      <c r="T80" s="3" t="s">
        <v>26</v>
      </c>
      <c r="U80" s="5" t="s">
        <v>0</v>
      </c>
      <c r="V80" s="283">
        <v>62</v>
      </c>
      <c r="W80" s="283">
        <v>2.8</v>
      </c>
      <c r="X80" s="283">
        <v>2.1</v>
      </c>
      <c r="Y80" s="283">
        <v>23.8</v>
      </c>
      <c r="Z80" s="283">
        <v>14.5</v>
      </c>
      <c r="AA80" s="283">
        <v>502</v>
      </c>
      <c r="AB80" s="355"/>
    </row>
    <row r="81" spans="2:28" ht="14.5" x14ac:dyDescent="0.25">
      <c r="B81" s="45">
        <v>44699</v>
      </c>
      <c r="C81" s="3" t="s">
        <v>3</v>
      </c>
      <c r="D81" s="95" t="s">
        <v>2</v>
      </c>
      <c r="E81" s="3" t="s">
        <v>26</v>
      </c>
      <c r="F81" s="5" t="s">
        <v>0</v>
      </c>
      <c r="G81" s="61">
        <v>60.55</v>
      </c>
      <c r="H81" s="61">
        <v>6.88</v>
      </c>
      <c r="I81" s="61">
        <v>2.87</v>
      </c>
      <c r="J81" s="61">
        <v>13.7</v>
      </c>
      <c r="K81" s="61">
        <v>22.2</v>
      </c>
      <c r="L81" s="61">
        <v>795</v>
      </c>
      <c r="P81" s="355"/>
      <c r="Q81" s="327">
        <v>44684</v>
      </c>
      <c r="R81" s="3" t="s">
        <v>4</v>
      </c>
      <c r="S81" s="95" t="s">
        <v>11</v>
      </c>
      <c r="T81" s="3" t="s">
        <v>26</v>
      </c>
      <c r="U81" s="5" t="s">
        <v>0</v>
      </c>
      <c r="V81" s="287">
        <v>61.5</v>
      </c>
      <c r="W81" s="287">
        <v>2.6</v>
      </c>
      <c r="X81" s="287">
        <v>3.1</v>
      </c>
      <c r="Y81" s="287">
        <v>25.2</v>
      </c>
      <c r="Z81" s="287">
        <v>14.6</v>
      </c>
      <c r="AA81" s="287">
        <v>505</v>
      </c>
      <c r="AB81" s="355"/>
    </row>
    <row r="82" spans="2:28" ht="14.5" x14ac:dyDescent="0.25">
      <c r="B82" s="45">
        <v>44700</v>
      </c>
      <c r="C82" s="3" t="s">
        <v>3</v>
      </c>
      <c r="D82" s="95" t="s">
        <v>2</v>
      </c>
      <c r="E82" s="3" t="s">
        <v>26</v>
      </c>
      <c r="F82" s="5" t="s">
        <v>0</v>
      </c>
      <c r="G82" s="61">
        <v>62.21</v>
      </c>
      <c r="H82" s="61">
        <v>4.93</v>
      </c>
      <c r="I82" s="61">
        <v>2.46</v>
      </c>
      <c r="J82" s="61">
        <v>10.7</v>
      </c>
      <c r="K82" s="61">
        <v>22.2</v>
      </c>
      <c r="L82" s="61">
        <v>800</v>
      </c>
      <c r="P82" s="355"/>
      <c r="Q82" s="281">
        <v>44685</v>
      </c>
      <c r="R82" s="3" t="s">
        <v>4</v>
      </c>
      <c r="S82" s="95" t="s">
        <v>11</v>
      </c>
      <c r="T82" s="3" t="s">
        <v>26</v>
      </c>
      <c r="U82" s="5" t="s">
        <v>0</v>
      </c>
      <c r="V82" s="283">
        <v>61.6</v>
      </c>
      <c r="W82" s="283">
        <v>2.9</v>
      </c>
      <c r="X82" s="283">
        <v>2.5</v>
      </c>
      <c r="Y82" s="283">
        <v>34.1</v>
      </c>
      <c r="Z82" s="283">
        <v>9</v>
      </c>
      <c r="AA82" s="283">
        <v>506</v>
      </c>
      <c r="AB82" s="355"/>
    </row>
    <row r="83" spans="2:28" ht="14.5" x14ac:dyDescent="0.25">
      <c r="B83" s="45">
        <v>44701</v>
      </c>
      <c r="C83" s="3" t="s">
        <v>3</v>
      </c>
      <c r="D83" s="95" t="s">
        <v>2</v>
      </c>
      <c r="E83" s="3" t="s">
        <v>26</v>
      </c>
      <c r="F83" s="5" t="s">
        <v>0</v>
      </c>
      <c r="G83" s="61">
        <v>62.45</v>
      </c>
      <c r="H83" s="61">
        <v>4.55</v>
      </c>
      <c r="I83" s="61">
        <v>2.4900000000000002</v>
      </c>
      <c r="J83" s="61">
        <v>18.399999999999999</v>
      </c>
      <c r="K83" s="61">
        <v>24.5</v>
      </c>
      <c r="L83" s="61">
        <v>804</v>
      </c>
      <c r="P83" s="355"/>
      <c r="Q83" s="327">
        <v>44685</v>
      </c>
      <c r="R83" s="3" t="s">
        <v>4</v>
      </c>
      <c r="S83" s="95" t="s">
        <v>11</v>
      </c>
      <c r="T83" s="3" t="s">
        <v>26</v>
      </c>
      <c r="U83" s="5" t="s">
        <v>0</v>
      </c>
      <c r="V83" s="287">
        <v>62.4</v>
      </c>
      <c r="W83" s="287">
        <v>2.4</v>
      </c>
      <c r="X83" s="287">
        <v>2.6</v>
      </c>
      <c r="Y83" s="287">
        <v>29.6</v>
      </c>
      <c r="Z83" s="287">
        <v>10.1</v>
      </c>
      <c r="AA83" s="287">
        <v>508</v>
      </c>
      <c r="AB83" s="355"/>
    </row>
    <row r="84" spans="2:28" ht="14.5" x14ac:dyDescent="0.25">
      <c r="B84" s="45">
        <v>44702</v>
      </c>
      <c r="C84" s="3" t="s">
        <v>3</v>
      </c>
      <c r="D84" s="95" t="s">
        <v>2</v>
      </c>
      <c r="E84" s="3" t="s">
        <v>26</v>
      </c>
      <c r="F84" s="5" t="s">
        <v>0</v>
      </c>
      <c r="G84" s="61">
        <v>61.83</v>
      </c>
      <c r="H84" s="66">
        <v>4.96</v>
      </c>
      <c r="I84" s="61">
        <v>2.87</v>
      </c>
      <c r="J84" s="61">
        <v>12.2</v>
      </c>
      <c r="K84" s="61">
        <v>23.3</v>
      </c>
      <c r="L84" s="61">
        <v>808</v>
      </c>
      <c r="P84" s="355"/>
      <c r="Q84" s="281">
        <v>44686</v>
      </c>
      <c r="R84" s="3" t="s">
        <v>4</v>
      </c>
      <c r="S84" s="95" t="s">
        <v>11</v>
      </c>
      <c r="T84" s="3" t="s">
        <v>26</v>
      </c>
      <c r="U84" s="5" t="s">
        <v>0</v>
      </c>
      <c r="V84" s="283">
        <v>60.6</v>
      </c>
      <c r="W84" s="283">
        <v>3.7</v>
      </c>
      <c r="X84" s="283">
        <v>3.6</v>
      </c>
      <c r="Y84" s="283">
        <v>31.9</v>
      </c>
      <c r="Z84" s="283">
        <v>12.1</v>
      </c>
      <c r="AA84" s="283">
        <v>511</v>
      </c>
      <c r="AB84" s="355"/>
    </row>
    <row r="85" spans="2:28" ht="14.5" x14ac:dyDescent="0.25">
      <c r="B85" s="45">
        <v>44704</v>
      </c>
      <c r="C85" s="3" t="s">
        <v>3</v>
      </c>
      <c r="D85" s="95" t="s">
        <v>2</v>
      </c>
      <c r="E85" s="3" t="s">
        <v>26</v>
      </c>
      <c r="F85" s="5" t="s">
        <v>0</v>
      </c>
      <c r="G85" s="61">
        <v>62.24</v>
      </c>
      <c r="H85" s="66">
        <v>4.57</v>
      </c>
      <c r="I85" s="61">
        <v>2.62</v>
      </c>
      <c r="J85" s="61">
        <v>13.1</v>
      </c>
      <c r="K85" s="61">
        <v>26.4</v>
      </c>
      <c r="L85" s="61">
        <v>817</v>
      </c>
      <c r="P85" s="355"/>
      <c r="Q85" s="281">
        <v>44686</v>
      </c>
      <c r="R85" s="3" t="s">
        <v>4</v>
      </c>
      <c r="S85" s="95" t="s">
        <v>11</v>
      </c>
      <c r="T85" s="3" t="s">
        <v>26</v>
      </c>
      <c r="U85" s="5" t="s">
        <v>0</v>
      </c>
      <c r="V85" s="283">
        <v>61.6</v>
      </c>
      <c r="W85" s="283">
        <v>2.8</v>
      </c>
      <c r="X85" s="283">
        <v>2.2000000000000002</v>
      </c>
      <c r="Y85" s="283">
        <v>26.2</v>
      </c>
      <c r="Z85" s="283">
        <v>10.4</v>
      </c>
      <c r="AA85" s="283">
        <v>509</v>
      </c>
      <c r="AB85" s="355"/>
    </row>
    <row r="86" spans="2:28" ht="14.5" x14ac:dyDescent="0.25">
      <c r="B86" s="45">
        <v>44704</v>
      </c>
      <c r="C86" s="3" t="s">
        <v>3</v>
      </c>
      <c r="D86" s="95" t="s">
        <v>2</v>
      </c>
      <c r="E86" s="3" t="s">
        <v>26</v>
      </c>
      <c r="F86" s="5" t="s">
        <v>0</v>
      </c>
      <c r="G86" s="61">
        <v>61.35</v>
      </c>
      <c r="H86" s="61">
        <v>6.13</v>
      </c>
      <c r="I86" s="61">
        <v>2.4</v>
      </c>
      <c r="J86" s="61">
        <v>10.5</v>
      </c>
      <c r="K86" s="61">
        <v>30.3</v>
      </c>
      <c r="L86" s="61">
        <v>819</v>
      </c>
      <c r="P86" s="355"/>
      <c r="Q86" s="281">
        <v>44686</v>
      </c>
      <c r="R86" s="3" t="s">
        <v>4</v>
      </c>
      <c r="S86" s="95" t="s">
        <v>11</v>
      </c>
      <c r="T86" s="3" t="s">
        <v>26</v>
      </c>
      <c r="U86" s="5" t="s">
        <v>0</v>
      </c>
      <c r="V86" s="283">
        <v>63.2</v>
      </c>
      <c r="W86" s="283">
        <v>1.5</v>
      </c>
      <c r="X86" s="283">
        <v>1.8</v>
      </c>
      <c r="Y86" s="283">
        <v>8</v>
      </c>
      <c r="Z86" s="286">
        <v>23.1</v>
      </c>
      <c r="AA86" s="283">
        <v>510</v>
      </c>
      <c r="AB86" s="355"/>
    </row>
    <row r="87" spans="2:28" ht="14.5" x14ac:dyDescent="0.25">
      <c r="B87" s="45">
        <v>44705</v>
      </c>
      <c r="C87" s="3" t="s">
        <v>3</v>
      </c>
      <c r="D87" s="95" t="s">
        <v>2</v>
      </c>
      <c r="E87" s="3" t="s">
        <v>26</v>
      </c>
      <c r="F87" s="5" t="s">
        <v>0</v>
      </c>
      <c r="G87" s="61">
        <v>61.37</v>
      </c>
      <c r="H87" s="61">
        <v>5.68</v>
      </c>
      <c r="I87" s="66">
        <v>2.91</v>
      </c>
      <c r="J87" s="61">
        <v>15.2</v>
      </c>
      <c r="K87" s="61">
        <v>25.5</v>
      </c>
      <c r="L87" s="61">
        <v>821</v>
      </c>
      <c r="P87" s="355"/>
      <c r="Q87" s="281">
        <v>44687</v>
      </c>
      <c r="R87" s="3" t="s">
        <v>4</v>
      </c>
      <c r="S87" s="95" t="s">
        <v>11</v>
      </c>
      <c r="T87" s="3" t="s">
        <v>26</v>
      </c>
      <c r="U87" s="5" t="s">
        <v>0</v>
      </c>
      <c r="V87" s="283">
        <v>62.7</v>
      </c>
      <c r="W87" s="283">
        <v>2.4</v>
      </c>
      <c r="X87" s="283">
        <v>2.2000000000000002</v>
      </c>
      <c r="Y87" s="283">
        <v>20.6</v>
      </c>
      <c r="Z87" s="283">
        <v>11.4</v>
      </c>
      <c r="AA87" s="283">
        <v>504</v>
      </c>
      <c r="AB87" s="355"/>
    </row>
    <row r="88" spans="2:28" ht="14.5" x14ac:dyDescent="0.25">
      <c r="B88" s="45">
        <v>44707</v>
      </c>
      <c r="C88" s="3" t="s">
        <v>3</v>
      </c>
      <c r="D88" s="95" t="s">
        <v>2</v>
      </c>
      <c r="E88" s="3" t="s">
        <v>26</v>
      </c>
      <c r="F88" s="5" t="s">
        <v>0</v>
      </c>
      <c r="G88" s="61">
        <v>62.28</v>
      </c>
      <c r="H88" s="61">
        <v>4.3</v>
      </c>
      <c r="I88" s="61">
        <v>2.89</v>
      </c>
      <c r="J88" s="61">
        <v>13.2</v>
      </c>
      <c r="K88" s="61">
        <v>31.5</v>
      </c>
      <c r="L88" s="61">
        <v>833</v>
      </c>
      <c r="P88" s="355"/>
      <c r="Q88" s="281">
        <v>44688</v>
      </c>
      <c r="R88" s="3" t="s">
        <v>4</v>
      </c>
      <c r="S88" s="95" t="s">
        <v>11</v>
      </c>
      <c r="T88" s="3" t="s">
        <v>26</v>
      </c>
      <c r="U88" s="5" t="s">
        <v>0</v>
      </c>
      <c r="V88" s="283">
        <v>62.4</v>
      </c>
      <c r="W88" s="283">
        <v>1.8</v>
      </c>
      <c r="X88" s="294">
        <v>3</v>
      </c>
      <c r="Y88" s="283">
        <v>15.2</v>
      </c>
      <c r="Z88" s="283">
        <v>14.1</v>
      </c>
      <c r="AA88" s="283">
        <v>513</v>
      </c>
      <c r="AB88" s="355"/>
    </row>
    <row r="89" spans="2:28" ht="14.5" x14ac:dyDescent="0.25">
      <c r="B89" s="45">
        <v>44708</v>
      </c>
      <c r="C89" s="3" t="s">
        <v>3</v>
      </c>
      <c r="D89" s="95" t="s">
        <v>2</v>
      </c>
      <c r="E89" s="3" t="s">
        <v>26</v>
      </c>
      <c r="F89" s="5" t="s">
        <v>0</v>
      </c>
      <c r="G89" s="61">
        <v>60.78</v>
      </c>
      <c r="H89" s="61">
        <v>7.12</v>
      </c>
      <c r="I89" s="66">
        <v>2.3199999999999998</v>
      </c>
      <c r="J89" s="61">
        <v>14.1</v>
      </c>
      <c r="K89" s="61">
        <v>29.5</v>
      </c>
      <c r="L89" s="61">
        <v>838</v>
      </c>
      <c r="P89" s="355"/>
      <c r="Q89" s="281">
        <v>44688</v>
      </c>
      <c r="R89" s="3" t="s">
        <v>4</v>
      </c>
      <c r="S89" s="95" t="s">
        <v>11</v>
      </c>
      <c r="T89" s="3" t="s">
        <v>26</v>
      </c>
      <c r="U89" s="5" t="s">
        <v>0</v>
      </c>
      <c r="V89" s="283">
        <v>62.8</v>
      </c>
      <c r="W89" s="283">
        <v>2.8</v>
      </c>
      <c r="X89" s="294">
        <v>3</v>
      </c>
      <c r="Y89" s="283">
        <v>7.3</v>
      </c>
      <c r="Z89" s="283">
        <v>14.3</v>
      </c>
      <c r="AA89" s="283">
        <v>515</v>
      </c>
      <c r="AB89" s="355"/>
    </row>
    <row r="90" spans="2:28" ht="14.5" x14ac:dyDescent="0.25">
      <c r="B90" s="45">
        <v>44709</v>
      </c>
      <c r="C90" s="3" t="s">
        <v>3</v>
      </c>
      <c r="D90" s="95" t="s">
        <v>2</v>
      </c>
      <c r="E90" s="3" t="s">
        <v>26</v>
      </c>
      <c r="F90" s="5" t="s">
        <v>0</v>
      </c>
      <c r="G90" s="61">
        <v>61.97</v>
      </c>
      <c r="H90" s="61">
        <v>4.74</v>
      </c>
      <c r="I90" s="66">
        <v>2.85</v>
      </c>
      <c r="J90" s="61">
        <v>16.3</v>
      </c>
      <c r="K90" s="61">
        <v>28.5</v>
      </c>
      <c r="L90" s="61">
        <v>843</v>
      </c>
      <c r="P90" s="355"/>
      <c r="Q90" s="281">
        <v>44688</v>
      </c>
      <c r="R90" s="3" t="s">
        <v>4</v>
      </c>
      <c r="S90" s="95" t="s">
        <v>11</v>
      </c>
      <c r="T90" s="3" t="s">
        <v>26</v>
      </c>
      <c r="U90" s="5" t="s">
        <v>0</v>
      </c>
      <c r="V90" s="283">
        <v>62.2</v>
      </c>
      <c r="W90" s="283">
        <v>3.5</v>
      </c>
      <c r="X90" s="283">
        <v>2.4</v>
      </c>
      <c r="Y90" s="294">
        <v>32</v>
      </c>
      <c r="Z90" s="283">
        <v>11.6</v>
      </c>
      <c r="AA90" s="283">
        <v>516</v>
      </c>
      <c r="AB90" s="355"/>
    </row>
    <row r="91" spans="2:28" ht="14.5" x14ac:dyDescent="0.25">
      <c r="B91" s="45">
        <v>44710</v>
      </c>
      <c r="C91" s="3" t="s">
        <v>3</v>
      </c>
      <c r="D91" s="95" t="s">
        <v>2</v>
      </c>
      <c r="E91" s="3" t="s">
        <v>26</v>
      </c>
      <c r="F91" s="5" t="s">
        <v>0</v>
      </c>
      <c r="G91" s="68">
        <v>62.03</v>
      </c>
      <c r="H91" s="68">
        <v>4.84</v>
      </c>
      <c r="I91" s="69">
        <v>2.6</v>
      </c>
      <c r="J91" s="68">
        <v>9.6999999999999993</v>
      </c>
      <c r="K91" s="68">
        <v>34.200000000000003</v>
      </c>
      <c r="L91" s="61">
        <v>847</v>
      </c>
      <c r="P91" s="355"/>
      <c r="Q91" s="328">
        <v>44689</v>
      </c>
      <c r="R91" s="3" t="s">
        <v>4</v>
      </c>
      <c r="S91" s="95" t="s">
        <v>11</v>
      </c>
      <c r="T91" s="3" t="s">
        <v>26</v>
      </c>
      <c r="U91" s="5" t="s">
        <v>0</v>
      </c>
      <c r="V91" s="295">
        <v>61</v>
      </c>
      <c r="W91" s="293">
        <v>2.8</v>
      </c>
      <c r="X91" s="295">
        <v>2</v>
      </c>
      <c r="Y91" s="295">
        <v>25</v>
      </c>
      <c r="Z91" s="293">
        <v>14.7</v>
      </c>
      <c r="AA91" s="293">
        <v>514</v>
      </c>
      <c r="AB91" s="355"/>
    </row>
    <row r="92" spans="2:28" ht="14.5" x14ac:dyDescent="0.25">
      <c r="B92" s="45">
        <v>44712</v>
      </c>
      <c r="C92" s="3" t="s">
        <v>3</v>
      </c>
      <c r="D92" s="95" t="s">
        <v>2</v>
      </c>
      <c r="E92" s="3" t="s">
        <v>26</v>
      </c>
      <c r="F92" s="5" t="s">
        <v>0</v>
      </c>
      <c r="G92" s="68">
        <v>62.45</v>
      </c>
      <c r="H92" s="68">
        <v>4.13</v>
      </c>
      <c r="I92" s="69">
        <v>2.81</v>
      </c>
      <c r="J92" s="68">
        <v>11.4</v>
      </c>
      <c r="K92" s="68">
        <v>28.4</v>
      </c>
      <c r="L92" s="61">
        <v>854</v>
      </c>
      <c r="P92" s="355"/>
      <c r="Q92" s="281">
        <v>44690</v>
      </c>
      <c r="R92" s="3" t="s">
        <v>4</v>
      </c>
      <c r="S92" s="95" t="s">
        <v>11</v>
      </c>
      <c r="T92" s="3" t="s">
        <v>26</v>
      </c>
      <c r="U92" s="5" t="s">
        <v>0</v>
      </c>
      <c r="V92" s="294">
        <v>63.6</v>
      </c>
      <c r="W92" s="283">
        <v>1.8</v>
      </c>
      <c r="X92" s="294">
        <v>2.4</v>
      </c>
      <c r="Y92" s="294">
        <v>14.9</v>
      </c>
      <c r="Z92" s="299">
        <v>18</v>
      </c>
      <c r="AA92" s="283">
        <v>517</v>
      </c>
      <c r="AB92" s="355"/>
    </row>
    <row r="93" spans="2:28" ht="14.5" x14ac:dyDescent="0.25">
      <c r="B93" s="87">
        <v>44682</v>
      </c>
      <c r="C93" s="3" t="s">
        <v>3</v>
      </c>
      <c r="D93" s="95" t="s">
        <v>2</v>
      </c>
      <c r="E93" s="3" t="s">
        <v>26</v>
      </c>
      <c r="F93" s="5" t="s">
        <v>1</v>
      </c>
      <c r="G93" s="68">
        <v>61.04</v>
      </c>
      <c r="H93" s="68">
        <v>6.14</v>
      </c>
      <c r="I93" s="71">
        <v>3.01</v>
      </c>
      <c r="J93" s="68">
        <v>5.2</v>
      </c>
      <c r="K93" s="68">
        <v>42.1</v>
      </c>
      <c r="L93" s="67">
        <v>852</v>
      </c>
      <c r="P93" s="355"/>
      <c r="Q93" s="281">
        <v>44690</v>
      </c>
      <c r="R93" s="3" t="s">
        <v>4</v>
      </c>
      <c r="S93" s="95" t="s">
        <v>11</v>
      </c>
      <c r="T93" s="3" t="s">
        <v>26</v>
      </c>
      <c r="U93" s="5" t="s">
        <v>0</v>
      </c>
      <c r="V93" s="294">
        <v>63.3</v>
      </c>
      <c r="W93" s="294">
        <v>2</v>
      </c>
      <c r="X93" s="294">
        <v>2.8</v>
      </c>
      <c r="Y93" s="294">
        <v>23.6</v>
      </c>
      <c r="Z93" s="294">
        <v>15.1</v>
      </c>
      <c r="AA93" s="283">
        <v>518</v>
      </c>
      <c r="AB93" s="355"/>
    </row>
    <row r="94" spans="2:28" ht="14.5" x14ac:dyDescent="0.35">
      <c r="B94" s="83">
        <v>44684</v>
      </c>
      <c r="C94" s="3" t="s">
        <v>3</v>
      </c>
      <c r="D94" s="95" t="s">
        <v>2</v>
      </c>
      <c r="E94" s="3" t="s">
        <v>26</v>
      </c>
      <c r="F94" s="5" t="s">
        <v>1</v>
      </c>
      <c r="G94" s="68">
        <v>60.92</v>
      </c>
      <c r="H94" s="68">
        <v>6.4</v>
      </c>
      <c r="I94" s="69">
        <v>2.93</v>
      </c>
      <c r="J94" s="68">
        <v>5.8</v>
      </c>
      <c r="K94" s="68">
        <v>43.5</v>
      </c>
      <c r="L94" s="56">
        <v>711</v>
      </c>
      <c r="P94" s="355"/>
      <c r="Q94" s="281">
        <v>44691</v>
      </c>
      <c r="R94" s="3" t="s">
        <v>4</v>
      </c>
      <c r="S94" s="95" t="s">
        <v>11</v>
      </c>
      <c r="T94" s="3" t="s">
        <v>26</v>
      </c>
      <c r="U94" s="5" t="s">
        <v>0</v>
      </c>
      <c r="V94" s="294">
        <v>61.7</v>
      </c>
      <c r="W94" s="283">
        <v>2.2999999999999998</v>
      </c>
      <c r="X94" s="294">
        <v>2.8</v>
      </c>
      <c r="Y94" s="294">
        <v>31.9</v>
      </c>
      <c r="Z94" s="294">
        <v>11.4</v>
      </c>
      <c r="AA94" s="283">
        <v>526</v>
      </c>
      <c r="AB94" s="355"/>
    </row>
    <row r="95" spans="2:28" ht="14.5" x14ac:dyDescent="0.35">
      <c r="B95" s="83">
        <v>44686</v>
      </c>
      <c r="C95" s="3" t="s">
        <v>3</v>
      </c>
      <c r="D95" s="95" t="s">
        <v>2</v>
      </c>
      <c r="E95" s="3" t="s">
        <v>26</v>
      </c>
      <c r="F95" s="5" t="s">
        <v>1</v>
      </c>
      <c r="G95" s="68">
        <v>61.9</v>
      </c>
      <c r="H95" s="68">
        <v>5.1100000000000003</v>
      </c>
      <c r="I95" s="71">
        <v>2.83</v>
      </c>
      <c r="J95" s="68">
        <v>4.4000000000000004</v>
      </c>
      <c r="K95" s="68">
        <v>44.1</v>
      </c>
      <c r="L95" s="56">
        <v>720</v>
      </c>
      <c r="P95" s="355"/>
      <c r="Q95" s="327">
        <v>44691</v>
      </c>
      <c r="R95" s="3" t="s">
        <v>4</v>
      </c>
      <c r="S95" s="95" t="s">
        <v>11</v>
      </c>
      <c r="T95" s="3" t="s">
        <v>26</v>
      </c>
      <c r="U95" s="5" t="s">
        <v>0</v>
      </c>
      <c r="V95" s="297">
        <v>62.4</v>
      </c>
      <c r="W95" s="287">
        <v>1.8</v>
      </c>
      <c r="X95" s="297">
        <v>1.6</v>
      </c>
      <c r="Y95" s="297">
        <v>23.6</v>
      </c>
      <c r="Z95" s="297">
        <v>17.600000000000001</v>
      </c>
      <c r="AA95" s="287">
        <v>522</v>
      </c>
      <c r="AB95" s="355"/>
    </row>
    <row r="96" spans="2:28" ht="14.5" x14ac:dyDescent="0.35">
      <c r="B96" s="83">
        <v>44687</v>
      </c>
      <c r="C96" s="3" t="s">
        <v>3</v>
      </c>
      <c r="D96" s="95" t="s">
        <v>2</v>
      </c>
      <c r="E96" s="3" t="s">
        <v>26</v>
      </c>
      <c r="F96" s="5" t="s">
        <v>1</v>
      </c>
      <c r="G96" s="57">
        <v>61.15</v>
      </c>
      <c r="H96" s="57">
        <v>6.1</v>
      </c>
      <c r="I96" s="57">
        <v>2.9</v>
      </c>
      <c r="J96" s="57">
        <v>5.0999999999999996</v>
      </c>
      <c r="K96" s="57">
        <v>42.2</v>
      </c>
      <c r="L96" s="56">
        <v>729</v>
      </c>
      <c r="P96" s="355"/>
      <c r="Q96" s="281">
        <v>44692</v>
      </c>
      <c r="R96" s="3" t="s">
        <v>4</v>
      </c>
      <c r="S96" s="95" t="s">
        <v>11</v>
      </c>
      <c r="T96" s="3" t="s">
        <v>26</v>
      </c>
      <c r="U96" s="5" t="s">
        <v>0</v>
      </c>
      <c r="V96" s="294">
        <v>62.2</v>
      </c>
      <c r="W96" s="283">
        <v>2.2999999999999998</v>
      </c>
      <c r="X96" s="294">
        <v>2.1</v>
      </c>
      <c r="Y96" s="294">
        <v>20.7</v>
      </c>
      <c r="Z96" s="294">
        <v>13.6</v>
      </c>
      <c r="AA96" s="283">
        <v>528</v>
      </c>
      <c r="AB96" s="355"/>
    </row>
    <row r="97" spans="2:28" ht="14.5" x14ac:dyDescent="0.35">
      <c r="B97" s="82">
        <v>44688</v>
      </c>
      <c r="C97" s="3" t="s">
        <v>3</v>
      </c>
      <c r="D97" s="95" t="s">
        <v>2</v>
      </c>
      <c r="E97" s="3" t="s">
        <v>26</v>
      </c>
      <c r="F97" s="5" t="s">
        <v>1</v>
      </c>
      <c r="G97" s="59">
        <v>61.65</v>
      </c>
      <c r="H97" s="59">
        <v>5.6</v>
      </c>
      <c r="I97" s="59">
        <v>2.67</v>
      </c>
      <c r="J97" s="59">
        <v>4.7</v>
      </c>
      <c r="K97" s="59">
        <v>46.5</v>
      </c>
      <c r="L97" s="58">
        <v>733</v>
      </c>
      <c r="P97" s="355"/>
      <c r="Q97" s="281">
        <v>44692</v>
      </c>
      <c r="R97" s="3" t="s">
        <v>4</v>
      </c>
      <c r="S97" s="95" t="s">
        <v>11</v>
      </c>
      <c r="T97" s="3" t="s">
        <v>26</v>
      </c>
      <c r="U97" s="5" t="s">
        <v>0</v>
      </c>
      <c r="V97" s="294">
        <v>62.9</v>
      </c>
      <c r="W97" s="283">
        <v>1.8</v>
      </c>
      <c r="X97" s="294">
        <v>2.2000000000000002</v>
      </c>
      <c r="Y97" s="294">
        <v>25.9</v>
      </c>
      <c r="Z97" s="294">
        <v>11.5</v>
      </c>
      <c r="AA97" s="283">
        <v>529</v>
      </c>
      <c r="AB97" s="355"/>
    </row>
    <row r="98" spans="2:28" ht="14.5" x14ac:dyDescent="0.35">
      <c r="B98" s="83">
        <v>44690</v>
      </c>
      <c r="C98" s="3" t="s">
        <v>3</v>
      </c>
      <c r="D98" s="95" t="s">
        <v>2</v>
      </c>
      <c r="E98" s="3" t="s">
        <v>26</v>
      </c>
      <c r="F98" s="5" t="s">
        <v>1</v>
      </c>
      <c r="G98" s="57">
        <v>61.46</v>
      </c>
      <c r="H98" s="57">
        <v>5.49</v>
      </c>
      <c r="I98" s="57">
        <v>3.07</v>
      </c>
      <c r="J98" s="57">
        <v>6.1</v>
      </c>
      <c r="K98" s="57">
        <v>41.4</v>
      </c>
      <c r="L98" s="56">
        <v>741</v>
      </c>
      <c r="P98" s="355"/>
      <c r="Q98" s="327">
        <v>44693</v>
      </c>
      <c r="R98" s="3" t="s">
        <v>4</v>
      </c>
      <c r="S98" s="95" t="s">
        <v>11</v>
      </c>
      <c r="T98" s="3" t="s">
        <v>26</v>
      </c>
      <c r="U98" s="5" t="s">
        <v>0</v>
      </c>
      <c r="V98" s="297">
        <v>62.2</v>
      </c>
      <c r="W98" s="297">
        <v>3</v>
      </c>
      <c r="X98" s="297">
        <v>2.4</v>
      </c>
      <c r="Y98" s="297">
        <v>30.6</v>
      </c>
      <c r="Z98" s="297">
        <v>13.1</v>
      </c>
      <c r="AA98" s="287">
        <v>530</v>
      </c>
      <c r="AB98" s="355"/>
    </row>
    <row r="99" spans="2:28" ht="14.5" x14ac:dyDescent="0.35">
      <c r="B99" s="83">
        <v>44690</v>
      </c>
      <c r="C99" s="3" t="s">
        <v>3</v>
      </c>
      <c r="D99" s="95" t="s">
        <v>2</v>
      </c>
      <c r="E99" s="3" t="s">
        <v>26</v>
      </c>
      <c r="F99" s="5" t="s">
        <v>1</v>
      </c>
      <c r="G99" s="57">
        <v>61.38</v>
      </c>
      <c r="H99" s="57">
        <v>5.72</v>
      </c>
      <c r="I99" s="70">
        <v>2.95</v>
      </c>
      <c r="J99" s="57"/>
      <c r="K99" s="57"/>
      <c r="L99" s="56">
        <v>743</v>
      </c>
      <c r="P99" s="355"/>
      <c r="Q99" s="281">
        <v>44693</v>
      </c>
      <c r="R99" s="3" t="s">
        <v>4</v>
      </c>
      <c r="S99" s="95" t="s">
        <v>11</v>
      </c>
      <c r="T99" s="3" t="s">
        <v>26</v>
      </c>
      <c r="U99" s="5" t="s">
        <v>0</v>
      </c>
      <c r="V99" s="294">
        <v>61</v>
      </c>
      <c r="W99" s="299">
        <v>5.6</v>
      </c>
      <c r="X99" s="294">
        <v>3</v>
      </c>
      <c r="Y99" s="294">
        <v>2.5</v>
      </c>
      <c r="Z99" s="299">
        <v>26</v>
      </c>
      <c r="AA99" s="283">
        <v>532</v>
      </c>
      <c r="AB99" s="355"/>
    </row>
    <row r="100" spans="2:28" ht="14.5" x14ac:dyDescent="0.35">
      <c r="B100" s="83">
        <v>44694</v>
      </c>
      <c r="C100" s="3" t="s">
        <v>3</v>
      </c>
      <c r="D100" s="95" t="s">
        <v>2</v>
      </c>
      <c r="E100" s="3" t="s">
        <v>26</v>
      </c>
      <c r="F100" s="5" t="s">
        <v>1</v>
      </c>
      <c r="G100" s="70">
        <v>60.92</v>
      </c>
      <c r="H100" s="70">
        <v>6.19</v>
      </c>
      <c r="I100" s="70">
        <v>3.05</v>
      </c>
      <c r="J100" s="57">
        <v>5.4</v>
      </c>
      <c r="K100" s="57">
        <v>41.3</v>
      </c>
      <c r="L100" s="56">
        <v>761</v>
      </c>
      <c r="P100" s="355"/>
      <c r="Q100" s="281">
        <v>44694</v>
      </c>
      <c r="R100" s="3" t="s">
        <v>4</v>
      </c>
      <c r="S100" s="95" t="s">
        <v>11</v>
      </c>
      <c r="T100" s="3" t="s">
        <v>26</v>
      </c>
      <c r="U100" s="5" t="s">
        <v>0</v>
      </c>
      <c r="V100" s="294">
        <v>60.6</v>
      </c>
      <c r="W100" s="299">
        <v>6</v>
      </c>
      <c r="X100" s="294">
        <v>1.8</v>
      </c>
      <c r="Y100" s="294">
        <v>23.3</v>
      </c>
      <c r="Z100" s="294">
        <v>12.6</v>
      </c>
      <c r="AA100" s="283">
        <v>534</v>
      </c>
      <c r="AB100" s="355"/>
    </row>
    <row r="101" spans="2:28" ht="14.5" x14ac:dyDescent="0.35">
      <c r="B101" s="88">
        <v>44698</v>
      </c>
      <c r="C101" s="3" t="s">
        <v>3</v>
      </c>
      <c r="D101" s="95" t="s">
        <v>2</v>
      </c>
      <c r="E101" s="3" t="s">
        <v>26</v>
      </c>
      <c r="F101" s="5" t="s">
        <v>1</v>
      </c>
      <c r="G101" s="65">
        <v>61.92</v>
      </c>
      <c r="H101" s="65">
        <v>5.16</v>
      </c>
      <c r="I101" s="65">
        <v>2.54</v>
      </c>
      <c r="J101" s="65">
        <v>6.2</v>
      </c>
      <c r="K101" s="57">
        <v>40.1</v>
      </c>
      <c r="L101" s="62">
        <v>785</v>
      </c>
      <c r="P101" s="355"/>
      <c r="Q101" s="281">
        <v>44694</v>
      </c>
      <c r="R101" s="3" t="s">
        <v>4</v>
      </c>
      <c r="S101" s="95" t="s">
        <v>11</v>
      </c>
      <c r="T101" s="3" t="s">
        <v>26</v>
      </c>
      <c r="U101" s="5" t="s">
        <v>0</v>
      </c>
      <c r="V101" s="299">
        <v>59.8</v>
      </c>
      <c r="W101" s="299">
        <v>6.9</v>
      </c>
      <c r="X101" s="294">
        <v>1.9</v>
      </c>
      <c r="Y101" s="294">
        <v>23.2</v>
      </c>
      <c r="Z101" s="294">
        <v>14.7</v>
      </c>
      <c r="AA101" s="283">
        <v>529</v>
      </c>
      <c r="AB101" s="355"/>
    </row>
    <row r="102" spans="2:28" ht="14.5" x14ac:dyDescent="0.35">
      <c r="B102" s="88">
        <v>44698</v>
      </c>
      <c r="C102" s="3" t="s">
        <v>3</v>
      </c>
      <c r="D102" s="95" t="s">
        <v>2</v>
      </c>
      <c r="E102" s="3" t="s">
        <v>26</v>
      </c>
      <c r="F102" s="5" t="s">
        <v>1</v>
      </c>
      <c r="G102" s="65">
        <v>61.57</v>
      </c>
      <c r="H102" s="65">
        <v>5.5</v>
      </c>
      <c r="I102" s="65">
        <v>2.89</v>
      </c>
      <c r="J102" s="65">
        <v>5.0999999999999996</v>
      </c>
      <c r="K102" s="57">
        <v>45.1</v>
      </c>
      <c r="L102" s="62">
        <v>784</v>
      </c>
      <c r="P102" s="355"/>
      <c r="Q102" s="281">
        <v>44694</v>
      </c>
      <c r="R102" s="3" t="s">
        <v>4</v>
      </c>
      <c r="S102" s="95" t="s">
        <v>11</v>
      </c>
      <c r="T102" s="3" t="s">
        <v>26</v>
      </c>
      <c r="U102" s="5" t="s">
        <v>0</v>
      </c>
      <c r="V102" s="299">
        <v>59</v>
      </c>
      <c r="W102" s="299">
        <v>4.8</v>
      </c>
      <c r="X102" s="299">
        <v>4</v>
      </c>
      <c r="Y102" s="294">
        <v>10</v>
      </c>
      <c r="Z102" s="299">
        <v>22.5</v>
      </c>
      <c r="AA102" s="283">
        <v>535</v>
      </c>
      <c r="AB102" s="355"/>
    </row>
    <row r="103" spans="2:28" ht="14.5" x14ac:dyDescent="0.35">
      <c r="B103" s="88">
        <v>44698</v>
      </c>
      <c r="C103" s="3" t="s">
        <v>3</v>
      </c>
      <c r="D103" s="95" t="s">
        <v>2</v>
      </c>
      <c r="E103" s="3" t="s">
        <v>26</v>
      </c>
      <c r="F103" s="5" t="s">
        <v>1</v>
      </c>
      <c r="G103" s="65">
        <v>60.97</v>
      </c>
      <c r="H103" s="73">
        <v>6.14</v>
      </c>
      <c r="I103" s="65">
        <v>3.01</v>
      </c>
      <c r="J103" s="65">
        <v>5.7</v>
      </c>
      <c r="K103" s="57">
        <v>43.5</v>
      </c>
      <c r="L103" s="62">
        <v>788</v>
      </c>
      <c r="P103" s="355"/>
      <c r="Q103" s="281">
        <v>44695</v>
      </c>
      <c r="R103" s="3" t="s">
        <v>4</v>
      </c>
      <c r="S103" s="95" t="s">
        <v>11</v>
      </c>
      <c r="T103" s="3" t="s">
        <v>26</v>
      </c>
      <c r="U103" s="5" t="s">
        <v>0</v>
      </c>
      <c r="V103" s="299">
        <v>58.2</v>
      </c>
      <c r="W103" s="299">
        <v>8.6</v>
      </c>
      <c r="X103" s="294">
        <v>2.5</v>
      </c>
      <c r="Y103" s="294">
        <v>23.7</v>
      </c>
      <c r="Z103" s="294">
        <v>15.3</v>
      </c>
      <c r="AA103" s="283">
        <v>537</v>
      </c>
      <c r="AB103" s="355"/>
    </row>
    <row r="104" spans="2:28" ht="14.5" x14ac:dyDescent="0.35">
      <c r="B104" s="88">
        <v>44699</v>
      </c>
      <c r="C104" s="3" t="s">
        <v>3</v>
      </c>
      <c r="D104" s="95" t="s">
        <v>2</v>
      </c>
      <c r="E104" s="3" t="s">
        <v>26</v>
      </c>
      <c r="F104" s="5" t="s">
        <v>1</v>
      </c>
      <c r="G104" s="65">
        <v>60.99</v>
      </c>
      <c r="H104" s="73">
        <v>6.15</v>
      </c>
      <c r="I104" s="73">
        <v>3.08</v>
      </c>
      <c r="J104" s="65">
        <v>4.9000000000000004</v>
      </c>
      <c r="K104" s="57">
        <v>44.6</v>
      </c>
      <c r="L104" s="62">
        <v>792</v>
      </c>
      <c r="P104" s="355"/>
      <c r="Q104" s="281">
        <v>44696</v>
      </c>
      <c r="R104" s="3" t="s">
        <v>4</v>
      </c>
      <c r="S104" s="95" t="s">
        <v>11</v>
      </c>
      <c r="T104" s="3" t="s">
        <v>26</v>
      </c>
      <c r="U104" s="5" t="s">
        <v>0</v>
      </c>
      <c r="V104" s="294">
        <v>61.2</v>
      </c>
      <c r="W104" s="299">
        <v>4.0999999999999996</v>
      </c>
      <c r="X104" s="294">
        <v>2.5</v>
      </c>
      <c r="Y104" s="294">
        <v>10.5</v>
      </c>
      <c r="Z104" s="299">
        <v>34.200000000000003</v>
      </c>
      <c r="AA104" s="283">
        <v>538</v>
      </c>
      <c r="AB104" s="355"/>
    </row>
    <row r="105" spans="2:28" ht="14.5" x14ac:dyDescent="0.35">
      <c r="B105" s="88">
        <v>44700</v>
      </c>
      <c r="C105" s="3" t="s">
        <v>3</v>
      </c>
      <c r="D105" s="95" t="s">
        <v>2</v>
      </c>
      <c r="E105" s="3" t="s">
        <v>26</v>
      </c>
      <c r="F105" s="5" t="s">
        <v>1</v>
      </c>
      <c r="G105" s="65">
        <v>61.17</v>
      </c>
      <c r="H105" s="65">
        <v>6.44</v>
      </c>
      <c r="I105" s="65">
        <v>2.5099999999999998</v>
      </c>
      <c r="J105" s="65">
        <v>5.0999999999999996</v>
      </c>
      <c r="K105" s="57">
        <v>41.1</v>
      </c>
      <c r="L105" s="62">
        <v>795</v>
      </c>
      <c r="P105" s="355"/>
      <c r="Q105" s="281">
        <v>44696</v>
      </c>
      <c r="R105" s="3" t="s">
        <v>4</v>
      </c>
      <c r="S105" s="95" t="s">
        <v>11</v>
      </c>
      <c r="T105" s="3" t="s">
        <v>26</v>
      </c>
      <c r="U105" s="5" t="s">
        <v>0</v>
      </c>
      <c r="V105" s="294">
        <v>63</v>
      </c>
      <c r="W105" s="294">
        <v>3</v>
      </c>
      <c r="X105" s="294">
        <v>1.5</v>
      </c>
      <c r="Y105" s="294">
        <v>11.6</v>
      </c>
      <c r="Z105" s="299">
        <v>39.9</v>
      </c>
      <c r="AA105" s="283">
        <v>539</v>
      </c>
      <c r="AB105" s="355"/>
    </row>
    <row r="106" spans="2:28" ht="14.5" x14ac:dyDescent="0.35">
      <c r="B106" s="88">
        <v>44702</v>
      </c>
      <c r="C106" s="3" t="s">
        <v>3</v>
      </c>
      <c r="D106" s="95" t="s">
        <v>2</v>
      </c>
      <c r="E106" s="3" t="s">
        <v>26</v>
      </c>
      <c r="F106" s="5" t="s">
        <v>1</v>
      </c>
      <c r="G106" s="65">
        <v>60.5</v>
      </c>
      <c r="H106" s="65">
        <v>6.75</v>
      </c>
      <c r="I106" s="73">
        <v>3.17</v>
      </c>
      <c r="J106" s="65">
        <v>6.1</v>
      </c>
      <c r="K106" s="57">
        <v>45.3</v>
      </c>
      <c r="L106" s="62">
        <v>805</v>
      </c>
      <c r="P106" s="355"/>
      <c r="Q106" s="281">
        <v>44696</v>
      </c>
      <c r="R106" s="3" t="s">
        <v>4</v>
      </c>
      <c r="S106" s="95" t="s">
        <v>11</v>
      </c>
      <c r="T106" s="3" t="s">
        <v>26</v>
      </c>
      <c r="U106" s="5" t="s">
        <v>0</v>
      </c>
      <c r="V106" s="294">
        <v>61</v>
      </c>
      <c r="W106" s="299">
        <v>4</v>
      </c>
      <c r="X106" s="299">
        <v>3.9</v>
      </c>
      <c r="Y106" s="294">
        <v>7.6</v>
      </c>
      <c r="Z106" s="294">
        <v>15</v>
      </c>
      <c r="AA106" s="283">
        <v>540</v>
      </c>
      <c r="AB106" s="355"/>
    </row>
    <row r="107" spans="2:28" ht="14.5" x14ac:dyDescent="0.35">
      <c r="B107" s="88">
        <v>44702</v>
      </c>
      <c r="C107" s="3" t="s">
        <v>3</v>
      </c>
      <c r="D107" s="95" t="s">
        <v>2</v>
      </c>
      <c r="E107" s="3" t="s">
        <v>26</v>
      </c>
      <c r="F107" s="5" t="s">
        <v>1</v>
      </c>
      <c r="G107" s="65">
        <v>61.71</v>
      </c>
      <c r="H107" s="73">
        <v>5.31</v>
      </c>
      <c r="I107" s="65">
        <v>2.89</v>
      </c>
      <c r="J107" s="65">
        <v>5.2</v>
      </c>
      <c r="K107" s="57">
        <v>41.3</v>
      </c>
      <c r="L107" s="62" t="s">
        <v>241</v>
      </c>
      <c r="P107" s="355"/>
      <c r="Q107" s="281">
        <v>44697</v>
      </c>
      <c r="R107" s="3" t="s">
        <v>4</v>
      </c>
      <c r="S107" s="95" t="s">
        <v>11</v>
      </c>
      <c r="T107" s="3" t="s">
        <v>26</v>
      </c>
      <c r="U107" s="5" t="s">
        <v>0</v>
      </c>
      <c r="V107" s="283">
        <v>62.3</v>
      </c>
      <c r="W107" s="286">
        <v>4</v>
      </c>
      <c r="X107" s="283">
        <v>1.8</v>
      </c>
      <c r="Y107" s="283">
        <v>29.7</v>
      </c>
      <c r="Z107" s="283">
        <v>13.5</v>
      </c>
      <c r="AA107" s="283">
        <v>542</v>
      </c>
      <c r="AB107" s="355"/>
    </row>
    <row r="108" spans="2:28" ht="14.5" x14ac:dyDescent="0.25">
      <c r="B108" s="86">
        <v>44705</v>
      </c>
      <c r="C108" s="3" t="s">
        <v>3</v>
      </c>
      <c r="D108" s="95" t="s">
        <v>2</v>
      </c>
      <c r="E108" s="3" t="s">
        <v>26</v>
      </c>
      <c r="F108" s="5" t="s">
        <v>1</v>
      </c>
      <c r="G108" s="60">
        <v>61.27</v>
      </c>
      <c r="H108" s="60">
        <v>6.01</v>
      </c>
      <c r="I108" s="60">
        <v>2.82</v>
      </c>
      <c r="J108" s="60">
        <v>4.8</v>
      </c>
      <c r="K108" s="60">
        <v>42.6</v>
      </c>
      <c r="L108" s="60">
        <v>822</v>
      </c>
      <c r="P108" s="355"/>
      <c r="Q108" s="281">
        <v>44697</v>
      </c>
      <c r="R108" s="3" t="s">
        <v>4</v>
      </c>
      <c r="S108" s="95" t="s">
        <v>11</v>
      </c>
      <c r="T108" s="3" t="s">
        <v>26</v>
      </c>
      <c r="U108" s="5" t="s">
        <v>0</v>
      </c>
      <c r="V108" s="283">
        <v>62.2</v>
      </c>
      <c r="W108" s="283">
        <v>3.4</v>
      </c>
      <c r="X108" s="283">
        <v>1.6</v>
      </c>
      <c r="Y108" s="283">
        <v>42.5</v>
      </c>
      <c r="Z108" s="283">
        <v>8.9</v>
      </c>
      <c r="AA108" s="283">
        <v>543</v>
      </c>
      <c r="AB108" s="355"/>
    </row>
    <row r="109" spans="2:28" ht="14.5" x14ac:dyDescent="0.25">
      <c r="B109" s="86">
        <v>44706</v>
      </c>
      <c r="C109" s="3" t="s">
        <v>3</v>
      </c>
      <c r="D109" s="95" t="s">
        <v>2</v>
      </c>
      <c r="E109" s="3" t="s">
        <v>26</v>
      </c>
      <c r="F109" s="5" t="s">
        <v>1</v>
      </c>
      <c r="G109" s="60">
        <v>60.88</v>
      </c>
      <c r="H109" s="60">
        <v>6.2</v>
      </c>
      <c r="I109" s="60">
        <v>3.19</v>
      </c>
      <c r="J109" s="60">
        <v>6.1</v>
      </c>
      <c r="K109" s="60">
        <v>43</v>
      </c>
      <c r="L109" s="60">
        <v>826</v>
      </c>
      <c r="P109" s="355"/>
      <c r="Q109" s="281">
        <v>44698</v>
      </c>
      <c r="R109" s="3" t="s">
        <v>4</v>
      </c>
      <c r="S109" s="95" t="s">
        <v>11</v>
      </c>
      <c r="T109" s="3" t="s">
        <v>26</v>
      </c>
      <c r="U109" s="5" t="s">
        <v>0</v>
      </c>
      <c r="V109" s="283">
        <v>61.8</v>
      </c>
      <c r="W109" s="283">
        <v>3.2</v>
      </c>
      <c r="X109" s="283">
        <v>1.6</v>
      </c>
      <c r="Y109" s="283">
        <v>20.5</v>
      </c>
      <c r="Z109" s="283">
        <v>9</v>
      </c>
      <c r="AA109" s="283">
        <v>543</v>
      </c>
      <c r="AB109" s="355"/>
    </row>
    <row r="110" spans="2:28" ht="14.5" x14ac:dyDescent="0.25">
      <c r="B110" s="86">
        <v>44706</v>
      </c>
      <c r="C110" s="3" t="s">
        <v>3</v>
      </c>
      <c r="D110" s="95" t="s">
        <v>2</v>
      </c>
      <c r="E110" s="3" t="s">
        <v>26</v>
      </c>
      <c r="F110" s="5" t="s">
        <v>1</v>
      </c>
      <c r="G110" s="60">
        <v>61</v>
      </c>
      <c r="H110" s="60">
        <v>6.04</v>
      </c>
      <c r="I110" s="60">
        <v>2.98</v>
      </c>
      <c r="J110" s="60">
        <v>5.4</v>
      </c>
      <c r="K110" s="60">
        <v>43.1</v>
      </c>
      <c r="L110" s="60">
        <v>823</v>
      </c>
      <c r="P110" s="355"/>
      <c r="Q110" s="327">
        <v>44698</v>
      </c>
      <c r="R110" s="3" t="s">
        <v>4</v>
      </c>
      <c r="S110" s="95" t="s">
        <v>11</v>
      </c>
      <c r="T110" s="3" t="s">
        <v>26</v>
      </c>
      <c r="U110" s="5" t="s">
        <v>0</v>
      </c>
      <c r="V110" s="287">
        <v>60.3</v>
      </c>
      <c r="W110" s="288">
        <v>5.8</v>
      </c>
      <c r="X110" s="287">
        <v>2.2999999999999998</v>
      </c>
      <c r="Y110" s="287">
        <v>24.8</v>
      </c>
      <c r="Z110" s="288">
        <v>23.5</v>
      </c>
      <c r="AA110" s="287">
        <v>546</v>
      </c>
      <c r="AB110" s="355"/>
    </row>
    <row r="111" spans="2:28" ht="14.5" x14ac:dyDescent="0.25">
      <c r="B111" s="86">
        <v>44706</v>
      </c>
      <c r="C111" s="3" t="s">
        <v>3</v>
      </c>
      <c r="D111" s="95" t="s">
        <v>2</v>
      </c>
      <c r="E111" s="3" t="s">
        <v>26</v>
      </c>
      <c r="F111" s="5" t="s">
        <v>1</v>
      </c>
      <c r="G111" s="60">
        <v>61.26</v>
      </c>
      <c r="H111" s="79">
        <v>5.85</v>
      </c>
      <c r="I111" s="60">
        <v>3.1</v>
      </c>
      <c r="J111" s="60"/>
      <c r="K111" s="60"/>
      <c r="L111" s="60">
        <v>827</v>
      </c>
      <c r="P111" s="355"/>
      <c r="Q111" s="281">
        <v>44698</v>
      </c>
      <c r="R111" s="3" t="s">
        <v>4</v>
      </c>
      <c r="S111" s="95" t="s">
        <v>11</v>
      </c>
      <c r="T111" s="3" t="s">
        <v>26</v>
      </c>
      <c r="U111" s="5" t="s">
        <v>0</v>
      </c>
      <c r="V111" s="283">
        <v>61.4</v>
      </c>
      <c r="W111" s="283">
        <v>3.5</v>
      </c>
      <c r="X111" s="283">
        <v>1.6</v>
      </c>
      <c r="Y111" s="283">
        <v>12.4</v>
      </c>
      <c r="Z111" s="283">
        <v>16.399999999999999</v>
      </c>
      <c r="AA111" s="283">
        <v>544</v>
      </c>
      <c r="AB111" s="355"/>
    </row>
    <row r="112" spans="2:28" ht="14.5" x14ac:dyDescent="0.35">
      <c r="B112" s="88">
        <v>44707</v>
      </c>
      <c r="C112" s="3" t="s">
        <v>3</v>
      </c>
      <c r="D112" s="95" t="s">
        <v>2</v>
      </c>
      <c r="E112" s="3" t="s">
        <v>26</v>
      </c>
      <c r="F112" s="5" t="s">
        <v>1</v>
      </c>
      <c r="G112" s="65">
        <v>60.83</v>
      </c>
      <c r="H112" s="65">
        <v>6.33</v>
      </c>
      <c r="I112" s="65">
        <v>3.12</v>
      </c>
      <c r="J112" s="65">
        <v>4.3</v>
      </c>
      <c r="K112" s="57">
        <v>44.1</v>
      </c>
      <c r="L112" s="62">
        <v>832</v>
      </c>
      <c r="P112" s="355"/>
      <c r="Q112" s="281">
        <v>44699</v>
      </c>
      <c r="R112" s="3" t="s">
        <v>4</v>
      </c>
      <c r="S112" s="95" t="s">
        <v>11</v>
      </c>
      <c r="T112" s="3" t="s">
        <v>26</v>
      </c>
      <c r="U112" s="5" t="s">
        <v>0</v>
      </c>
      <c r="V112" s="283">
        <v>62.4</v>
      </c>
      <c r="W112" s="283">
        <v>2</v>
      </c>
      <c r="X112" s="283">
        <v>3.1</v>
      </c>
      <c r="Y112" s="283">
        <v>17.899999999999999</v>
      </c>
      <c r="Z112" s="283">
        <v>15.6</v>
      </c>
      <c r="AA112" s="283">
        <v>547</v>
      </c>
      <c r="AB112" s="355"/>
    </row>
    <row r="113" spans="2:28" ht="14.5" x14ac:dyDescent="0.35">
      <c r="B113" s="88">
        <v>44709</v>
      </c>
      <c r="C113" s="3" t="s">
        <v>3</v>
      </c>
      <c r="D113" s="95" t="s">
        <v>2</v>
      </c>
      <c r="E113" s="3" t="s">
        <v>26</v>
      </c>
      <c r="F113" s="5" t="s">
        <v>1</v>
      </c>
      <c r="G113" s="65">
        <v>60.67</v>
      </c>
      <c r="H113" s="73">
        <v>7.11</v>
      </c>
      <c r="I113" s="65">
        <v>2.68</v>
      </c>
      <c r="J113" s="65">
        <v>4.4000000000000004</v>
      </c>
      <c r="K113" s="57">
        <v>42.1</v>
      </c>
      <c r="L113" s="62">
        <v>839</v>
      </c>
      <c r="P113" s="355"/>
      <c r="Q113" s="281">
        <v>44699</v>
      </c>
      <c r="R113" s="3" t="s">
        <v>4</v>
      </c>
      <c r="S113" s="95" t="s">
        <v>11</v>
      </c>
      <c r="T113" s="3" t="s">
        <v>26</v>
      </c>
      <c r="U113" s="5" t="s">
        <v>0</v>
      </c>
      <c r="V113" s="283">
        <v>62</v>
      </c>
      <c r="W113" s="283">
        <v>3.2</v>
      </c>
      <c r="X113" s="283">
        <v>2</v>
      </c>
      <c r="Y113" s="283">
        <v>12.4</v>
      </c>
      <c r="Z113" s="286">
        <v>17.8</v>
      </c>
      <c r="AA113" s="283">
        <v>548</v>
      </c>
      <c r="AB113" s="355"/>
    </row>
    <row r="114" spans="2:28" ht="14.5" x14ac:dyDescent="0.35">
      <c r="B114" s="83">
        <v>44709</v>
      </c>
      <c r="C114" s="3" t="s">
        <v>3</v>
      </c>
      <c r="D114" s="95" t="s">
        <v>2</v>
      </c>
      <c r="E114" s="3" t="s">
        <v>26</v>
      </c>
      <c r="F114" s="5" t="s">
        <v>1</v>
      </c>
      <c r="G114" s="57">
        <v>61.38</v>
      </c>
      <c r="H114" s="57">
        <v>5.49</v>
      </c>
      <c r="I114" s="57">
        <v>3.17</v>
      </c>
      <c r="J114" s="57"/>
      <c r="K114" s="57"/>
      <c r="L114" s="56">
        <v>842</v>
      </c>
      <c r="P114" s="355"/>
      <c r="Q114" s="281">
        <v>44699</v>
      </c>
      <c r="R114" s="3" t="s">
        <v>4</v>
      </c>
      <c r="S114" s="95" t="s">
        <v>11</v>
      </c>
      <c r="T114" s="3" t="s">
        <v>26</v>
      </c>
      <c r="U114" s="5" t="s">
        <v>0</v>
      </c>
      <c r="V114" s="283">
        <v>60.3</v>
      </c>
      <c r="W114" s="286">
        <v>6.8</v>
      </c>
      <c r="X114" s="283">
        <v>2.6</v>
      </c>
      <c r="Y114" s="283">
        <v>8.5</v>
      </c>
      <c r="Z114" s="286">
        <v>35.200000000000003</v>
      </c>
      <c r="AA114" s="283">
        <v>549</v>
      </c>
      <c r="AB114" s="355"/>
    </row>
    <row r="115" spans="2:28" ht="14.5" x14ac:dyDescent="0.35">
      <c r="B115" s="83">
        <v>44711</v>
      </c>
      <c r="C115" s="3" t="s">
        <v>3</v>
      </c>
      <c r="D115" s="95" t="s">
        <v>2</v>
      </c>
      <c r="E115" s="3" t="s">
        <v>26</v>
      </c>
      <c r="F115" s="5" t="s">
        <v>1</v>
      </c>
      <c r="G115" s="57">
        <v>60.66</v>
      </c>
      <c r="H115" s="57">
        <v>6.12</v>
      </c>
      <c r="I115" s="57">
        <v>3.47</v>
      </c>
      <c r="J115" s="57"/>
      <c r="K115" s="57"/>
      <c r="L115" s="56">
        <v>851</v>
      </c>
      <c r="P115" s="355"/>
      <c r="Q115" s="329">
        <v>44700</v>
      </c>
      <c r="R115" s="3" t="s">
        <v>4</v>
      </c>
      <c r="S115" s="95" t="s">
        <v>11</v>
      </c>
      <c r="T115" s="3" t="s">
        <v>26</v>
      </c>
      <c r="U115" s="5" t="s">
        <v>0</v>
      </c>
      <c r="V115" s="283">
        <v>62.7</v>
      </c>
      <c r="W115" s="283">
        <v>2.4</v>
      </c>
      <c r="X115" s="283">
        <v>2.7</v>
      </c>
      <c r="Y115" s="283">
        <v>24.9</v>
      </c>
      <c r="Z115" s="283">
        <v>12.4</v>
      </c>
      <c r="AA115" s="283">
        <v>553</v>
      </c>
      <c r="AB115" s="355"/>
    </row>
    <row r="116" spans="2:28" ht="14.5" x14ac:dyDescent="0.35">
      <c r="B116" s="83">
        <v>44711</v>
      </c>
      <c r="C116" s="3" t="s">
        <v>3</v>
      </c>
      <c r="D116" s="95" t="s">
        <v>2</v>
      </c>
      <c r="E116" s="3" t="s">
        <v>26</v>
      </c>
      <c r="F116" s="5" t="s">
        <v>1</v>
      </c>
      <c r="G116" s="57">
        <v>61.04</v>
      </c>
      <c r="H116" s="57">
        <v>6.07</v>
      </c>
      <c r="I116" s="57">
        <v>3.07</v>
      </c>
      <c r="J116" s="57">
        <v>5.0999999999999996</v>
      </c>
      <c r="K116" s="57">
        <v>41.2</v>
      </c>
      <c r="L116" s="56">
        <v>852</v>
      </c>
      <c r="P116" s="355"/>
      <c r="Q116" s="329">
        <v>44700</v>
      </c>
      <c r="R116" s="3" t="s">
        <v>4</v>
      </c>
      <c r="S116" s="95" t="s">
        <v>11</v>
      </c>
      <c r="T116" s="3" t="s">
        <v>26</v>
      </c>
      <c r="U116" s="5" t="s">
        <v>0</v>
      </c>
      <c r="V116" s="283">
        <v>62</v>
      </c>
      <c r="W116" s="286">
        <v>4.2</v>
      </c>
      <c r="X116" s="283">
        <v>1.8</v>
      </c>
      <c r="Y116" s="283">
        <v>16.600000000000001</v>
      </c>
      <c r="Z116" s="283">
        <v>14.4</v>
      </c>
      <c r="AA116" s="283">
        <v>555</v>
      </c>
      <c r="AB116" s="355"/>
    </row>
    <row r="117" spans="2:28" ht="15.5" x14ac:dyDescent="0.35">
      <c r="B117" s="82">
        <v>44712</v>
      </c>
      <c r="C117" s="3" t="s">
        <v>3</v>
      </c>
      <c r="D117" s="95" t="s">
        <v>2</v>
      </c>
      <c r="E117" s="3" t="s">
        <v>26</v>
      </c>
      <c r="F117" s="5" t="s">
        <v>1</v>
      </c>
      <c r="G117" s="59">
        <v>61.29</v>
      </c>
      <c r="H117" s="59">
        <v>5.89</v>
      </c>
      <c r="I117" s="59">
        <v>3.01</v>
      </c>
      <c r="J117" s="59"/>
      <c r="K117" s="59"/>
      <c r="L117" s="58">
        <v>857</v>
      </c>
      <c r="P117" s="355"/>
      <c r="Q117" s="352">
        <v>44700</v>
      </c>
      <c r="R117" s="3" t="s">
        <v>4</v>
      </c>
      <c r="S117" s="95" t="s">
        <v>11</v>
      </c>
      <c r="T117" s="3" t="s">
        <v>26</v>
      </c>
      <c r="U117" s="5" t="s">
        <v>0</v>
      </c>
      <c r="V117" s="303">
        <v>62.1</v>
      </c>
      <c r="W117" s="303">
        <v>3</v>
      </c>
      <c r="X117" s="303">
        <v>2.7</v>
      </c>
      <c r="Y117" s="303">
        <v>2.2000000000000002</v>
      </c>
      <c r="Z117" s="307">
        <v>35.5</v>
      </c>
      <c r="AA117" s="290">
        <v>554</v>
      </c>
      <c r="AB117" s="355"/>
    </row>
    <row r="118" spans="2:28" ht="15.5" x14ac:dyDescent="0.35">
      <c r="B118" s="86">
        <v>44695</v>
      </c>
      <c r="C118" s="3" t="s">
        <v>3</v>
      </c>
      <c r="D118" s="95" t="s">
        <v>9</v>
      </c>
      <c r="E118" s="3" t="s">
        <v>26</v>
      </c>
      <c r="F118" s="5" t="s">
        <v>0</v>
      </c>
      <c r="G118" s="60">
        <v>62.36</v>
      </c>
      <c r="H118" s="60">
        <v>3.42</v>
      </c>
      <c r="I118" s="60">
        <v>3.75</v>
      </c>
      <c r="J118" s="60">
        <v>13.2</v>
      </c>
      <c r="K118" s="60">
        <v>25.7</v>
      </c>
      <c r="L118" s="60" t="s">
        <v>227</v>
      </c>
      <c r="P118" s="355"/>
      <c r="Q118" s="352">
        <v>44702</v>
      </c>
      <c r="R118" s="3" t="s">
        <v>4</v>
      </c>
      <c r="S118" s="95" t="s">
        <v>11</v>
      </c>
      <c r="T118" s="3" t="s">
        <v>26</v>
      </c>
      <c r="U118" s="5" t="s">
        <v>0</v>
      </c>
      <c r="V118" s="303">
        <v>63</v>
      </c>
      <c r="W118" s="303">
        <v>2</v>
      </c>
      <c r="X118" s="303">
        <v>4.8</v>
      </c>
      <c r="Y118" s="303">
        <v>10.9</v>
      </c>
      <c r="Z118" s="307">
        <v>22.8</v>
      </c>
      <c r="AA118" s="290">
        <v>560</v>
      </c>
      <c r="AB118" s="355"/>
    </row>
    <row r="119" spans="2:28" ht="15.5" x14ac:dyDescent="0.35">
      <c r="B119" s="86">
        <v>44695</v>
      </c>
      <c r="C119" s="3" t="s">
        <v>3</v>
      </c>
      <c r="D119" s="95" t="s">
        <v>9</v>
      </c>
      <c r="E119" s="3" t="s">
        <v>26</v>
      </c>
      <c r="F119" s="5" t="s">
        <v>0</v>
      </c>
      <c r="G119" s="60">
        <v>62.59</v>
      </c>
      <c r="H119" s="60">
        <v>3.36</v>
      </c>
      <c r="I119" s="60">
        <v>3.48</v>
      </c>
      <c r="J119" s="60">
        <v>11.3</v>
      </c>
      <c r="K119" s="60">
        <v>29.5</v>
      </c>
      <c r="L119" s="60" t="s">
        <v>228</v>
      </c>
      <c r="P119" s="355"/>
      <c r="Q119" s="353">
        <v>44702</v>
      </c>
      <c r="R119" s="3" t="s">
        <v>4</v>
      </c>
      <c r="S119" s="95" t="s">
        <v>11</v>
      </c>
      <c r="T119" s="3" t="s">
        <v>26</v>
      </c>
      <c r="U119" s="5" t="s">
        <v>0</v>
      </c>
      <c r="V119" s="301">
        <v>63.2</v>
      </c>
      <c r="W119" s="301">
        <v>1.5</v>
      </c>
      <c r="X119" s="301">
        <v>1.6</v>
      </c>
      <c r="Y119" s="301">
        <v>26.9</v>
      </c>
      <c r="Z119" s="301">
        <v>13.6</v>
      </c>
      <c r="AA119" s="296">
        <v>557</v>
      </c>
      <c r="AB119" s="355"/>
    </row>
    <row r="120" spans="2:28" ht="15.5" x14ac:dyDescent="0.25">
      <c r="B120" s="86">
        <v>44701</v>
      </c>
      <c r="C120" s="3" t="s">
        <v>3</v>
      </c>
      <c r="D120" s="95" t="s">
        <v>9</v>
      </c>
      <c r="E120" s="3" t="s">
        <v>26</v>
      </c>
      <c r="F120" s="5" t="s">
        <v>0</v>
      </c>
      <c r="G120" s="60">
        <v>62.62</v>
      </c>
      <c r="H120" s="79">
        <v>3.7</v>
      </c>
      <c r="I120" s="60">
        <v>2.9</v>
      </c>
      <c r="J120" s="60">
        <v>10.5</v>
      </c>
      <c r="K120" s="60">
        <v>30.2</v>
      </c>
      <c r="L120" s="60" t="s">
        <v>229</v>
      </c>
      <c r="P120" s="355"/>
      <c r="Q120" s="332">
        <v>44703</v>
      </c>
      <c r="R120" s="3" t="s">
        <v>4</v>
      </c>
      <c r="S120" s="95" t="s">
        <v>11</v>
      </c>
      <c r="T120" s="3" t="s">
        <v>26</v>
      </c>
      <c r="U120" s="5" t="s">
        <v>0</v>
      </c>
      <c r="V120" s="290">
        <v>62.1</v>
      </c>
      <c r="W120" s="298">
        <v>3.9</v>
      </c>
      <c r="X120" s="290">
        <v>2.4</v>
      </c>
      <c r="Y120" s="290">
        <v>7.8</v>
      </c>
      <c r="Z120" s="290">
        <v>12.6</v>
      </c>
      <c r="AA120" s="290">
        <v>562</v>
      </c>
      <c r="AB120" s="355"/>
    </row>
    <row r="121" spans="2:28" ht="15.5" x14ac:dyDescent="0.25">
      <c r="B121" s="86">
        <v>44683</v>
      </c>
      <c r="C121" s="3" t="s">
        <v>3</v>
      </c>
      <c r="D121" s="95" t="s">
        <v>9</v>
      </c>
      <c r="E121" s="3" t="s">
        <v>26</v>
      </c>
      <c r="F121" s="5" t="s">
        <v>1</v>
      </c>
      <c r="G121" s="60">
        <v>62.17</v>
      </c>
      <c r="H121" s="79">
        <v>3.49</v>
      </c>
      <c r="I121" s="60">
        <v>3.86</v>
      </c>
      <c r="J121" s="60">
        <v>3.2</v>
      </c>
      <c r="K121" s="60">
        <v>42.7</v>
      </c>
      <c r="L121" s="60" t="s">
        <v>227</v>
      </c>
      <c r="P121" s="355"/>
      <c r="Q121" s="332">
        <v>44704</v>
      </c>
      <c r="R121" s="3" t="s">
        <v>4</v>
      </c>
      <c r="S121" s="95" t="s">
        <v>11</v>
      </c>
      <c r="T121" s="3" t="s">
        <v>26</v>
      </c>
      <c r="U121" s="5" t="s">
        <v>0</v>
      </c>
      <c r="V121" s="290">
        <v>62</v>
      </c>
      <c r="W121" s="298">
        <v>3.8</v>
      </c>
      <c r="X121" s="290">
        <v>3</v>
      </c>
      <c r="Y121" s="290">
        <v>17.5</v>
      </c>
      <c r="Z121" s="290">
        <v>14.1</v>
      </c>
      <c r="AA121" s="290">
        <v>552</v>
      </c>
      <c r="AB121" s="355"/>
    </row>
    <row r="122" spans="2:28" ht="15.5" x14ac:dyDescent="0.35">
      <c r="B122" s="83">
        <v>44687</v>
      </c>
      <c r="C122" s="3" t="s">
        <v>3</v>
      </c>
      <c r="D122" s="95" t="s">
        <v>9</v>
      </c>
      <c r="E122" s="3" t="s">
        <v>26</v>
      </c>
      <c r="F122" s="5" t="s">
        <v>1</v>
      </c>
      <c r="G122" s="57">
        <v>60.9</v>
      </c>
      <c r="H122" s="70">
        <v>5.92</v>
      </c>
      <c r="I122" s="57">
        <v>3.34</v>
      </c>
      <c r="J122" s="57">
        <v>2.5</v>
      </c>
      <c r="K122" s="57">
        <v>47.5</v>
      </c>
      <c r="L122" s="56" t="s">
        <v>228</v>
      </c>
      <c r="P122" s="355"/>
      <c r="Q122" s="332">
        <v>44705</v>
      </c>
      <c r="R122" s="3" t="s">
        <v>4</v>
      </c>
      <c r="S122" s="95" t="s">
        <v>11</v>
      </c>
      <c r="T122" s="3" t="s">
        <v>26</v>
      </c>
      <c r="U122" s="5" t="s">
        <v>0</v>
      </c>
      <c r="V122" s="290">
        <v>62.9</v>
      </c>
      <c r="W122" s="290">
        <v>1.8</v>
      </c>
      <c r="X122" s="290">
        <v>2</v>
      </c>
      <c r="Y122" s="290">
        <v>32.799999999999997</v>
      </c>
      <c r="Z122" s="290">
        <v>9.6</v>
      </c>
      <c r="AA122" s="290">
        <v>564</v>
      </c>
      <c r="AB122" s="355"/>
    </row>
    <row r="123" spans="2:28" ht="15.5" x14ac:dyDescent="0.35">
      <c r="B123" s="82">
        <v>44689</v>
      </c>
      <c r="C123" s="3" t="s">
        <v>3</v>
      </c>
      <c r="D123" s="95" t="s">
        <v>9</v>
      </c>
      <c r="E123" s="3" t="s">
        <v>26</v>
      </c>
      <c r="F123" s="5" t="s">
        <v>1</v>
      </c>
      <c r="G123" s="59">
        <v>61.48</v>
      </c>
      <c r="H123" s="80">
        <v>4.9800000000000004</v>
      </c>
      <c r="I123" s="59">
        <v>3.55</v>
      </c>
      <c r="J123" s="59"/>
      <c r="K123" s="59"/>
      <c r="L123" s="58" t="s">
        <v>229</v>
      </c>
      <c r="P123" s="355"/>
      <c r="Q123" s="333">
        <v>44705</v>
      </c>
      <c r="R123" s="3" t="s">
        <v>4</v>
      </c>
      <c r="S123" s="95" t="s">
        <v>11</v>
      </c>
      <c r="T123" s="3" t="s">
        <v>26</v>
      </c>
      <c r="U123" s="5" t="s">
        <v>0</v>
      </c>
      <c r="V123" s="296">
        <v>60.9</v>
      </c>
      <c r="W123" s="321">
        <v>5.0999999999999996</v>
      </c>
      <c r="X123" s="296">
        <v>1.2</v>
      </c>
      <c r="Y123" s="296">
        <v>21.3</v>
      </c>
      <c r="Z123" s="296">
        <v>12.7</v>
      </c>
      <c r="AA123" s="296">
        <v>567</v>
      </c>
      <c r="AB123" s="355"/>
    </row>
    <row r="124" spans="2:28" ht="15.5" x14ac:dyDescent="0.35">
      <c r="B124" s="83">
        <v>44690</v>
      </c>
      <c r="C124" s="3" t="s">
        <v>3</v>
      </c>
      <c r="D124" s="95" t="s">
        <v>9</v>
      </c>
      <c r="E124" s="3" t="s">
        <v>26</v>
      </c>
      <c r="F124" s="5" t="s">
        <v>1</v>
      </c>
      <c r="G124" s="57">
        <v>62.01</v>
      </c>
      <c r="H124" s="57">
        <v>4.57</v>
      </c>
      <c r="I124" s="57">
        <v>2.98</v>
      </c>
      <c r="J124" s="57"/>
      <c r="K124" s="57"/>
      <c r="L124" s="56" t="s">
        <v>230</v>
      </c>
      <c r="P124" s="355"/>
      <c r="Q124" s="332">
        <v>44706</v>
      </c>
      <c r="R124" s="3" t="s">
        <v>4</v>
      </c>
      <c r="S124" s="95" t="s">
        <v>11</v>
      </c>
      <c r="T124" s="3" t="s">
        <v>26</v>
      </c>
      <c r="U124" s="5" t="s">
        <v>0</v>
      </c>
      <c r="V124" s="290">
        <v>63.1</v>
      </c>
      <c r="W124" s="290">
        <v>2.4</v>
      </c>
      <c r="X124" s="290">
        <v>2</v>
      </c>
      <c r="Y124" s="290">
        <v>38</v>
      </c>
      <c r="Z124" s="290">
        <v>7.7</v>
      </c>
      <c r="AA124" s="290">
        <v>569</v>
      </c>
      <c r="AB124" s="355"/>
    </row>
    <row r="125" spans="2:28" ht="15.5" x14ac:dyDescent="0.35">
      <c r="B125" s="83">
        <v>44693</v>
      </c>
      <c r="C125" s="3" t="s">
        <v>3</v>
      </c>
      <c r="D125" s="95" t="s">
        <v>9</v>
      </c>
      <c r="E125" s="3" t="s">
        <v>26</v>
      </c>
      <c r="F125" s="5" t="s">
        <v>1</v>
      </c>
      <c r="G125" s="57">
        <v>61.76</v>
      </c>
      <c r="H125" s="57">
        <v>4.88</v>
      </c>
      <c r="I125" s="57">
        <v>3.08</v>
      </c>
      <c r="J125" s="57">
        <v>3.2</v>
      </c>
      <c r="K125" s="57">
        <v>45</v>
      </c>
      <c r="L125" s="56" t="s">
        <v>231</v>
      </c>
      <c r="P125" s="355"/>
      <c r="Q125" s="332">
        <v>44706</v>
      </c>
      <c r="R125" s="3" t="s">
        <v>4</v>
      </c>
      <c r="S125" s="95" t="s">
        <v>11</v>
      </c>
      <c r="T125" s="3" t="s">
        <v>26</v>
      </c>
      <c r="U125" s="5" t="s">
        <v>0</v>
      </c>
      <c r="V125" s="290">
        <v>61.5</v>
      </c>
      <c r="W125" s="298">
        <v>5.2</v>
      </c>
      <c r="X125" s="290">
        <v>1.4</v>
      </c>
      <c r="Y125" s="290">
        <v>30.4</v>
      </c>
      <c r="Z125" s="290">
        <v>10</v>
      </c>
      <c r="AA125" s="290">
        <v>568</v>
      </c>
      <c r="AB125" s="355"/>
    </row>
    <row r="126" spans="2:28" ht="15.5" x14ac:dyDescent="0.35">
      <c r="B126" s="83">
        <v>44693</v>
      </c>
      <c r="C126" s="3" t="s">
        <v>3</v>
      </c>
      <c r="D126" s="95" t="s">
        <v>9</v>
      </c>
      <c r="E126" s="3" t="s">
        <v>26</v>
      </c>
      <c r="F126" s="5" t="s">
        <v>1</v>
      </c>
      <c r="G126" s="57">
        <v>61.57</v>
      </c>
      <c r="H126" s="57">
        <v>4.8899999999999997</v>
      </c>
      <c r="I126" s="57">
        <v>3.29</v>
      </c>
      <c r="J126" s="57">
        <v>5.0999999999999996</v>
      </c>
      <c r="K126" s="57">
        <v>43.4</v>
      </c>
      <c r="L126" s="56" t="s">
        <v>232</v>
      </c>
      <c r="P126" s="355"/>
      <c r="Q126" s="329">
        <v>44706</v>
      </c>
      <c r="R126" s="3" t="s">
        <v>4</v>
      </c>
      <c r="S126" s="95" t="s">
        <v>11</v>
      </c>
      <c r="T126" s="3" t="s">
        <v>26</v>
      </c>
      <c r="U126" s="5" t="s">
        <v>0</v>
      </c>
      <c r="V126" s="290">
        <v>62.5</v>
      </c>
      <c r="W126" s="290">
        <v>1.8</v>
      </c>
      <c r="X126" s="290">
        <v>1.6</v>
      </c>
      <c r="Y126" s="290">
        <v>14.2</v>
      </c>
      <c r="Z126" s="290">
        <v>13.9</v>
      </c>
      <c r="AA126" s="290">
        <v>559</v>
      </c>
      <c r="AB126" s="355"/>
    </row>
    <row r="127" spans="2:28" ht="15.5" x14ac:dyDescent="0.35">
      <c r="B127" s="82">
        <v>44694</v>
      </c>
      <c r="C127" s="3" t="s">
        <v>3</v>
      </c>
      <c r="D127" s="95" t="s">
        <v>9</v>
      </c>
      <c r="E127" s="3" t="s">
        <v>26</v>
      </c>
      <c r="F127" s="5" t="s">
        <v>1</v>
      </c>
      <c r="G127" s="59">
        <v>61.76</v>
      </c>
      <c r="H127" s="59">
        <v>4.7699999999999996</v>
      </c>
      <c r="I127" s="59">
        <v>3.13</v>
      </c>
      <c r="J127" s="59">
        <v>4</v>
      </c>
      <c r="K127" s="59">
        <v>44.3</v>
      </c>
      <c r="L127" s="58" t="s">
        <v>233</v>
      </c>
      <c r="P127" s="355"/>
      <c r="Q127" s="329">
        <v>44707</v>
      </c>
      <c r="R127" s="3" t="s">
        <v>4</v>
      </c>
      <c r="S127" s="95" t="s">
        <v>11</v>
      </c>
      <c r="T127" s="3" t="s">
        <v>26</v>
      </c>
      <c r="U127" s="5" t="s">
        <v>0</v>
      </c>
      <c r="V127" s="290">
        <v>63.5</v>
      </c>
      <c r="W127" s="290">
        <v>2</v>
      </c>
      <c r="X127" s="290">
        <v>1.6</v>
      </c>
      <c r="Y127" s="290">
        <v>5.7</v>
      </c>
      <c r="Z127" s="298">
        <v>15.7</v>
      </c>
      <c r="AA127" s="290">
        <v>566</v>
      </c>
      <c r="AB127" s="355"/>
    </row>
    <row r="128" spans="2:28" ht="15.5" x14ac:dyDescent="0.35">
      <c r="B128" s="83">
        <v>44695</v>
      </c>
      <c r="C128" s="3" t="s">
        <v>3</v>
      </c>
      <c r="D128" s="95" t="s">
        <v>9</v>
      </c>
      <c r="E128" s="3" t="s">
        <v>26</v>
      </c>
      <c r="F128" s="5" t="s">
        <v>1</v>
      </c>
      <c r="G128" s="57">
        <v>61.86</v>
      </c>
      <c r="H128" s="57">
        <v>5.54</v>
      </c>
      <c r="I128" s="57">
        <v>2.4300000000000002</v>
      </c>
      <c r="J128" s="57">
        <v>0</v>
      </c>
      <c r="K128" s="57">
        <v>0</v>
      </c>
      <c r="L128" s="56" t="s">
        <v>234</v>
      </c>
      <c r="P128" s="355"/>
      <c r="Q128" s="329">
        <v>44707</v>
      </c>
      <c r="R128" s="3" t="s">
        <v>4</v>
      </c>
      <c r="S128" s="95" t="s">
        <v>11</v>
      </c>
      <c r="T128" s="3" t="s">
        <v>26</v>
      </c>
      <c r="U128" s="5" t="s">
        <v>0</v>
      </c>
      <c r="V128" s="290">
        <v>62</v>
      </c>
      <c r="W128" s="290">
        <v>2.9</v>
      </c>
      <c r="X128" s="290">
        <v>2.4</v>
      </c>
      <c r="Y128" s="290">
        <v>19.399999999999999</v>
      </c>
      <c r="Z128" s="290">
        <v>7.3</v>
      </c>
      <c r="AA128" s="290">
        <v>569</v>
      </c>
      <c r="AB128" s="355"/>
    </row>
    <row r="129" spans="2:28" ht="15.5" x14ac:dyDescent="0.35">
      <c r="B129" s="83">
        <v>44701</v>
      </c>
      <c r="C129" s="3" t="s">
        <v>3</v>
      </c>
      <c r="D129" s="95" t="s">
        <v>9</v>
      </c>
      <c r="E129" s="3" t="s">
        <v>26</v>
      </c>
      <c r="F129" s="5" t="s">
        <v>1</v>
      </c>
      <c r="G129" s="70">
        <v>61.8</v>
      </c>
      <c r="H129" s="70">
        <v>4.91</v>
      </c>
      <c r="I129" s="70">
        <v>3.14</v>
      </c>
      <c r="J129" s="57">
        <v>5.3</v>
      </c>
      <c r="K129" s="57">
        <v>43.4</v>
      </c>
      <c r="L129" s="56" t="s">
        <v>235</v>
      </c>
      <c r="P129" s="355"/>
      <c r="Q129" s="334">
        <v>44708</v>
      </c>
      <c r="R129" s="3" t="s">
        <v>4</v>
      </c>
      <c r="S129" s="95" t="s">
        <v>11</v>
      </c>
      <c r="T129" s="3" t="s">
        <v>26</v>
      </c>
      <c r="U129" s="5" t="s">
        <v>0</v>
      </c>
      <c r="V129" s="296">
        <v>61.9</v>
      </c>
      <c r="W129" s="296">
        <v>2</v>
      </c>
      <c r="X129" s="321">
        <v>4.9000000000000004</v>
      </c>
      <c r="Y129" s="296">
        <v>16.399999999999999</v>
      </c>
      <c r="Z129" s="296">
        <v>14.7</v>
      </c>
      <c r="AA129" s="324">
        <v>573</v>
      </c>
      <c r="AB129" s="355"/>
    </row>
    <row r="130" spans="2:28" ht="15.5" x14ac:dyDescent="0.35">
      <c r="B130" s="45">
        <v>44707</v>
      </c>
      <c r="C130" s="3" t="s">
        <v>3</v>
      </c>
      <c r="D130" s="95" t="s">
        <v>9</v>
      </c>
      <c r="E130" s="3" t="s">
        <v>26</v>
      </c>
      <c r="F130" s="5" t="s">
        <v>1</v>
      </c>
      <c r="G130" s="66">
        <v>61.24</v>
      </c>
      <c r="H130" s="66">
        <v>5.22</v>
      </c>
      <c r="I130" s="61">
        <v>3.74</v>
      </c>
      <c r="J130" s="61">
        <v>3.5</v>
      </c>
      <c r="K130" s="61">
        <v>45</v>
      </c>
      <c r="L130" s="133" t="s">
        <v>236</v>
      </c>
      <c r="P130" s="355"/>
      <c r="Q130" s="352">
        <v>44708</v>
      </c>
      <c r="R130" s="3" t="s">
        <v>4</v>
      </c>
      <c r="S130" s="95" t="s">
        <v>11</v>
      </c>
      <c r="T130" s="3" t="s">
        <v>26</v>
      </c>
      <c r="U130" s="5" t="s">
        <v>0</v>
      </c>
      <c r="V130" s="303">
        <v>60.8</v>
      </c>
      <c r="W130" s="303">
        <v>2.5</v>
      </c>
      <c r="X130" s="303">
        <v>4.3</v>
      </c>
      <c r="Y130" s="303">
        <v>20.100000000000001</v>
      </c>
      <c r="Z130" s="303">
        <v>15.2</v>
      </c>
      <c r="AA130" s="290">
        <v>575</v>
      </c>
      <c r="AB130" s="355"/>
    </row>
    <row r="131" spans="2:28" ht="15.5" x14ac:dyDescent="0.35">
      <c r="B131" s="89">
        <v>44708</v>
      </c>
      <c r="C131" s="3" t="s">
        <v>3</v>
      </c>
      <c r="D131" s="95" t="s">
        <v>9</v>
      </c>
      <c r="E131" s="3" t="s">
        <v>26</v>
      </c>
      <c r="F131" s="5" t="s">
        <v>1</v>
      </c>
      <c r="G131" s="52">
        <v>61.73</v>
      </c>
      <c r="H131" s="52">
        <v>4.72</v>
      </c>
      <c r="I131" s="55">
        <v>3.25</v>
      </c>
      <c r="J131" s="55">
        <v>1.7</v>
      </c>
      <c r="K131" s="55">
        <v>47.2</v>
      </c>
      <c r="L131" s="133" t="s">
        <v>237</v>
      </c>
      <c r="P131" s="355"/>
      <c r="Q131" s="352">
        <v>44709</v>
      </c>
      <c r="R131" s="3" t="s">
        <v>4</v>
      </c>
      <c r="S131" s="95" t="s">
        <v>11</v>
      </c>
      <c r="T131" s="3" t="s">
        <v>26</v>
      </c>
      <c r="U131" s="5" t="s">
        <v>0</v>
      </c>
      <c r="V131" s="303">
        <v>62.9</v>
      </c>
      <c r="W131" s="303">
        <v>2.1</v>
      </c>
      <c r="X131" s="303">
        <v>2.8</v>
      </c>
      <c r="Y131" s="303">
        <v>23.2</v>
      </c>
      <c r="Z131" s="303">
        <v>15</v>
      </c>
      <c r="AA131" s="290">
        <v>576</v>
      </c>
      <c r="AB131" s="355"/>
    </row>
    <row r="132" spans="2:28" ht="15.5" x14ac:dyDescent="0.35">
      <c r="B132" s="90">
        <v>44708</v>
      </c>
      <c r="C132" s="3" t="s">
        <v>3</v>
      </c>
      <c r="D132" s="95" t="s">
        <v>9</v>
      </c>
      <c r="E132" s="3" t="s">
        <v>26</v>
      </c>
      <c r="F132" s="5" t="s">
        <v>1</v>
      </c>
      <c r="G132" s="53">
        <v>61.34</v>
      </c>
      <c r="H132" s="53">
        <v>5.58</v>
      </c>
      <c r="I132" s="54">
        <v>3.13</v>
      </c>
      <c r="J132" s="54">
        <v>2.5</v>
      </c>
      <c r="K132" s="54">
        <v>44.4</v>
      </c>
      <c r="L132" s="133" t="s">
        <v>238</v>
      </c>
      <c r="P132" s="355"/>
      <c r="Q132" s="352">
        <v>44709</v>
      </c>
      <c r="R132" s="3" t="s">
        <v>4</v>
      </c>
      <c r="S132" s="95" t="s">
        <v>11</v>
      </c>
      <c r="T132" s="3" t="s">
        <v>26</v>
      </c>
      <c r="U132" s="5" t="s">
        <v>0</v>
      </c>
      <c r="V132" s="303">
        <v>61.5</v>
      </c>
      <c r="W132" s="307">
        <v>4.5999999999999996</v>
      </c>
      <c r="X132" s="303">
        <v>1.5</v>
      </c>
      <c r="Y132" s="303">
        <v>29</v>
      </c>
      <c r="Z132" s="307">
        <v>19.8</v>
      </c>
      <c r="AA132" s="290">
        <v>577</v>
      </c>
      <c r="AB132" s="355"/>
    </row>
    <row r="133" spans="2:28" ht="15.5" x14ac:dyDescent="0.35">
      <c r="B133" s="45">
        <v>44709</v>
      </c>
      <c r="C133" s="3" t="s">
        <v>3</v>
      </c>
      <c r="D133" s="95" t="s">
        <v>9</v>
      </c>
      <c r="E133" s="3" t="s">
        <v>26</v>
      </c>
      <c r="F133" s="5" t="s">
        <v>1</v>
      </c>
      <c r="G133" s="66">
        <v>61.48</v>
      </c>
      <c r="H133" s="66">
        <v>4.76</v>
      </c>
      <c r="I133" s="61">
        <v>3.58</v>
      </c>
      <c r="J133" s="61"/>
      <c r="K133" s="61"/>
      <c r="L133" s="133" t="s">
        <v>239</v>
      </c>
      <c r="P133" s="355"/>
      <c r="Q133" s="352">
        <v>44710</v>
      </c>
      <c r="R133" s="3" t="s">
        <v>4</v>
      </c>
      <c r="S133" s="95" t="s">
        <v>11</v>
      </c>
      <c r="T133" s="3" t="s">
        <v>26</v>
      </c>
      <c r="U133" s="5" t="s">
        <v>0</v>
      </c>
      <c r="V133" s="303">
        <v>61</v>
      </c>
      <c r="W133" s="307">
        <v>5.7</v>
      </c>
      <c r="X133" s="303">
        <v>1.3</v>
      </c>
      <c r="Y133" s="303">
        <v>23.1</v>
      </c>
      <c r="Z133" s="303">
        <v>13.1</v>
      </c>
      <c r="AA133" s="290">
        <v>570</v>
      </c>
      <c r="AB133" s="355"/>
    </row>
    <row r="134" spans="2:28" ht="15.5" x14ac:dyDescent="0.35">
      <c r="B134" s="45">
        <v>44709</v>
      </c>
      <c r="C134" s="3" t="s">
        <v>3</v>
      </c>
      <c r="D134" s="95" t="s">
        <v>9</v>
      </c>
      <c r="E134" s="3" t="s">
        <v>26</v>
      </c>
      <c r="F134" s="5" t="s">
        <v>1</v>
      </c>
      <c r="G134" s="57">
        <v>61.64</v>
      </c>
      <c r="H134" s="70">
        <v>5.7</v>
      </c>
      <c r="I134" s="57">
        <v>2.6</v>
      </c>
      <c r="J134" s="57"/>
      <c r="K134" s="56"/>
      <c r="L134" s="133" t="s">
        <v>242</v>
      </c>
      <c r="P134" s="355"/>
      <c r="Q134" s="352">
        <v>44710</v>
      </c>
      <c r="R134" s="3" t="s">
        <v>4</v>
      </c>
      <c r="S134" s="95" t="s">
        <v>11</v>
      </c>
      <c r="T134" s="3" t="s">
        <v>26</v>
      </c>
      <c r="U134" s="5" t="s">
        <v>0</v>
      </c>
      <c r="V134" s="303">
        <v>61.7</v>
      </c>
      <c r="W134" s="307">
        <v>5.2</v>
      </c>
      <c r="X134" s="303">
        <v>1.6</v>
      </c>
      <c r="Y134" s="303">
        <v>43.6</v>
      </c>
      <c r="Z134" s="307">
        <v>16.7</v>
      </c>
      <c r="AA134" s="290">
        <v>581</v>
      </c>
      <c r="AB134" s="355"/>
    </row>
    <row r="135" spans="2:28" ht="15.5" x14ac:dyDescent="0.35">
      <c r="B135" s="88">
        <v>44712</v>
      </c>
      <c r="C135" s="3" t="s">
        <v>3</v>
      </c>
      <c r="D135" s="95" t="s">
        <v>9</v>
      </c>
      <c r="E135" s="3" t="s">
        <v>26</v>
      </c>
      <c r="F135" s="5" t="s">
        <v>1</v>
      </c>
      <c r="G135" s="73">
        <v>61.99</v>
      </c>
      <c r="H135" s="73">
        <v>4.88</v>
      </c>
      <c r="I135" s="65">
        <v>2.91</v>
      </c>
      <c r="J135" s="65"/>
      <c r="K135" s="63"/>
      <c r="L135" s="133" t="s">
        <v>243</v>
      </c>
      <c r="P135" s="355"/>
      <c r="Q135" s="352">
        <v>44710</v>
      </c>
      <c r="R135" s="3" t="s">
        <v>4</v>
      </c>
      <c r="S135" s="95" t="s">
        <v>11</v>
      </c>
      <c r="T135" s="3" t="s">
        <v>26</v>
      </c>
      <c r="U135" s="5" t="s">
        <v>0</v>
      </c>
      <c r="V135" s="303">
        <v>61</v>
      </c>
      <c r="W135" s="307">
        <v>3.9</v>
      </c>
      <c r="X135" s="303">
        <v>2.6</v>
      </c>
      <c r="Y135" s="303">
        <v>6.5</v>
      </c>
      <c r="Z135" s="303">
        <v>13.7</v>
      </c>
      <c r="AA135" s="290">
        <v>583</v>
      </c>
      <c r="AB135" s="355"/>
    </row>
    <row r="136" spans="2:28" ht="15.5" x14ac:dyDescent="0.35">
      <c r="B136" s="91">
        <v>44712</v>
      </c>
      <c r="C136" s="3" t="s">
        <v>3</v>
      </c>
      <c r="D136" s="95" t="s">
        <v>9</v>
      </c>
      <c r="E136" s="3" t="s">
        <v>26</v>
      </c>
      <c r="F136" s="5" t="s">
        <v>1</v>
      </c>
      <c r="G136" s="64">
        <v>61.57</v>
      </c>
      <c r="H136" s="74">
        <v>5.42</v>
      </c>
      <c r="I136" s="64">
        <v>3.09</v>
      </c>
      <c r="J136" s="72"/>
      <c r="K136" s="58"/>
      <c r="L136" s="133" t="s">
        <v>243</v>
      </c>
      <c r="P136" s="355"/>
      <c r="Q136" s="352">
        <v>44711</v>
      </c>
      <c r="R136" s="3" t="s">
        <v>4</v>
      </c>
      <c r="S136" s="95" t="s">
        <v>11</v>
      </c>
      <c r="T136" s="3" t="s">
        <v>26</v>
      </c>
      <c r="U136" s="5" t="s">
        <v>0</v>
      </c>
      <c r="V136" s="303">
        <v>61.5</v>
      </c>
      <c r="W136" s="307">
        <v>4</v>
      </c>
      <c r="X136" s="303">
        <v>2.5</v>
      </c>
      <c r="Y136" s="303">
        <v>18.2</v>
      </c>
      <c r="Z136" s="303">
        <v>11.8</v>
      </c>
      <c r="AA136" s="290">
        <v>574</v>
      </c>
      <c r="AB136" s="355"/>
    </row>
    <row r="137" spans="2:28" ht="15.5" x14ac:dyDescent="0.35">
      <c r="B137" s="84">
        <v>44682</v>
      </c>
      <c r="C137" s="3" t="s">
        <v>3</v>
      </c>
      <c r="D137" s="95" t="s">
        <v>11</v>
      </c>
      <c r="E137" s="3" t="s">
        <v>26</v>
      </c>
      <c r="F137" s="5" t="s">
        <v>0</v>
      </c>
      <c r="G137" s="75">
        <v>63.11</v>
      </c>
      <c r="H137" s="76">
        <v>3.46</v>
      </c>
      <c r="I137" s="75">
        <v>2.62</v>
      </c>
      <c r="J137" s="75">
        <v>10.5</v>
      </c>
      <c r="K137" s="75">
        <v>28.3</v>
      </c>
      <c r="L137" s="133" t="s">
        <v>227</v>
      </c>
      <c r="P137" s="355"/>
      <c r="Q137" s="352">
        <v>44711</v>
      </c>
      <c r="R137" s="3" t="s">
        <v>4</v>
      </c>
      <c r="S137" s="95" t="s">
        <v>11</v>
      </c>
      <c r="T137" s="3" t="s">
        <v>26</v>
      </c>
      <c r="U137" s="5" t="s">
        <v>0</v>
      </c>
      <c r="V137" s="303">
        <v>62.9</v>
      </c>
      <c r="W137" s="303">
        <v>2.9</v>
      </c>
      <c r="X137" s="303">
        <v>0.6</v>
      </c>
      <c r="Y137" s="303">
        <v>19.7</v>
      </c>
      <c r="Z137" s="307">
        <v>21.2</v>
      </c>
      <c r="AA137" s="290">
        <v>585</v>
      </c>
      <c r="AB137" s="355"/>
    </row>
    <row r="138" spans="2:28" ht="16" thickBot="1" x14ac:dyDescent="0.4">
      <c r="B138" s="92">
        <v>44684</v>
      </c>
      <c r="C138" s="3" t="s">
        <v>3</v>
      </c>
      <c r="D138" s="95" t="s">
        <v>11</v>
      </c>
      <c r="E138" s="3" t="s">
        <v>26</v>
      </c>
      <c r="F138" s="5" t="s">
        <v>0</v>
      </c>
      <c r="G138" s="77">
        <v>62.34</v>
      </c>
      <c r="H138" s="78">
        <v>4.38</v>
      </c>
      <c r="I138" s="77">
        <v>2.82</v>
      </c>
      <c r="J138" s="77">
        <v>15.2</v>
      </c>
      <c r="K138" s="77">
        <v>27.5</v>
      </c>
      <c r="L138" s="133" t="s">
        <v>228</v>
      </c>
      <c r="P138" s="355"/>
      <c r="Q138" s="335">
        <v>44712</v>
      </c>
      <c r="R138" s="3" t="s">
        <v>4</v>
      </c>
      <c r="S138" s="95" t="s">
        <v>11</v>
      </c>
      <c r="T138" s="3" t="s">
        <v>26</v>
      </c>
      <c r="U138" s="5" t="s">
        <v>0</v>
      </c>
      <c r="V138" s="325">
        <v>62.7</v>
      </c>
      <c r="W138" s="325">
        <v>3.3</v>
      </c>
      <c r="X138" s="325">
        <v>2</v>
      </c>
      <c r="Y138" s="325">
        <v>11.1</v>
      </c>
      <c r="Z138" s="326">
        <v>19.899999999999999</v>
      </c>
      <c r="AA138" s="325">
        <v>586</v>
      </c>
      <c r="AB138" s="355"/>
    </row>
    <row r="139" spans="2:28" ht="15.5" x14ac:dyDescent="0.25">
      <c r="B139" s="84">
        <v>44684</v>
      </c>
      <c r="C139" s="3" t="s">
        <v>3</v>
      </c>
      <c r="D139" s="95" t="s">
        <v>11</v>
      </c>
      <c r="E139" s="3" t="s">
        <v>26</v>
      </c>
      <c r="F139" s="5" t="s">
        <v>0</v>
      </c>
      <c r="G139" s="76">
        <v>62.51</v>
      </c>
      <c r="H139" s="76">
        <v>4.4000000000000004</v>
      </c>
      <c r="I139" s="75">
        <v>2.5499999999999998</v>
      </c>
      <c r="J139" s="75">
        <v>11.5</v>
      </c>
      <c r="K139" s="75">
        <v>24.4</v>
      </c>
      <c r="L139" s="133" t="s">
        <v>229</v>
      </c>
      <c r="P139" s="355"/>
      <c r="Q139" s="340">
        <v>44682</v>
      </c>
      <c r="R139" s="5" t="s">
        <v>4</v>
      </c>
      <c r="S139" s="95" t="s">
        <v>9</v>
      </c>
      <c r="T139" s="5" t="s">
        <v>26</v>
      </c>
      <c r="U139" s="5" t="s">
        <v>0</v>
      </c>
      <c r="V139" s="284">
        <v>63.5</v>
      </c>
      <c r="W139" s="284">
        <v>1.8</v>
      </c>
      <c r="X139" s="284">
        <v>2</v>
      </c>
      <c r="Y139" s="284">
        <v>7.8</v>
      </c>
      <c r="Z139" s="284">
        <v>9.1999999999999993</v>
      </c>
      <c r="AA139" s="284">
        <v>13</v>
      </c>
      <c r="AB139" s="355"/>
    </row>
    <row r="140" spans="2:28" ht="14.5" x14ac:dyDescent="0.35">
      <c r="B140" s="83">
        <v>44686</v>
      </c>
      <c r="C140" s="3" t="s">
        <v>3</v>
      </c>
      <c r="D140" s="95" t="s">
        <v>11</v>
      </c>
      <c r="E140" s="3" t="s">
        <v>26</v>
      </c>
      <c r="F140" s="5" t="s">
        <v>0</v>
      </c>
      <c r="G140" s="57">
        <v>62.81</v>
      </c>
      <c r="H140" s="57">
        <v>3.64</v>
      </c>
      <c r="I140" s="57">
        <v>2.89</v>
      </c>
      <c r="J140" s="57">
        <v>15.3</v>
      </c>
      <c r="K140" s="57">
        <v>25.5</v>
      </c>
      <c r="L140" s="133" t="s">
        <v>230</v>
      </c>
      <c r="P140" s="355"/>
      <c r="Q140" s="341">
        <v>44684</v>
      </c>
      <c r="R140" s="5" t="s">
        <v>4</v>
      </c>
      <c r="S140" s="95" t="s">
        <v>9</v>
      </c>
      <c r="T140" s="5" t="s">
        <v>26</v>
      </c>
      <c r="U140" s="5" t="s">
        <v>0</v>
      </c>
      <c r="V140" s="283">
        <v>62.3</v>
      </c>
      <c r="W140" s="283">
        <v>2.4</v>
      </c>
      <c r="X140" s="283">
        <v>2.4</v>
      </c>
      <c r="Y140" s="283">
        <v>19.3</v>
      </c>
      <c r="Z140" s="283">
        <v>12.6</v>
      </c>
      <c r="AA140" s="285">
        <v>2</v>
      </c>
      <c r="AB140" s="355"/>
    </row>
    <row r="141" spans="2:28" ht="14.5" x14ac:dyDescent="0.35">
      <c r="B141" s="82">
        <v>44687</v>
      </c>
      <c r="C141" s="3" t="s">
        <v>3</v>
      </c>
      <c r="D141" s="95" t="s">
        <v>11</v>
      </c>
      <c r="E141" s="3" t="s">
        <v>26</v>
      </c>
      <c r="F141" s="5" t="s">
        <v>0</v>
      </c>
      <c r="G141" s="59">
        <v>61.85</v>
      </c>
      <c r="H141" s="80">
        <v>4.8899999999999997</v>
      </c>
      <c r="I141" s="59">
        <v>3.03</v>
      </c>
      <c r="J141" s="59">
        <v>16.3</v>
      </c>
      <c r="K141" s="59">
        <v>26.2</v>
      </c>
      <c r="L141" s="133" t="s">
        <v>231</v>
      </c>
      <c r="P141" s="355"/>
      <c r="Q141" s="352">
        <v>44682</v>
      </c>
      <c r="R141" s="5" t="s">
        <v>30</v>
      </c>
      <c r="S141" s="94" t="s">
        <v>11</v>
      </c>
      <c r="T141" s="5" t="s">
        <v>26</v>
      </c>
      <c r="U141" s="5" t="s">
        <v>0</v>
      </c>
      <c r="V141" s="355">
        <v>64.010000000000005</v>
      </c>
      <c r="W141" s="355">
        <v>1.98</v>
      </c>
      <c r="X141" s="355">
        <v>1.77</v>
      </c>
      <c r="Y141" s="350">
        <v>0</v>
      </c>
      <c r="Z141" s="354">
        <v>16.312056737588652</v>
      </c>
      <c r="AA141" s="351">
        <v>261006638</v>
      </c>
      <c r="AB141" s="355"/>
    </row>
    <row r="142" spans="2:28" ht="14.5" x14ac:dyDescent="0.35">
      <c r="B142" s="86">
        <v>44688</v>
      </c>
      <c r="C142" s="3" t="s">
        <v>3</v>
      </c>
      <c r="D142" s="95" t="s">
        <v>11</v>
      </c>
      <c r="E142" s="3" t="s">
        <v>26</v>
      </c>
      <c r="F142" s="5" t="s">
        <v>0</v>
      </c>
      <c r="G142" s="60">
        <v>62.89</v>
      </c>
      <c r="H142" s="79">
        <v>3.4</v>
      </c>
      <c r="I142" s="60">
        <v>2.82</v>
      </c>
      <c r="J142" s="60">
        <v>12.3</v>
      </c>
      <c r="K142" s="60">
        <v>25.2</v>
      </c>
      <c r="L142" s="133" t="s">
        <v>232</v>
      </c>
      <c r="P142" s="355"/>
      <c r="Q142" s="352">
        <v>44683</v>
      </c>
      <c r="R142" s="5" t="s">
        <v>30</v>
      </c>
      <c r="S142" s="94" t="s">
        <v>9</v>
      </c>
      <c r="T142" s="5" t="s">
        <v>26</v>
      </c>
      <c r="U142" s="5" t="s">
        <v>0</v>
      </c>
      <c r="V142" s="355">
        <v>62.38</v>
      </c>
      <c r="W142" s="355">
        <v>5.39</v>
      </c>
      <c r="X142" s="355">
        <v>1.1200000000000001</v>
      </c>
      <c r="Y142" s="350">
        <v>0</v>
      </c>
      <c r="Z142" s="354">
        <v>16.091954022988503</v>
      </c>
      <c r="AA142" s="351">
        <v>261005799</v>
      </c>
      <c r="AB142" s="355"/>
    </row>
    <row r="143" spans="2:28" ht="14.5" x14ac:dyDescent="0.35">
      <c r="B143" s="86">
        <v>44689</v>
      </c>
      <c r="C143" s="3" t="s">
        <v>3</v>
      </c>
      <c r="D143" s="95" t="s">
        <v>11</v>
      </c>
      <c r="E143" s="3" t="s">
        <v>26</v>
      </c>
      <c r="F143" s="5" t="s">
        <v>0</v>
      </c>
      <c r="G143" s="79">
        <v>62.67</v>
      </c>
      <c r="H143" s="79">
        <v>3.57</v>
      </c>
      <c r="I143" s="60">
        <v>2.98</v>
      </c>
      <c r="J143" s="60">
        <v>15.5</v>
      </c>
      <c r="K143" s="60">
        <v>27.5</v>
      </c>
      <c r="L143" s="133" t="s">
        <v>233</v>
      </c>
      <c r="P143" s="355"/>
      <c r="Q143" s="352">
        <v>44683</v>
      </c>
      <c r="R143" s="5" t="s">
        <v>30</v>
      </c>
      <c r="S143" s="94" t="s">
        <v>11</v>
      </c>
      <c r="T143" s="5" t="s">
        <v>26</v>
      </c>
      <c r="U143" s="5" t="s">
        <v>0</v>
      </c>
      <c r="V143" s="355">
        <v>64.23</v>
      </c>
      <c r="W143" s="355">
        <v>2.17</v>
      </c>
      <c r="X143" s="355">
        <v>1.26</v>
      </c>
      <c r="Y143" s="350">
        <v>10.576923076923077</v>
      </c>
      <c r="Z143" s="354">
        <v>3.8461538461538463</v>
      </c>
      <c r="AA143" s="351">
        <v>261006639</v>
      </c>
      <c r="AB143" s="355"/>
    </row>
    <row r="144" spans="2:28" ht="14.5" x14ac:dyDescent="0.35">
      <c r="B144" s="6">
        <v>44693</v>
      </c>
      <c r="C144" s="3" t="s">
        <v>3</v>
      </c>
      <c r="D144" s="95" t="s">
        <v>11</v>
      </c>
      <c r="E144" s="3" t="s">
        <v>26</v>
      </c>
      <c r="F144" s="5" t="s">
        <v>0</v>
      </c>
      <c r="G144" s="27">
        <v>62.84</v>
      </c>
      <c r="H144" s="28">
        <v>3.44</v>
      </c>
      <c r="I144" s="31">
        <v>2.85</v>
      </c>
      <c r="J144" s="27">
        <v>18.3</v>
      </c>
      <c r="K144" s="26">
        <v>27.5</v>
      </c>
      <c r="L144" s="133" t="s">
        <v>234</v>
      </c>
      <c r="P144" s="355"/>
      <c r="Q144" s="352">
        <v>44684</v>
      </c>
      <c r="R144" s="5" t="s">
        <v>30</v>
      </c>
      <c r="S144" s="94" t="s">
        <v>9</v>
      </c>
      <c r="T144" s="5" t="s">
        <v>26</v>
      </c>
      <c r="U144" s="5" t="s">
        <v>0</v>
      </c>
      <c r="V144" s="355">
        <v>63.5</v>
      </c>
      <c r="W144" s="355">
        <v>2.77</v>
      </c>
      <c r="X144" s="355">
        <v>1.85</v>
      </c>
      <c r="Y144" s="350">
        <v>0</v>
      </c>
      <c r="Z144" s="354">
        <v>17.177914110429448</v>
      </c>
      <c r="AA144" s="351">
        <v>261005801</v>
      </c>
      <c r="AB144" s="355"/>
    </row>
    <row r="145" spans="2:28" ht="14.5" x14ac:dyDescent="0.35">
      <c r="B145" s="33">
        <v>44694</v>
      </c>
      <c r="C145" s="3" t="s">
        <v>3</v>
      </c>
      <c r="D145" s="95" t="s">
        <v>11</v>
      </c>
      <c r="E145" s="3" t="s">
        <v>26</v>
      </c>
      <c r="F145" s="5" t="s">
        <v>0</v>
      </c>
      <c r="G145" s="25">
        <v>62.68</v>
      </c>
      <c r="H145" s="25">
        <v>3.82</v>
      </c>
      <c r="I145" s="29">
        <v>2.7</v>
      </c>
      <c r="J145" s="25">
        <v>13.2</v>
      </c>
      <c r="K145" s="24">
        <v>26.5</v>
      </c>
      <c r="L145" s="133" t="s">
        <v>235</v>
      </c>
      <c r="P145" s="355"/>
      <c r="Q145" s="352">
        <v>44685</v>
      </c>
      <c r="R145" s="5" t="s">
        <v>30</v>
      </c>
      <c r="S145" s="94" t="s">
        <v>9</v>
      </c>
      <c r="T145" s="5" t="s">
        <v>26</v>
      </c>
      <c r="U145" s="5" t="s">
        <v>0</v>
      </c>
      <c r="V145" s="355">
        <v>64.13</v>
      </c>
      <c r="W145" s="355">
        <v>2.06</v>
      </c>
      <c r="X145" s="355">
        <v>1.42</v>
      </c>
      <c r="Y145" s="350">
        <v>8.3333333333333339</v>
      </c>
      <c r="Z145" s="354">
        <v>12.500000000000002</v>
      </c>
      <c r="AA145" s="351">
        <v>261005802</v>
      </c>
      <c r="AB145" s="355"/>
    </row>
    <row r="146" spans="2:28" ht="14.5" x14ac:dyDescent="0.35">
      <c r="B146" s="33">
        <v>44698</v>
      </c>
      <c r="C146" s="3" t="s">
        <v>3</v>
      </c>
      <c r="D146" s="95" t="s">
        <v>11</v>
      </c>
      <c r="E146" s="3" t="s">
        <v>26</v>
      </c>
      <c r="F146" s="5" t="s">
        <v>0</v>
      </c>
      <c r="G146" s="27">
        <v>62.57</v>
      </c>
      <c r="H146" s="28">
        <v>3.47</v>
      </c>
      <c r="I146" s="26">
        <v>3.19</v>
      </c>
      <c r="J146" s="27">
        <v>12.3</v>
      </c>
      <c r="K146" s="26">
        <v>23.5</v>
      </c>
      <c r="L146" s="133" t="s">
        <v>236</v>
      </c>
      <c r="P146" s="355"/>
      <c r="Q146" s="352">
        <v>44685</v>
      </c>
      <c r="R146" s="5" t="s">
        <v>30</v>
      </c>
      <c r="S146" s="94" t="s">
        <v>9</v>
      </c>
      <c r="T146" s="5" t="s">
        <v>26</v>
      </c>
      <c r="U146" s="5" t="s">
        <v>0</v>
      </c>
      <c r="V146" s="355">
        <v>63.89</v>
      </c>
      <c r="W146" s="355">
        <v>2.4900000000000002</v>
      </c>
      <c r="X146" s="355">
        <v>1.49</v>
      </c>
      <c r="Y146" s="350">
        <v>10.714285714285715</v>
      </c>
      <c r="Z146" s="354">
        <v>3.5714285714285721</v>
      </c>
      <c r="AA146" s="351">
        <v>261005803</v>
      </c>
      <c r="AB146" s="355"/>
    </row>
    <row r="147" spans="2:28" ht="14.5" x14ac:dyDescent="0.35">
      <c r="B147" s="6">
        <v>44700</v>
      </c>
      <c r="C147" s="3" t="s">
        <v>3</v>
      </c>
      <c r="D147" s="95" t="s">
        <v>11</v>
      </c>
      <c r="E147" s="3" t="s">
        <v>26</v>
      </c>
      <c r="F147" s="5" t="s">
        <v>0</v>
      </c>
      <c r="G147" s="24">
        <v>62.9</v>
      </c>
      <c r="H147" s="24">
        <v>3.28</v>
      </c>
      <c r="I147" s="24">
        <v>2.93</v>
      </c>
      <c r="J147" s="24">
        <v>16.399999999999999</v>
      </c>
      <c r="K147" s="24">
        <v>26.5</v>
      </c>
      <c r="L147" s="133" t="s">
        <v>237</v>
      </c>
      <c r="P147" s="355"/>
      <c r="Q147" s="352">
        <v>44686</v>
      </c>
      <c r="R147" s="5" t="s">
        <v>30</v>
      </c>
      <c r="S147" s="94" t="s">
        <v>11</v>
      </c>
      <c r="T147" s="5" t="s">
        <v>26</v>
      </c>
      <c r="U147" s="5" t="s">
        <v>0</v>
      </c>
      <c r="V147" s="355">
        <v>63.48</v>
      </c>
      <c r="W147" s="355">
        <v>3.09</v>
      </c>
      <c r="X147" s="355">
        <v>1.72</v>
      </c>
      <c r="Y147" s="350">
        <v>0</v>
      </c>
      <c r="Z147" s="354">
        <v>20.000000000000004</v>
      </c>
      <c r="AA147" s="351">
        <v>261006645</v>
      </c>
      <c r="AB147" s="355"/>
    </row>
    <row r="148" spans="2:28" ht="14.5" x14ac:dyDescent="0.35">
      <c r="B148" s="6">
        <v>44701</v>
      </c>
      <c r="C148" s="3" t="s">
        <v>3</v>
      </c>
      <c r="D148" s="95" t="s">
        <v>11</v>
      </c>
      <c r="E148" s="3" t="s">
        <v>26</v>
      </c>
      <c r="F148" s="5" t="s">
        <v>0</v>
      </c>
      <c r="G148" s="24">
        <v>62.69</v>
      </c>
      <c r="H148" s="24">
        <v>3.34</v>
      </c>
      <c r="I148" s="24">
        <v>3.14</v>
      </c>
      <c r="J148" s="32">
        <v>14.5</v>
      </c>
      <c r="K148" s="24">
        <v>29.2</v>
      </c>
      <c r="L148" s="133" t="s">
        <v>238</v>
      </c>
      <c r="P148" s="355"/>
      <c r="Q148" s="352">
        <v>44687</v>
      </c>
      <c r="R148" s="5" t="s">
        <v>30</v>
      </c>
      <c r="S148" s="94" t="s">
        <v>9</v>
      </c>
      <c r="T148" s="5" t="s">
        <v>26</v>
      </c>
      <c r="U148" s="5" t="s">
        <v>0</v>
      </c>
      <c r="V148" s="355">
        <v>64.739999999999995</v>
      </c>
      <c r="W148" s="355">
        <v>1.83</v>
      </c>
      <c r="X148" s="355">
        <v>1.07</v>
      </c>
      <c r="Y148" s="350">
        <v>0</v>
      </c>
      <c r="Z148" s="354">
        <v>20.833333333333332</v>
      </c>
      <c r="AA148" s="351">
        <v>261005807</v>
      </c>
      <c r="AB148" s="355"/>
    </row>
    <row r="149" spans="2:28" ht="14.5" x14ac:dyDescent="0.35">
      <c r="B149" s="6">
        <v>44703</v>
      </c>
      <c r="C149" s="3" t="s">
        <v>3</v>
      </c>
      <c r="D149" s="95" t="s">
        <v>11</v>
      </c>
      <c r="E149" s="3" t="s">
        <v>26</v>
      </c>
      <c r="F149" s="5" t="s">
        <v>0</v>
      </c>
      <c r="G149" s="24">
        <v>62.71</v>
      </c>
      <c r="H149" s="24">
        <v>3.49</v>
      </c>
      <c r="I149" s="25">
        <v>3.07</v>
      </c>
      <c r="J149" s="32">
        <v>15.2</v>
      </c>
      <c r="K149" s="24">
        <v>22.7</v>
      </c>
      <c r="L149" s="133" t="s">
        <v>239</v>
      </c>
      <c r="P149" s="355"/>
      <c r="Q149" s="352">
        <v>44687</v>
      </c>
      <c r="R149" s="5" t="s">
        <v>30</v>
      </c>
      <c r="S149" s="94" t="s">
        <v>9</v>
      </c>
      <c r="T149" s="5" t="s">
        <v>26</v>
      </c>
      <c r="U149" s="5" t="s">
        <v>0</v>
      </c>
      <c r="V149" s="355">
        <v>59.32</v>
      </c>
      <c r="W149" s="355">
        <v>9.2200000000000006</v>
      </c>
      <c r="X149" s="355">
        <v>1.08</v>
      </c>
      <c r="Y149" s="350">
        <v>0</v>
      </c>
      <c r="Z149" s="354">
        <v>17.829457364341089</v>
      </c>
      <c r="AA149" s="351">
        <v>261005808</v>
      </c>
      <c r="AB149" s="355"/>
    </row>
    <row r="150" spans="2:28" ht="14.5" x14ac:dyDescent="0.35">
      <c r="B150" s="6">
        <v>44703</v>
      </c>
      <c r="C150" s="3" t="s">
        <v>3</v>
      </c>
      <c r="D150" s="95" t="s">
        <v>11</v>
      </c>
      <c r="E150" s="3" t="s">
        <v>26</v>
      </c>
      <c r="F150" s="5" t="s">
        <v>0</v>
      </c>
      <c r="G150" s="29">
        <v>62.94</v>
      </c>
      <c r="H150" s="29">
        <v>3.43</v>
      </c>
      <c r="I150" s="29">
        <v>2.71</v>
      </c>
      <c r="J150" s="32">
        <v>18.600000000000001</v>
      </c>
      <c r="K150" s="24">
        <v>30.1</v>
      </c>
      <c r="L150" s="133" t="s">
        <v>242</v>
      </c>
      <c r="P150" s="355"/>
      <c r="Q150" s="352">
        <v>44689</v>
      </c>
      <c r="R150" s="5" t="s">
        <v>30</v>
      </c>
      <c r="S150" s="94" t="s">
        <v>9</v>
      </c>
      <c r="T150" s="5" t="s">
        <v>26</v>
      </c>
      <c r="U150" s="5" t="s">
        <v>0</v>
      </c>
      <c r="V150" s="355">
        <v>63.79</v>
      </c>
      <c r="W150" s="355">
        <v>2.92</v>
      </c>
      <c r="X150" s="355">
        <v>1.0900000000000001</v>
      </c>
      <c r="Y150" s="350">
        <v>0</v>
      </c>
      <c r="Z150" s="354">
        <v>18.90243902439024</v>
      </c>
      <c r="AA150" s="351">
        <v>261005814</v>
      </c>
      <c r="AB150" s="355"/>
    </row>
    <row r="151" spans="2:28" ht="14.5" x14ac:dyDescent="0.35">
      <c r="B151" s="6">
        <v>44704</v>
      </c>
      <c r="C151" s="3" t="s">
        <v>3</v>
      </c>
      <c r="D151" s="95" t="s">
        <v>11</v>
      </c>
      <c r="E151" s="3" t="s">
        <v>26</v>
      </c>
      <c r="F151" s="5" t="s">
        <v>0</v>
      </c>
      <c r="G151" s="24">
        <v>62.66</v>
      </c>
      <c r="H151" s="29">
        <v>3.89</v>
      </c>
      <c r="I151" s="24">
        <v>2.65</v>
      </c>
      <c r="J151" s="32">
        <v>14.7</v>
      </c>
      <c r="K151" s="24">
        <v>32.200000000000003</v>
      </c>
      <c r="L151" s="133" t="s">
        <v>243</v>
      </c>
      <c r="P151" s="355"/>
      <c r="Q151" s="352">
        <v>44689</v>
      </c>
      <c r="R151" s="5" t="s">
        <v>30</v>
      </c>
      <c r="S151" s="94" t="s">
        <v>9</v>
      </c>
      <c r="T151" s="5" t="s">
        <v>26</v>
      </c>
      <c r="U151" s="5" t="s">
        <v>0</v>
      </c>
      <c r="V151" s="355">
        <v>63.18</v>
      </c>
      <c r="W151" s="355">
        <v>3.86</v>
      </c>
      <c r="X151" s="355">
        <v>1.03</v>
      </c>
      <c r="Y151" s="350">
        <v>8.8888888888888893</v>
      </c>
      <c r="Z151" s="354">
        <v>17.777777777777779</v>
      </c>
      <c r="AA151" s="351">
        <v>261005816</v>
      </c>
      <c r="AB151" s="355"/>
    </row>
    <row r="152" spans="2:28" ht="14.5" x14ac:dyDescent="0.35">
      <c r="B152" s="6">
        <v>44705</v>
      </c>
      <c r="C152" s="3" t="s">
        <v>3</v>
      </c>
      <c r="D152" s="95" t="s">
        <v>11</v>
      </c>
      <c r="E152" s="3" t="s">
        <v>26</v>
      </c>
      <c r="F152" s="5" t="s">
        <v>0</v>
      </c>
      <c r="G152" s="25">
        <v>62.92</v>
      </c>
      <c r="H152" s="25">
        <v>3.61</v>
      </c>
      <c r="I152" s="24">
        <v>2.77</v>
      </c>
      <c r="J152" s="20">
        <v>17.2</v>
      </c>
      <c r="K152" s="24">
        <v>28.5</v>
      </c>
      <c r="L152" s="133" t="s">
        <v>244</v>
      </c>
      <c r="P152" s="355"/>
      <c r="Q152" s="352">
        <v>44691</v>
      </c>
      <c r="R152" s="5" t="s">
        <v>30</v>
      </c>
      <c r="S152" s="94" t="s">
        <v>9</v>
      </c>
      <c r="T152" s="5" t="s">
        <v>26</v>
      </c>
      <c r="U152" s="5" t="s">
        <v>0</v>
      </c>
      <c r="V152" s="355">
        <v>62.43</v>
      </c>
      <c r="W152" s="355">
        <v>4.32</v>
      </c>
      <c r="X152" s="355">
        <v>1.78</v>
      </c>
      <c r="Y152" s="350">
        <v>0</v>
      </c>
      <c r="Z152" s="354">
        <v>18.253968253968257</v>
      </c>
      <c r="AA152" s="351">
        <v>261005818</v>
      </c>
      <c r="AB152" s="355"/>
    </row>
    <row r="153" spans="2:28" ht="14.5" x14ac:dyDescent="0.35">
      <c r="B153" s="6">
        <v>44706</v>
      </c>
      <c r="C153" s="3" t="s">
        <v>3</v>
      </c>
      <c r="D153" s="95" t="s">
        <v>11</v>
      </c>
      <c r="E153" s="3" t="s">
        <v>26</v>
      </c>
      <c r="F153" s="5" t="s">
        <v>0</v>
      </c>
      <c r="G153" s="25">
        <v>62.59</v>
      </c>
      <c r="H153" s="25">
        <v>3.52</v>
      </c>
      <c r="I153" s="24">
        <v>3.31</v>
      </c>
      <c r="J153" s="20">
        <v>15.3</v>
      </c>
      <c r="K153" s="24">
        <v>30.2</v>
      </c>
      <c r="L153" s="133" t="s">
        <v>245</v>
      </c>
      <c r="P153" s="355"/>
      <c r="Q153" s="352">
        <v>44691</v>
      </c>
      <c r="R153" s="5" t="s">
        <v>30</v>
      </c>
      <c r="S153" s="94" t="s">
        <v>9</v>
      </c>
      <c r="T153" s="5" t="s">
        <v>26</v>
      </c>
      <c r="U153" s="5" t="s">
        <v>0</v>
      </c>
      <c r="V153" s="355">
        <v>64.260000000000005</v>
      </c>
      <c r="W153" s="355">
        <v>2.38</v>
      </c>
      <c r="X153" s="355">
        <v>1.0900000000000001</v>
      </c>
      <c r="Y153" s="350">
        <v>10.714285714285715</v>
      </c>
      <c r="Z153" s="354">
        <v>14.285714285714288</v>
      </c>
      <c r="AA153" s="351">
        <v>261005819</v>
      </c>
      <c r="AB153" s="355"/>
    </row>
    <row r="154" spans="2:28" ht="14.5" x14ac:dyDescent="0.35">
      <c r="B154" s="6">
        <v>44682</v>
      </c>
      <c r="C154" s="3" t="s">
        <v>3</v>
      </c>
      <c r="D154" s="95" t="s">
        <v>11</v>
      </c>
      <c r="E154" s="3" t="s">
        <v>26</v>
      </c>
      <c r="F154" s="5" t="s">
        <v>1</v>
      </c>
      <c r="G154" s="30">
        <v>62.29</v>
      </c>
      <c r="H154" s="30">
        <v>4.6500000000000004</v>
      </c>
      <c r="I154" s="29">
        <v>2.7</v>
      </c>
      <c r="J154" s="20">
        <v>4.5</v>
      </c>
      <c r="K154" s="24">
        <v>44</v>
      </c>
      <c r="L154" s="133" t="s">
        <v>227</v>
      </c>
      <c r="P154" s="355"/>
      <c r="Q154" s="352">
        <v>44691</v>
      </c>
      <c r="R154" s="5" t="s">
        <v>30</v>
      </c>
      <c r="S154" s="94" t="s">
        <v>9</v>
      </c>
      <c r="T154" s="5" t="s">
        <v>26</v>
      </c>
      <c r="U154" s="5" t="s">
        <v>0</v>
      </c>
      <c r="V154" s="355">
        <v>64.41</v>
      </c>
      <c r="W154" s="355">
        <v>2.4500000000000002</v>
      </c>
      <c r="X154" s="355">
        <v>1.06</v>
      </c>
      <c r="Y154" s="350">
        <v>0</v>
      </c>
      <c r="Z154" s="354">
        <v>21.1864406779661</v>
      </c>
      <c r="AA154" s="351">
        <v>261005820</v>
      </c>
      <c r="AB154" s="355"/>
    </row>
    <row r="155" spans="2:28" ht="14.5" x14ac:dyDescent="0.35">
      <c r="B155" s="6">
        <v>44683</v>
      </c>
      <c r="C155" s="3" t="s">
        <v>3</v>
      </c>
      <c r="D155" s="95" t="s">
        <v>11</v>
      </c>
      <c r="E155" s="3" t="s">
        <v>26</v>
      </c>
      <c r="F155" s="5" t="s">
        <v>1</v>
      </c>
      <c r="G155" s="25">
        <v>61.85</v>
      </c>
      <c r="H155" s="30">
        <v>4.83</v>
      </c>
      <c r="I155" s="29">
        <v>2.94</v>
      </c>
      <c r="J155" s="20">
        <v>3.9</v>
      </c>
      <c r="K155" s="24">
        <v>40.299999999999997</v>
      </c>
      <c r="L155" s="133" t="s">
        <v>228</v>
      </c>
      <c r="P155" s="355"/>
      <c r="Q155" s="352">
        <v>44692</v>
      </c>
      <c r="R155" s="5" t="s">
        <v>30</v>
      </c>
      <c r="S155" s="94" t="s">
        <v>9</v>
      </c>
      <c r="T155" s="5" t="s">
        <v>26</v>
      </c>
      <c r="U155" s="5" t="s">
        <v>0</v>
      </c>
      <c r="V155" s="355">
        <v>63.16</v>
      </c>
      <c r="W155" s="355">
        <v>3.6</v>
      </c>
      <c r="X155" s="355">
        <v>1.57</v>
      </c>
      <c r="Y155" s="350">
        <v>0</v>
      </c>
      <c r="Z155" s="354">
        <v>12.727272727272727</v>
      </c>
      <c r="AA155" s="351">
        <v>261005823</v>
      </c>
      <c r="AB155" s="355"/>
    </row>
    <row r="156" spans="2:28" ht="14.5" x14ac:dyDescent="0.35">
      <c r="B156" s="6">
        <v>44683</v>
      </c>
      <c r="C156" s="3" t="s">
        <v>3</v>
      </c>
      <c r="D156" s="95" t="s">
        <v>11</v>
      </c>
      <c r="E156" s="3" t="s">
        <v>26</v>
      </c>
      <c r="F156" s="5" t="s">
        <v>1</v>
      </c>
      <c r="G156" s="25">
        <v>62.01</v>
      </c>
      <c r="H156" s="25">
        <v>4.9400000000000004</v>
      </c>
      <c r="I156" s="24">
        <v>2.56</v>
      </c>
      <c r="J156" s="20">
        <v>6.5</v>
      </c>
      <c r="K156" s="24">
        <v>43.7</v>
      </c>
      <c r="L156" s="133" t="s">
        <v>229</v>
      </c>
      <c r="P156" s="355"/>
      <c r="Q156" s="352">
        <v>44693</v>
      </c>
      <c r="R156" s="5" t="s">
        <v>30</v>
      </c>
      <c r="S156" s="94" t="s">
        <v>9</v>
      </c>
      <c r="T156" s="5" t="s">
        <v>26</v>
      </c>
      <c r="U156" s="5" t="s">
        <v>0</v>
      </c>
      <c r="V156" s="355">
        <v>64.56</v>
      </c>
      <c r="W156" s="355">
        <v>2.09</v>
      </c>
      <c r="X156" s="355">
        <v>1.27</v>
      </c>
      <c r="Y156" s="350">
        <v>0</v>
      </c>
      <c r="Z156" s="354">
        <v>8.1761006289308167</v>
      </c>
      <c r="AA156" s="351">
        <v>261005825</v>
      </c>
      <c r="AB156" s="355"/>
    </row>
    <row r="157" spans="2:28" ht="14.5" x14ac:dyDescent="0.35">
      <c r="B157" s="6">
        <v>44684</v>
      </c>
      <c r="C157" s="3" t="s">
        <v>3</v>
      </c>
      <c r="D157" s="95" t="s">
        <v>11</v>
      </c>
      <c r="E157" s="3" t="s">
        <v>26</v>
      </c>
      <c r="F157" s="5" t="s">
        <v>1</v>
      </c>
      <c r="G157" s="25">
        <v>62.15</v>
      </c>
      <c r="H157" s="25">
        <v>4.88</v>
      </c>
      <c r="I157" s="24">
        <v>2.68</v>
      </c>
      <c r="J157" s="20"/>
      <c r="K157" s="24"/>
      <c r="L157" s="133" t="s">
        <v>230</v>
      </c>
      <c r="P157" s="355"/>
      <c r="Q157" s="352">
        <v>44693</v>
      </c>
      <c r="R157" s="5" t="s">
        <v>30</v>
      </c>
      <c r="S157" s="94" t="s">
        <v>11</v>
      </c>
      <c r="T157" s="5" t="s">
        <v>26</v>
      </c>
      <c r="U157" s="5" t="s">
        <v>0</v>
      </c>
      <c r="V157" s="355">
        <v>64.25</v>
      </c>
      <c r="W157" s="355">
        <v>2.85</v>
      </c>
      <c r="X157" s="355">
        <v>1.07</v>
      </c>
      <c r="Y157" s="350">
        <v>7.4074074074074066</v>
      </c>
      <c r="Z157" s="354">
        <v>5.1851851851851851</v>
      </c>
      <c r="AA157" s="351">
        <v>261006654</v>
      </c>
      <c r="AB157" s="355"/>
    </row>
    <row r="158" spans="2:28" ht="14.5" x14ac:dyDescent="0.35">
      <c r="B158" s="33">
        <v>44684</v>
      </c>
      <c r="C158" s="3" t="s">
        <v>3</v>
      </c>
      <c r="D158" s="95" t="s">
        <v>11</v>
      </c>
      <c r="E158" s="3" t="s">
        <v>26</v>
      </c>
      <c r="F158" s="5" t="s">
        <v>1</v>
      </c>
      <c r="G158" s="30">
        <v>62.13</v>
      </c>
      <c r="H158" s="30">
        <v>4.8600000000000003</v>
      </c>
      <c r="I158" s="29">
        <v>2.72</v>
      </c>
      <c r="J158" s="20"/>
      <c r="K158" s="24"/>
      <c r="L158" s="133" t="s">
        <v>231</v>
      </c>
      <c r="P158" s="355"/>
      <c r="Q158" s="352">
        <v>44694</v>
      </c>
      <c r="R158" s="5" t="s">
        <v>30</v>
      </c>
      <c r="S158" s="94" t="s">
        <v>9</v>
      </c>
      <c r="T158" s="5" t="s">
        <v>26</v>
      </c>
      <c r="U158" s="5" t="s">
        <v>0</v>
      </c>
      <c r="V158" s="355">
        <v>64.55</v>
      </c>
      <c r="W158" s="355">
        <v>1.84</v>
      </c>
      <c r="X158" s="355">
        <v>1.05</v>
      </c>
      <c r="Y158" s="350">
        <v>9.2592592592592595</v>
      </c>
      <c r="Z158" s="354">
        <v>7.4074074074074074</v>
      </c>
      <c r="AA158" s="351">
        <v>261005827</v>
      </c>
      <c r="AB158" s="355"/>
    </row>
    <row r="159" spans="2:28" ht="14.5" x14ac:dyDescent="0.35">
      <c r="B159" s="6">
        <v>44685</v>
      </c>
      <c r="C159" s="3" t="s">
        <v>3</v>
      </c>
      <c r="D159" s="95" t="s">
        <v>11</v>
      </c>
      <c r="E159" s="3" t="s">
        <v>26</v>
      </c>
      <c r="F159" s="5" t="s">
        <v>1</v>
      </c>
      <c r="G159" s="25">
        <v>62.06</v>
      </c>
      <c r="H159" s="30">
        <v>4.8</v>
      </c>
      <c r="I159" s="29">
        <v>2.87</v>
      </c>
      <c r="J159" s="20"/>
      <c r="K159" s="24"/>
      <c r="L159" s="133" t="s">
        <v>232</v>
      </c>
      <c r="P159" s="355"/>
      <c r="Q159" s="352">
        <v>44695</v>
      </c>
      <c r="R159" s="5" t="s">
        <v>30</v>
      </c>
      <c r="S159" s="94" t="s">
        <v>11</v>
      </c>
      <c r="T159" s="5" t="s">
        <v>26</v>
      </c>
      <c r="U159" s="5" t="s">
        <v>0</v>
      </c>
      <c r="V159" s="355">
        <v>64.430000000000007</v>
      </c>
      <c r="W159" s="355">
        <v>2.17</v>
      </c>
      <c r="X159" s="355">
        <v>1.06</v>
      </c>
      <c r="Y159" s="350">
        <v>0</v>
      </c>
      <c r="Z159" s="354">
        <v>18.518518518518519</v>
      </c>
      <c r="AA159" s="351">
        <v>261006657</v>
      </c>
      <c r="AB159" s="355"/>
    </row>
    <row r="160" spans="2:28" ht="14.5" x14ac:dyDescent="0.35">
      <c r="B160" s="33">
        <v>44685</v>
      </c>
      <c r="C160" s="3" t="s">
        <v>3</v>
      </c>
      <c r="D160" s="95" t="s">
        <v>11</v>
      </c>
      <c r="E160" s="3" t="s">
        <v>26</v>
      </c>
      <c r="F160" s="5" t="s">
        <v>1</v>
      </c>
      <c r="G160" s="30">
        <v>62.16</v>
      </c>
      <c r="H160" s="30">
        <v>4.8</v>
      </c>
      <c r="I160" s="29">
        <v>2.62</v>
      </c>
      <c r="J160" s="20">
        <v>5.2</v>
      </c>
      <c r="K160" s="24">
        <v>40.1</v>
      </c>
      <c r="L160" s="133" t="s">
        <v>233</v>
      </c>
      <c r="P160" s="355"/>
      <c r="Q160" s="352">
        <v>44695</v>
      </c>
      <c r="R160" s="5" t="s">
        <v>30</v>
      </c>
      <c r="S160" s="94" t="s">
        <v>9</v>
      </c>
      <c r="T160" s="5" t="s">
        <v>26</v>
      </c>
      <c r="U160" s="5" t="s">
        <v>0</v>
      </c>
      <c r="V160" s="355">
        <v>62.85</v>
      </c>
      <c r="W160" s="355">
        <v>3.96</v>
      </c>
      <c r="X160" s="355">
        <v>1.75</v>
      </c>
      <c r="Y160" s="350">
        <v>0</v>
      </c>
      <c r="Z160" s="354">
        <v>19.801980198019802</v>
      </c>
      <c r="AA160" s="351">
        <v>261005830</v>
      </c>
      <c r="AB160" s="355"/>
    </row>
    <row r="161" spans="2:28" ht="14.5" x14ac:dyDescent="0.35">
      <c r="B161" s="33">
        <v>44686</v>
      </c>
      <c r="C161" s="3" t="s">
        <v>3</v>
      </c>
      <c r="D161" s="95" t="s">
        <v>11</v>
      </c>
      <c r="E161" s="3" t="s">
        <v>26</v>
      </c>
      <c r="F161" s="5" t="s">
        <v>1</v>
      </c>
      <c r="G161" s="27">
        <v>61.87</v>
      </c>
      <c r="H161" s="28">
        <v>4.9800000000000004</v>
      </c>
      <c r="I161" s="31">
        <v>2.76</v>
      </c>
      <c r="J161" s="21">
        <v>3.4</v>
      </c>
      <c r="K161" s="26">
        <v>42.7</v>
      </c>
      <c r="L161" s="133" t="s">
        <v>234</v>
      </c>
      <c r="P161" s="355"/>
      <c r="Q161" s="352">
        <v>44696</v>
      </c>
      <c r="R161" s="5" t="s">
        <v>30</v>
      </c>
      <c r="S161" s="94" t="s">
        <v>9</v>
      </c>
      <c r="T161" s="5" t="s">
        <v>26</v>
      </c>
      <c r="U161" s="5" t="s">
        <v>0</v>
      </c>
      <c r="V161" s="355">
        <v>64.11</v>
      </c>
      <c r="W161" s="355">
        <v>1.95</v>
      </c>
      <c r="X161" s="355">
        <v>1.62</v>
      </c>
      <c r="Y161" s="350">
        <v>0</v>
      </c>
      <c r="Z161" s="354">
        <v>15.596330275229359</v>
      </c>
      <c r="AA161" s="351">
        <v>241000360</v>
      </c>
      <c r="AB161" s="355"/>
    </row>
    <row r="162" spans="2:28" ht="14.5" x14ac:dyDescent="0.35">
      <c r="B162" s="33">
        <v>44686</v>
      </c>
      <c r="C162" s="3" t="s">
        <v>3</v>
      </c>
      <c r="D162" s="95" t="s">
        <v>11</v>
      </c>
      <c r="E162" s="3" t="s">
        <v>26</v>
      </c>
      <c r="F162" s="5" t="s">
        <v>1</v>
      </c>
      <c r="G162" s="25">
        <v>61.91</v>
      </c>
      <c r="H162" s="30">
        <v>4.8899999999999997</v>
      </c>
      <c r="I162" s="25">
        <v>2.8</v>
      </c>
      <c r="J162" s="20">
        <v>5</v>
      </c>
      <c r="K162" s="24">
        <v>39.4</v>
      </c>
      <c r="L162" s="133" t="s">
        <v>235</v>
      </c>
      <c r="P162" s="355"/>
      <c r="Q162" s="352">
        <v>44696</v>
      </c>
      <c r="R162" s="5" t="s">
        <v>30</v>
      </c>
      <c r="S162" s="94" t="s">
        <v>9</v>
      </c>
      <c r="T162" s="5" t="s">
        <v>26</v>
      </c>
      <c r="U162" s="5" t="s">
        <v>0</v>
      </c>
      <c r="V162" s="355">
        <v>64.45</v>
      </c>
      <c r="W162" s="355">
        <v>1.34</v>
      </c>
      <c r="X162" s="355">
        <v>1.66</v>
      </c>
      <c r="Y162" s="350">
        <v>12.765957446808512</v>
      </c>
      <c r="Z162" s="354">
        <v>13.475177304964539</v>
      </c>
      <c r="AA162" s="351">
        <v>261005833</v>
      </c>
      <c r="AB162" s="355"/>
    </row>
    <row r="163" spans="2:28" ht="14.5" x14ac:dyDescent="0.35">
      <c r="B163" s="33">
        <v>44687</v>
      </c>
      <c r="C163" s="3" t="s">
        <v>3</v>
      </c>
      <c r="D163" s="95" t="s">
        <v>11</v>
      </c>
      <c r="E163" s="3" t="s">
        <v>26</v>
      </c>
      <c r="F163" s="5" t="s">
        <v>1</v>
      </c>
      <c r="G163" s="28">
        <v>61.83</v>
      </c>
      <c r="H163" s="28">
        <v>4.91</v>
      </c>
      <c r="I163" s="26">
        <v>3.09</v>
      </c>
      <c r="J163" s="21">
        <v>6.3</v>
      </c>
      <c r="K163" s="27">
        <v>44.9</v>
      </c>
      <c r="L163" s="133" t="s">
        <v>236</v>
      </c>
      <c r="P163" s="355"/>
      <c r="Q163" s="352">
        <v>44696</v>
      </c>
      <c r="R163" s="5" t="s">
        <v>30</v>
      </c>
      <c r="S163" s="94" t="s">
        <v>9</v>
      </c>
      <c r="T163" s="5" t="s">
        <v>26</v>
      </c>
      <c r="U163" s="5" t="s">
        <v>0</v>
      </c>
      <c r="V163" s="355">
        <v>63.47</v>
      </c>
      <c r="W163" s="355">
        <v>3.02</v>
      </c>
      <c r="X163" s="355">
        <v>1.47</v>
      </c>
      <c r="Y163" s="350">
        <v>0</v>
      </c>
      <c r="Z163" s="354">
        <v>12.500000000000002</v>
      </c>
      <c r="AA163" s="351">
        <v>241000361</v>
      </c>
      <c r="AB163" s="355"/>
    </row>
    <row r="164" spans="2:28" ht="14.5" x14ac:dyDescent="0.35">
      <c r="B164" s="33">
        <v>44688</v>
      </c>
      <c r="C164" s="3" t="s">
        <v>3</v>
      </c>
      <c r="D164" s="95" t="s">
        <v>11</v>
      </c>
      <c r="E164" s="3" t="s">
        <v>26</v>
      </c>
      <c r="F164" s="5" t="s">
        <v>1</v>
      </c>
      <c r="G164" s="25">
        <v>62.07</v>
      </c>
      <c r="H164" s="25">
        <v>4.72</v>
      </c>
      <c r="I164" s="24">
        <v>2.74</v>
      </c>
      <c r="J164" s="20">
        <v>5.2</v>
      </c>
      <c r="K164" s="25">
        <v>41.1</v>
      </c>
      <c r="L164" s="133" t="s">
        <v>237</v>
      </c>
      <c r="P164" s="355"/>
      <c r="Q164" s="352">
        <v>44697</v>
      </c>
      <c r="R164" s="5" t="s">
        <v>30</v>
      </c>
      <c r="S164" s="94" t="s">
        <v>9</v>
      </c>
      <c r="T164" s="5" t="s">
        <v>26</v>
      </c>
      <c r="U164" s="5" t="s">
        <v>0</v>
      </c>
      <c r="V164" s="355">
        <v>64.25</v>
      </c>
      <c r="W164" s="355">
        <v>1.49</v>
      </c>
      <c r="X164" s="355">
        <v>1.76</v>
      </c>
      <c r="Y164" s="350">
        <v>10.869565217391305</v>
      </c>
      <c r="Z164" s="354">
        <v>16.666666666666668</v>
      </c>
      <c r="AA164" s="351">
        <v>261005836</v>
      </c>
      <c r="AB164" s="355"/>
    </row>
    <row r="165" spans="2:28" ht="14.5" x14ac:dyDescent="0.35">
      <c r="B165" s="33">
        <v>44689</v>
      </c>
      <c r="C165" s="3" t="s">
        <v>3</v>
      </c>
      <c r="D165" s="95" t="s">
        <v>11</v>
      </c>
      <c r="E165" s="3" t="s">
        <v>26</v>
      </c>
      <c r="F165" s="5" t="s">
        <v>1</v>
      </c>
      <c r="G165" s="25">
        <v>62.1</v>
      </c>
      <c r="H165" s="25">
        <v>4.8600000000000003</v>
      </c>
      <c r="I165" s="24">
        <v>2.76</v>
      </c>
      <c r="J165" s="20">
        <v>7.3</v>
      </c>
      <c r="K165" s="25">
        <v>40.200000000000003</v>
      </c>
      <c r="L165" s="133" t="s">
        <v>238</v>
      </c>
      <c r="P165" s="355"/>
      <c r="Q165" s="352">
        <v>44697</v>
      </c>
      <c r="R165" s="5" t="s">
        <v>30</v>
      </c>
      <c r="S165" s="94" t="s">
        <v>9</v>
      </c>
      <c r="T165" s="5" t="s">
        <v>26</v>
      </c>
      <c r="U165" s="5" t="s">
        <v>0</v>
      </c>
      <c r="V165" s="355">
        <v>64.28</v>
      </c>
      <c r="W165" s="355">
        <v>1.82</v>
      </c>
      <c r="X165" s="355">
        <v>1.48</v>
      </c>
      <c r="Y165" s="350">
        <v>0</v>
      </c>
      <c r="Z165" s="354">
        <v>23.571428571428577</v>
      </c>
      <c r="AA165" s="351">
        <v>261005837</v>
      </c>
      <c r="AB165" s="355"/>
    </row>
    <row r="166" spans="2:28" ht="14.5" x14ac:dyDescent="0.35">
      <c r="B166" s="33">
        <v>44690</v>
      </c>
      <c r="C166" s="3" t="s">
        <v>3</v>
      </c>
      <c r="D166" s="95" t="s">
        <v>11</v>
      </c>
      <c r="E166" s="3" t="s">
        <v>26</v>
      </c>
      <c r="F166" s="5" t="s">
        <v>1</v>
      </c>
      <c r="G166" s="25">
        <v>62.18</v>
      </c>
      <c r="H166" s="25">
        <v>4.71</v>
      </c>
      <c r="I166" s="24">
        <v>2.8</v>
      </c>
      <c r="J166" s="20"/>
      <c r="K166" s="25"/>
      <c r="L166" s="133" t="s">
        <v>239</v>
      </c>
      <c r="P166" s="355"/>
      <c r="Q166" s="352">
        <v>44698</v>
      </c>
      <c r="R166" s="5" t="s">
        <v>30</v>
      </c>
      <c r="S166" s="94" t="s">
        <v>9</v>
      </c>
      <c r="T166" s="5" t="s">
        <v>26</v>
      </c>
      <c r="U166" s="5" t="s">
        <v>0</v>
      </c>
      <c r="V166" s="355">
        <v>63.95</v>
      </c>
      <c r="W166" s="355">
        <v>1.92</v>
      </c>
      <c r="X166" s="355">
        <v>1.74</v>
      </c>
      <c r="Y166" s="350">
        <v>8.8435374149659864</v>
      </c>
      <c r="Z166" s="354">
        <v>5.7823129251700687</v>
      </c>
      <c r="AA166" s="351">
        <v>241000362</v>
      </c>
      <c r="AB166" s="355"/>
    </row>
    <row r="167" spans="2:28" ht="14.5" x14ac:dyDescent="0.35">
      <c r="B167" s="33">
        <v>44692</v>
      </c>
      <c r="C167" s="3" t="s">
        <v>3</v>
      </c>
      <c r="D167" s="95" t="s">
        <v>11</v>
      </c>
      <c r="E167" s="3" t="s">
        <v>26</v>
      </c>
      <c r="F167" s="5" t="s">
        <v>1</v>
      </c>
      <c r="G167" s="27">
        <v>62.17</v>
      </c>
      <c r="H167" s="27">
        <v>4.7300000000000004</v>
      </c>
      <c r="I167" s="26">
        <v>2.6</v>
      </c>
      <c r="J167" s="21">
        <v>4.5</v>
      </c>
      <c r="K167" s="27">
        <v>43.2</v>
      </c>
      <c r="L167" s="133" t="s">
        <v>242</v>
      </c>
      <c r="P167" s="355"/>
      <c r="Q167" s="352">
        <v>44698</v>
      </c>
      <c r="R167" s="5" t="s">
        <v>30</v>
      </c>
      <c r="S167" s="94" t="s">
        <v>9</v>
      </c>
      <c r="T167" s="5" t="s">
        <v>26</v>
      </c>
      <c r="U167" s="5" t="s">
        <v>0</v>
      </c>
      <c r="V167" s="355">
        <v>64.3</v>
      </c>
      <c r="W167" s="355">
        <v>1.85</v>
      </c>
      <c r="X167" s="355">
        <v>1.44</v>
      </c>
      <c r="Y167" s="350">
        <v>0</v>
      </c>
      <c r="Z167" s="354">
        <v>17.857142857142861</v>
      </c>
      <c r="AA167" s="351">
        <v>261005839</v>
      </c>
      <c r="AB167" s="355"/>
    </row>
    <row r="168" spans="2:28" ht="14.5" x14ac:dyDescent="0.35">
      <c r="B168" s="33">
        <v>44693</v>
      </c>
      <c r="C168" s="3" t="s">
        <v>3</v>
      </c>
      <c r="D168" s="95" t="s">
        <v>11</v>
      </c>
      <c r="E168" s="3" t="s">
        <v>26</v>
      </c>
      <c r="F168" s="5" t="s">
        <v>1</v>
      </c>
      <c r="G168" s="25">
        <v>61.78</v>
      </c>
      <c r="H168" s="25">
        <v>4.9400000000000004</v>
      </c>
      <c r="I168" s="24">
        <v>2.95</v>
      </c>
      <c r="J168" s="20">
        <v>7.2</v>
      </c>
      <c r="K168" s="25">
        <v>40.4</v>
      </c>
      <c r="L168" s="133" t="s">
        <v>243</v>
      </c>
      <c r="P168" s="355"/>
      <c r="Q168" s="352">
        <v>44699</v>
      </c>
      <c r="R168" s="5" t="s">
        <v>30</v>
      </c>
      <c r="S168" s="94" t="s">
        <v>9</v>
      </c>
      <c r="T168" s="5" t="s">
        <v>26</v>
      </c>
      <c r="U168" s="5" t="s">
        <v>0</v>
      </c>
      <c r="V168" s="355">
        <v>64.48</v>
      </c>
      <c r="W168" s="355">
        <v>2.09</v>
      </c>
      <c r="X168" s="355">
        <v>1.0900000000000001</v>
      </c>
      <c r="Y168" s="350">
        <v>0</v>
      </c>
      <c r="Z168" s="354">
        <v>10.191082802547772</v>
      </c>
      <c r="AA168" s="351">
        <v>261005840</v>
      </c>
      <c r="AB168" s="355"/>
    </row>
    <row r="169" spans="2:28" ht="14.5" x14ac:dyDescent="0.35">
      <c r="B169" s="33">
        <v>44694</v>
      </c>
      <c r="C169" s="3" t="s">
        <v>3</v>
      </c>
      <c r="D169" s="95" t="s">
        <v>11</v>
      </c>
      <c r="E169" s="3" t="s">
        <v>26</v>
      </c>
      <c r="F169" s="5" t="s">
        <v>1</v>
      </c>
      <c r="G169" s="25">
        <v>61.92</v>
      </c>
      <c r="H169" s="30">
        <v>5.03</v>
      </c>
      <c r="I169" s="24">
        <v>2.75</v>
      </c>
      <c r="J169" s="20">
        <v>0</v>
      </c>
      <c r="K169" s="25">
        <v>0</v>
      </c>
      <c r="L169" s="133" t="s">
        <v>244</v>
      </c>
      <c r="P169" s="355"/>
      <c r="Q169" s="352">
        <v>44701</v>
      </c>
      <c r="R169" s="5" t="s">
        <v>30</v>
      </c>
      <c r="S169" s="94" t="s">
        <v>9</v>
      </c>
      <c r="T169" s="5" t="s">
        <v>26</v>
      </c>
      <c r="U169" s="5" t="s">
        <v>0</v>
      </c>
      <c r="V169" s="355">
        <v>63.92</v>
      </c>
      <c r="W169" s="355">
        <v>3.36</v>
      </c>
      <c r="X169" s="355">
        <v>1.0900000000000001</v>
      </c>
      <c r="Y169" s="350">
        <v>0</v>
      </c>
      <c r="Z169" s="354">
        <v>17.391304347826086</v>
      </c>
      <c r="AA169" s="351">
        <v>261005844</v>
      </c>
      <c r="AB169" s="355"/>
    </row>
    <row r="170" spans="2:28" ht="14.5" x14ac:dyDescent="0.35">
      <c r="B170" s="33">
        <v>44694</v>
      </c>
      <c r="C170" s="3" t="s">
        <v>3</v>
      </c>
      <c r="D170" s="95" t="s">
        <v>11</v>
      </c>
      <c r="E170" s="3" t="s">
        <v>26</v>
      </c>
      <c r="F170" s="5" t="s">
        <v>1</v>
      </c>
      <c r="G170" s="25">
        <v>61.92</v>
      </c>
      <c r="H170" s="30">
        <v>4.8099999999999996</v>
      </c>
      <c r="I170" s="24">
        <v>2.79</v>
      </c>
      <c r="J170" s="20">
        <v>5.6</v>
      </c>
      <c r="K170" s="25">
        <v>42.2</v>
      </c>
      <c r="L170" s="133" t="s">
        <v>245</v>
      </c>
      <c r="P170" s="355"/>
      <c r="Q170" s="352">
        <v>44701</v>
      </c>
      <c r="R170" s="5" t="s">
        <v>30</v>
      </c>
      <c r="S170" s="94" t="s">
        <v>9</v>
      </c>
      <c r="T170" s="5" t="s">
        <v>26</v>
      </c>
      <c r="U170" s="5" t="s">
        <v>0</v>
      </c>
      <c r="V170" s="355">
        <v>64.180000000000007</v>
      </c>
      <c r="W170" s="355">
        <v>1.94</v>
      </c>
      <c r="X170" s="355">
        <v>2.09</v>
      </c>
      <c r="Y170" s="350">
        <v>0</v>
      </c>
      <c r="Z170" s="354">
        <v>22.155688622754493</v>
      </c>
      <c r="AA170" s="351">
        <v>261005845</v>
      </c>
      <c r="AB170" s="355"/>
    </row>
    <row r="171" spans="2:28" ht="14.5" x14ac:dyDescent="0.35">
      <c r="B171" s="33">
        <v>44695</v>
      </c>
      <c r="C171" s="3" t="s">
        <v>3</v>
      </c>
      <c r="D171" s="95" t="s">
        <v>11</v>
      </c>
      <c r="E171" s="3" t="s">
        <v>26</v>
      </c>
      <c r="F171" s="5" t="s">
        <v>1</v>
      </c>
      <c r="G171" s="27">
        <v>61.89</v>
      </c>
      <c r="H171" s="28">
        <v>4.76</v>
      </c>
      <c r="I171" s="26">
        <v>2.97</v>
      </c>
      <c r="J171" s="21">
        <v>0</v>
      </c>
      <c r="K171" s="27">
        <v>0</v>
      </c>
      <c r="L171" s="133" t="s">
        <v>246</v>
      </c>
      <c r="P171" s="355"/>
      <c r="Q171" s="352">
        <v>44702</v>
      </c>
      <c r="R171" s="5" t="s">
        <v>30</v>
      </c>
      <c r="S171" s="94" t="s">
        <v>9</v>
      </c>
      <c r="T171" s="5" t="s">
        <v>26</v>
      </c>
      <c r="U171" s="5" t="s">
        <v>0</v>
      </c>
      <c r="V171" s="355">
        <v>63.9</v>
      </c>
      <c r="W171" s="355">
        <v>3.12</v>
      </c>
      <c r="X171" s="355">
        <v>1.04</v>
      </c>
      <c r="Y171" s="350">
        <v>0</v>
      </c>
      <c r="Z171" s="354">
        <v>9.79020979020979</v>
      </c>
      <c r="AA171" s="351">
        <v>261005848</v>
      </c>
      <c r="AB171" s="355"/>
    </row>
    <row r="172" spans="2:28" ht="14.5" x14ac:dyDescent="0.35">
      <c r="B172" s="33">
        <v>44696</v>
      </c>
      <c r="C172" s="3" t="s">
        <v>3</v>
      </c>
      <c r="D172" s="95" t="s">
        <v>11</v>
      </c>
      <c r="E172" s="3" t="s">
        <v>26</v>
      </c>
      <c r="F172" s="5" t="s">
        <v>1</v>
      </c>
      <c r="G172" s="24">
        <v>61.9</v>
      </c>
      <c r="H172" s="24">
        <v>4.92</v>
      </c>
      <c r="I172" s="25">
        <v>2.9</v>
      </c>
      <c r="J172" s="20">
        <v>5.3</v>
      </c>
      <c r="K172" s="25">
        <v>42.2</v>
      </c>
      <c r="L172" s="133" t="s">
        <v>247</v>
      </c>
      <c r="P172" s="355"/>
      <c r="Q172" s="352">
        <v>44703</v>
      </c>
      <c r="R172" s="5" t="s">
        <v>30</v>
      </c>
      <c r="S172" s="94" t="s">
        <v>11</v>
      </c>
      <c r="T172" s="5" t="s">
        <v>26</v>
      </c>
      <c r="U172" s="5" t="s">
        <v>0</v>
      </c>
      <c r="V172" s="355">
        <v>64.47</v>
      </c>
      <c r="W172" s="355">
        <v>1.92</v>
      </c>
      <c r="X172" s="355">
        <v>1.17</v>
      </c>
      <c r="Y172" s="350">
        <v>0</v>
      </c>
      <c r="Z172" s="354">
        <v>2.521008403361344</v>
      </c>
      <c r="AA172" s="351">
        <v>261006672</v>
      </c>
      <c r="AB172" s="355"/>
    </row>
    <row r="173" spans="2:28" ht="14.5" x14ac:dyDescent="0.35">
      <c r="B173" s="33">
        <v>44696</v>
      </c>
      <c r="C173" s="3" t="s">
        <v>3</v>
      </c>
      <c r="D173" s="95" t="s">
        <v>11</v>
      </c>
      <c r="E173" s="3" t="s">
        <v>26</v>
      </c>
      <c r="F173" s="5" t="s">
        <v>1</v>
      </c>
      <c r="G173" s="25">
        <v>61.88</v>
      </c>
      <c r="H173" s="30">
        <v>4.8099999999999996</v>
      </c>
      <c r="I173" s="24">
        <v>2.94</v>
      </c>
      <c r="J173" s="20">
        <v>7.2</v>
      </c>
      <c r="K173" s="25">
        <v>40.5</v>
      </c>
      <c r="L173" s="133" t="s">
        <v>248</v>
      </c>
      <c r="P173" s="355"/>
      <c r="Q173" s="352">
        <v>44703</v>
      </c>
      <c r="R173" s="5" t="s">
        <v>30</v>
      </c>
      <c r="S173" s="94" t="s">
        <v>9</v>
      </c>
      <c r="T173" s="5" t="s">
        <v>26</v>
      </c>
      <c r="U173" s="5" t="s">
        <v>0</v>
      </c>
      <c r="V173" s="355">
        <v>63.57</v>
      </c>
      <c r="W173" s="355">
        <v>2.35</v>
      </c>
      <c r="X173" s="355">
        <v>1.9</v>
      </c>
      <c r="Y173" s="350">
        <v>0</v>
      </c>
      <c r="Z173" s="354">
        <v>21.621621621621621</v>
      </c>
      <c r="AA173" s="351">
        <v>261005850</v>
      </c>
      <c r="AB173" s="355"/>
    </row>
    <row r="174" spans="2:28" ht="14.5" x14ac:dyDescent="0.35">
      <c r="B174" s="33">
        <v>44698</v>
      </c>
      <c r="C174" s="3" t="s">
        <v>3</v>
      </c>
      <c r="D174" s="95" t="s">
        <v>11</v>
      </c>
      <c r="E174" s="3" t="s">
        <v>26</v>
      </c>
      <c r="F174" s="5" t="s">
        <v>1</v>
      </c>
      <c r="G174" s="25">
        <v>62.38</v>
      </c>
      <c r="H174" s="30">
        <v>4.8099999999999996</v>
      </c>
      <c r="I174" s="25">
        <v>2.44</v>
      </c>
      <c r="J174" s="20"/>
      <c r="K174" s="25"/>
      <c r="L174" s="133" t="s">
        <v>249</v>
      </c>
      <c r="P174" s="355"/>
      <c r="Q174" s="352">
        <v>44704</v>
      </c>
      <c r="R174" s="5" t="s">
        <v>30</v>
      </c>
      <c r="S174" s="94" t="s">
        <v>9</v>
      </c>
      <c r="T174" s="5" t="s">
        <v>26</v>
      </c>
      <c r="U174" s="5" t="s">
        <v>0</v>
      </c>
      <c r="V174" s="355">
        <v>63.57</v>
      </c>
      <c r="W174" s="355">
        <v>4.34</v>
      </c>
      <c r="X174" s="355">
        <v>1.08</v>
      </c>
      <c r="Y174" s="350">
        <v>0</v>
      </c>
      <c r="Z174" s="354">
        <v>14.410480349344976</v>
      </c>
      <c r="AA174" s="351">
        <v>261005853</v>
      </c>
      <c r="AB174" s="355"/>
    </row>
    <row r="175" spans="2:28" ht="14.5" x14ac:dyDescent="0.35">
      <c r="B175" s="33">
        <v>44699</v>
      </c>
      <c r="C175" s="3" t="s">
        <v>3</v>
      </c>
      <c r="D175" s="95" t="s">
        <v>11</v>
      </c>
      <c r="E175" s="3" t="s">
        <v>26</v>
      </c>
      <c r="F175" s="5" t="s">
        <v>1</v>
      </c>
      <c r="G175" s="25">
        <v>62.36</v>
      </c>
      <c r="H175" s="30">
        <v>4.6399999999999997</v>
      </c>
      <c r="I175" s="24">
        <v>2.54</v>
      </c>
      <c r="J175" s="20">
        <v>4.3</v>
      </c>
      <c r="K175" s="25">
        <v>41.5</v>
      </c>
      <c r="L175" s="133" t="s">
        <v>250</v>
      </c>
      <c r="P175" s="355"/>
      <c r="Q175" s="352">
        <v>44704</v>
      </c>
      <c r="R175" s="5" t="s">
        <v>30</v>
      </c>
      <c r="S175" s="94" t="s">
        <v>11</v>
      </c>
      <c r="T175" s="5" t="s">
        <v>26</v>
      </c>
      <c r="U175" s="5" t="s">
        <v>0</v>
      </c>
      <c r="V175" s="355">
        <v>64.55</v>
      </c>
      <c r="W175" s="355">
        <v>2.2200000000000002</v>
      </c>
      <c r="X175" s="355">
        <v>1.04</v>
      </c>
      <c r="Y175" s="350">
        <v>0</v>
      </c>
      <c r="Z175" s="354">
        <v>22</v>
      </c>
      <c r="AA175" s="351">
        <v>261006678</v>
      </c>
      <c r="AB175" s="355"/>
    </row>
    <row r="176" spans="2:28" ht="14.5" x14ac:dyDescent="0.35">
      <c r="B176" s="33">
        <v>44699</v>
      </c>
      <c r="C176" s="3" t="s">
        <v>3</v>
      </c>
      <c r="D176" s="95" t="s">
        <v>11</v>
      </c>
      <c r="E176" s="3" t="s">
        <v>26</v>
      </c>
      <c r="F176" s="5" t="s">
        <v>1</v>
      </c>
      <c r="G176" s="25">
        <v>61.86</v>
      </c>
      <c r="H176" s="30">
        <v>4.84</v>
      </c>
      <c r="I176" s="25">
        <v>3.12</v>
      </c>
      <c r="J176" s="20">
        <v>3.7</v>
      </c>
      <c r="K176" s="25">
        <v>39.5</v>
      </c>
      <c r="L176" s="133" t="s">
        <v>251</v>
      </c>
      <c r="P176" s="355"/>
      <c r="Q176" s="352">
        <v>44705</v>
      </c>
      <c r="R176" s="5" t="s">
        <v>30</v>
      </c>
      <c r="S176" s="94" t="s">
        <v>9</v>
      </c>
      <c r="T176" s="5" t="s">
        <v>26</v>
      </c>
      <c r="U176" s="5" t="s">
        <v>0</v>
      </c>
      <c r="V176" s="355">
        <v>63.68</v>
      </c>
      <c r="W176" s="355">
        <v>2.7</v>
      </c>
      <c r="X176" s="355">
        <v>1.52</v>
      </c>
      <c r="Y176" s="350">
        <v>8.9430894308943092</v>
      </c>
      <c r="Z176" s="354">
        <v>13.821138211382113</v>
      </c>
      <c r="AA176" s="351">
        <v>261005855</v>
      </c>
      <c r="AB176" s="355"/>
    </row>
    <row r="177" spans="2:28" ht="14.5" x14ac:dyDescent="0.35">
      <c r="B177" s="33">
        <v>44699</v>
      </c>
      <c r="C177" s="3" t="s">
        <v>3</v>
      </c>
      <c r="D177" s="95" t="s">
        <v>11</v>
      </c>
      <c r="E177" s="3" t="s">
        <v>26</v>
      </c>
      <c r="F177" s="5" t="s">
        <v>1</v>
      </c>
      <c r="G177" s="27">
        <v>62.43</v>
      </c>
      <c r="H177" s="28">
        <v>4.54</v>
      </c>
      <c r="I177" s="26">
        <v>2.63</v>
      </c>
      <c r="J177" s="27"/>
      <c r="K177" s="27"/>
      <c r="L177" s="133" t="s">
        <v>252</v>
      </c>
      <c r="P177" s="355"/>
      <c r="Q177" s="352">
        <v>44706</v>
      </c>
      <c r="R177" s="5" t="s">
        <v>30</v>
      </c>
      <c r="S177" s="94" t="s">
        <v>9</v>
      </c>
      <c r="T177" s="5" t="s">
        <v>26</v>
      </c>
      <c r="U177" s="5" t="s">
        <v>0</v>
      </c>
      <c r="V177" s="355">
        <v>61.87</v>
      </c>
      <c r="W177" s="355">
        <v>6.85</v>
      </c>
      <c r="X177" s="355">
        <v>1.1499999999999999</v>
      </c>
      <c r="Y177" s="350">
        <v>0</v>
      </c>
      <c r="Z177" s="354">
        <v>8.695652173913043</v>
      </c>
      <c r="AA177" s="351">
        <v>261005857</v>
      </c>
      <c r="AB177" s="355"/>
    </row>
    <row r="178" spans="2:28" ht="14.5" x14ac:dyDescent="0.35">
      <c r="B178" s="6">
        <v>44700</v>
      </c>
      <c r="C178" s="3" t="s">
        <v>3</v>
      </c>
      <c r="D178" s="95" t="s">
        <v>11</v>
      </c>
      <c r="E178" s="3" t="s">
        <v>26</v>
      </c>
      <c r="F178" s="5" t="s">
        <v>1</v>
      </c>
      <c r="G178" s="25">
        <v>61.45</v>
      </c>
      <c r="H178" s="30">
        <v>5.43</v>
      </c>
      <c r="I178" s="24">
        <v>3.13</v>
      </c>
      <c r="J178" s="25">
        <v>6.3</v>
      </c>
      <c r="K178" s="25">
        <v>42</v>
      </c>
      <c r="L178" s="133" t="s">
        <v>253</v>
      </c>
      <c r="P178" s="355"/>
      <c r="Q178" s="352">
        <v>44707</v>
      </c>
      <c r="R178" s="5" t="s">
        <v>30</v>
      </c>
      <c r="S178" s="94" t="s">
        <v>9</v>
      </c>
      <c r="T178" s="5" t="s">
        <v>26</v>
      </c>
      <c r="U178" s="5" t="s">
        <v>0</v>
      </c>
      <c r="V178" s="355">
        <v>63.74</v>
      </c>
      <c r="W178" s="355">
        <v>2.93</v>
      </c>
      <c r="X178" s="355">
        <v>1.25</v>
      </c>
      <c r="Y178" s="350">
        <v>0</v>
      </c>
      <c r="Z178" s="354">
        <v>11.504424778761063</v>
      </c>
      <c r="AA178" s="351">
        <v>261005859</v>
      </c>
      <c r="AB178" s="355"/>
    </row>
    <row r="179" spans="2:28" ht="14.5" x14ac:dyDescent="0.35">
      <c r="B179" s="6">
        <v>44701</v>
      </c>
      <c r="C179" s="3" t="s">
        <v>3</v>
      </c>
      <c r="D179" s="95" t="s">
        <v>11</v>
      </c>
      <c r="E179" s="3" t="s">
        <v>26</v>
      </c>
      <c r="F179" s="5" t="s">
        <v>1</v>
      </c>
      <c r="G179" s="25">
        <v>61.87</v>
      </c>
      <c r="H179" s="25">
        <v>4.92</v>
      </c>
      <c r="I179" s="24">
        <v>3.05</v>
      </c>
      <c r="J179" s="25">
        <v>4.5</v>
      </c>
      <c r="K179" s="25">
        <v>40.6</v>
      </c>
      <c r="L179" s="133" t="s">
        <v>254</v>
      </c>
      <c r="P179" s="355"/>
      <c r="Q179" s="352">
        <v>44707</v>
      </c>
      <c r="R179" s="5" t="s">
        <v>30</v>
      </c>
      <c r="S179" s="94" t="s">
        <v>11</v>
      </c>
      <c r="T179" s="5" t="s">
        <v>26</v>
      </c>
      <c r="U179" s="5" t="s">
        <v>0</v>
      </c>
      <c r="V179" s="355">
        <v>63.95</v>
      </c>
      <c r="W179" s="355">
        <v>2.67</v>
      </c>
      <c r="X179" s="355">
        <v>1.43</v>
      </c>
      <c r="Y179" s="350">
        <v>9.0090090090090094</v>
      </c>
      <c r="Z179" s="354">
        <v>5.4054054054054053</v>
      </c>
      <c r="AA179" s="351">
        <v>261006686</v>
      </c>
      <c r="AB179" s="355"/>
    </row>
    <row r="180" spans="2:28" ht="14.5" x14ac:dyDescent="0.35">
      <c r="B180" s="33">
        <v>44701</v>
      </c>
      <c r="C180" s="3" t="s">
        <v>3</v>
      </c>
      <c r="D180" s="95" t="s">
        <v>11</v>
      </c>
      <c r="E180" s="3" t="s">
        <v>26</v>
      </c>
      <c r="F180" s="5" t="s">
        <v>1</v>
      </c>
      <c r="G180" s="25">
        <v>61.88</v>
      </c>
      <c r="H180" s="25">
        <v>4.78</v>
      </c>
      <c r="I180" s="24">
        <v>3.06</v>
      </c>
      <c r="J180" s="25"/>
      <c r="K180" s="25"/>
      <c r="L180" s="133" t="s">
        <v>255</v>
      </c>
      <c r="P180" s="355"/>
      <c r="Q180" s="352">
        <v>44709</v>
      </c>
      <c r="R180" s="5" t="s">
        <v>30</v>
      </c>
      <c r="S180" s="94" t="s">
        <v>9</v>
      </c>
      <c r="T180" s="5" t="s">
        <v>26</v>
      </c>
      <c r="U180" s="5" t="s">
        <v>0</v>
      </c>
      <c r="V180" s="355">
        <v>64.42</v>
      </c>
      <c r="W180" s="355">
        <v>2.2400000000000002</v>
      </c>
      <c r="X180" s="355">
        <v>1.06</v>
      </c>
      <c r="Y180" s="350">
        <v>0</v>
      </c>
      <c r="Z180" s="354">
        <v>17.431192660550462</v>
      </c>
      <c r="AA180" s="351">
        <v>261005862</v>
      </c>
      <c r="AB180" s="355"/>
    </row>
    <row r="181" spans="2:28" ht="14.5" x14ac:dyDescent="0.35">
      <c r="B181" s="33">
        <v>44702</v>
      </c>
      <c r="C181" s="3" t="s">
        <v>3</v>
      </c>
      <c r="D181" s="95" t="s">
        <v>11</v>
      </c>
      <c r="E181" s="3" t="s">
        <v>26</v>
      </c>
      <c r="F181" s="5" t="s">
        <v>1</v>
      </c>
      <c r="G181" s="25">
        <v>62.17</v>
      </c>
      <c r="H181" s="25">
        <v>4.42</v>
      </c>
      <c r="I181" s="24">
        <v>2.96</v>
      </c>
      <c r="J181" s="25">
        <v>3</v>
      </c>
      <c r="K181" s="25">
        <v>41.5</v>
      </c>
      <c r="L181" s="133" t="s">
        <v>256</v>
      </c>
      <c r="P181" s="355"/>
      <c r="Q181" s="352">
        <v>44709</v>
      </c>
      <c r="R181" s="5" t="s">
        <v>30</v>
      </c>
      <c r="S181" s="94" t="s">
        <v>9</v>
      </c>
      <c r="T181" s="5" t="s">
        <v>26</v>
      </c>
      <c r="U181" s="5" t="s">
        <v>0</v>
      </c>
      <c r="V181" s="355">
        <v>62.2</v>
      </c>
      <c r="W181" s="355">
        <v>5.7</v>
      </c>
      <c r="X181" s="355">
        <v>1.1499999999999999</v>
      </c>
      <c r="Y181" s="350">
        <v>0</v>
      </c>
      <c r="Z181" s="354">
        <v>14.689265536723166</v>
      </c>
      <c r="AA181" s="351">
        <v>261005863</v>
      </c>
      <c r="AB181" s="355"/>
    </row>
    <row r="182" spans="2:28" ht="14.5" x14ac:dyDescent="0.35">
      <c r="B182" s="33">
        <v>44703</v>
      </c>
      <c r="C182" s="3" t="s">
        <v>3</v>
      </c>
      <c r="D182" s="95" t="s">
        <v>11</v>
      </c>
      <c r="E182" s="3" t="s">
        <v>26</v>
      </c>
      <c r="F182" s="5" t="s">
        <v>1</v>
      </c>
      <c r="G182" s="25">
        <v>61.8</v>
      </c>
      <c r="H182" s="25">
        <v>4.8499999999999996</v>
      </c>
      <c r="I182" s="24">
        <v>3.18</v>
      </c>
      <c r="J182" s="25">
        <v>5.3</v>
      </c>
      <c r="K182" s="25">
        <v>43.2</v>
      </c>
      <c r="L182" s="133" t="s">
        <v>257</v>
      </c>
      <c r="P182" s="355"/>
      <c r="Q182" s="352">
        <v>44710</v>
      </c>
      <c r="R182" s="5" t="s">
        <v>30</v>
      </c>
      <c r="S182" s="94" t="s">
        <v>9</v>
      </c>
      <c r="T182" s="5" t="s">
        <v>26</v>
      </c>
      <c r="U182" s="5" t="s">
        <v>0</v>
      </c>
      <c r="V182" s="355">
        <v>64.41</v>
      </c>
      <c r="W182" s="355">
        <v>1.96</v>
      </c>
      <c r="X182" s="355">
        <v>1.26</v>
      </c>
      <c r="Y182" s="350">
        <v>6.7307692307692308</v>
      </c>
      <c r="Z182" s="354">
        <v>14.903846153846153</v>
      </c>
      <c r="AA182" s="351">
        <v>241000368</v>
      </c>
      <c r="AB182" s="355"/>
    </row>
    <row r="183" spans="2:28" ht="14.5" x14ac:dyDescent="0.35">
      <c r="B183" s="33">
        <v>44703</v>
      </c>
      <c r="C183" s="3" t="s">
        <v>3</v>
      </c>
      <c r="D183" s="95" t="s">
        <v>11</v>
      </c>
      <c r="E183" s="3" t="s">
        <v>26</v>
      </c>
      <c r="F183" s="5" t="s">
        <v>1</v>
      </c>
      <c r="G183" s="27">
        <v>61.79</v>
      </c>
      <c r="H183" s="28">
        <v>4.82</v>
      </c>
      <c r="I183" s="27">
        <v>3.27</v>
      </c>
      <c r="J183" s="27">
        <v>5.7</v>
      </c>
      <c r="K183" s="27">
        <v>40.799999999999997</v>
      </c>
      <c r="L183" s="133" t="s">
        <v>258</v>
      </c>
      <c r="P183" s="355"/>
      <c r="Q183" s="352">
        <v>44710</v>
      </c>
      <c r="R183" s="5" t="s">
        <v>30</v>
      </c>
      <c r="S183" s="94" t="s">
        <v>9</v>
      </c>
      <c r="T183" s="5" t="s">
        <v>26</v>
      </c>
      <c r="U183" s="5" t="s">
        <v>0</v>
      </c>
      <c r="V183" s="355">
        <v>62.83</v>
      </c>
      <c r="W183" s="355">
        <v>5.0999999999999996</v>
      </c>
      <c r="X183" s="355">
        <v>1.07</v>
      </c>
      <c r="Y183" s="350">
        <v>0</v>
      </c>
      <c r="Z183" s="354">
        <v>21.53846153846154</v>
      </c>
      <c r="AA183" s="351">
        <v>261005865</v>
      </c>
      <c r="AB183" s="355"/>
    </row>
    <row r="184" spans="2:28" ht="14.5" x14ac:dyDescent="0.35">
      <c r="B184" s="6">
        <v>44703</v>
      </c>
      <c r="C184" s="3" t="s">
        <v>3</v>
      </c>
      <c r="D184" s="95" t="s">
        <v>11</v>
      </c>
      <c r="E184" s="3" t="s">
        <v>26</v>
      </c>
      <c r="F184" s="5" t="s">
        <v>1</v>
      </c>
      <c r="G184" s="25">
        <v>61.66</v>
      </c>
      <c r="H184" s="25">
        <v>4.93</v>
      </c>
      <c r="I184" s="25">
        <v>3.12</v>
      </c>
      <c r="J184" s="25"/>
      <c r="K184" s="25"/>
      <c r="L184" s="133" t="s">
        <v>259</v>
      </c>
      <c r="P184" s="355"/>
      <c r="Q184" s="352">
        <v>44710</v>
      </c>
      <c r="R184" s="5" t="s">
        <v>30</v>
      </c>
      <c r="S184" s="94" t="s">
        <v>9</v>
      </c>
      <c r="T184" s="5" t="s">
        <v>26</v>
      </c>
      <c r="U184" s="5" t="s">
        <v>0</v>
      </c>
      <c r="V184" s="355">
        <v>64.12</v>
      </c>
      <c r="W184" s="355">
        <v>2.0499999999999998</v>
      </c>
      <c r="X184" s="355">
        <v>1.39</v>
      </c>
      <c r="Y184" s="350">
        <v>0</v>
      </c>
      <c r="Z184" s="354">
        <v>15.306122448979592</v>
      </c>
      <c r="AA184" s="351">
        <v>261005869</v>
      </c>
      <c r="AB184" s="355"/>
    </row>
    <row r="185" spans="2:28" ht="14.5" x14ac:dyDescent="0.35">
      <c r="B185" s="6">
        <v>44703</v>
      </c>
      <c r="C185" s="3" t="s">
        <v>3</v>
      </c>
      <c r="D185" s="95" t="s">
        <v>11</v>
      </c>
      <c r="E185" s="3" t="s">
        <v>26</v>
      </c>
      <c r="F185" s="5" t="s">
        <v>1</v>
      </c>
      <c r="G185" s="25">
        <v>61.9</v>
      </c>
      <c r="H185" s="25">
        <v>5.07</v>
      </c>
      <c r="I185" s="25">
        <v>2.65</v>
      </c>
      <c r="J185" s="25">
        <v>4.8</v>
      </c>
      <c r="K185" s="25">
        <v>42.4</v>
      </c>
      <c r="L185" s="133" t="s">
        <v>260</v>
      </c>
      <c r="P185" s="355"/>
      <c r="Q185" s="352">
        <v>44711</v>
      </c>
      <c r="R185" s="5" t="s">
        <v>30</v>
      </c>
      <c r="S185" s="94" t="s">
        <v>9</v>
      </c>
      <c r="T185" s="5" t="s">
        <v>26</v>
      </c>
      <c r="U185" s="5" t="s">
        <v>0</v>
      </c>
      <c r="V185" s="355">
        <v>63.64</v>
      </c>
      <c r="W185" s="355">
        <v>3.38</v>
      </c>
      <c r="X185" s="355">
        <v>1.08</v>
      </c>
      <c r="Y185" s="350">
        <v>7.3529411764705888</v>
      </c>
      <c r="Z185" s="354">
        <v>6.6176470588235299</v>
      </c>
      <c r="AA185" s="351">
        <v>261005871</v>
      </c>
      <c r="AB185" s="355"/>
    </row>
    <row r="186" spans="2:28" ht="14.5" x14ac:dyDescent="0.35">
      <c r="B186" s="33">
        <v>44704</v>
      </c>
      <c r="C186" s="3" t="s">
        <v>3</v>
      </c>
      <c r="D186" s="95" t="s">
        <v>11</v>
      </c>
      <c r="E186" s="3" t="s">
        <v>26</v>
      </c>
      <c r="F186" s="5" t="s">
        <v>1</v>
      </c>
      <c r="G186" s="27">
        <v>62.14</v>
      </c>
      <c r="H186" s="27">
        <v>4.74</v>
      </c>
      <c r="I186" s="27">
        <v>2.84</v>
      </c>
      <c r="J186" s="27"/>
      <c r="K186" s="27"/>
      <c r="L186" s="133" t="s">
        <v>261</v>
      </c>
      <c r="P186" s="355"/>
      <c r="Q186" s="352">
        <v>44711</v>
      </c>
      <c r="R186" s="5" t="s">
        <v>30</v>
      </c>
      <c r="S186" s="94" t="s">
        <v>9</v>
      </c>
      <c r="T186" s="5" t="s">
        <v>26</v>
      </c>
      <c r="U186" s="5" t="s">
        <v>0</v>
      </c>
      <c r="V186" s="355">
        <v>64.53</v>
      </c>
      <c r="W186" s="355">
        <v>1.68</v>
      </c>
      <c r="X186" s="355">
        <v>1.22</v>
      </c>
      <c r="Y186" s="350">
        <v>10.416666666666668</v>
      </c>
      <c r="Z186" s="354">
        <v>10.416666666666668</v>
      </c>
      <c r="AA186" s="351">
        <v>241000369</v>
      </c>
      <c r="AB186" s="355"/>
    </row>
    <row r="187" spans="2:28" ht="15.5" x14ac:dyDescent="0.35">
      <c r="B187" s="6">
        <v>44704</v>
      </c>
      <c r="C187" s="3" t="s">
        <v>3</v>
      </c>
      <c r="D187" s="95" t="s">
        <v>11</v>
      </c>
      <c r="E187" s="3" t="s">
        <v>26</v>
      </c>
      <c r="F187" s="5" t="s">
        <v>1</v>
      </c>
      <c r="G187" s="22">
        <v>62.04</v>
      </c>
      <c r="H187" s="22">
        <v>4.78</v>
      </c>
      <c r="I187" s="22">
        <v>2.84</v>
      </c>
      <c r="J187" s="22">
        <v>3.9</v>
      </c>
      <c r="K187" s="22">
        <v>44.7</v>
      </c>
      <c r="L187" s="133" t="s">
        <v>262</v>
      </c>
      <c r="P187" s="355"/>
      <c r="Q187" s="352">
        <v>44712</v>
      </c>
      <c r="R187" s="5" t="s">
        <v>30</v>
      </c>
      <c r="S187" s="94" t="s">
        <v>9</v>
      </c>
      <c r="T187" s="5" t="s">
        <v>26</v>
      </c>
      <c r="U187" s="5" t="s">
        <v>0</v>
      </c>
      <c r="V187" s="355">
        <v>61.18</v>
      </c>
      <c r="W187" s="355">
        <v>6.05</v>
      </c>
      <c r="X187" s="355">
        <v>2.42</v>
      </c>
      <c r="Y187" s="350">
        <v>0</v>
      </c>
      <c r="Z187" s="354">
        <v>18.000000000000004</v>
      </c>
      <c r="AA187" s="351">
        <v>261005874</v>
      </c>
      <c r="AB187" s="355"/>
    </row>
    <row r="188" spans="2:28" ht="15.5" x14ac:dyDescent="0.35">
      <c r="B188" s="6">
        <v>44706</v>
      </c>
      <c r="C188" s="3" t="s">
        <v>3</v>
      </c>
      <c r="D188" s="95" t="s">
        <v>11</v>
      </c>
      <c r="E188" s="3" t="s">
        <v>26</v>
      </c>
      <c r="F188" s="5" t="s">
        <v>1</v>
      </c>
      <c r="G188" s="22">
        <v>62.08</v>
      </c>
      <c r="H188" s="22">
        <v>4.8899999999999997</v>
      </c>
      <c r="I188" s="22">
        <v>2.78</v>
      </c>
      <c r="J188" s="22">
        <v>5.0999999999999996</v>
      </c>
      <c r="K188" s="22">
        <v>40.9</v>
      </c>
      <c r="L188" s="133" t="s">
        <v>263</v>
      </c>
      <c r="P188" s="355"/>
      <c r="Q188" s="6">
        <v>44683</v>
      </c>
      <c r="R188" s="5" t="s">
        <v>5</v>
      </c>
      <c r="S188" s="95" t="s">
        <v>31</v>
      </c>
      <c r="T188" s="5" t="s">
        <v>26</v>
      </c>
      <c r="U188" s="5" t="s">
        <v>0</v>
      </c>
      <c r="V188" s="25">
        <v>63.2</v>
      </c>
      <c r="W188" s="25">
        <v>2.5</v>
      </c>
      <c r="X188" s="24">
        <v>2.2000000000000002</v>
      </c>
      <c r="Y188" s="25">
        <v>3</v>
      </c>
      <c r="Z188" s="25">
        <v>16</v>
      </c>
      <c r="AA188" s="355">
        <v>3</v>
      </c>
      <c r="AB188" s="355"/>
    </row>
    <row r="189" spans="2:28" ht="15.5" x14ac:dyDescent="0.35">
      <c r="B189" s="34">
        <v>44706</v>
      </c>
      <c r="C189" s="3" t="s">
        <v>3</v>
      </c>
      <c r="D189" s="95" t="s">
        <v>11</v>
      </c>
      <c r="E189" s="3" t="s">
        <v>26</v>
      </c>
      <c r="F189" s="5" t="s">
        <v>1</v>
      </c>
      <c r="G189" s="23">
        <v>61.67</v>
      </c>
      <c r="H189" s="12">
        <v>4.9400000000000004</v>
      </c>
      <c r="I189" s="23">
        <v>3.08</v>
      </c>
      <c r="J189" s="23"/>
      <c r="K189" s="23"/>
      <c r="L189" s="133" t="s">
        <v>264</v>
      </c>
      <c r="P189" s="355"/>
      <c r="Q189" s="33">
        <v>44684</v>
      </c>
      <c r="R189" s="5" t="s">
        <v>5</v>
      </c>
      <c r="S189" s="95" t="s">
        <v>31</v>
      </c>
      <c r="T189" s="5" t="s">
        <v>26</v>
      </c>
      <c r="U189" s="5" t="s">
        <v>0</v>
      </c>
      <c r="V189" s="25">
        <v>63.2</v>
      </c>
      <c r="W189" s="25">
        <v>2.5</v>
      </c>
      <c r="X189" s="24">
        <v>2.1</v>
      </c>
      <c r="Y189" s="25">
        <v>3</v>
      </c>
      <c r="Z189" s="25">
        <v>14</v>
      </c>
      <c r="AA189" s="355">
        <v>6</v>
      </c>
      <c r="AB189" s="355"/>
    </row>
    <row r="190" spans="2:28" ht="15.5" x14ac:dyDescent="0.35">
      <c r="B190" s="34">
        <v>44707</v>
      </c>
      <c r="C190" s="3" t="s">
        <v>3</v>
      </c>
      <c r="D190" s="95" t="s">
        <v>11</v>
      </c>
      <c r="E190" s="3" t="s">
        <v>26</v>
      </c>
      <c r="F190" s="5" t="s">
        <v>1</v>
      </c>
      <c r="G190" s="23">
        <v>62.03</v>
      </c>
      <c r="H190" s="12">
        <v>4.8499999999999996</v>
      </c>
      <c r="I190" s="23">
        <v>2.79</v>
      </c>
      <c r="J190" s="23"/>
      <c r="K190" s="23"/>
      <c r="L190" s="133" t="s">
        <v>265</v>
      </c>
      <c r="P190" s="355"/>
      <c r="Q190" s="33">
        <v>44685</v>
      </c>
      <c r="R190" s="5" t="s">
        <v>5</v>
      </c>
      <c r="S190" s="95" t="s">
        <v>31</v>
      </c>
      <c r="T190" s="5" t="s">
        <v>26</v>
      </c>
      <c r="U190" s="5" t="s">
        <v>0</v>
      </c>
      <c r="V190" s="25">
        <v>63.1</v>
      </c>
      <c r="W190" s="25">
        <v>2.4</v>
      </c>
      <c r="X190" s="24">
        <v>2.4</v>
      </c>
      <c r="Y190" s="25">
        <v>5</v>
      </c>
      <c r="Z190" s="25">
        <v>16</v>
      </c>
      <c r="AA190" s="355">
        <v>9</v>
      </c>
      <c r="AB190" s="355"/>
    </row>
    <row r="191" spans="2:28" ht="15.5" x14ac:dyDescent="0.35">
      <c r="B191" s="6">
        <v>44708</v>
      </c>
      <c r="C191" s="3" t="s">
        <v>3</v>
      </c>
      <c r="D191" s="95" t="s">
        <v>11</v>
      </c>
      <c r="E191" s="3" t="s">
        <v>26</v>
      </c>
      <c r="F191" s="5" t="s">
        <v>1</v>
      </c>
      <c r="G191" s="22">
        <v>62.13</v>
      </c>
      <c r="H191" s="22">
        <v>4.8499999999999996</v>
      </c>
      <c r="I191" s="22">
        <v>2.74</v>
      </c>
      <c r="J191" s="22">
        <v>7.1</v>
      </c>
      <c r="K191" s="22">
        <v>45.2</v>
      </c>
      <c r="L191" s="133" t="s">
        <v>266</v>
      </c>
      <c r="P191" s="355"/>
      <c r="Q191" s="33">
        <v>44687</v>
      </c>
      <c r="R191" s="5" t="s">
        <v>5</v>
      </c>
      <c r="S191" s="95" t="s">
        <v>31</v>
      </c>
      <c r="T191" s="5" t="s">
        <v>26</v>
      </c>
      <c r="U191" s="5" t="s">
        <v>0</v>
      </c>
      <c r="V191" s="25">
        <v>63.3</v>
      </c>
      <c r="W191" s="25">
        <v>2.4</v>
      </c>
      <c r="X191" s="24">
        <v>2.1</v>
      </c>
      <c r="Y191" s="25">
        <v>3</v>
      </c>
      <c r="Z191" s="25">
        <v>20</v>
      </c>
      <c r="AA191" s="355">
        <v>12</v>
      </c>
      <c r="AB191" s="355"/>
    </row>
    <row r="192" spans="2:28" ht="15.5" x14ac:dyDescent="0.35">
      <c r="B192" s="6">
        <v>44709</v>
      </c>
      <c r="C192" s="3" t="s">
        <v>3</v>
      </c>
      <c r="D192" s="95" t="s">
        <v>11</v>
      </c>
      <c r="E192" s="3" t="s">
        <v>26</v>
      </c>
      <c r="F192" s="5" t="s">
        <v>1</v>
      </c>
      <c r="G192" s="22">
        <v>61.69</v>
      </c>
      <c r="H192" s="22">
        <v>4.8</v>
      </c>
      <c r="I192" s="22">
        <v>3.31</v>
      </c>
      <c r="J192" s="22">
        <v>6.3</v>
      </c>
      <c r="K192" s="22">
        <v>42.5</v>
      </c>
      <c r="L192" s="133" t="s">
        <v>267</v>
      </c>
      <c r="P192" s="355"/>
      <c r="Q192" s="33">
        <v>44688</v>
      </c>
      <c r="R192" s="5" t="s">
        <v>5</v>
      </c>
      <c r="S192" s="95" t="s">
        <v>31</v>
      </c>
      <c r="T192" s="5" t="s">
        <v>26</v>
      </c>
      <c r="U192" s="5" t="s">
        <v>0</v>
      </c>
      <c r="V192" s="27">
        <v>63.1</v>
      </c>
      <c r="W192" s="28">
        <v>2.5</v>
      </c>
      <c r="X192" s="27">
        <v>2.2999999999999998</v>
      </c>
      <c r="Y192" s="27">
        <v>2</v>
      </c>
      <c r="Z192" s="27">
        <v>17</v>
      </c>
      <c r="AA192" s="355">
        <v>15</v>
      </c>
      <c r="AB192" s="355"/>
    </row>
    <row r="193" spans="2:28" ht="15.5" x14ac:dyDescent="0.35">
      <c r="B193" s="6">
        <v>44711</v>
      </c>
      <c r="C193" s="3" t="s">
        <v>3</v>
      </c>
      <c r="D193" s="95" t="s">
        <v>11</v>
      </c>
      <c r="E193" s="3" t="s">
        <v>26</v>
      </c>
      <c r="F193" s="5" t="s">
        <v>1</v>
      </c>
      <c r="G193" s="22">
        <v>61.94</v>
      </c>
      <c r="H193" s="12">
        <v>4.5199999999999996</v>
      </c>
      <c r="I193" s="22">
        <v>3.12</v>
      </c>
      <c r="J193" s="22">
        <v>5.4</v>
      </c>
      <c r="K193" s="22">
        <v>44.1</v>
      </c>
      <c r="L193" s="133" t="s">
        <v>268</v>
      </c>
      <c r="P193" s="355"/>
      <c r="Q193" s="6">
        <v>44689</v>
      </c>
      <c r="R193" s="5" t="s">
        <v>5</v>
      </c>
      <c r="S193" s="95" t="s">
        <v>31</v>
      </c>
      <c r="T193" s="5" t="s">
        <v>26</v>
      </c>
      <c r="U193" s="5" t="s">
        <v>0</v>
      </c>
      <c r="V193" s="25">
        <v>63.3</v>
      </c>
      <c r="W193" s="25">
        <v>2.2999999999999998</v>
      </c>
      <c r="X193" s="25">
        <v>2.2000000000000002</v>
      </c>
      <c r="Y193" s="25">
        <v>2</v>
      </c>
      <c r="Z193" s="25">
        <v>12</v>
      </c>
      <c r="AA193" s="355">
        <v>17</v>
      </c>
      <c r="AB193" s="355"/>
    </row>
    <row r="194" spans="2:28" ht="14.5" x14ac:dyDescent="0.35">
      <c r="B194" s="281">
        <v>44682</v>
      </c>
      <c r="C194" s="3" t="s">
        <v>4</v>
      </c>
      <c r="D194" s="95" t="s">
        <v>11</v>
      </c>
      <c r="E194" s="3" t="s">
        <v>26</v>
      </c>
      <c r="F194" s="5" t="s">
        <v>0</v>
      </c>
      <c r="G194" s="286">
        <v>59.8</v>
      </c>
      <c r="H194" s="286">
        <v>4.2</v>
      </c>
      <c r="I194" s="283">
        <v>3.5</v>
      </c>
      <c r="J194" s="283">
        <v>8.1</v>
      </c>
      <c r="K194" s="286">
        <v>20.7</v>
      </c>
      <c r="L194" s="283">
        <v>569</v>
      </c>
      <c r="P194" s="355"/>
      <c r="Q194" s="6">
        <v>44689</v>
      </c>
      <c r="R194" s="5" t="s">
        <v>5</v>
      </c>
      <c r="S194" s="95" t="s">
        <v>31</v>
      </c>
      <c r="T194" s="5" t="s">
        <v>26</v>
      </c>
      <c r="U194" s="5" t="s">
        <v>0</v>
      </c>
      <c r="V194" s="25">
        <v>63.1</v>
      </c>
      <c r="W194" s="25">
        <v>2.2999999999999998</v>
      </c>
      <c r="X194" s="25">
        <v>2.5</v>
      </c>
      <c r="Y194" s="25">
        <v>4</v>
      </c>
      <c r="Z194" s="25">
        <v>9</v>
      </c>
      <c r="AA194" s="355">
        <v>19</v>
      </c>
      <c r="AB194" s="355"/>
    </row>
    <row r="195" spans="2:28" ht="14.5" x14ac:dyDescent="0.35">
      <c r="B195" s="281">
        <v>44682</v>
      </c>
      <c r="C195" s="3" t="s">
        <v>4</v>
      </c>
      <c r="D195" s="95" t="s">
        <v>11</v>
      </c>
      <c r="E195" s="3" t="s">
        <v>26</v>
      </c>
      <c r="F195" s="5" t="s">
        <v>0</v>
      </c>
      <c r="G195" s="283">
        <v>61.5</v>
      </c>
      <c r="H195" s="283">
        <v>3.1</v>
      </c>
      <c r="I195" s="283">
        <v>1.9</v>
      </c>
      <c r="J195" s="283">
        <v>14.8</v>
      </c>
      <c r="K195" s="286">
        <v>26.8</v>
      </c>
      <c r="L195" s="283">
        <v>569</v>
      </c>
      <c r="P195" s="355"/>
      <c r="Q195" s="33">
        <v>44691</v>
      </c>
      <c r="R195" s="5" t="s">
        <v>5</v>
      </c>
      <c r="S195" s="95" t="s">
        <v>31</v>
      </c>
      <c r="T195" s="5" t="s">
        <v>26</v>
      </c>
      <c r="U195" s="5" t="s">
        <v>0</v>
      </c>
      <c r="V195" s="27">
        <v>63.2</v>
      </c>
      <c r="W195" s="27">
        <v>2.4</v>
      </c>
      <c r="X195" s="27">
        <v>2.2000000000000002</v>
      </c>
      <c r="Y195" s="27">
        <v>2</v>
      </c>
      <c r="Z195" s="27">
        <v>12</v>
      </c>
      <c r="AA195" s="355">
        <v>23</v>
      </c>
      <c r="AB195" s="355"/>
    </row>
    <row r="196" spans="2:28" ht="15.5" x14ac:dyDescent="0.35">
      <c r="B196" s="281">
        <v>44682</v>
      </c>
      <c r="C196" s="3" t="s">
        <v>4</v>
      </c>
      <c r="D196" s="95" t="s">
        <v>11</v>
      </c>
      <c r="E196" s="3" t="s">
        <v>26</v>
      </c>
      <c r="F196" s="5" t="s">
        <v>0</v>
      </c>
      <c r="G196" s="283">
        <v>62</v>
      </c>
      <c r="H196" s="283">
        <v>2.9</v>
      </c>
      <c r="I196" s="283">
        <v>2.6</v>
      </c>
      <c r="J196" s="283">
        <v>21.9</v>
      </c>
      <c r="K196" s="283">
        <v>11.2</v>
      </c>
      <c r="L196" s="283">
        <v>568</v>
      </c>
      <c r="P196" s="355"/>
      <c r="Q196" s="6">
        <v>44691</v>
      </c>
      <c r="R196" s="5" t="s">
        <v>5</v>
      </c>
      <c r="S196" s="95" t="s">
        <v>31</v>
      </c>
      <c r="T196" s="5" t="s">
        <v>26</v>
      </c>
      <c r="U196" s="5" t="s">
        <v>0</v>
      </c>
      <c r="V196" s="22">
        <v>63.1</v>
      </c>
      <c r="W196" s="22">
        <v>2.5</v>
      </c>
      <c r="X196" s="22">
        <v>2.2999999999999998</v>
      </c>
      <c r="Y196" s="22">
        <v>3</v>
      </c>
      <c r="Z196" s="22">
        <v>12</v>
      </c>
      <c r="AA196" s="355">
        <v>25</v>
      </c>
      <c r="AB196" s="355"/>
    </row>
    <row r="197" spans="2:28" ht="15.5" x14ac:dyDescent="0.35">
      <c r="B197" s="281">
        <v>44683</v>
      </c>
      <c r="C197" s="3" t="s">
        <v>4</v>
      </c>
      <c r="D197" s="95" t="s">
        <v>11</v>
      </c>
      <c r="E197" s="3" t="s">
        <v>26</v>
      </c>
      <c r="F197" s="5" t="s">
        <v>0</v>
      </c>
      <c r="G197" s="283">
        <v>61.1</v>
      </c>
      <c r="H197" s="283">
        <v>3.6</v>
      </c>
      <c r="I197" s="283">
        <v>2.8</v>
      </c>
      <c r="J197" s="283">
        <v>20.399999999999999</v>
      </c>
      <c r="K197" s="283">
        <v>12.6</v>
      </c>
      <c r="L197" s="283">
        <v>501</v>
      </c>
      <c r="P197" s="355"/>
      <c r="Q197" s="6">
        <v>44692</v>
      </c>
      <c r="R197" s="5" t="s">
        <v>5</v>
      </c>
      <c r="S197" s="95" t="s">
        <v>31</v>
      </c>
      <c r="T197" s="5" t="s">
        <v>26</v>
      </c>
      <c r="U197" s="5" t="s">
        <v>0</v>
      </c>
      <c r="V197" s="22">
        <v>63.2</v>
      </c>
      <c r="W197" s="22">
        <v>2.5</v>
      </c>
      <c r="X197" s="22">
        <v>2.2000000000000002</v>
      </c>
      <c r="Y197" s="22">
        <v>4</v>
      </c>
      <c r="Z197" s="22">
        <v>7</v>
      </c>
      <c r="AA197" s="355">
        <v>28</v>
      </c>
      <c r="AB197" s="355"/>
    </row>
    <row r="198" spans="2:28" ht="15.5" x14ac:dyDescent="0.35">
      <c r="B198" s="281">
        <v>44684</v>
      </c>
      <c r="C198" s="3" t="s">
        <v>4</v>
      </c>
      <c r="D198" s="95" t="s">
        <v>11</v>
      </c>
      <c r="E198" s="3" t="s">
        <v>26</v>
      </c>
      <c r="F198" s="5" t="s">
        <v>0</v>
      </c>
      <c r="G198" s="283">
        <v>62</v>
      </c>
      <c r="H198" s="283">
        <v>2.8</v>
      </c>
      <c r="I198" s="283">
        <v>2.1</v>
      </c>
      <c r="J198" s="283">
        <v>23.8</v>
      </c>
      <c r="K198" s="283">
        <v>14.5</v>
      </c>
      <c r="L198" s="283">
        <v>502</v>
      </c>
      <c r="P198" s="355"/>
      <c r="Q198" s="34">
        <v>44694</v>
      </c>
      <c r="R198" s="5" t="s">
        <v>5</v>
      </c>
      <c r="S198" s="95" t="s">
        <v>31</v>
      </c>
      <c r="T198" s="5" t="s">
        <v>26</v>
      </c>
      <c r="U198" s="5" t="s">
        <v>0</v>
      </c>
      <c r="V198" s="23">
        <v>63.3</v>
      </c>
      <c r="W198" s="12">
        <v>2.4</v>
      </c>
      <c r="X198" s="23">
        <v>2.2000000000000002</v>
      </c>
      <c r="Y198" s="23">
        <v>4</v>
      </c>
      <c r="Z198" s="23">
        <v>14</v>
      </c>
      <c r="AA198" s="355">
        <v>33</v>
      </c>
      <c r="AB198" s="355"/>
    </row>
    <row r="199" spans="2:28" ht="15.5" x14ac:dyDescent="0.35">
      <c r="B199" s="327">
        <v>44684</v>
      </c>
      <c r="C199" s="3" t="s">
        <v>4</v>
      </c>
      <c r="D199" s="95" t="s">
        <v>11</v>
      </c>
      <c r="E199" s="3" t="s">
        <v>26</v>
      </c>
      <c r="F199" s="5" t="s">
        <v>0</v>
      </c>
      <c r="G199" s="287">
        <v>61.5</v>
      </c>
      <c r="H199" s="287">
        <v>2.6</v>
      </c>
      <c r="I199" s="287">
        <v>3.1</v>
      </c>
      <c r="J199" s="287">
        <v>25.2</v>
      </c>
      <c r="K199" s="287">
        <v>14.6</v>
      </c>
      <c r="L199" s="287">
        <v>505</v>
      </c>
      <c r="P199" s="355"/>
      <c r="Q199" s="34">
        <v>44695</v>
      </c>
      <c r="R199" s="5" t="s">
        <v>5</v>
      </c>
      <c r="S199" s="95" t="s">
        <v>31</v>
      </c>
      <c r="T199" s="5" t="s">
        <v>26</v>
      </c>
      <c r="U199" s="5" t="s">
        <v>0</v>
      </c>
      <c r="V199" s="23">
        <v>63.1</v>
      </c>
      <c r="W199" s="12">
        <v>2.6</v>
      </c>
      <c r="X199" s="23">
        <v>2.1</v>
      </c>
      <c r="Y199" s="23">
        <v>5</v>
      </c>
      <c r="Z199" s="23">
        <v>19</v>
      </c>
      <c r="AA199" s="355">
        <v>35</v>
      </c>
      <c r="AB199" s="355"/>
    </row>
    <row r="200" spans="2:28" ht="15.5" x14ac:dyDescent="0.35">
      <c r="B200" s="281">
        <v>44685</v>
      </c>
      <c r="C200" s="3" t="s">
        <v>4</v>
      </c>
      <c r="D200" s="95" t="s">
        <v>11</v>
      </c>
      <c r="E200" s="3" t="s">
        <v>26</v>
      </c>
      <c r="F200" s="5" t="s">
        <v>0</v>
      </c>
      <c r="G200" s="283">
        <v>61.6</v>
      </c>
      <c r="H200" s="283">
        <v>2.9</v>
      </c>
      <c r="I200" s="283">
        <v>2.5</v>
      </c>
      <c r="J200" s="283">
        <v>34.1</v>
      </c>
      <c r="K200" s="283">
        <v>9</v>
      </c>
      <c r="L200" s="283">
        <v>506</v>
      </c>
      <c r="P200" s="355"/>
      <c r="Q200" s="6">
        <v>44696</v>
      </c>
      <c r="R200" s="5" t="s">
        <v>5</v>
      </c>
      <c r="S200" s="95" t="s">
        <v>31</v>
      </c>
      <c r="T200" s="5" t="s">
        <v>26</v>
      </c>
      <c r="U200" s="5" t="s">
        <v>0</v>
      </c>
      <c r="V200" s="22">
        <v>63.2</v>
      </c>
      <c r="W200" s="22">
        <v>2.2999999999999998</v>
      </c>
      <c r="X200" s="22">
        <v>2.4</v>
      </c>
      <c r="Y200" s="22">
        <v>3</v>
      </c>
      <c r="Z200" s="22">
        <v>13</v>
      </c>
      <c r="AA200" s="355">
        <v>37</v>
      </c>
      <c r="AB200" s="355"/>
    </row>
    <row r="201" spans="2:28" ht="15.5" x14ac:dyDescent="0.35">
      <c r="B201" s="327">
        <v>44685</v>
      </c>
      <c r="C201" s="3" t="s">
        <v>4</v>
      </c>
      <c r="D201" s="95" t="s">
        <v>11</v>
      </c>
      <c r="E201" s="3" t="s">
        <v>26</v>
      </c>
      <c r="F201" s="5" t="s">
        <v>0</v>
      </c>
      <c r="G201" s="287">
        <v>62.4</v>
      </c>
      <c r="H201" s="287">
        <v>2.4</v>
      </c>
      <c r="I201" s="287">
        <v>2.6</v>
      </c>
      <c r="J201" s="287">
        <v>29.6</v>
      </c>
      <c r="K201" s="287">
        <v>10.1</v>
      </c>
      <c r="L201" s="287">
        <v>508</v>
      </c>
      <c r="P201" s="355"/>
      <c r="Q201" s="6">
        <v>44697</v>
      </c>
      <c r="R201" s="5" t="s">
        <v>5</v>
      </c>
      <c r="S201" s="95" t="s">
        <v>31</v>
      </c>
      <c r="T201" s="5" t="s">
        <v>26</v>
      </c>
      <c r="U201" s="5" t="s">
        <v>0</v>
      </c>
      <c r="V201" s="22">
        <v>63.3</v>
      </c>
      <c r="W201" s="22">
        <v>2.4</v>
      </c>
      <c r="X201" s="22">
        <v>2.2999999999999998</v>
      </c>
      <c r="Y201" s="22">
        <v>4</v>
      </c>
      <c r="Z201" s="22">
        <v>15</v>
      </c>
      <c r="AA201" s="355">
        <v>40</v>
      </c>
      <c r="AB201" s="355"/>
    </row>
    <row r="202" spans="2:28" ht="15.5" x14ac:dyDescent="0.35">
      <c r="B202" s="281">
        <v>44686</v>
      </c>
      <c r="C202" s="3" t="s">
        <v>4</v>
      </c>
      <c r="D202" s="95" t="s">
        <v>11</v>
      </c>
      <c r="E202" s="3" t="s">
        <v>26</v>
      </c>
      <c r="F202" s="5" t="s">
        <v>0</v>
      </c>
      <c r="G202" s="283">
        <v>60.6</v>
      </c>
      <c r="H202" s="283">
        <v>3.7</v>
      </c>
      <c r="I202" s="283">
        <v>3.6</v>
      </c>
      <c r="J202" s="283">
        <v>31.9</v>
      </c>
      <c r="K202" s="283">
        <v>12.1</v>
      </c>
      <c r="L202" s="283">
        <v>511</v>
      </c>
      <c r="P202" s="355"/>
      <c r="Q202" s="6">
        <v>44697</v>
      </c>
      <c r="R202" s="5" t="s">
        <v>5</v>
      </c>
      <c r="S202" s="95" t="s">
        <v>31</v>
      </c>
      <c r="T202" s="5" t="s">
        <v>26</v>
      </c>
      <c r="U202" s="5" t="s">
        <v>0</v>
      </c>
      <c r="V202" s="22">
        <v>63.3</v>
      </c>
      <c r="W202" s="12">
        <v>2.4</v>
      </c>
      <c r="X202" s="22">
        <v>2.2000000000000002</v>
      </c>
      <c r="Y202" s="22">
        <v>2</v>
      </c>
      <c r="Z202" s="22">
        <v>13</v>
      </c>
      <c r="AA202" s="355">
        <v>41</v>
      </c>
      <c r="AB202" s="355"/>
    </row>
    <row r="203" spans="2:28" ht="14.5" x14ac:dyDescent="0.25">
      <c r="B203" s="281">
        <v>44686</v>
      </c>
      <c r="C203" s="3" t="s">
        <v>4</v>
      </c>
      <c r="D203" s="95" t="s">
        <v>11</v>
      </c>
      <c r="E203" s="3" t="s">
        <v>26</v>
      </c>
      <c r="F203" s="5" t="s">
        <v>0</v>
      </c>
      <c r="G203" s="283">
        <v>61.6</v>
      </c>
      <c r="H203" s="283">
        <v>2.8</v>
      </c>
      <c r="I203" s="283">
        <v>2.2000000000000002</v>
      </c>
      <c r="J203" s="283">
        <v>26.2</v>
      </c>
      <c r="K203" s="283">
        <v>10.4</v>
      </c>
      <c r="L203" s="283">
        <v>509</v>
      </c>
      <c r="P203" s="355"/>
      <c r="Q203" s="281">
        <v>44698</v>
      </c>
      <c r="R203" s="5" t="s">
        <v>5</v>
      </c>
      <c r="S203" s="95" t="s">
        <v>31</v>
      </c>
      <c r="T203" s="5" t="s">
        <v>26</v>
      </c>
      <c r="U203" s="5" t="s">
        <v>0</v>
      </c>
      <c r="V203" s="286">
        <v>62.7</v>
      </c>
      <c r="W203" s="286">
        <v>2.6</v>
      </c>
      <c r="X203" s="283">
        <v>2.7</v>
      </c>
      <c r="Y203" s="283">
        <v>9</v>
      </c>
      <c r="Z203" s="286">
        <v>14</v>
      </c>
      <c r="AA203" s="283">
        <v>36</v>
      </c>
      <c r="AB203" s="355"/>
    </row>
    <row r="204" spans="2:28" ht="14.5" x14ac:dyDescent="0.25">
      <c r="B204" s="281">
        <v>44686</v>
      </c>
      <c r="C204" s="3" t="s">
        <v>4</v>
      </c>
      <c r="D204" s="95" t="s">
        <v>11</v>
      </c>
      <c r="E204" s="3" t="s">
        <v>26</v>
      </c>
      <c r="F204" s="5" t="s">
        <v>0</v>
      </c>
      <c r="G204" s="283">
        <v>63.2</v>
      </c>
      <c r="H204" s="283">
        <v>1.5</v>
      </c>
      <c r="I204" s="283">
        <v>1.8</v>
      </c>
      <c r="J204" s="283">
        <v>8</v>
      </c>
      <c r="K204" s="286">
        <v>23.1</v>
      </c>
      <c r="L204" s="283">
        <v>510</v>
      </c>
      <c r="P204" s="355"/>
      <c r="Q204" s="281">
        <v>44698</v>
      </c>
      <c r="R204" s="5" t="s">
        <v>5</v>
      </c>
      <c r="S204" s="95" t="s">
        <v>31</v>
      </c>
      <c r="T204" s="5" t="s">
        <v>26</v>
      </c>
      <c r="U204" s="5" t="s">
        <v>0</v>
      </c>
      <c r="V204" s="283">
        <v>63.2</v>
      </c>
      <c r="W204" s="283">
        <v>2.5</v>
      </c>
      <c r="X204" s="283">
        <v>2.2000000000000002</v>
      </c>
      <c r="Y204" s="283">
        <v>3</v>
      </c>
      <c r="Z204" s="286">
        <v>17</v>
      </c>
      <c r="AA204" s="283">
        <v>44</v>
      </c>
      <c r="AB204" s="355"/>
    </row>
    <row r="205" spans="2:28" ht="14.5" x14ac:dyDescent="0.25">
      <c r="B205" s="281">
        <v>44687</v>
      </c>
      <c r="C205" s="3" t="s">
        <v>4</v>
      </c>
      <c r="D205" s="95" t="s">
        <v>11</v>
      </c>
      <c r="E205" s="3" t="s">
        <v>26</v>
      </c>
      <c r="F205" s="5" t="s">
        <v>0</v>
      </c>
      <c r="G205" s="283">
        <v>62.7</v>
      </c>
      <c r="H205" s="283">
        <v>2.4</v>
      </c>
      <c r="I205" s="283">
        <v>2.2000000000000002</v>
      </c>
      <c r="J205" s="283">
        <v>20.6</v>
      </c>
      <c r="K205" s="283">
        <v>11.4</v>
      </c>
      <c r="L205" s="283">
        <v>504</v>
      </c>
      <c r="P205" s="355"/>
      <c r="Q205" s="281">
        <v>44698</v>
      </c>
      <c r="R205" s="5" t="s">
        <v>5</v>
      </c>
      <c r="S205" s="95" t="s">
        <v>31</v>
      </c>
      <c r="T205" s="5" t="s">
        <v>26</v>
      </c>
      <c r="U205" s="5" t="s">
        <v>0</v>
      </c>
      <c r="V205" s="283">
        <v>63.1</v>
      </c>
      <c r="W205" s="283">
        <v>2.7</v>
      </c>
      <c r="X205" s="283">
        <v>2.1</v>
      </c>
      <c r="Y205" s="283">
        <v>2</v>
      </c>
      <c r="Z205" s="283">
        <v>18</v>
      </c>
      <c r="AA205" s="283">
        <v>46</v>
      </c>
      <c r="AB205" s="355"/>
    </row>
    <row r="206" spans="2:28" ht="14.5" x14ac:dyDescent="0.25">
      <c r="B206" s="281">
        <v>44688</v>
      </c>
      <c r="C206" s="3" t="s">
        <v>4</v>
      </c>
      <c r="D206" s="95" t="s">
        <v>11</v>
      </c>
      <c r="E206" s="3" t="s">
        <v>26</v>
      </c>
      <c r="F206" s="5" t="s">
        <v>0</v>
      </c>
      <c r="G206" s="283">
        <v>62.4</v>
      </c>
      <c r="H206" s="283">
        <v>1.8</v>
      </c>
      <c r="I206" s="294">
        <v>3</v>
      </c>
      <c r="J206" s="283">
        <v>15.2</v>
      </c>
      <c r="K206" s="283">
        <v>14.1</v>
      </c>
      <c r="L206" s="283">
        <v>513</v>
      </c>
      <c r="P206" s="355"/>
      <c r="Q206" s="281">
        <v>44699</v>
      </c>
      <c r="R206" s="5" t="s">
        <v>5</v>
      </c>
      <c r="S206" s="95" t="s">
        <v>31</v>
      </c>
      <c r="T206" s="5" t="s">
        <v>26</v>
      </c>
      <c r="U206" s="5" t="s">
        <v>0</v>
      </c>
      <c r="V206" s="283">
        <v>63.3</v>
      </c>
      <c r="W206" s="283">
        <v>2.4</v>
      </c>
      <c r="X206" s="283">
        <v>2.2000000000000002</v>
      </c>
      <c r="Y206" s="283">
        <v>4</v>
      </c>
      <c r="Z206" s="283">
        <v>17</v>
      </c>
      <c r="AA206" s="283">
        <v>49</v>
      </c>
      <c r="AB206" s="355"/>
    </row>
    <row r="207" spans="2:28" ht="14.5" x14ac:dyDescent="0.25">
      <c r="B207" s="281">
        <v>44688</v>
      </c>
      <c r="C207" s="3" t="s">
        <v>4</v>
      </c>
      <c r="D207" s="95" t="s">
        <v>11</v>
      </c>
      <c r="E207" s="3" t="s">
        <v>26</v>
      </c>
      <c r="F207" s="5" t="s">
        <v>0</v>
      </c>
      <c r="G207" s="283">
        <v>62.8</v>
      </c>
      <c r="H207" s="283">
        <v>2.8</v>
      </c>
      <c r="I207" s="294">
        <v>3</v>
      </c>
      <c r="J207" s="283">
        <v>7.3</v>
      </c>
      <c r="K207" s="283">
        <v>14.3</v>
      </c>
      <c r="L207" s="283">
        <v>515</v>
      </c>
      <c r="P207" s="355"/>
      <c r="Q207" s="281">
        <v>44700</v>
      </c>
      <c r="R207" s="5" t="s">
        <v>5</v>
      </c>
      <c r="S207" s="95" t="s">
        <v>31</v>
      </c>
      <c r="T207" s="5" t="s">
        <v>26</v>
      </c>
      <c r="U207" s="5" t="s">
        <v>0</v>
      </c>
      <c r="V207" s="283">
        <v>63.1</v>
      </c>
      <c r="W207" s="283">
        <v>2.6</v>
      </c>
      <c r="X207" s="283">
        <v>2.2000000000000002</v>
      </c>
      <c r="Y207" s="283">
        <v>2</v>
      </c>
      <c r="Z207" s="283">
        <v>18</v>
      </c>
      <c r="AA207" s="283">
        <v>52</v>
      </c>
      <c r="AB207" s="355"/>
    </row>
    <row r="208" spans="2:28" ht="14.5" x14ac:dyDescent="0.25">
      <c r="B208" s="281">
        <v>44688</v>
      </c>
      <c r="C208" s="3" t="s">
        <v>4</v>
      </c>
      <c r="D208" s="95" t="s">
        <v>11</v>
      </c>
      <c r="E208" s="3" t="s">
        <v>26</v>
      </c>
      <c r="F208" s="5" t="s">
        <v>0</v>
      </c>
      <c r="G208" s="283">
        <v>62.2</v>
      </c>
      <c r="H208" s="283">
        <v>3.5</v>
      </c>
      <c r="I208" s="283">
        <v>2.4</v>
      </c>
      <c r="J208" s="294">
        <v>32</v>
      </c>
      <c r="K208" s="283">
        <v>11.6</v>
      </c>
      <c r="L208" s="283">
        <v>516</v>
      </c>
      <c r="P208" s="355"/>
      <c r="Q208" s="327">
        <v>44701</v>
      </c>
      <c r="R208" s="5" t="s">
        <v>5</v>
      </c>
      <c r="S208" s="95" t="s">
        <v>31</v>
      </c>
      <c r="T208" s="5" t="s">
        <v>26</v>
      </c>
      <c r="U208" s="5" t="s">
        <v>0</v>
      </c>
      <c r="V208" s="287">
        <v>63.2</v>
      </c>
      <c r="W208" s="287">
        <v>2.2999999999999998</v>
      </c>
      <c r="X208" s="287">
        <v>2.4</v>
      </c>
      <c r="Y208" s="287">
        <v>5</v>
      </c>
      <c r="Z208" s="287">
        <v>22</v>
      </c>
      <c r="AA208" s="287">
        <v>54</v>
      </c>
      <c r="AB208" s="355"/>
    </row>
    <row r="209" spans="2:28" ht="14.5" x14ac:dyDescent="0.25">
      <c r="B209" s="328">
        <v>44689</v>
      </c>
      <c r="C209" s="3" t="s">
        <v>4</v>
      </c>
      <c r="D209" s="95" t="s">
        <v>11</v>
      </c>
      <c r="E209" s="3" t="s">
        <v>26</v>
      </c>
      <c r="F209" s="5" t="s">
        <v>0</v>
      </c>
      <c r="G209" s="295">
        <v>61</v>
      </c>
      <c r="H209" s="293">
        <v>2.8</v>
      </c>
      <c r="I209" s="295">
        <v>2</v>
      </c>
      <c r="J209" s="295">
        <v>25</v>
      </c>
      <c r="K209" s="293">
        <v>14.7</v>
      </c>
      <c r="L209" s="293">
        <v>514</v>
      </c>
      <c r="P209" s="355"/>
      <c r="Q209" s="281">
        <v>44703</v>
      </c>
      <c r="R209" s="5" t="s">
        <v>5</v>
      </c>
      <c r="S209" s="95" t="s">
        <v>31</v>
      </c>
      <c r="T209" s="5" t="s">
        <v>26</v>
      </c>
      <c r="U209" s="5" t="s">
        <v>0</v>
      </c>
      <c r="V209" s="283">
        <v>63.1</v>
      </c>
      <c r="W209" s="283">
        <v>2.5</v>
      </c>
      <c r="X209" s="283">
        <v>2.2999999999999998</v>
      </c>
      <c r="Y209" s="283">
        <v>2</v>
      </c>
      <c r="Z209" s="283">
        <v>14</v>
      </c>
      <c r="AA209" s="283">
        <v>60</v>
      </c>
      <c r="AB209" s="355"/>
    </row>
    <row r="210" spans="2:28" ht="14.5" x14ac:dyDescent="0.25">
      <c r="B210" s="281">
        <v>44690</v>
      </c>
      <c r="C210" s="3" t="s">
        <v>4</v>
      </c>
      <c r="D210" s="95" t="s">
        <v>11</v>
      </c>
      <c r="E210" s="3" t="s">
        <v>26</v>
      </c>
      <c r="F210" s="5" t="s">
        <v>0</v>
      </c>
      <c r="G210" s="294">
        <v>63.6</v>
      </c>
      <c r="H210" s="283">
        <v>1.8</v>
      </c>
      <c r="I210" s="294">
        <v>2.4</v>
      </c>
      <c r="J210" s="294">
        <v>14.9</v>
      </c>
      <c r="K210" s="299">
        <v>18</v>
      </c>
      <c r="L210" s="283">
        <v>517</v>
      </c>
      <c r="P210" s="355"/>
      <c r="Q210" s="327">
        <v>44703</v>
      </c>
      <c r="R210" s="5" t="s">
        <v>5</v>
      </c>
      <c r="S210" s="95" t="s">
        <v>31</v>
      </c>
      <c r="T210" s="5" t="s">
        <v>26</v>
      </c>
      <c r="U210" s="5" t="s">
        <v>0</v>
      </c>
      <c r="V210" s="287">
        <v>63.2</v>
      </c>
      <c r="W210" s="287">
        <v>2.5</v>
      </c>
      <c r="X210" s="287">
        <v>2.1</v>
      </c>
      <c r="Y210" s="287">
        <v>4</v>
      </c>
      <c r="Z210" s="287">
        <v>12</v>
      </c>
      <c r="AA210" s="287">
        <v>63</v>
      </c>
      <c r="AB210" s="355"/>
    </row>
    <row r="211" spans="2:28" ht="14.5" x14ac:dyDescent="0.25">
      <c r="B211" s="281">
        <v>44690</v>
      </c>
      <c r="C211" s="3" t="s">
        <v>4</v>
      </c>
      <c r="D211" s="95" t="s">
        <v>11</v>
      </c>
      <c r="E211" s="3" t="s">
        <v>26</v>
      </c>
      <c r="F211" s="5" t="s">
        <v>0</v>
      </c>
      <c r="G211" s="294">
        <v>63.3</v>
      </c>
      <c r="H211" s="294">
        <v>2</v>
      </c>
      <c r="I211" s="294">
        <v>2.8</v>
      </c>
      <c r="J211" s="294">
        <v>23.6</v>
      </c>
      <c r="K211" s="294">
        <v>15.1</v>
      </c>
      <c r="L211" s="283">
        <v>518</v>
      </c>
      <c r="P211" s="355"/>
      <c r="Q211" s="281">
        <v>44705</v>
      </c>
      <c r="R211" s="5" t="s">
        <v>5</v>
      </c>
      <c r="S211" s="95" t="s">
        <v>31</v>
      </c>
      <c r="T211" s="5" t="s">
        <v>26</v>
      </c>
      <c r="U211" s="5" t="s">
        <v>0</v>
      </c>
      <c r="V211" s="283">
        <v>63.1</v>
      </c>
      <c r="W211" s="283">
        <v>2.6</v>
      </c>
      <c r="X211" s="283">
        <v>2.1</v>
      </c>
      <c r="Y211" s="283">
        <v>2</v>
      </c>
      <c r="Z211" s="283">
        <v>16</v>
      </c>
      <c r="AA211" s="283">
        <v>66</v>
      </c>
      <c r="AB211" s="355"/>
    </row>
    <row r="212" spans="2:28" ht="14.5" x14ac:dyDescent="0.25">
      <c r="B212" s="281">
        <v>44691</v>
      </c>
      <c r="C212" s="3" t="s">
        <v>4</v>
      </c>
      <c r="D212" s="95" t="s">
        <v>11</v>
      </c>
      <c r="E212" s="3" t="s">
        <v>26</v>
      </c>
      <c r="F212" s="5" t="s">
        <v>0</v>
      </c>
      <c r="G212" s="294">
        <v>61.7</v>
      </c>
      <c r="H212" s="283">
        <v>2.2999999999999998</v>
      </c>
      <c r="I212" s="294">
        <v>2.8</v>
      </c>
      <c r="J212" s="294">
        <v>31.9</v>
      </c>
      <c r="K212" s="294">
        <v>11.4</v>
      </c>
      <c r="L212" s="283">
        <v>526</v>
      </c>
      <c r="P212" s="355"/>
      <c r="Q212" s="281">
        <v>44705</v>
      </c>
      <c r="R212" s="5" t="s">
        <v>5</v>
      </c>
      <c r="S212" s="95" t="s">
        <v>31</v>
      </c>
      <c r="T212" s="5" t="s">
        <v>26</v>
      </c>
      <c r="U212" s="5" t="s">
        <v>0</v>
      </c>
      <c r="V212" s="283">
        <v>63.2</v>
      </c>
      <c r="W212" s="283">
        <v>2.4</v>
      </c>
      <c r="X212" s="283">
        <v>2.2000000000000002</v>
      </c>
      <c r="Y212" s="283">
        <v>2</v>
      </c>
      <c r="Z212" s="283">
        <v>14</v>
      </c>
      <c r="AA212" s="283">
        <v>68</v>
      </c>
      <c r="AB212" s="355"/>
    </row>
    <row r="213" spans="2:28" ht="14.5" x14ac:dyDescent="0.25">
      <c r="B213" s="327">
        <v>44691</v>
      </c>
      <c r="C213" s="3" t="s">
        <v>4</v>
      </c>
      <c r="D213" s="95" t="s">
        <v>11</v>
      </c>
      <c r="E213" s="3" t="s">
        <v>26</v>
      </c>
      <c r="F213" s="5" t="s">
        <v>0</v>
      </c>
      <c r="G213" s="297">
        <v>62.4</v>
      </c>
      <c r="H213" s="287">
        <v>1.8</v>
      </c>
      <c r="I213" s="297">
        <v>1.6</v>
      </c>
      <c r="J213" s="297">
        <v>23.6</v>
      </c>
      <c r="K213" s="297">
        <v>17.600000000000001</v>
      </c>
      <c r="L213" s="287">
        <v>522</v>
      </c>
      <c r="P213" s="355"/>
      <c r="Q213" s="281">
        <v>44706</v>
      </c>
      <c r="R213" s="5" t="s">
        <v>5</v>
      </c>
      <c r="S213" s="95" t="s">
        <v>31</v>
      </c>
      <c r="T213" s="5" t="s">
        <v>26</v>
      </c>
      <c r="U213" s="5" t="s">
        <v>0</v>
      </c>
      <c r="V213" s="283">
        <v>63.2</v>
      </c>
      <c r="W213" s="283">
        <v>2.2999999999999998</v>
      </c>
      <c r="X213" s="283">
        <v>2.2999999999999998</v>
      </c>
      <c r="Y213" s="283">
        <v>2</v>
      </c>
      <c r="Z213" s="286">
        <v>12</v>
      </c>
      <c r="AA213" s="283">
        <v>70</v>
      </c>
      <c r="AB213" s="355"/>
    </row>
    <row r="214" spans="2:28" ht="14.5" x14ac:dyDescent="0.25">
      <c r="B214" s="281">
        <v>44692</v>
      </c>
      <c r="C214" s="3" t="s">
        <v>4</v>
      </c>
      <c r="D214" s="95" t="s">
        <v>11</v>
      </c>
      <c r="E214" s="3" t="s">
        <v>26</v>
      </c>
      <c r="F214" s="5" t="s">
        <v>0</v>
      </c>
      <c r="G214" s="294">
        <v>62.2</v>
      </c>
      <c r="H214" s="283">
        <v>2.2999999999999998</v>
      </c>
      <c r="I214" s="294">
        <v>2.1</v>
      </c>
      <c r="J214" s="294">
        <v>20.7</v>
      </c>
      <c r="K214" s="294">
        <v>13.6</v>
      </c>
      <c r="L214" s="283">
        <v>528</v>
      </c>
      <c r="P214" s="355"/>
      <c r="Q214" s="281">
        <v>44707</v>
      </c>
      <c r="R214" s="5" t="s">
        <v>5</v>
      </c>
      <c r="S214" s="95" t="s">
        <v>31</v>
      </c>
      <c r="T214" s="5" t="s">
        <v>26</v>
      </c>
      <c r="U214" s="5" t="s">
        <v>0</v>
      </c>
      <c r="V214" s="283">
        <v>63.1</v>
      </c>
      <c r="W214" s="283">
        <v>2.5</v>
      </c>
      <c r="X214" s="283">
        <v>2.2999999999999998</v>
      </c>
      <c r="Y214" s="283">
        <v>2</v>
      </c>
      <c r="Z214" s="283">
        <v>13</v>
      </c>
      <c r="AA214" s="283">
        <v>73</v>
      </c>
      <c r="AB214" s="355"/>
    </row>
    <row r="215" spans="2:28" ht="14.5" x14ac:dyDescent="0.25">
      <c r="B215" s="281">
        <v>44692</v>
      </c>
      <c r="C215" s="3" t="s">
        <v>4</v>
      </c>
      <c r="D215" s="95" t="s">
        <v>11</v>
      </c>
      <c r="E215" s="3" t="s">
        <v>26</v>
      </c>
      <c r="F215" s="5" t="s">
        <v>0</v>
      </c>
      <c r="G215" s="294">
        <v>62.9</v>
      </c>
      <c r="H215" s="283">
        <v>1.8</v>
      </c>
      <c r="I215" s="294">
        <v>2.2000000000000002</v>
      </c>
      <c r="J215" s="294">
        <v>25.9</v>
      </c>
      <c r="K215" s="294">
        <v>11.5</v>
      </c>
      <c r="L215" s="283">
        <v>529</v>
      </c>
      <c r="P215" s="355"/>
      <c r="Q215" s="281">
        <v>44708</v>
      </c>
      <c r="R215" s="5" t="s">
        <v>5</v>
      </c>
      <c r="S215" s="95" t="s">
        <v>31</v>
      </c>
      <c r="T215" s="5" t="s">
        <v>26</v>
      </c>
      <c r="U215" s="5" t="s">
        <v>0</v>
      </c>
      <c r="V215" s="283">
        <v>63.2</v>
      </c>
      <c r="W215" s="283">
        <v>2.2000000000000002</v>
      </c>
      <c r="X215" s="294">
        <v>2.4</v>
      </c>
      <c r="Y215" s="283">
        <v>2</v>
      </c>
      <c r="Z215" s="283">
        <v>10</v>
      </c>
      <c r="AA215" s="283">
        <v>75</v>
      </c>
      <c r="AB215" s="355"/>
    </row>
    <row r="216" spans="2:28" ht="14.5" x14ac:dyDescent="0.25">
      <c r="B216" s="327">
        <v>44693</v>
      </c>
      <c r="C216" s="3" t="s">
        <v>4</v>
      </c>
      <c r="D216" s="95" t="s">
        <v>11</v>
      </c>
      <c r="E216" s="3" t="s">
        <v>26</v>
      </c>
      <c r="F216" s="5" t="s">
        <v>0</v>
      </c>
      <c r="G216" s="297">
        <v>62.2</v>
      </c>
      <c r="H216" s="297">
        <v>3</v>
      </c>
      <c r="I216" s="297">
        <v>2.4</v>
      </c>
      <c r="J216" s="297">
        <v>30.6</v>
      </c>
      <c r="K216" s="297">
        <v>13.1</v>
      </c>
      <c r="L216" s="287">
        <v>530</v>
      </c>
      <c r="P216" s="355"/>
      <c r="Q216" s="281">
        <v>44709</v>
      </c>
      <c r="R216" s="5" t="s">
        <v>5</v>
      </c>
      <c r="S216" s="95" t="s">
        <v>31</v>
      </c>
      <c r="T216" s="5" t="s">
        <v>26</v>
      </c>
      <c r="U216" s="5" t="s">
        <v>0</v>
      </c>
      <c r="V216" s="283">
        <v>63.3</v>
      </c>
      <c r="W216" s="283">
        <v>2.1</v>
      </c>
      <c r="X216" s="294">
        <v>2.4</v>
      </c>
      <c r="Y216" s="283">
        <v>2</v>
      </c>
      <c r="Z216" s="283">
        <v>18</v>
      </c>
      <c r="AA216" s="283">
        <v>77</v>
      </c>
      <c r="AB216" s="355"/>
    </row>
    <row r="217" spans="2:28" ht="14.5" x14ac:dyDescent="0.25">
      <c r="B217" s="281">
        <v>44693</v>
      </c>
      <c r="C217" s="3" t="s">
        <v>4</v>
      </c>
      <c r="D217" s="95" t="s">
        <v>11</v>
      </c>
      <c r="E217" s="3" t="s">
        <v>26</v>
      </c>
      <c r="F217" s="5" t="s">
        <v>0</v>
      </c>
      <c r="G217" s="294">
        <v>61</v>
      </c>
      <c r="H217" s="299">
        <v>5.6</v>
      </c>
      <c r="I217" s="294">
        <v>3</v>
      </c>
      <c r="J217" s="294">
        <v>2.5</v>
      </c>
      <c r="K217" s="299">
        <v>26</v>
      </c>
      <c r="L217" s="283">
        <v>532</v>
      </c>
      <c r="P217" s="355"/>
      <c r="Q217" s="281">
        <v>44710</v>
      </c>
      <c r="R217" s="5" t="s">
        <v>5</v>
      </c>
      <c r="S217" s="95" t="s">
        <v>31</v>
      </c>
      <c r="T217" s="5" t="s">
        <v>26</v>
      </c>
      <c r="U217" s="5" t="s">
        <v>0</v>
      </c>
      <c r="V217" s="283">
        <v>63.1</v>
      </c>
      <c r="W217" s="283">
        <v>2.2000000000000002</v>
      </c>
      <c r="X217" s="283">
        <v>2.5</v>
      </c>
      <c r="Y217" s="294">
        <v>3</v>
      </c>
      <c r="Z217" s="283">
        <v>13</v>
      </c>
      <c r="AA217" s="283">
        <v>79</v>
      </c>
      <c r="AB217" s="355"/>
    </row>
    <row r="218" spans="2:28" ht="14.5" x14ac:dyDescent="0.25">
      <c r="B218" s="281">
        <v>44694</v>
      </c>
      <c r="C218" s="3" t="s">
        <v>4</v>
      </c>
      <c r="D218" s="95" t="s">
        <v>11</v>
      </c>
      <c r="E218" s="3" t="s">
        <v>26</v>
      </c>
      <c r="F218" s="5" t="s">
        <v>0</v>
      </c>
      <c r="G218" s="294">
        <v>60.6</v>
      </c>
      <c r="H218" s="299">
        <v>6</v>
      </c>
      <c r="I218" s="294">
        <v>1.8</v>
      </c>
      <c r="J218" s="294">
        <v>23.3</v>
      </c>
      <c r="K218" s="294">
        <v>12.6</v>
      </c>
      <c r="L218" s="283">
        <v>534</v>
      </c>
      <c r="P218" s="355"/>
      <c r="Q218" s="328">
        <v>44710</v>
      </c>
      <c r="R218" s="5" t="s">
        <v>5</v>
      </c>
      <c r="S218" s="95" t="s">
        <v>31</v>
      </c>
      <c r="T218" s="5" t="s">
        <v>26</v>
      </c>
      <c r="U218" s="5" t="s">
        <v>0</v>
      </c>
      <c r="V218" s="295">
        <v>63.2</v>
      </c>
      <c r="W218" s="293">
        <v>2.2000000000000002</v>
      </c>
      <c r="X218" s="295">
        <v>2.4</v>
      </c>
      <c r="Y218" s="295">
        <v>2</v>
      </c>
      <c r="Z218" s="293">
        <v>12</v>
      </c>
      <c r="AA218" s="293">
        <v>80</v>
      </c>
      <c r="AB218" s="355"/>
    </row>
    <row r="219" spans="2:28" ht="14.5" x14ac:dyDescent="0.25">
      <c r="B219" s="281">
        <v>44694</v>
      </c>
      <c r="C219" s="3" t="s">
        <v>4</v>
      </c>
      <c r="D219" s="95" t="s">
        <v>11</v>
      </c>
      <c r="E219" s="3" t="s">
        <v>26</v>
      </c>
      <c r="F219" s="5" t="s">
        <v>0</v>
      </c>
      <c r="G219" s="299">
        <v>59.8</v>
      </c>
      <c r="H219" s="299">
        <v>6.9</v>
      </c>
      <c r="I219" s="294">
        <v>1.9</v>
      </c>
      <c r="J219" s="294">
        <v>23.2</v>
      </c>
      <c r="K219" s="294">
        <v>14.7</v>
      </c>
      <c r="L219" s="283">
        <v>529</v>
      </c>
      <c r="P219" s="355"/>
      <c r="Q219" s="281">
        <v>44711</v>
      </c>
      <c r="R219" s="5" t="s">
        <v>5</v>
      </c>
      <c r="S219" s="95" t="s">
        <v>31</v>
      </c>
      <c r="T219" s="5" t="s">
        <v>26</v>
      </c>
      <c r="U219" s="5" t="s">
        <v>0</v>
      </c>
      <c r="V219" s="294">
        <v>63.1</v>
      </c>
      <c r="W219" s="283">
        <v>2.2999999999999998</v>
      </c>
      <c r="X219" s="294">
        <v>2.4</v>
      </c>
      <c r="Y219" s="294">
        <v>3</v>
      </c>
      <c r="Z219" s="299">
        <v>15</v>
      </c>
      <c r="AA219" s="283">
        <v>83</v>
      </c>
      <c r="AB219" s="355"/>
    </row>
    <row r="220" spans="2:28" ht="14.5" x14ac:dyDescent="0.25">
      <c r="B220" s="281">
        <v>44694</v>
      </c>
      <c r="C220" s="3" t="s">
        <v>4</v>
      </c>
      <c r="D220" s="95" t="s">
        <v>11</v>
      </c>
      <c r="E220" s="3" t="s">
        <v>26</v>
      </c>
      <c r="F220" s="5" t="s">
        <v>0</v>
      </c>
      <c r="G220" s="299">
        <v>59</v>
      </c>
      <c r="H220" s="299">
        <v>4.8</v>
      </c>
      <c r="I220" s="299">
        <v>4</v>
      </c>
      <c r="J220" s="294">
        <v>10</v>
      </c>
      <c r="K220" s="299">
        <v>22.5</v>
      </c>
      <c r="L220" s="283">
        <v>535</v>
      </c>
      <c r="P220" s="355"/>
      <c r="Q220" s="281">
        <v>44712</v>
      </c>
      <c r="R220" s="5" t="s">
        <v>5</v>
      </c>
      <c r="S220" s="95" t="s">
        <v>31</v>
      </c>
      <c r="T220" s="5" t="s">
        <v>26</v>
      </c>
      <c r="U220" s="5" t="s">
        <v>0</v>
      </c>
      <c r="V220" s="294">
        <v>63.3</v>
      </c>
      <c r="W220" s="294">
        <v>2.2000000000000002</v>
      </c>
      <c r="X220" s="294">
        <v>2.2999999999999998</v>
      </c>
      <c r="Y220" s="294">
        <v>3</v>
      </c>
      <c r="Z220" s="294">
        <v>20</v>
      </c>
      <c r="AA220" s="283">
        <v>86</v>
      </c>
      <c r="AB220" s="355"/>
    </row>
    <row r="221" spans="2:28" ht="14.5" x14ac:dyDescent="0.25">
      <c r="B221" s="281">
        <v>44695</v>
      </c>
      <c r="C221" s="3" t="s">
        <v>4</v>
      </c>
      <c r="D221" s="95" t="s">
        <v>11</v>
      </c>
      <c r="E221" s="3" t="s">
        <v>26</v>
      </c>
      <c r="F221" s="5" t="s">
        <v>0</v>
      </c>
      <c r="G221" s="299">
        <v>58.2</v>
      </c>
      <c r="H221" s="299">
        <v>8.6</v>
      </c>
      <c r="I221" s="294">
        <v>2.5</v>
      </c>
      <c r="J221" s="294">
        <v>23.7</v>
      </c>
      <c r="K221" s="294">
        <v>15.3</v>
      </c>
      <c r="L221" s="283">
        <v>537</v>
      </c>
      <c r="P221" s="355"/>
      <c r="Q221" s="281">
        <v>44712</v>
      </c>
      <c r="R221" s="5" t="s">
        <v>5</v>
      </c>
      <c r="S221" s="95" t="s">
        <v>31</v>
      </c>
      <c r="T221" s="5" t="s">
        <v>26</v>
      </c>
      <c r="U221" s="5" t="s">
        <v>0</v>
      </c>
      <c r="V221" s="294">
        <v>63.2</v>
      </c>
      <c r="W221" s="283">
        <v>2.6</v>
      </c>
      <c r="X221" s="294">
        <v>2</v>
      </c>
      <c r="Y221" s="294">
        <v>1</v>
      </c>
      <c r="Z221" s="294">
        <v>14</v>
      </c>
      <c r="AA221" s="283">
        <v>89</v>
      </c>
      <c r="AB221" s="355"/>
    </row>
    <row r="222" spans="2:28" ht="14.5" x14ac:dyDescent="0.25">
      <c r="B222" s="281">
        <v>44696</v>
      </c>
      <c r="C222" s="3" t="s">
        <v>4</v>
      </c>
      <c r="D222" s="95" t="s">
        <v>11</v>
      </c>
      <c r="E222" s="3" t="s">
        <v>26</v>
      </c>
      <c r="F222" s="5" t="s">
        <v>0</v>
      </c>
      <c r="G222" s="294">
        <v>61.2</v>
      </c>
      <c r="H222" s="299">
        <v>4.0999999999999996</v>
      </c>
      <c r="I222" s="294">
        <v>2.5</v>
      </c>
      <c r="J222" s="294">
        <v>10.5</v>
      </c>
      <c r="K222" s="299">
        <v>34.200000000000003</v>
      </c>
      <c r="L222" s="283">
        <v>538</v>
      </c>
      <c r="P222" s="355"/>
      <c r="Q222" s="327">
        <v>44682</v>
      </c>
      <c r="R222" s="5" t="s">
        <v>5</v>
      </c>
      <c r="S222" s="95" t="s">
        <v>10</v>
      </c>
      <c r="T222" s="5" t="s">
        <v>26</v>
      </c>
      <c r="U222" s="5" t="s">
        <v>0</v>
      </c>
      <c r="V222" s="297">
        <v>62.2</v>
      </c>
      <c r="W222" s="287">
        <v>2</v>
      </c>
      <c r="X222" s="297">
        <v>4</v>
      </c>
      <c r="Y222" s="297">
        <v>15</v>
      </c>
      <c r="Z222" s="297">
        <v>23</v>
      </c>
      <c r="AA222" s="287">
        <v>1</v>
      </c>
      <c r="AB222" s="355"/>
    </row>
    <row r="223" spans="2:28" ht="14.5" x14ac:dyDescent="0.25">
      <c r="B223" s="281">
        <v>44696</v>
      </c>
      <c r="C223" s="3" t="s">
        <v>4</v>
      </c>
      <c r="D223" s="95" t="s">
        <v>11</v>
      </c>
      <c r="E223" s="3" t="s">
        <v>26</v>
      </c>
      <c r="F223" s="5" t="s">
        <v>0</v>
      </c>
      <c r="G223" s="294">
        <v>63</v>
      </c>
      <c r="H223" s="294">
        <v>3</v>
      </c>
      <c r="I223" s="294">
        <v>1.5</v>
      </c>
      <c r="J223" s="294">
        <v>11.6</v>
      </c>
      <c r="K223" s="299">
        <v>39.9</v>
      </c>
      <c r="L223" s="283">
        <v>539</v>
      </c>
      <c r="P223" s="355"/>
      <c r="Q223" s="281">
        <v>44684</v>
      </c>
      <c r="R223" s="5" t="s">
        <v>5</v>
      </c>
      <c r="S223" s="95" t="s">
        <v>10</v>
      </c>
      <c r="T223" s="5" t="s">
        <v>26</v>
      </c>
      <c r="U223" s="5" t="s">
        <v>0</v>
      </c>
      <c r="V223" s="294">
        <v>61.4</v>
      </c>
      <c r="W223" s="283">
        <v>3.4</v>
      </c>
      <c r="X223" s="294">
        <v>3.9</v>
      </c>
      <c r="Y223" s="294">
        <v>12</v>
      </c>
      <c r="Z223" s="294">
        <v>18</v>
      </c>
      <c r="AA223" s="283">
        <v>5</v>
      </c>
      <c r="AB223" s="355"/>
    </row>
    <row r="224" spans="2:28" ht="14.5" x14ac:dyDescent="0.25">
      <c r="B224" s="281">
        <v>44696</v>
      </c>
      <c r="C224" s="3" t="s">
        <v>4</v>
      </c>
      <c r="D224" s="95" t="s">
        <v>11</v>
      </c>
      <c r="E224" s="3" t="s">
        <v>26</v>
      </c>
      <c r="F224" s="5" t="s">
        <v>0</v>
      </c>
      <c r="G224" s="294">
        <v>61</v>
      </c>
      <c r="H224" s="299">
        <v>4</v>
      </c>
      <c r="I224" s="299">
        <v>3.9</v>
      </c>
      <c r="J224" s="294">
        <v>7.6</v>
      </c>
      <c r="K224" s="294">
        <v>15</v>
      </c>
      <c r="L224" s="283">
        <v>540</v>
      </c>
      <c r="P224" s="355"/>
      <c r="Q224" s="281">
        <v>44685</v>
      </c>
      <c r="R224" s="5" t="s">
        <v>5</v>
      </c>
      <c r="S224" s="95" t="s">
        <v>10</v>
      </c>
      <c r="T224" s="5" t="s">
        <v>26</v>
      </c>
      <c r="U224" s="5" t="s">
        <v>0</v>
      </c>
      <c r="V224" s="294">
        <v>61.5</v>
      </c>
      <c r="W224" s="283">
        <v>3.4</v>
      </c>
      <c r="X224" s="294">
        <v>3.6</v>
      </c>
      <c r="Y224" s="294">
        <v>20</v>
      </c>
      <c r="Z224" s="294">
        <v>16</v>
      </c>
      <c r="AA224" s="283">
        <v>9</v>
      </c>
      <c r="AB224" s="355"/>
    </row>
    <row r="225" spans="2:28" ht="14.5" x14ac:dyDescent="0.25">
      <c r="B225" s="281">
        <v>44697</v>
      </c>
      <c r="C225" s="3" t="s">
        <v>4</v>
      </c>
      <c r="D225" s="95" t="s">
        <v>11</v>
      </c>
      <c r="E225" s="3" t="s">
        <v>26</v>
      </c>
      <c r="F225" s="5" t="s">
        <v>0</v>
      </c>
      <c r="G225" s="283">
        <v>62.3</v>
      </c>
      <c r="H225" s="286">
        <v>4</v>
      </c>
      <c r="I225" s="283">
        <v>1.8</v>
      </c>
      <c r="J225" s="283">
        <v>29.7</v>
      </c>
      <c r="K225" s="283">
        <v>13.5</v>
      </c>
      <c r="L225" s="283">
        <v>542</v>
      </c>
      <c r="P225" s="355"/>
      <c r="Q225" s="327">
        <v>44686</v>
      </c>
      <c r="R225" s="5" t="s">
        <v>5</v>
      </c>
      <c r="S225" s="95" t="s">
        <v>10</v>
      </c>
      <c r="T225" s="5" t="s">
        <v>26</v>
      </c>
      <c r="U225" s="5" t="s">
        <v>0</v>
      </c>
      <c r="V225" s="297">
        <v>62.1</v>
      </c>
      <c r="W225" s="297">
        <v>2.5</v>
      </c>
      <c r="X225" s="297">
        <v>3.7</v>
      </c>
      <c r="Y225" s="297">
        <v>15</v>
      </c>
      <c r="Z225" s="297">
        <v>13</v>
      </c>
      <c r="AA225" s="287">
        <v>13</v>
      </c>
      <c r="AB225" s="355"/>
    </row>
    <row r="226" spans="2:28" ht="14.5" x14ac:dyDescent="0.25">
      <c r="B226" s="281">
        <v>44697</v>
      </c>
      <c r="C226" s="3" t="s">
        <v>4</v>
      </c>
      <c r="D226" s="95" t="s">
        <v>11</v>
      </c>
      <c r="E226" s="3" t="s">
        <v>26</v>
      </c>
      <c r="F226" s="5" t="s">
        <v>0</v>
      </c>
      <c r="G226" s="283">
        <v>62.2</v>
      </c>
      <c r="H226" s="283">
        <v>3.4</v>
      </c>
      <c r="I226" s="283">
        <v>1.6</v>
      </c>
      <c r="J226" s="283">
        <v>42.5</v>
      </c>
      <c r="K226" s="283">
        <v>8.9</v>
      </c>
      <c r="L226" s="283">
        <v>543</v>
      </c>
      <c r="P226" s="355"/>
      <c r="Q226" s="281">
        <v>44688</v>
      </c>
      <c r="R226" s="5" t="s">
        <v>5</v>
      </c>
      <c r="S226" s="95" t="s">
        <v>10</v>
      </c>
      <c r="T226" s="5" t="s">
        <v>26</v>
      </c>
      <c r="U226" s="5" t="s">
        <v>0</v>
      </c>
      <c r="V226" s="294">
        <v>60.6</v>
      </c>
      <c r="W226" s="299">
        <v>5.0999999999999996</v>
      </c>
      <c r="X226" s="294">
        <v>2.2999999999999998</v>
      </c>
      <c r="Y226" s="294">
        <v>20</v>
      </c>
      <c r="Z226" s="299">
        <v>17</v>
      </c>
      <c r="AA226" s="283">
        <v>17</v>
      </c>
      <c r="AB226" s="355"/>
    </row>
    <row r="227" spans="2:28" ht="14.5" x14ac:dyDescent="0.25">
      <c r="B227" s="281">
        <v>44698</v>
      </c>
      <c r="C227" s="3" t="s">
        <v>4</v>
      </c>
      <c r="D227" s="95" t="s">
        <v>11</v>
      </c>
      <c r="E227" s="3" t="s">
        <v>26</v>
      </c>
      <c r="F227" s="5" t="s">
        <v>0</v>
      </c>
      <c r="G227" s="283">
        <v>61.8</v>
      </c>
      <c r="H227" s="283">
        <v>3.2</v>
      </c>
      <c r="I227" s="283">
        <v>1.6</v>
      </c>
      <c r="J227" s="283">
        <v>20.5</v>
      </c>
      <c r="K227" s="283">
        <v>9</v>
      </c>
      <c r="L227" s="283">
        <v>543</v>
      </c>
      <c r="P227" s="355"/>
      <c r="Q227" s="281">
        <v>44689</v>
      </c>
      <c r="R227" s="5" t="s">
        <v>5</v>
      </c>
      <c r="S227" s="95" t="s">
        <v>10</v>
      </c>
      <c r="T227" s="5" t="s">
        <v>26</v>
      </c>
      <c r="U227" s="5" t="s">
        <v>0</v>
      </c>
      <c r="V227" s="294">
        <v>62.1</v>
      </c>
      <c r="W227" s="299">
        <v>2.2000000000000002</v>
      </c>
      <c r="X227" s="294">
        <v>4</v>
      </c>
      <c r="Y227" s="294">
        <v>15</v>
      </c>
      <c r="Z227" s="294">
        <v>12</v>
      </c>
      <c r="AA227" s="283">
        <v>20</v>
      </c>
      <c r="AB227" s="355"/>
    </row>
    <row r="228" spans="2:28" ht="14.5" x14ac:dyDescent="0.25">
      <c r="B228" s="327">
        <v>44698</v>
      </c>
      <c r="C228" s="3" t="s">
        <v>4</v>
      </c>
      <c r="D228" s="95" t="s">
        <v>11</v>
      </c>
      <c r="E228" s="3" t="s">
        <v>26</v>
      </c>
      <c r="F228" s="5" t="s">
        <v>0</v>
      </c>
      <c r="G228" s="287">
        <v>60.3</v>
      </c>
      <c r="H228" s="288">
        <v>5.8</v>
      </c>
      <c r="I228" s="287">
        <v>2.2999999999999998</v>
      </c>
      <c r="J228" s="287">
        <v>24.8</v>
      </c>
      <c r="K228" s="288">
        <v>23.5</v>
      </c>
      <c r="L228" s="287">
        <v>546</v>
      </c>
      <c r="P228" s="355"/>
      <c r="Q228" s="281">
        <v>44692</v>
      </c>
      <c r="R228" s="5" t="s">
        <v>5</v>
      </c>
      <c r="S228" s="95" t="s">
        <v>10</v>
      </c>
      <c r="T228" s="5" t="s">
        <v>26</v>
      </c>
      <c r="U228" s="5" t="s">
        <v>0</v>
      </c>
      <c r="V228" s="299">
        <v>61.5</v>
      </c>
      <c r="W228" s="299">
        <v>3.8</v>
      </c>
      <c r="X228" s="294">
        <v>3.2</v>
      </c>
      <c r="Y228" s="294">
        <v>5</v>
      </c>
      <c r="Z228" s="294">
        <v>23</v>
      </c>
      <c r="AA228" s="283">
        <v>24</v>
      </c>
      <c r="AB228" s="355"/>
    </row>
    <row r="229" spans="2:28" ht="14.5" x14ac:dyDescent="0.25">
      <c r="B229" s="281">
        <v>44698</v>
      </c>
      <c r="C229" s="3" t="s">
        <v>4</v>
      </c>
      <c r="D229" s="95" t="s">
        <v>11</v>
      </c>
      <c r="E229" s="3" t="s">
        <v>26</v>
      </c>
      <c r="F229" s="5" t="s">
        <v>0</v>
      </c>
      <c r="G229" s="283">
        <v>61.4</v>
      </c>
      <c r="H229" s="283">
        <v>3.5</v>
      </c>
      <c r="I229" s="283">
        <v>1.6</v>
      </c>
      <c r="J229" s="283">
        <v>12.4</v>
      </c>
      <c r="K229" s="283">
        <v>16.399999999999999</v>
      </c>
      <c r="L229" s="283">
        <v>544</v>
      </c>
      <c r="P229" s="355"/>
      <c r="Q229" s="281">
        <v>44693</v>
      </c>
      <c r="R229" s="5" t="s">
        <v>5</v>
      </c>
      <c r="S229" s="95" t="s">
        <v>10</v>
      </c>
      <c r="T229" s="5" t="s">
        <v>26</v>
      </c>
      <c r="U229" s="5" t="s">
        <v>0</v>
      </c>
      <c r="V229" s="299">
        <v>61.6</v>
      </c>
      <c r="W229" s="299">
        <v>4.7</v>
      </c>
      <c r="X229" s="299">
        <v>2.2000000000000002</v>
      </c>
      <c r="Y229" s="294">
        <v>20</v>
      </c>
      <c r="Z229" s="299">
        <v>15</v>
      </c>
      <c r="AA229" s="283">
        <v>27</v>
      </c>
      <c r="AB229" s="355"/>
    </row>
    <row r="230" spans="2:28" ht="14.5" x14ac:dyDescent="0.25">
      <c r="B230" s="281">
        <v>44699</v>
      </c>
      <c r="C230" s="3" t="s">
        <v>4</v>
      </c>
      <c r="D230" s="95" t="s">
        <v>11</v>
      </c>
      <c r="E230" s="3" t="s">
        <v>26</v>
      </c>
      <c r="F230" s="5" t="s">
        <v>0</v>
      </c>
      <c r="G230" s="283">
        <v>62.4</v>
      </c>
      <c r="H230" s="283">
        <v>2</v>
      </c>
      <c r="I230" s="283">
        <v>3.1</v>
      </c>
      <c r="J230" s="283">
        <v>17.899999999999999</v>
      </c>
      <c r="K230" s="283">
        <v>15.6</v>
      </c>
      <c r="L230" s="283">
        <v>547</v>
      </c>
      <c r="P230" s="355"/>
      <c r="Q230" s="281">
        <v>44694</v>
      </c>
      <c r="R230" s="5" t="s">
        <v>5</v>
      </c>
      <c r="S230" s="95" t="s">
        <v>10</v>
      </c>
      <c r="T230" s="5" t="s">
        <v>26</v>
      </c>
      <c r="U230" s="5" t="s">
        <v>0</v>
      </c>
      <c r="V230" s="299">
        <v>61.9</v>
      </c>
      <c r="W230" s="299">
        <v>3.1</v>
      </c>
      <c r="X230" s="294">
        <v>3.5</v>
      </c>
      <c r="Y230" s="294">
        <v>10</v>
      </c>
      <c r="Z230" s="294">
        <v>13</v>
      </c>
      <c r="AA230" s="283">
        <v>29</v>
      </c>
      <c r="AB230" s="355"/>
    </row>
    <row r="231" spans="2:28" ht="14.5" x14ac:dyDescent="0.25">
      <c r="B231" s="281">
        <v>44699</v>
      </c>
      <c r="C231" s="3" t="s">
        <v>4</v>
      </c>
      <c r="D231" s="95" t="s">
        <v>11</v>
      </c>
      <c r="E231" s="3" t="s">
        <v>26</v>
      </c>
      <c r="F231" s="5" t="s">
        <v>0</v>
      </c>
      <c r="G231" s="283">
        <v>62</v>
      </c>
      <c r="H231" s="283">
        <v>3.2</v>
      </c>
      <c r="I231" s="283">
        <v>2</v>
      </c>
      <c r="J231" s="283">
        <v>12.4</v>
      </c>
      <c r="K231" s="286">
        <v>17.8</v>
      </c>
      <c r="L231" s="283">
        <v>548</v>
      </c>
      <c r="P231" s="355"/>
      <c r="Q231" s="281">
        <v>44695</v>
      </c>
      <c r="R231" s="5" t="s">
        <v>5</v>
      </c>
      <c r="S231" s="95" t="s">
        <v>10</v>
      </c>
      <c r="T231" s="5" t="s">
        <v>26</v>
      </c>
      <c r="U231" s="5" t="s">
        <v>0</v>
      </c>
      <c r="V231" s="294">
        <v>60.1</v>
      </c>
      <c r="W231" s="299">
        <v>5.9</v>
      </c>
      <c r="X231" s="294">
        <v>2</v>
      </c>
      <c r="Y231" s="294">
        <v>15</v>
      </c>
      <c r="Z231" s="299">
        <v>14</v>
      </c>
      <c r="AA231" s="283">
        <v>31</v>
      </c>
      <c r="AB231" s="355"/>
    </row>
    <row r="232" spans="2:28" ht="14.5" x14ac:dyDescent="0.25">
      <c r="B232" s="281">
        <v>44699</v>
      </c>
      <c r="C232" s="3" t="s">
        <v>4</v>
      </c>
      <c r="D232" s="95" t="s">
        <v>11</v>
      </c>
      <c r="E232" s="3" t="s">
        <v>26</v>
      </c>
      <c r="F232" s="5" t="s">
        <v>0</v>
      </c>
      <c r="G232" s="283">
        <v>60.3</v>
      </c>
      <c r="H232" s="286">
        <v>6.8</v>
      </c>
      <c r="I232" s="283">
        <v>2.6</v>
      </c>
      <c r="J232" s="283">
        <v>8.5</v>
      </c>
      <c r="K232" s="286">
        <v>35.200000000000003</v>
      </c>
      <c r="L232" s="283">
        <v>549</v>
      </c>
      <c r="P232" s="355"/>
      <c r="Q232" s="281">
        <v>44696</v>
      </c>
      <c r="R232" s="5" t="s">
        <v>5</v>
      </c>
      <c r="S232" s="95" t="s">
        <v>10</v>
      </c>
      <c r="T232" s="5" t="s">
        <v>26</v>
      </c>
      <c r="U232" s="5" t="s">
        <v>0</v>
      </c>
      <c r="V232" s="294">
        <v>61.2</v>
      </c>
      <c r="W232" s="294">
        <v>3.8</v>
      </c>
      <c r="X232" s="294">
        <v>3.8</v>
      </c>
      <c r="Y232" s="294">
        <v>11</v>
      </c>
      <c r="Z232" s="299">
        <v>11</v>
      </c>
      <c r="AA232" s="283">
        <v>34</v>
      </c>
      <c r="AB232" s="355"/>
    </row>
    <row r="233" spans="2:28" ht="14.5" x14ac:dyDescent="0.35">
      <c r="B233" s="329">
        <v>44700</v>
      </c>
      <c r="C233" s="3" t="s">
        <v>4</v>
      </c>
      <c r="D233" s="95" t="s">
        <v>11</v>
      </c>
      <c r="E233" s="3" t="s">
        <v>26</v>
      </c>
      <c r="F233" s="5" t="s">
        <v>0</v>
      </c>
      <c r="G233" s="283">
        <v>62.7</v>
      </c>
      <c r="H233" s="283">
        <v>2.4</v>
      </c>
      <c r="I233" s="283">
        <v>2.7</v>
      </c>
      <c r="J233" s="283">
        <v>24.9</v>
      </c>
      <c r="K233" s="283">
        <v>12.4</v>
      </c>
      <c r="L233" s="283">
        <v>553</v>
      </c>
      <c r="P233" s="355"/>
      <c r="Q233" s="281">
        <v>44698</v>
      </c>
      <c r="R233" s="5" t="s">
        <v>5</v>
      </c>
      <c r="S233" s="95" t="s">
        <v>10</v>
      </c>
      <c r="T233" s="5" t="s">
        <v>26</v>
      </c>
      <c r="U233" s="5" t="s">
        <v>0</v>
      </c>
      <c r="V233" s="294">
        <v>61.4</v>
      </c>
      <c r="W233" s="299">
        <v>3</v>
      </c>
      <c r="X233" s="299">
        <v>4.0999999999999996</v>
      </c>
      <c r="Y233" s="294">
        <v>12</v>
      </c>
      <c r="Z233" s="294">
        <v>15</v>
      </c>
      <c r="AA233" s="283">
        <v>37</v>
      </c>
      <c r="AB233" s="355"/>
    </row>
    <row r="234" spans="2:28" ht="14.5" x14ac:dyDescent="0.35">
      <c r="B234" s="329">
        <v>44700</v>
      </c>
      <c r="C234" s="3" t="s">
        <v>4</v>
      </c>
      <c r="D234" s="95" t="s">
        <v>11</v>
      </c>
      <c r="E234" s="3" t="s">
        <v>26</v>
      </c>
      <c r="F234" s="5" t="s">
        <v>0</v>
      </c>
      <c r="G234" s="283">
        <v>62</v>
      </c>
      <c r="H234" s="286">
        <v>4.2</v>
      </c>
      <c r="I234" s="283">
        <v>1.8</v>
      </c>
      <c r="J234" s="283">
        <v>16.600000000000001</v>
      </c>
      <c r="K234" s="283">
        <v>14.4</v>
      </c>
      <c r="L234" s="283">
        <v>555</v>
      </c>
      <c r="P234" s="355"/>
      <c r="Q234" s="281">
        <v>44700</v>
      </c>
      <c r="R234" s="5" t="s">
        <v>5</v>
      </c>
      <c r="S234" s="95" t="s">
        <v>10</v>
      </c>
      <c r="T234" s="5" t="s">
        <v>26</v>
      </c>
      <c r="U234" s="5" t="s">
        <v>0</v>
      </c>
      <c r="V234" s="283">
        <v>61</v>
      </c>
      <c r="W234" s="286">
        <v>3.3</v>
      </c>
      <c r="X234" s="283">
        <v>4.3</v>
      </c>
      <c r="Y234" s="283">
        <v>10</v>
      </c>
      <c r="Z234" s="283">
        <v>17</v>
      </c>
      <c r="AA234" s="283">
        <v>40</v>
      </c>
      <c r="AB234" s="355"/>
    </row>
    <row r="235" spans="2:28" ht="15.5" x14ac:dyDescent="0.35">
      <c r="B235" s="352">
        <v>44700</v>
      </c>
      <c r="C235" s="3" t="s">
        <v>4</v>
      </c>
      <c r="D235" s="95" t="s">
        <v>11</v>
      </c>
      <c r="E235" s="3" t="s">
        <v>26</v>
      </c>
      <c r="F235" s="5" t="s">
        <v>0</v>
      </c>
      <c r="G235" s="303">
        <v>62.1</v>
      </c>
      <c r="H235" s="303">
        <v>3</v>
      </c>
      <c r="I235" s="303">
        <v>2.7</v>
      </c>
      <c r="J235" s="303">
        <v>2.2000000000000002</v>
      </c>
      <c r="K235" s="307">
        <v>35.5</v>
      </c>
      <c r="L235" s="290">
        <v>554</v>
      </c>
      <c r="P235" s="355"/>
      <c r="Q235" s="281">
        <v>44701</v>
      </c>
      <c r="R235" s="5" t="s">
        <v>5</v>
      </c>
      <c r="S235" s="95" t="s">
        <v>10</v>
      </c>
      <c r="T235" s="5" t="s">
        <v>26</v>
      </c>
      <c r="U235" s="5" t="s">
        <v>0</v>
      </c>
      <c r="V235" s="283">
        <v>61.5</v>
      </c>
      <c r="W235" s="283">
        <v>2.2000000000000002</v>
      </c>
      <c r="X235" s="283">
        <v>4.9000000000000004</v>
      </c>
      <c r="Y235" s="283">
        <v>12</v>
      </c>
      <c r="Z235" s="283">
        <v>15</v>
      </c>
      <c r="AA235" s="283">
        <v>42</v>
      </c>
      <c r="AB235" s="355"/>
    </row>
    <row r="236" spans="2:28" ht="15.5" x14ac:dyDescent="0.35">
      <c r="B236" s="352">
        <v>44702</v>
      </c>
      <c r="C236" s="3" t="s">
        <v>4</v>
      </c>
      <c r="D236" s="95" t="s">
        <v>11</v>
      </c>
      <c r="E236" s="3" t="s">
        <v>26</v>
      </c>
      <c r="F236" s="5" t="s">
        <v>0</v>
      </c>
      <c r="G236" s="303">
        <v>63</v>
      </c>
      <c r="H236" s="303">
        <v>2</v>
      </c>
      <c r="I236" s="303">
        <v>4.8</v>
      </c>
      <c r="J236" s="303">
        <v>10.9</v>
      </c>
      <c r="K236" s="307">
        <v>22.8</v>
      </c>
      <c r="L236" s="290">
        <v>560</v>
      </c>
      <c r="P236" s="355"/>
      <c r="Q236" s="281">
        <v>44702</v>
      </c>
      <c r="R236" s="5" t="s">
        <v>5</v>
      </c>
      <c r="S236" s="95" t="s">
        <v>10</v>
      </c>
      <c r="T236" s="5" t="s">
        <v>26</v>
      </c>
      <c r="U236" s="5" t="s">
        <v>0</v>
      </c>
      <c r="V236" s="283">
        <v>61.2</v>
      </c>
      <c r="W236" s="283">
        <v>2</v>
      </c>
      <c r="X236" s="283">
        <v>5.5</v>
      </c>
      <c r="Y236" s="283">
        <v>6</v>
      </c>
      <c r="Z236" s="283">
        <v>26</v>
      </c>
      <c r="AA236" s="283">
        <v>45</v>
      </c>
      <c r="AB236" s="355"/>
    </row>
    <row r="237" spans="2:28" ht="15.5" x14ac:dyDescent="0.35">
      <c r="B237" s="353">
        <v>44702</v>
      </c>
      <c r="C237" s="3" t="s">
        <v>4</v>
      </c>
      <c r="D237" s="95" t="s">
        <v>11</v>
      </c>
      <c r="E237" s="3" t="s">
        <v>26</v>
      </c>
      <c r="F237" s="5" t="s">
        <v>0</v>
      </c>
      <c r="G237" s="301">
        <v>63.2</v>
      </c>
      <c r="H237" s="301">
        <v>1.5</v>
      </c>
      <c r="I237" s="301">
        <v>1.6</v>
      </c>
      <c r="J237" s="301">
        <v>26.9</v>
      </c>
      <c r="K237" s="301">
        <v>13.6</v>
      </c>
      <c r="L237" s="296">
        <v>557</v>
      </c>
      <c r="P237" s="355"/>
      <c r="Q237" s="327">
        <v>44703</v>
      </c>
      <c r="R237" s="5" t="s">
        <v>5</v>
      </c>
      <c r="S237" s="95" t="s">
        <v>10</v>
      </c>
      <c r="T237" s="5" t="s">
        <v>26</v>
      </c>
      <c r="U237" s="5" t="s">
        <v>0</v>
      </c>
      <c r="V237" s="287">
        <v>61</v>
      </c>
      <c r="W237" s="288">
        <v>3.8</v>
      </c>
      <c r="X237" s="287">
        <v>4</v>
      </c>
      <c r="Y237" s="287">
        <v>13</v>
      </c>
      <c r="Z237" s="288">
        <v>12</v>
      </c>
      <c r="AA237" s="287">
        <v>49</v>
      </c>
      <c r="AB237" s="355"/>
    </row>
    <row r="238" spans="2:28" ht="15.5" x14ac:dyDescent="0.25">
      <c r="B238" s="332">
        <v>44703</v>
      </c>
      <c r="C238" s="3" t="s">
        <v>4</v>
      </c>
      <c r="D238" s="95" t="s">
        <v>11</v>
      </c>
      <c r="E238" s="3" t="s">
        <v>26</v>
      </c>
      <c r="F238" s="5" t="s">
        <v>0</v>
      </c>
      <c r="G238" s="290">
        <v>62.1</v>
      </c>
      <c r="H238" s="298">
        <v>3.9</v>
      </c>
      <c r="I238" s="290">
        <v>2.4</v>
      </c>
      <c r="J238" s="290">
        <v>7.8</v>
      </c>
      <c r="K238" s="290">
        <v>12.6</v>
      </c>
      <c r="L238" s="290">
        <v>562</v>
      </c>
      <c r="P238" s="355"/>
      <c r="Q238" s="281">
        <v>44706</v>
      </c>
      <c r="R238" s="5" t="s">
        <v>5</v>
      </c>
      <c r="S238" s="95" t="s">
        <v>10</v>
      </c>
      <c r="T238" s="5" t="s">
        <v>26</v>
      </c>
      <c r="U238" s="5" t="s">
        <v>0</v>
      </c>
      <c r="V238" s="283">
        <v>61.3</v>
      </c>
      <c r="W238" s="283">
        <v>4.3</v>
      </c>
      <c r="X238" s="283">
        <v>3.1</v>
      </c>
      <c r="Y238" s="283">
        <v>18</v>
      </c>
      <c r="Z238" s="283">
        <v>23</v>
      </c>
      <c r="AA238" s="283">
        <v>56</v>
      </c>
      <c r="AB238" s="355"/>
    </row>
    <row r="239" spans="2:28" ht="15.5" x14ac:dyDescent="0.25">
      <c r="B239" s="332">
        <v>44704</v>
      </c>
      <c r="C239" s="3" t="s">
        <v>4</v>
      </c>
      <c r="D239" s="95" t="s">
        <v>11</v>
      </c>
      <c r="E239" s="3" t="s">
        <v>26</v>
      </c>
      <c r="F239" s="5" t="s">
        <v>0</v>
      </c>
      <c r="G239" s="290">
        <v>62</v>
      </c>
      <c r="H239" s="298">
        <v>3.8</v>
      </c>
      <c r="I239" s="290">
        <v>3</v>
      </c>
      <c r="J239" s="290">
        <v>17.5</v>
      </c>
      <c r="K239" s="290">
        <v>14.1</v>
      </c>
      <c r="L239" s="290">
        <v>552</v>
      </c>
      <c r="P239" s="355"/>
      <c r="Q239" s="281">
        <v>44707</v>
      </c>
      <c r="R239" s="5" t="s">
        <v>5</v>
      </c>
      <c r="S239" s="95" t="s">
        <v>10</v>
      </c>
      <c r="T239" s="5" t="s">
        <v>26</v>
      </c>
      <c r="U239" s="5" t="s">
        <v>0</v>
      </c>
      <c r="V239" s="283">
        <v>60.5</v>
      </c>
      <c r="W239" s="283">
        <v>4</v>
      </c>
      <c r="X239" s="283">
        <v>4.5</v>
      </c>
      <c r="Y239" s="283">
        <v>18</v>
      </c>
      <c r="Z239" s="283">
        <v>12</v>
      </c>
      <c r="AA239" s="283">
        <v>60</v>
      </c>
      <c r="AB239" s="355"/>
    </row>
    <row r="240" spans="2:28" ht="15.5" x14ac:dyDescent="0.25">
      <c r="B240" s="332">
        <v>44705</v>
      </c>
      <c r="C240" s="3" t="s">
        <v>4</v>
      </c>
      <c r="D240" s="95" t="s">
        <v>11</v>
      </c>
      <c r="E240" s="3" t="s">
        <v>26</v>
      </c>
      <c r="F240" s="5" t="s">
        <v>0</v>
      </c>
      <c r="G240" s="290">
        <v>62.9</v>
      </c>
      <c r="H240" s="290">
        <v>1.8</v>
      </c>
      <c r="I240" s="290">
        <v>2</v>
      </c>
      <c r="J240" s="290">
        <v>32.799999999999997</v>
      </c>
      <c r="K240" s="290">
        <v>9.6</v>
      </c>
      <c r="L240" s="290">
        <v>564</v>
      </c>
      <c r="P240" s="355"/>
      <c r="Q240" s="281">
        <v>44709</v>
      </c>
      <c r="R240" s="5" t="s">
        <v>5</v>
      </c>
      <c r="S240" s="95" t="s">
        <v>10</v>
      </c>
      <c r="T240" s="5" t="s">
        <v>26</v>
      </c>
      <c r="U240" s="5" t="s">
        <v>0</v>
      </c>
      <c r="V240" s="283">
        <v>61.5</v>
      </c>
      <c r="W240" s="283">
        <v>3.6</v>
      </c>
      <c r="X240" s="283">
        <v>3.5</v>
      </c>
      <c r="Y240" s="283">
        <v>5</v>
      </c>
      <c r="Z240" s="286">
        <v>18</v>
      </c>
      <c r="AA240" s="283">
        <v>63</v>
      </c>
      <c r="AB240" s="355"/>
    </row>
    <row r="241" spans="2:28" ht="15.5" x14ac:dyDescent="0.25">
      <c r="B241" s="333">
        <v>44705</v>
      </c>
      <c r="C241" s="3" t="s">
        <v>4</v>
      </c>
      <c r="D241" s="95" t="s">
        <v>11</v>
      </c>
      <c r="E241" s="3" t="s">
        <v>26</v>
      </c>
      <c r="F241" s="5" t="s">
        <v>0</v>
      </c>
      <c r="G241" s="296">
        <v>60.9</v>
      </c>
      <c r="H241" s="321">
        <v>5.0999999999999996</v>
      </c>
      <c r="I241" s="296">
        <v>1.2</v>
      </c>
      <c r="J241" s="296">
        <v>21.3</v>
      </c>
      <c r="K241" s="296">
        <v>12.7</v>
      </c>
      <c r="L241" s="296">
        <v>567</v>
      </c>
      <c r="P241" s="355"/>
      <c r="Q241" s="281">
        <v>44710</v>
      </c>
      <c r="R241" s="5" t="s">
        <v>5</v>
      </c>
      <c r="S241" s="95" t="s">
        <v>10</v>
      </c>
      <c r="T241" s="5" t="s">
        <v>26</v>
      </c>
      <c r="U241" s="5" t="s">
        <v>0</v>
      </c>
      <c r="V241" s="283">
        <v>61.5</v>
      </c>
      <c r="W241" s="286">
        <v>3.2</v>
      </c>
      <c r="X241" s="283">
        <v>3.9</v>
      </c>
      <c r="Y241" s="283">
        <v>4</v>
      </c>
      <c r="Z241" s="286">
        <v>21</v>
      </c>
      <c r="AA241" s="283">
        <v>65</v>
      </c>
      <c r="AB241" s="355"/>
    </row>
    <row r="242" spans="2:28" ht="15.5" x14ac:dyDescent="0.35">
      <c r="B242" s="332">
        <v>44706</v>
      </c>
      <c r="C242" s="3" t="s">
        <v>4</v>
      </c>
      <c r="D242" s="95" t="s">
        <v>11</v>
      </c>
      <c r="E242" s="3" t="s">
        <v>26</v>
      </c>
      <c r="F242" s="5" t="s">
        <v>0</v>
      </c>
      <c r="G242" s="290">
        <v>63.1</v>
      </c>
      <c r="H242" s="290">
        <v>2.4</v>
      </c>
      <c r="I242" s="290">
        <v>2</v>
      </c>
      <c r="J242" s="290">
        <v>38</v>
      </c>
      <c r="K242" s="290">
        <v>7.7</v>
      </c>
      <c r="L242" s="290">
        <v>569</v>
      </c>
      <c r="P242" s="355"/>
      <c r="Q242" s="329">
        <v>44683</v>
      </c>
      <c r="R242" s="5" t="s">
        <v>5</v>
      </c>
      <c r="S242" s="95" t="s">
        <v>146</v>
      </c>
      <c r="T242" s="5" t="s">
        <v>26</v>
      </c>
      <c r="U242" s="5" t="s">
        <v>0</v>
      </c>
      <c r="V242" s="283">
        <v>62.7</v>
      </c>
      <c r="W242" s="283">
        <v>2.5</v>
      </c>
      <c r="X242" s="283">
        <v>2.8</v>
      </c>
      <c r="Y242" s="283">
        <v>4</v>
      </c>
      <c r="Z242" s="283">
        <v>15</v>
      </c>
      <c r="AA242" s="283">
        <v>3</v>
      </c>
      <c r="AB242" s="355"/>
    </row>
    <row r="243" spans="2:28" ht="15.5" x14ac:dyDescent="0.35">
      <c r="B243" s="332">
        <v>44706</v>
      </c>
      <c r="C243" s="3" t="s">
        <v>4</v>
      </c>
      <c r="D243" s="95" t="s">
        <v>11</v>
      </c>
      <c r="E243" s="3" t="s">
        <v>26</v>
      </c>
      <c r="F243" s="5" t="s">
        <v>0</v>
      </c>
      <c r="G243" s="290">
        <v>61.5</v>
      </c>
      <c r="H243" s="298">
        <v>5.2</v>
      </c>
      <c r="I243" s="290">
        <v>1.4</v>
      </c>
      <c r="J243" s="290">
        <v>30.4</v>
      </c>
      <c r="K243" s="290">
        <v>10</v>
      </c>
      <c r="L243" s="290">
        <v>568</v>
      </c>
      <c r="P243" s="355"/>
      <c r="Q243" s="329">
        <v>44687</v>
      </c>
      <c r="R243" s="5" t="s">
        <v>5</v>
      </c>
      <c r="S243" s="95" t="s">
        <v>146</v>
      </c>
      <c r="T243" s="5" t="s">
        <v>26</v>
      </c>
      <c r="U243" s="5" t="s">
        <v>0</v>
      </c>
      <c r="V243" s="283">
        <v>62.6</v>
      </c>
      <c r="W243" s="286">
        <v>2.6</v>
      </c>
      <c r="X243" s="283">
        <v>2.9</v>
      </c>
      <c r="Y243" s="283">
        <v>6</v>
      </c>
      <c r="Z243" s="283">
        <v>13</v>
      </c>
      <c r="AA243" s="283">
        <v>16</v>
      </c>
      <c r="AB243" s="355"/>
    </row>
    <row r="244" spans="2:28" ht="15.5" x14ac:dyDescent="0.35">
      <c r="B244" s="329">
        <v>44706</v>
      </c>
      <c r="C244" s="3" t="s">
        <v>4</v>
      </c>
      <c r="D244" s="95" t="s">
        <v>11</v>
      </c>
      <c r="E244" s="3" t="s">
        <v>26</v>
      </c>
      <c r="F244" s="5" t="s">
        <v>0</v>
      </c>
      <c r="G244" s="290">
        <v>62.5</v>
      </c>
      <c r="H244" s="290">
        <v>1.8</v>
      </c>
      <c r="I244" s="290">
        <v>1.6</v>
      </c>
      <c r="J244" s="290">
        <v>14.2</v>
      </c>
      <c r="K244" s="290">
        <v>13.9</v>
      </c>
      <c r="L244" s="290">
        <v>559</v>
      </c>
      <c r="P244" s="355"/>
      <c r="Q244" s="352">
        <v>44689</v>
      </c>
      <c r="R244" s="5" t="s">
        <v>5</v>
      </c>
      <c r="S244" s="95" t="s">
        <v>146</v>
      </c>
      <c r="T244" s="5" t="s">
        <v>26</v>
      </c>
      <c r="U244" s="5" t="s">
        <v>0</v>
      </c>
      <c r="V244" s="303">
        <v>62.7</v>
      </c>
      <c r="W244" s="303">
        <v>2.6</v>
      </c>
      <c r="X244" s="303">
        <v>2.7</v>
      </c>
      <c r="Y244" s="303">
        <v>4</v>
      </c>
      <c r="Z244" s="307">
        <v>17</v>
      </c>
      <c r="AA244" s="290">
        <v>19</v>
      </c>
      <c r="AB244" s="355"/>
    </row>
    <row r="245" spans="2:28" ht="15.5" x14ac:dyDescent="0.35">
      <c r="B245" s="329">
        <v>44707</v>
      </c>
      <c r="C245" s="3" t="s">
        <v>4</v>
      </c>
      <c r="D245" s="95" t="s">
        <v>11</v>
      </c>
      <c r="E245" s="3" t="s">
        <v>26</v>
      </c>
      <c r="F245" s="5" t="s">
        <v>0</v>
      </c>
      <c r="G245" s="290">
        <v>63.5</v>
      </c>
      <c r="H245" s="290">
        <v>2</v>
      </c>
      <c r="I245" s="290">
        <v>1.6</v>
      </c>
      <c r="J245" s="290">
        <v>5.7</v>
      </c>
      <c r="K245" s="298">
        <v>15.7</v>
      </c>
      <c r="L245" s="290">
        <v>566</v>
      </c>
      <c r="P245" s="355"/>
      <c r="Q245" s="352">
        <v>44692</v>
      </c>
      <c r="R245" s="5" t="s">
        <v>5</v>
      </c>
      <c r="S245" s="95" t="s">
        <v>146</v>
      </c>
      <c r="T245" s="5" t="s">
        <v>26</v>
      </c>
      <c r="U245" s="5" t="s">
        <v>0</v>
      </c>
      <c r="V245" s="303">
        <v>62.7</v>
      </c>
      <c r="W245" s="303">
        <v>3.2</v>
      </c>
      <c r="X245" s="303">
        <v>2.2000000000000002</v>
      </c>
      <c r="Y245" s="303">
        <v>4</v>
      </c>
      <c r="Z245" s="307">
        <v>14</v>
      </c>
      <c r="AA245" s="290">
        <v>25</v>
      </c>
      <c r="AB245" s="355"/>
    </row>
    <row r="246" spans="2:28" ht="15.5" x14ac:dyDescent="0.35">
      <c r="B246" s="329">
        <v>44707</v>
      </c>
      <c r="C246" s="3" t="s">
        <v>4</v>
      </c>
      <c r="D246" s="95" t="s">
        <v>11</v>
      </c>
      <c r="E246" s="3" t="s">
        <v>26</v>
      </c>
      <c r="F246" s="5" t="s">
        <v>0</v>
      </c>
      <c r="G246" s="290">
        <v>62</v>
      </c>
      <c r="H246" s="290">
        <v>2.9</v>
      </c>
      <c r="I246" s="290">
        <v>2.4</v>
      </c>
      <c r="J246" s="290">
        <v>19.399999999999999</v>
      </c>
      <c r="K246" s="290">
        <v>7.3</v>
      </c>
      <c r="L246" s="290">
        <v>569</v>
      </c>
      <c r="P246" s="355"/>
      <c r="Q246" s="353">
        <v>44695</v>
      </c>
      <c r="R246" s="5" t="s">
        <v>5</v>
      </c>
      <c r="S246" s="95" t="s">
        <v>146</v>
      </c>
      <c r="T246" s="5" t="s">
        <v>26</v>
      </c>
      <c r="U246" s="5" t="s">
        <v>0</v>
      </c>
      <c r="V246" s="301">
        <v>62.8</v>
      </c>
      <c r="W246" s="301">
        <v>3</v>
      </c>
      <c r="X246" s="301">
        <v>2.2999999999999998</v>
      </c>
      <c r="Y246" s="301">
        <v>7</v>
      </c>
      <c r="Z246" s="301">
        <v>14</v>
      </c>
      <c r="AA246" s="296">
        <v>30</v>
      </c>
      <c r="AB246" s="355"/>
    </row>
    <row r="247" spans="2:28" ht="15.5" x14ac:dyDescent="0.25">
      <c r="B247" s="334">
        <v>44708</v>
      </c>
      <c r="C247" s="3" t="s">
        <v>4</v>
      </c>
      <c r="D247" s="95" t="s">
        <v>11</v>
      </c>
      <c r="E247" s="3" t="s">
        <v>26</v>
      </c>
      <c r="F247" s="5" t="s">
        <v>0</v>
      </c>
      <c r="G247" s="296">
        <v>61.9</v>
      </c>
      <c r="H247" s="296">
        <v>2</v>
      </c>
      <c r="I247" s="321">
        <v>4.9000000000000004</v>
      </c>
      <c r="J247" s="296">
        <v>16.399999999999999</v>
      </c>
      <c r="K247" s="296">
        <v>14.7</v>
      </c>
      <c r="L247" s="324">
        <v>573</v>
      </c>
      <c r="P247" s="355"/>
      <c r="Q247" s="332">
        <v>44696</v>
      </c>
      <c r="R247" s="5" t="s">
        <v>5</v>
      </c>
      <c r="S247" s="95" t="s">
        <v>146</v>
      </c>
      <c r="T247" s="5" t="s">
        <v>26</v>
      </c>
      <c r="U247" s="5" t="s">
        <v>0</v>
      </c>
      <c r="V247" s="290">
        <v>62.8</v>
      </c>
      <c r="W247" s="298">
        <v>2.6</v>
      </c>
      <c r="X247" s="290">
        <v>2.7</v>
      </c>
      <c r="Y247" s="290">
        <v>6</v>
      </c>
      <c r="Z247" s="290">
        <v>14</v>
      </c>
      <c r="AA247" s="290">
        <v>33</v>
      </c>
      <c r="AB247" s="355"/>
    </row>
    <row r="248" spans="2:28" ht="15.5" x14ac:dyDescent="0.35">
      <c r="B248" s="352">
        <v>44708</v>
      </c>
      <c r="C248" s="3" t="s">
        <v>4</v>
      </c>
      <c r="D248" s="95" t="s">
        <v>11</v>
      </c>
      <c r="E248" s="3" t="s">
        <v>26</v>
      </c>
      <c r="F248" s="5" t="s">
        <v>0</v>
      </c>
      <c r="G248" s="303">
        <v>60.8</v>
      </c>
      <c r="H248" s="303">
        <v>2.5</v>
      </c>
      <c r="I248" s="303">
        <v>4.3</v>
      </c>
      <c r="J248" s="303">
        <v>20.100000000000001</v>
      </c>
      <c r="K248" s="303">
        <v>15.2</v>
      </c>
      <c r="L248" s="290">
        <v>575</v>
      </c>
      <c r="P248" s="355"/>
      <c r="Q248" s="332">
        <v>44700</v>
      </c>
      <c r="R248" s="5" t="s">
        <v>5</v>
      </c>
      <c r="S248" s="95" t="s">
        <v>146</v>
      </c>
      <c r="T248" s="5" t="s">
        <v>26</v>
      </c>
      <c r="U248" s="5" t="s">
        <v>0</v>
      </c>
      <c r="V248" s="290">
        <v>62.7</v>
      </c>
      <c r="W248" s="298">
        <v>2.5</v>
      </c>
      <c r="X248" s="290">
        <v>2.8</v>
      </c>
      <c r="Y248" s="290">
        <v>5</v>
      </c>
      <c r="Z248" s="290">
        <v>13</v>
      </c>
      <c r="AA248" s="290">
        <v>41</v>
      </c>
      <c r="AB248" s="355"/>
    </row>
    <row r="249" spans="2:28" ht="15.5" x14ac:dyDescent="0.35">
      <c r="B249" s="352">
        <v>44709</v>
      </c>
      <c r="C249" s="3" t="s">
        <v>4</v>
      </c>
      <c r="D249" s="95" t="s">
        <v>11</v>
      </c>
      <c r="E249" s="3" t="s">
        <v>26</v>
      </c>
      <c r="F249" s="5" t="s">
        <v>0</v>
      </c>
      <c r="G249" s="303">
        <v>62.9</v>
      </c>
      <c r="H249" s="303">
        <v>2.1</v>
      </c>
      <c r="I249" s="303">
        <v>2.8</v>
      </c>
      <c r="J249" s="303">
        <v>23.2</v>
      </c>
      <c r="K249" s="303">
        <v>15</v>
      </c>
      <c r="L249" s="290">
        <v>576</v>
      </c>
      <c r="P249" s="355"/>
      <c r="Q249" s="332">
        <v>44703</v>
      </c>
      <c r="R249" s="5" t="s">
        <v>5</v>
      </c>
      <c r="S249" s="95" t="s">
        <v>146</v>
      </c>
      <c r="T249" s="5" t="s">
        <v>26</v>
      </c>
      <c r="U249" s="5" t="s">
        <v>0</v>
      </c>
      <c r="V249" s="290">
        <v>62.5</v>
      </c>
      <c r="W249" s="290">
        <v>3.1</v>
      </c>
      <c r="X249" s="290">
        <v>2.6</v>
      </c>
      <c r="Y249" s="290">
        <v>3</v>
      </c>
      <c r="Z249" s="290">
        <v>22</v>
      </c>
      <c r="AA249" s="290">
        <v>46</v>
      </c>
      <c r="AB249" s="355"/>
    </row>
    <row r="250" spans="2:28" ht="15.5" x14ac:dyDescent="0.35">
      <c r="B250" s="352">
        <v>44709</v>
      </c>
      <c r="C250" s="3" t="s">
        <v>4</v>
      </c>
      <c r="D250" s="95" t="s">
        <v>11</v>
      </c>
      <c r="E250" s="3" t="s">
        <v>26</v>
      </c>
      <c r="F250" s="5" t="s">
        <v>0</v>
      </c>
      <c r="G250" s="303">
        <v>61.5</v>
      </c>
      <c r="H250" s="307">
        <v>4.5999999999999996</v>
      </c>
      <c r="I250" s="303">
        <v>1.5</v>
      </c>
      <c r="J250" s="303">
        <v>29</v>
      </c>
      <c r="K250" s="307">
        <v>19.8</v>
      </c>
      <c r="L250" s="290">
        <v>577</v>
      </c>
      <c r="P250" s="355"/>
      <c r="Q250" s="333">
        <v>44704</v>
      </c>
      <c r="R250" s="5" t="s">
        <v>5</v>
      </c>
      <c r="S250" s="95" t="s">
        <v>146</v>
      </c>
      <c r="T250" s="5" t="s">
        <v>26</v>
      </c>
      <c r="U250" s="5" t="s">
        <v>0</v>
      </c>
      <c r="V250" s="296">
        <v>62.5</v>
      </c>
      <c r="W250" s="321">
        <v>3.3</v>
      </c>
      <c r="X250" s="296">
        <v>2.2000000000000002</v>
      </c>
      <c r="Y250" s="296">
        <v>6</v>
      </c>
      <c r="Z250" s="296">
        <v>14</v>
      </c>
      <c r="AA250" s="296">
        <v>52</v>
      </c>
      <c r="AB250" s="355"/>
    </row>
    <row r="251" spans="2:28" ht="15.5" x14ac:dyDescent="0.35">
      <c r="B251" s="352">
        <v>44710</v>
      </c>
      <c r="C251" s="3" t="s">
        <v>4</v>
      </c>
      <c r="D251" s="95" t="s">
        <v>11</v>
      </c>
      <c r="E251" s="3" t="s">
        <v>26</v>
      </c>
      <c r="F251" s="5" t="s">
        <v>0</v>
      </c>
      <c r="G251" s="303">
        <v>61</v>
      </c>
      <c r="H251" s="307">
        <v>5.7</v>
      </c>
      <c r="I251" s="303">
        <v>1.3</v>
      </c>
      <c r="J251" s="303">
        <v>23.1</v>
      </c>
      <c r="K251" s="303">
        <v>13.1</v>
      </c>
      <c r="L251" s="290">
        <v>570</v>
      </c>
      <c r="P251" s="355"/>
      <c r="Q251" s="332">
        <v>44706</v>
      </c>
      <c r="R251" s="5" t="s">
        <v>5</v>
      </c>
      <c r="S251" s="95" t="s">
        <v>146</v>
      </c>
      <c r="T251" s="5" t="s">
        <v>26</v>
      </c>
      <c r="U251" s="5" t="s">
        <v>0</v>
      </c>
      <c r="V251" s="290">
        <v>62.7</v>
      </c>
      <c r="W251" s="290">
        <v>3.2</v>
      </c>
      <c r="X251" s="290">
        <v>2.1</v>
      </c>
      <c r="Y251" s="290">
        <v>5</v>
      </c>
      <c r="Z251" s="290">
        <v>16</v>
      </c>
      <c r="AA251" s="290">
        <v>57</v>
      </c>
      <c r="AB251" s="355"/>
    </row>
    <row r="252" spans="2:28" ht="15.5" x14ac:dyDescent="0.35">
      <c r="B252" s="352">
        <v>44710</v>
      </c>
      <c r="C252" s="3" t="s">
        <v>4</v>
      </c>
      <c r="D252" s="95" t="s">
        <v>11</v>
      </c>
      <c r="E252" s="3" t="s">
        <v>26</v>
      </c>
      <c r="F252" s="5" t="s">
        <v>0</v>
      </c>
      <c r="G252" s="303">
        <v>61.7</v>
      </c>
      <c r="H252" s="307">
        <v>5.2</v>
      </c>
      <c r="I252" s="303">
        <v>1.6</v>
      </c>
      <c r="J252" s="303">
        <v>43.6</v>
      </c>
      <c r="K252" s="307">
        <v>16.7</v>
      </c>
      <c r="L252" s="290">
        <v>581</v>
      </c>
      <c r="P252" s="355"/>
      <c r="Q252" s="332">
        <v>44707</v>
      </c>
      <c r="R252" s="5" t="s">
        <v>5</v>
      </c>
      <c r="S252" s="95" t="s">
        <v>146</v>
      </c>
      <c r="T252" s="5" t="s">
        <v>26</v>
      </c>
      <c r="U252" s="5" t="s">
        <v>0</v>
      </c>
      <c r="V252" s="290">
        <v>62.2</v>
      </c>
      <c r="W252" s="298">
        <v>2.8</v>
      </c>
      <c r="X252" s="290">
        <v>3.1</v>
      </c>
      <c r="Y252" s="290">
        <v>4</v>
      </c>
      <c r="Z252" s="290">
        <v>43</v>
      </c>
      <c r="AA252" s="290">
        <v>58</v>
      </c>
      <c r="AB252" s="355"/>
    </row>
    <row r="253" spans="2:28" ht="15.5" x14ac:dyDescent="0.35">
      <c r="B253" s="352">
        <v>44710</v>
      </c>
      <c r="C253" s="3" t="s">
        <v>4</v>
      </c>
      <c r="D253" s="95" t="s">
        <v>11</v>
      </c>
      <c r="E253" s="3" t="s">
        <v>26</v>
      </c>
      <c r="F253" s="5" t="s">
        <v>0</v>
      </c>
      <c r="G253" s="303">
        <v>61</v>
      </c>
      <c r="H253" s="307">
        <v>3.9</v>
      </c>
      <c r="I253" s="303">
        <v>2.6</v>
      </c>
      <c r="J253" s="303">
        <v>6.5</v>
      </c>
      <c r="K253" s="303">
        <v>13.7</v>
      </c>
      <c r="L253" s="290">
        <v>583</v>
      </c>
      <c r="P253" s="355"/>
      <c r="Q253" s="329">
        <v>44708</v>
      </c>
      <c r="R253" s="5" t="s">
        <v>5</v>
      </c>
      <c r="S253" s="95" t="s">
        <v>146</v>
      </c>
      <c r="T253" s="5" t="s">
        <v>26</v>
      </c>
      <c r="U253" s="5" t="s">
        <v>0</v>
      </c>
      <c r="V253" s="290">
        <v>62.6</v>
      </c>
      <c r="W253" s="290">
        <v>2.9</v>
      </c>
      <c r="X253" s="290">
        <v>2.6</v>
      </c>
      <c r="Y253" s="290">
        <v>2</v>
      </c>
      <c r="Z253" s="290">
        <v>12</v>
      </c>
      <c r="AA253" s="290">
        <v>62</v>
      </c>
      <c r="AB253" s="355"/>
    </row>
    <row r="254" spans="2:28" ht="15.5" x14ac:dyDescent="0.35">
      <c r="B254" s="352">
        <v>44711</v>
      </c>
      <c r="C254" s="3" t="s">
        <v>4</v>
      </c>
      <c r="D254" s="95" t="s">
        <v>11</v>
      </c>
      <c r="E254" s="3" t="s">
        <v>26</v>
      </c>
      <c r="F254" s="5" t="s">
        <v>0</v>
      </c>
      <c r="G254" s="303">
        <v>61.5</v>
      </c>
      <c r="H254" s="307">
        <v>4</v>
      </c>
      <c r="I254" s="303">
        <v>2.5</v>
      </c>
      <c r="J254" s="303">
        <v>18.2</v>
      </c>
      <c r="K254" s="303">
        <v>11.8</v>
      </c>
      <c r="L254" s="290">
        <v>574</v>
      </c>
      <c r="P254" s="355"/>
      <c r="Q254" s="329">
        <v>44710</v>
      </c>
      <c r="R254" s="5" t="s">
        <v>5</v>
      </c>
      <c r="S254" s="95" t="s">
        <v>146</v>
      </c>
      <c r="T254" s="5" t="s">
        <v>26</v>
      </c>
      <c r="U254" s="5" t="s">
        <v>0</v>
      </c>
      <c r="V254" s="290">
        <v>62.7</v>
      </c>
      <c r="W254" s="290">
        <v>2.9</v>
      </c>
      <c r="X254" s="290">
        <v>2.5</v>
      </c>
      <c r="Y254" s="290">
        <v>1</v>
      </c>
      <c r="Z254" s="298">
        <v>11</v>
      </c>
      <c r="AA254" s="290">
        <v>67</v>
      </c>
      <c r="AB254" s="355"/>
    </row>
    <row r="255" spans="2:28" ht="15.5" x14ac:dyDescent="0.35">
      <c r="B255" s="352">
        <v>44711</v>
      </c>
      <c r="C255" s="3" t="s">
        <v>4</v>
      </c>
      <c r="D255" s="95" t="s">
        <v>11</v>
      </c>
      <c r="E255" s="3" t="s">
        <v>26</v>
      </c>
      <c r="F255" s="5" t="s">
        <v>0</v>
      </c>
      <c r="G255" s="303">
        <v>62.9</v>
      </c>
      <c r="H255" s="303">
        <v>2.9</v>
      </c>
      <c r="I255" s="303">
        <v>0.6</v>
      </c>
      <c r="J255" s="303">
        <v>19.7</v>
      </c>
      <c r="K255" s="307">
        <v>21.2</v>
      </c>
      <c r="L255" s="290">
        <v>585</v>
      </c>
      <c r="P255" s="355"/>
      <c r="Q255" s="329">
        <v>44712</v>
      </c>
      <c r="R255" s="5" t="s">
        <v>5</v>
      </c>
      <c r="S255" s="95" t="s">
        <v>146</v>
      </c>
      <c r="T255" s="5" t="s">
        <v>26</v>
      </c>
      <c r="U255" s="5" t="s">
        <v>0</v>
      </c>
      <c r="V255" s="290">
        <v>62.7</v>
      </c>
      <c r="W255" s="290">
        <v>2.7</v>
      </c>
      <c r="X255" s="290">
        <v>2.6</v>
      </c>
      <c r="Y255" s="290">
        <v>3</v>
      </c>
      <c r="Z255" s="290">
        <v>13</v>
      </c>
      <c r="AA255" s="290">
        <v>70</v>
      </c>
      <c r="AB255" s="355"/>
    </row>
    <row r="256" spans="2:28" ht="16" thickBot="1" x14ac:dyDescent="0.3">
      <c r="B256" s="335">
        <v>44712</v>
      </c>
      <c r="C256" s="3" t="s">
        <v>4</v>
      </c>
      <c r="D256" s="95" t="s">
        <v>11</v>
      </c>
      <c r="E256" s="3" t="s">
        <v>26</v>
      </c>
      <c r="F256" s="5" t="s">
        <v>0</v>
      </c>
      <c r="G256" s="325">
        <v>62.7</v>
      </c>
      <c r="H256" s="325">
        <v>3.3</v>
      </c>
      <c r="I256" s="325">
        <v>2</v>
      </c>
      <c r="J256" s="325">
        <v>11.1</v>
      </c>
      <c r="K256" s="326">
        <v>19.899999999999999</v>
      </c>
      <c r="L256" s="325">
        <v>586</v>
      </c>
      <c r="P256" s="355"/>
      <c r="Q256" s="4"/>
      <c r="R256" s="5"/>
      <c r="S256" s="346"/>
      <c r="T256" s="5"/>
      <c r="U256" s="5"/>
      <c r="V256" s="355"/>
      <c r="W256" s="355"/>
      <c r="X256" s="355"/>
      <c r="Y256" s="355"/>
      <c r="Z256" s="355"/>
      <c r="AA256" s="42"/>
      <c r="AB256" s="355"/>
    </row>
    <row r="257" spans="2:28" ht="14.5" x14ac:dyDescent="0.25">
      <c r="B257" s="281">
        <v>44682</v>
      </c>
      <c r="C257" s="3" t="s">
        <v>4</v>
      </c>
      <c r="D257" s="95" t="s">
        <v>11</v>
      </c>
      <c r="E257" s="3" t="s">
        <v>26</v>
      </c>
      <c r="F257" s="5" t="s">
        <v>1</v>
      </c>
      <c r="G257" s="283">
        <v>61.3</v>
      </c>
      <c r="H257" s="283">
        <v>3.5</v>
      </c>
      <c r="I257" s="283">
        <v>3</v>
      </c>
      <c r="J257" s="283">
        <v>8.1999999999999993</v>
      </c>
      <c r="K257" s="283">
        <v>33</v>
      </c>
      <c r="L257" s="283">
        <v>567</v>
      </c>
      <c r="P257" s="355"/>
      <c r="Q257" s="4"/>
      <c r="R257" s="5"/>
      <c r="S257" s="346"/>
      <c r="T257" s="5"/>
      <c r="U257" s="5"/>
      <c r="V257" s="355"/>
      <c r="W257" s="355"/>
      <c r="X257" s="355"/>
      <c r="Y257" s="355"/>
      <c r="Z257" s="355"/>
      <c r="AA257" s="42"/>
      <c r="AB257" s="355"/>
    </row>
    <row r="258" spans="2:28" ht="14.5" x14ac:dyDescent="0.25">
      <c r="B258" s="281">
        <v>44683</v>
      </c>
      <c r="C258" s="3" t="s">
        <v>4</v>
      </c>
      <c r="D258" s="95" t="s">
        <v>11</v>
      </c>
      <c r="E258" s="3" t="s">
        <v>26</v>
      </c>
      <c r="F258" s="5" t="s">
        <v>1</v>
      </c>
      <c r="G258" s="283">
        <v>60.3</v>
      </c>
      <c r="H258" s="286">
        <v>4.4000000000000004</v>
      </c>
      <c r="I258" s="283">
        <v>3</v>
      </c>
      <c r="J258" s="283">
        <v>14.6</v>
      </c>
      <c r="K258" s="283">
        <v>22.1</v>
      </c>
      <c r="L258" s="283">
        <v>501</v>
      </c>
      <c r="P258" s="355"/>
      <c r="Q258" s="4"/>
      <c r="R258" s="5"/>
      <c r="S258" s="346"/>
      <c r="T258" s="5"/>
      <c r="U258" s="5"/>
      <c r="V258" s="355"/>
      <c r="W258" s="355"/>
      <c r="X258" s="355"/>
      <c r="Y258" s="355"/>
      <c r="Z258" s="355"/>
      <c r="AA258" s="42"/>
      <c r="AB258" s="355"/>
    </row>
    <row r="259" spans="2:28" ht="14.5" x14ac:dyDescent="0.25">
      <c r="B259" s="327">
        <v>44684</v>
      </c>
      <c r="C259" s="3" t="s">
        <v>4</v>
      </c>
      <c r="D259" s="95" t="s">
        <v>11</v>
      </c>
      <c r="E259" s="3" t="s">
        <v>26</v>
      </c>
      <c r="F259" s="5" t="s">
        <v>1</v>
      </c>
      <c r="G259" s="287">
        <v>60.4</v>
      </c>
      <c r="H259" s="288">
        <v>4</v>
      </c>
      <c r="I259" s="287">
        <v>2.8</v>
      </c>
      <c r="J259" s="287">
        <v>8.3000000000000007</v>
      </c>
      <c r="K259" s="287">
        <v>39.299999999999997</v>
      </c>
      <c r="L259" s="287">
        <v>505</v>
      </c>
      <c r="P259" s="355"/>
      <c r="Q259" s="4"/>
      <c r="R259" s="5"/>
      <c r="S259" s="346"/>
      <c r="T259" s="5"/>
      <c r="U259" s="5"/>
      <c r="V259" s="355"/>
      <c r="W259" s="355"/>
      <c r="X259" s="355"/>
      <c r="Y259" s="355"/>
      <c r="Z259" s="355"/>
      <c r="AA259" s="42"/>
      <c r="AB259" s="355"/>
    </row>
    <row r="260" spans="2:28" ht="14.5" x14ac:dyDescent="0.25">
      <c r="B260" s="281">
        <v>44685</v>
      </c>
      <c r="C260" s="3" t="s">
        <v>4</v>
      </c>
      <c r="D260" s="95" t="s">
        <v>11</v>
      </c>
      <c r="E260" s="3" t="s">
        <v>26</v>
      </c>
      <c r="F260" s="5" t="s">
        <v>1</v>
      </c>
      <c r="G260" s="283">
        <v>62</v>
      </c>
      <c r="H260" s="286">
        <v>3.6</v>
      </c>
      <c r="I260" s="283">
        <v>2.8</v>
      </c>
      <c r="J260" s="283">
        <v>7</v>
      </c>
      <c r="K260" s="283">
        <v>43.7</v>
      </c>
      <c r="L260" s="283">
        <v>507</v>
      </c>
      <c r="P260" s="355"/>
      <c r="Q260" s="4"/>
      <c r="R260" s="5"/>
      <c r="S260" s="346"/>
      <c r="T260" s="5"/>
      <c r="U260" s="5"/>
      <c r="V260" s="355"/>
      <c r="W260" s="355"/>
      <c r="X260" s="355"/>
      <c r="Y260" s="355"/>
      <c r="Z260" s="355"/>
      <c r="AA260" s="42"/>
      <c r="AB260" s="355"/>
    </row>
    <row r="261" spans="2:28" ht="14.5" x14ac:dyDescent="0.25">
      <c r="B261" s="327">
        <v>44685</v>
      </c>
      <c r="C261" s="3" t="s">
        <v>4</v>
      </c>
      <c r="D261" s="95" t="s">
        <v>11</v>
      </c>
      <c r="E261" s="3" t="s">
        <v>26</v>
      </c>
      <c r="F261" s="5" t="s">
        <v>1</v>
      </c>
      <c r="G261" s="287">
        <v>61.4</v>
      </c>
      <c r="H261" s="288">
        <v>3.9</v>
      </c>
      <c r="I261" s="288">
        <v>3.5</v>
      </c>
      <c r="J261" s="287">
        <v>5.5</v>
      </c>
      <c r="K261" s="287">
        <v>53.6</v>
      </c>
      <c r="L261" s="287">
        <v>511</v>
      </c>
      <c r="P261" s="355"/>
      <c r="Q261" s="4"/>
      <c r="R261" s="5"/>
      <c r="S261" s="346"/>
      <c r="T261" s="5"/>
      <c r="U261" s="5"/>
      <c r="V261" s="355"/>
      <c r="W261" s="355"/>
      <c r="X261" s="355"/>
      <c r="Y261" s="355"/>
      <c r="Z261" s="355"/>
      <c r="AA261" s="42"/>
      <c r="AB261" s="355"/>
    </row>
    <row r="262" spans="2:28" ht="14.5" x14ac:dyDescent="0.25">
      <c r="B262" s="281">
        <v>44686</v>
      </c>
      <c r="C262" s="3" t="s">
        <v>4</v>
      </c>
      <c r="D262" s="95" t="s">
        <v>11</v>
      </c>
      <c r="E262" s="3" t="s">
        <v>26</v>
      </c>
      <c r="F262" s="5" t="s">
        <v>1</v>
      </c>
      <c r="G262" s="283">
        <v>62.2</v>
      </c>
      <c r="H262" s="286">
        <v>4.4000000000000004</v>
      </c>
      <c r="I262" s="283">
        <v>2.2999999999999998</v>
      </c>
      <c r="J262" s="283">
        <v>11.2</v>
      </c>
      <c r="K262" s="283">
        <v>31.9</v>
      </c>
      <c r="L262" s="283">
        <v>509</v>
      </c>
      <c r="P262" s="355"/>
      <c r="Q262" s="4"/>
      <c r="R262" s="5"/>
      <c r="S262" s="346"/>
      <c r="T262" s="5"/>
      <c r="U262" s="5"/>
      <c r="V262" s="355"/>
      <c r="W262" s="355"/>
      <c r="X262" s="355"/>
      <c r="Y262" s="355"/>
      <c r="Z262" s="355"/>
      <c r="AA262" s="42"/>
      <c r="AB262" s="355"/>
    </row>
    <row r="263" spans="2:28" ht="14.5" x14ac:dyDescent="0.25">
      <c r="B263" s="281">
        <v>44686</v>
      </c>
      <c r="C263" s="3" t="s">
        <v>4</v>
      </c>
      <c r="D263" s="95" t="s">
        <v>11</v>
      </c>
      <c r="E263" s="3" t="s">
        <v>26</v>
      </c>
      <c r="F263" s="5" t="s">
        <v>1</v>
      </c>
      <c r="G263" s="283">
        <v>61.8</v>
      </c>
      <c r="H263" s="291">
        <v>2.7</v>
      </c>
      <c r="I263" s="291">
        <v>3</v>
      </c>
      <c r="J263" s="283">
        <v>6.2</v>
      </c>
      <c r="K263" s="283">
        <v>43.6</v>
      </c>
      <c r="L263" s="283">
        <v>510</v>
      </c>
      <c r="P263" s="355"/>
      <c r="Q263" s="4"/>
      <c r="R263" s="5"/>
      <c r="S263" s="346"/>
      <c r="T263" s="5"/>
      <c r="U263" s="5"/>
      <c r="V263" s="355"/>
      <c r="W263" s="355"/>
      <c r="X263" s="355"/>
      <c r="Y263" s="355"/>
      <c r="Z263" s="355"/>
      <c r="AA263" s="42"/>
      <c r="AB263" s="355"/>
    </row>
    <row r="264" spans="2:28" ht="15.5" x14ac:dyDescent="0.25">
      <c r="B264" s="336">
        <v>44687</v>
      </c>
      <c r="C264" s="3" t="s">
        <v>4</v>
      </c>
      <c r="D264" s="95" t="s">
        <v>11</v>
      </c>
      <c r="E264" s="3" t="s">
        <v>26</v>
      </c>
      <c r="F264" s="5" t="s">
        <v>1</v>
      </c>
      <c r="G264" s="296">
        <v>62.4</v>
      </c>
      <c r="H264" s="300">
        <v>2.8</v>
      </c>
      <c r="I264" s="300">
        <v>2.2999999999999998</v>
      </c>
      <c r="J264" s="296">
        <v>13.3</v>
      </c>
      <c r="K264" s="301">
        <v>28</v>
      </c>
      <c r="L264" s="296">
        <v>512</v>
      </c>
      <c r="P264" s="355"/>
      <c r="Q264" s="4"/>
      <c r="R264" s="5"/>
      <c r="S264" s="346"/>
      <c r="T264" s="5"/>
      <c r="U264" s="5"/>
      <c r="V264" s="355"/>
      <c r="W264" s="355"/>
      <c r="X264" s="355"/>
      <c r="Y264" s="355"/>
      <c r="Z264" s="355"/>
      <c r="AA264" s="42"/>
      <c r="AB264" s="355"/>
    </row>
    <row r="265" spans="2:28" ht="15.5" x14ac:dyDescent="0.25">
      <c r="B265" s="337">
        <v>44688</v>
      </c>
      <c r="C265" s="3" t="s">
        <v>4</v>
      </c>
      <c r="D265" s="95" t="s">
        <v>11</v>
      </c>
      <c r="E265" s="3" t="s">
        <v>26</v>
      </c>
      <c r="F265" s="5" t="s">
        <v>1</v>
      </c>
      <c r="G265" s="290">
        <v>62.8</v>
      </c>
      <c r="H265" s="302">
        <v>2.9</v>
      </c>
      <c r="I265" s="302">
        <v>3.1</v>
      </c>
      <c r="J265" s="303">
        <v>9</v>
      </c>
      <c r="K265" s="303">
        <v>42.5</v>
      </c>
      <c r="L265" s="290">
        <v>515</v>
      </c>
      <c r="P265" s="355"/>
      <c r="Q265" s="4"/>
      <c r="R265" s="5"/>
      <c r="S265" s="346"/>
      <c r="T265" s="5"/>
      <c r="U265" s="5"/>
      <c r="V265" s="355"/>
      <c r="W265" s="355"/>
      <c r="X265" s="355"/>
      <c r="Y265" s="355"/>
      <c r="Z265" s="355"/>
      <c r="AA265" s="42"/>
      <c r="AB265" s="355"/>
    </row>
    <row r="266" spans="2:28" ht="15.5" x14ac:dyDescent="0.25">
      <c r="B266" s="337">
        <v>44688</v>
      </c>
      <c r="C266" s="3" t="s">
        <v>4</v>
      </c>
      <c r="D266" s="95" t="s">
        <v>11</v>
      </c>
      <c r="E266" s="3" t="s">
        <v>26</v>
      </c>
      <c r="F266" s="5" t="s">
        <v>1</v>
      </c>
      <c r="G266" s="290">
        <v>62.4</v>
      </c>
      <c r="H266" s="304">
        <v>3</v>
      </c>
      <c r="I266" s="302">
        <v>2.9</v>
      </c>
      <c r="J266" s="290">
        <v>8.6999999999999993</v>
      </c>
      <c r="K266" s="303">
        <v>37.299999999999997</v>
      </c>
      <c r="L266" s="290">
        <v>516</v>
      </c>
      <c r="P266" s="355"/>
      <c r="Q266" s="4"/>
      <c r="R266" s="5"/>
      <c r="S266" s="346"/>
      <c r="T266" s="5"/>
      <c r="U266" s="5"/>
      <c r="V266" s="355"/>
      <c r="W266" s="355"/>
      <c r="X266" s="355"/>
      <c r="Y266" s="355"/>
      <c r="Z266" s="355"/>
      <c r="AA266" s="42"/>
      <c r="AB266" s="355"/>
    </row>
    <row r="267" spans="2:28" ht="15.5" x14ac:dyDescent="0.25">
      <c r="B267" s="337">
        <v>44689</v>
      </c>
      <c r="C267" s="3" t="s">
        <v>4</v>
      </c>
      <c r="D267" s="95" t="s">
        <v>11</v>
      </c>
      <c r="E267" s="3" t="s">
        <v>26</v>
      </c>
      <c r="F267" s="5" t="s">
        <v>1</v>
      </c>
      <c r="G267" s="290">
        <v>62.8</v>
      </c>
      <c r="H267" s="302">
        <v>3.9</v>
      </c>
      <c r="I267" s="302">
        <v>3.1</v>
      </c>
      <c r="J267" s="290">
        <v>24.2</v>
      </c>
      <c r="K267" s="303">
        <v>17.600000000000001</v>
      </c>
      <c r="L267" s="290">
        <v>514</v>
      </c>
      <c r="P267" s="355"/>
      <c r="Q267" s="4"/>
      <c r="R267" s="5"/>
      <c r="S267" s="346"/>
      <c r="T267" s="5"/>
      <c r="U267" s="5"/>
      <c r="V267" s="355"/>
      <c r="W267" s="355"/>
      <c r="X267" s="355"/>
      <c r="Y267" s="355"/>
      <c r="Z267" s="355"/>
      <c r="AA267" s="42"/>
      <c r="AB267" s="355"/>
    </row>
    <row r="268" spans="2:28" ht="15.5" x14ac:dyDescent="0.25">
      <c r="B268" s="337">
        <v>44689</v>
      </c>
      <c r="C268" s="3" t="s">
        <v>4</v>
      </c>
      <c r="D268" s="95" t="s">
        <v>11</v>
      </c>
      <c r="E268" s="3" t="s">
        <v>26</v>
      </c>
      <c r="F268" s="5" t="s">
        <v>1</v>
      </c>
      <c r="G268" s="290">
        <v>61.3</v>
      </c>
      <c r="H268" s="302">
        <v>3.8</v>
      </c>
      <c r="I268" s="302">
        <v>3.5</v>
      </c>
      <c r="J268" s="290">
        <v>9.9</v>
      </c>
      <c r="K268" s="303">
        <v>40</v>
      </c>
      <c r="L268" s="290">
        <v>521</v>
      </c>
      <c r="P268" s="355"/>
      <c r="Q268" s="4"/>
      <c r="R268" s="5"/>
      <c r="S268" s="346"/>
      <c r="T268" s="5"/>
      <c r="U268" s="5"/>
      <c r="V268" s="355"/>
      <c r="W268" s="355"/>
      <c r="X268" s="355"/>
      <c r="Y268" s="355"/>
      <c r="Z268" s="355"/>
      <c r="AA268" s="42"/>
      <c r="AB268" s="355"/>
    </row>
    <row r="269" spans="2:28" ht="15.5" x14ac:dyDescent="0.25">
      <c r="B269" s="337">
        <v>44690</v>
      </c>
      <c r="C269" s="3" t="s">
        <v>4</v>
      </c>
      <c r="D269" s="95" t="s">
        <v>11</v>
      </c>
      <c r="E269" s="3" t="s">
        <v>26</v>
      </c>
      <c r="F269" s="5" t="s">
        <v>1</v>
      </c>
      <c r="G269" s="290">
        <v>60.1</v>
      </c>
      <c r="H269" s="302">
        <v>3.9</v>
      </c>
      <c r="I269" s="302">
        <v>3.5</v>
      </c>
      <c r="J269" s="290">
        <v>5.6</v>
      </c>
      <c r="K269" s="303">
        <v>47.1</v>
      </c>
      <c r="L269" s="290">
        <v>520</v>
      </c>
      <c r="P269" s="355"/>
      <c r="Q269" s="4"/>
      <c r="R269" s="5"/>
      <c r="S269" s="346"/>
      <c r="T269" s="5"/>
      <c r="U269" s="5"/>
      <c r="V269" s="355"/>
      <c r="W269" s="355"/>
      <c r="X269" s="355"/>
      <c r="Y269" s="355"/>
      <c r="Z269" s="355"/>
      <c r="AA269" s="42"/>
      <c r="AB269" s="355"/>
    </row>
    <row r="270" spans="2:28" ht="15.5" x14ac:dyDescent="0.25">
      <c r="B270" s="337">
        <v>44690</v>
      </c>
      <c r="C270" s="3" t="s">
        <v>4</v>
      </c>
      <c r="D270" s="95" t="s">
        <v>11</v>
      </c>
      <c r="E270" s="3" t="s">
        <v>26</v>
      </c>
      <c r="F270" s="5" t="s">
        <v>1</v>
      </c>
      <c r="G270" s="290">
        <v>62.3</v>
      </c>
      <c r="H270" s="302">
        <v>3.5</v>
      </c>
      <c r="I270" s="302">
        <v>2.8</v>
      </c>
      <c r="J270" s="290">
        <v>11.2</v>
      </c>
      <c r="K270" s="303">
        <v>45.2</v>
      </c>
      <c r="L270" s="290">
        <v>517</v>
      </c>
      <c r="P270" s="355"/>
      <c r="Q270" s="4"/>
      <c r="R270" s="5"/>
      <c r="S270" s="346"/>
      <c r="T270" s="5"/>
      <c r="U270" s="5"/>
      <c r="V270" s="355"/>
      <c r="W270" s="355"/>
      <c r="X270" s="355"/>
      <c r="Y270" s="355"/>
      <c r="Z270" s="355"/>
      <c r="AA270" s="42"/>
      <c r="AB270" s="355"/>
    </row>
    <row r="271" spans="2:28" ht="15.5" x14ac:dyDescent="0.25">
      <c r="B271" s="337">
        <v>44691</v>
      </c>
      <c r="C271" s="3" t="s">
        <v>4</v>
      </c>
      <c r="D271" s="95" t="s">
        <v>11</v>
      </c>
      <c r="E271" s="3" t="s">
        <v>26</v>
      </c>
      <c r="F271" s="5" t="s">
        <v>1</v>
      </c>
      <c r="G271" s="290">
        <v>61.5</v>
      </c>
      <c r="H271" s="302">
        <v>3.4</v>
      </c>
      <c r="I271" s="302">
        <v>2.6</v>
      </c>
      <c r="J271" s="290">
        <v>9.9</v>
      </c>
      <c r="K271" s="303">
        <v>36.6</v>
      </c>
      <c r="L271" s="290">
        <v>526</v>
      </c>
      <c r="P271" s="355"/>
      <c r="Q271" s="4"/>
      <c r="R271" s="5"/>
      <c r="S271" s="346"/>
      <c r="T271" s="5"/>
      <c r="U271" s="5"/>
      <c r="V271" s="355"/>
      <c r="W271" s="355"/>
      <c r="X271" s="355"/>
      <c r="Y271" s="355"/>
      <c r="Z271" s="355"/>
      <c r="AA271" s="42"/>
      <c r="AB271" s="355"/>
    </row>
    <row r="272" spans="2:28" ht="15.5" x14ac:dyDescent="0.25">
      <c r="B272" s="337">
        <v>44691</v>
      </c>
      <c r="C272" s="3" t="s">
        <v>4</v>
      </c>
      <c r="D272" s="95" t="s">
        <v>11</v>
      </c>
      <c r="E272" s="3" t="s">
        <v>26</v>
      </c>
      <c r="F272" s="5" t="s">
        <v>1</v>
      </c>
      <c r="G272" s="303">
        <v>62</v>
      </c>
      <c r="H272" s="298">
        <v>4.7</v>
      </c>
      <c r="I272" s="302">
        <v>2.7</v>
      </c>
      <c r="J272" s="290">
        <v>6.3</v>
      </c>
      <c r="K272" s="303">
        <v>58.3</v>
      </c>
      <c r="L272" s="290">
        <v>527</v>
      </c>
      <c r="P272" s="355"/>
      <c r="Q272" s="4"/>
      <c r="R272" s="5"/>
      <c r="S272" s="346"/>
      <c r="T272" s="5"/>
      <c r="U272" s="5"/>
      <c r="V272" s="355"/>
      <c r="W272" s="355"/>
      <c r="X272" s="355"/>
      <c r="Y272" s="355"/>
      <c r="Z272" s="355"/>
      <c r="AA272" s="42"/>
      <c r="AB272" s="355"/>
    </row>
    <row r="273" spans="2:28" ht="15.5" x14ac:dyDescent="0.25">
      <c r="B273" s="336">
        <v>44691</v>
      </c>
      <c r="C273" s="3" t="s">
        <v>4</v>
      </c>
      <c r="D273" s="95" t="s">
        <v>11</v>
      </c>
      <c r="E273" s="3" t="s">
        <v>26</v>
      </c>
      <c r="F273" s="5" t="s">
        <v>1</v>
      </c>
      <c r="G273" s="296">
        <v>61.8</v>
      </c>
      <c r="H273" s="306">
        <v>4</v>
      </c>
      <c r="I273" s="300">
        <v>2.8</v>
      </c>
      <c r="J273" s="296">
        <v>3.2</v>
      </c>
      <c r="K273" s="301">
        <v>52.7</v>
      </c>
      <c r="L273" s="296">
        <v>522</v>
      </c>
      <c r="P273" s="355"/>
      <c r="Q273" s="4"/>
      <c r="R273" s="5"/>
      <c r="S273" s="346"/>
      <c r="T273" s="5"/>
      <c r="U273" s="5"/>
      <c r="V273" s="355"/>
      <c r="W273" s="355"/>
      <c r="X273" s="355"/>
      <c r="Y273" s="355"/>
      <c r="Z273" s="355"/>
      <c r="AA273" s="42"/>
      <c r="AB273" s="355"/>
    </row>
    <row r="274" spans="2:28" ht="15.5" x14ac:dyDescent="0.25">
      <c r="B274" s="337">
        <v>44691</v>
      </c>
      <c r="C274" s="3" t="s">
        <v>4</v>
      </c>
      <c r="D274" s="95" t="s">
        <v>11</v>
      </c>
      <c r="E274" s="3" t="s">
        <v>26</v>
      </c>
      <c r="F274" s="5" t="s">
        <v>1</v>
      </c>
      <c r="G274" s="290">
        <v>62.4</v>
      </c>
      <c r="H274" s="304">
        <v>3.8</v>
      </c>
      <c r="I274" s="302">
        <v>2.2999999999999998</v>
      </c>
      <c r="J274" s="290">
        <v>6.6</v>
      </c>
      <c r="K274" s="303">
        <v>55.4</v>
      </c>
      <c r="L274" s="290">
        <v>525</v>
      </c>
      <c r="P274" s="355"/>
      <c r="Q274" s="4"/>
      <c r="R274" s="5"/>
      <c r="S274" s="346"/>
      <c r="T274" s="5"/>
      <c r="U274" s="5"/>
      <c r="V274" s="355"/>
      <c r="W274" s="355"/>
      <c r="X274" s="355"/>
      <c r="Y274" s="355"/>
      <c r="Z274" s="355"/>
      <c r="AA274" s="42"/>
      <c r="AB274" s="355"/>
    </row>
    <row r="275" spans="2:28" ht="15.5" x14ac:dyDescent="0.25">
      <c r="B275" s="337">
        <v>44691</v>
      </c>
      <c r="C275" s="3" t="s">
        <v>4</v>
      </c>
      <c r="D275" s="95" t="s">
        <v>11</v>
      </c>
      <c r="E275" s="3" t="s">
        <v>26</v>
      </c>
      <c r="F275" s="5" t="s">
        <v>1</v>
      </c>
      <c r="G275" s="290">
        <v>61.7</v>
      </c>
      <c r="H275" s="304">
        <v>4</v>
      </c>
      <c r="I275" s="302">
        <v>2.8</v>
      </c>
      <c r="J275" s="290">
        <v>11.2</v>
      </c>
      <c r="K275" s="303">
        <v>50.1</v>
      </c>
      <c r="L275" s="290">
        <v>523</v>
      </c>
      <c r="P275" s="355"/>
      <c r="Q275" s="4"/>
      <c r="R275" s="5"/>
      <c r="S275" s="346"/>
      <c r="T275" s="5"/>
      <c r="U275" s="5"/>
      <c r="V275" s="355"/>
      <c r="W275" s="355"/>
      <c r="X275" s="355"/>
      <c r="Y275" s="355"/>
      <c r="Z275" s="355"/>
      <c r="AA275" s="42"/>
      <c r="AB275" s="355"/>
    </row>
    <row r="276" spans="2:28" ht="15.5" x14ac:dyDescent="0.25">
      <c r="B276" s="337">
        <v>44692</v>
      </c>
      <c r="C276" s="3" t="s">
        <v>4</v>
      </c>
      <c r="D276" s="95" t="s">
        <v>11</v>
      </c>
      <c r="E276" s="3" t="s">
        <v>26</v>
      </c>
      <c r="F276" s="5" t="s">
        <v>1</v>
      </c>
      <c r="G276" s="302">
        <v>62.9</v>
      </c>
      <c r="H276" s="290">
        <v>2.5</v>
      </c>
      <c r="I276" s="304">
        <v>1.8</v>
      </c>
      <c r="J276" s="290">
        <v>7.1</v>
      </c>
      <c r="K276" s="290">
        <v>51.5</v>
      </c>
      <c r="L276" s="305">
        <v>524</v>
      </c>
      <c r="P276" s="355"/>
      <c r="Q276" s="4"/>
      <c r="R276" s="5"/>
      <c r="S276" s="346"/>
      <c r="T276" s="5"/>
      <c r="U276" s="5"/>
      <c r="V276" s="355"/>
      <c r="W276" s="355"/>
      <c r="X276" s="355"/>
      <c r="Y276" s="355"/>
      <c r="Z276" s="355"/>
      <c r="AA276" s="42"/>
      <c r="AB276" s="355"/>
    </row>
    <row r="277" spans="2:28" ht="15.5" x14ac:dyDescent="0.25">
      <c r="B277" s="337">
        <v>44692</v>
      </c>
      <c r="C277" s="3" t="s">
        <v>4</v>
      </c>
      <c r="D277" s="95" t="s">
        <v>11</v>
      </c>
      <c r="E277" s="3" t="s">
        <v>26</v>
      </c>
      <c r="F277" s="5" t="s">
        <v>1</v>
      </c>
      <c r="G277" s="290">
        <v>62.7</v>
      </c>
      <c r="H277" s="304">
        <v>3.2</v>
      </c>
      <c r="I277" s="302">
        <v>2.6</v>
      </c>
      <c r="J277" s="290">
        <v>6.7</v>
      </c>
      <c r="K277" s="303">
        <v>47.1</v>
      </c>
      <c r="L277" s="290">
        <v>529</v>
      </c>
      <c r="P277" s="355"/>
      <c r="Q277" s="4"/>
      <c r="R277" s="5"/>
      <c r="S277" s="346"/>
      <c r="T277" s="5"/>
      <c r="U277" s="5"/>
      <c r="V277" s="355"/>
      <c r="W277" s="355"/>
      <c r="X277" s="355"/>
      <c r="Y277" s="355"/>
      <c r="Z277" s="355"/>
      <c r="AA277" s="42"/>
      <c r="AB277" s="355"/>
    </row>
    <row r="278" spans="2:28" ht="15.5" x14ac:dyDescent="0.25">
      <c r="B278" s="337">
        <v>44693</v>
      </c>
      <c r="C278" s="3" t="s">
        <v>4</v>
      </c>
      <c r="D278" s="95" t="s">
        <v>11</v>
      </c>
      <c r="E278" s="3" t="s">
        <v>26</v>
      </c>
      <c r="F278" s="5" t="s">
        <v>1</v>
      </c>
      <c r="G278" s="290">
        <v>64.099999999999994</v>
      </c>
      <c r="H278" s="304">
        <v>1.8</v>
      </c>
      <c r="I278" s="304">
        <v>2</v>
      </c>
      <c r="J278" s="290">
        <v>12.9</v>
      </c>
      <c r="K278" s="303">
        <v>51.6</v>
      </c>
      <c r="L278" s="290">
        <v>531</v>
      </c>
      <c r="P278" s="355"/>
      <c r="Q278" s="4"/>
      <c r="R278" s="5"/>
      <c r="S278" s="346"/>
      <c r="T278" s="5"/>
      <c r="U278" s="5"/>
      <c r="V278" s="355"/>
      <c r="W278" s="355"/>
      <c r="X278" s="355"/>
      <c r="Y278" s="355"/>
      <c r="Z278" s="355"/>
      <c r="AA278" s="42"/>
      <c r="AB278" s="355"/>
    </row>
    <row r="279" spans="2:28" ht="15.5" x14ac:dyDescent="0.25">
      <c r="B279" s="337">
        <v>44693</v>
      </c>
      <c r="C279" s="3" t="s">
        <v>4</v>
      </c>
      <c r="D279" s="95" t="s">
        <v>11</v>
      </c>
      <c r="E279" s="3" t="s">
        <v>26</v>
      </c>
      <c r="F279" s="5" t="s">
        <v>1</v>
      </c>
      <c r="G279" s="290">
        <v>61.9</v>
      </c>
      <c r="H279" s="304">
        <v>3.5</v>
      </c>
      <c r="I279" s="302">
        <v>3.2</v>
      </c>
      <c r="J279" s="290">
        <v>4.8</v>
      </c>
      <c r="K279" s="303">
        <v>51.2</v>
      </c>
      <c r="L279" s="290">
        <v>532</v>
      </c>
      <c r="P279" s="355"/>
      <c r="Q279" s="4"/>
      <c r="R279" s="5"/>
      <c r="S279" s="346"/>
      <c r="T279" s="5"/>
      <c r="U279" s="5"/>
      <c r="V279" s="355"/>
      <c r="W279" s="355"/>
      <c r="X279" s="355"/>
      <c r="Y279" s="355"/>
      <c r="Z279" s="355"/>
      <c r="AA279" s="42"/>
      <c r="AB279" s="355"/>
    </row>
    <row r="280" spans="2:28" ht="15.5" x14ac:dyDescent="0.25">
      <c r="B280" s="336">
        <v>44693</v>
      </c>
      <c r="C280" s="3" t="s">
        <v>4</v>
      </c>
      <c r="D280" s="95" t="s">
        <v>11</v>
      </c>
      <c r="E280" s="3" t="s">
        <v>26</v>
      </c>
      <c r="F280" s="5" t="s">
        <v>1</v>
      </c>
      <c r="G280" s="301">
        <v>61</v>
      </c>
      <c r="H280" s="306">
        <v>6</v>
      </c>
      <c r="I280" s="300">
        <v>2.4</v>
      </c>
      <c r="J280" s="296">
        <v>4.0999999999999996</v>
      </c>
      <c r="K280" s="301">
        <v>48.1</v>
      </c>
      <c r="L280" s="296">
        <v>528</v>
      </c>
      <c r="P280" s="355"/>
      <c r="Q280" s="4"/>
      <c r="R280" s="5"/>
      <c r="S280" s="346"/>
      <c r="T280" s="5"/>
      <c r="U280" s="5"/>
      <c r="V280" s="355"/>
      <c r="W280" s="355"/>
      <c r="X280" s="355"/>
      <c r="Y280" s="355"/>
      <c r="Z280" s="355"/>
      <c r="AA280" s="42"/>
      <c r="AB280" s="355"/>
    </row>
    <row r="281" spans="2:28" ht="15.5" x14ac:dyDescent="0.25">
      <c r="B281" s="337">
        <v>44694</v>
      </c>
      <c r="C281" s="3" t="s">
        <v>4</v>
      </c>
      <c r="D281" s="95" t="s">
        <v>11</v>
      </c>
      <c r="E281" s="3" t="s">
        <v>26</v>
      </c>
      <c r="F281" s="5" t="s">
        <v>1</v>
      </c>
      <c r="G281" s="303">
        <v>61.3</v>
      </c>
      <c r="H281" s="304">
        <v>3.7</v>
      </c>
      <c r="I281" s="302">
        <v>3.4</v>
      </c>
      <c r="J281" s="290">
        <v>9.1</v>
      </c>
      <c r="K281" s="303">
        <v>36.6</v>
      </c>
      <c r="L281" s="290">
        <v>534</v>
      </c>
      <c r="P281" s="355"/>
      <c r="Q281" s="4"/>
      <c r="R281" s="5"/>
      <c r="S281" s="346"/>
      <c r="T281" s="5"/>
      <c r="U281" s="5"/>
      <c r="V281" s="355"/>
      <c r="W281" s="355"/>
      <c r="X281" s="355"/>
      <c r="Y281" s="355"/>
      <c r="Z281" s="355"/>
      <c r="AA281" s="42"/>
      <c r="AB281" s="355"/>
    </row>
    <row r="282" spans="2:28" ht="15.5" x14ac:dyDescent="0.25">
      <c r="B282" s="337">
        <v>44694</v>
      </c>
      <c r="C282" s="3" t="s">
        <v>4</v>
      </c>
      <c r="D282" s="95" t="s">
        <v>11</v>
      </c>
      <c r="E282" s="3" t="s">
        <v>26</v>
      </c>
      <c r="F282" s="5" t="s">
        <v>1</v>
      </c>
      <c r="G282" s="307">
        <v>59.6</v>
      </c>
      <c r="H282" s="307">
        <v>7.9</v>
      </c>
      <c r="I282" s="302">
        <v>2.2999999999999998</v>
      </c>
      <c r="J282" s="290">
        <v>5.3</v>
      </c>
      <c r="K282" s="303">
        <v>48.5</v>
      </c>
      <c r="L282" s="290">
        <v>529</v>
      </c>
      <c r="P282" s="355"/>
      <c r="Q282" s="4"/>
      <c r="R282" s="5"/>
      <c r="S282" s="346"/>
      <c r="T282" s="5"/>
      <c r="U282" s="5"/>
      <c r="V282" s="355"/>
      <c r="W282" s="355"/>
      <c r="X282" s="355"/>
      <c r="Y282" s="355"/>
      <c r="Z282" s="355"/>
      <c r="AA282" s="42"/>
      <c r="AB282" s="355"/>
    </row>
    <row r="283" spans="2:28" ht="15.5" x14ac:dyDescent="0.25">
      <c r="B283" s="337">
        <v>44694</v>
      </c>
      <c r="C283" s="3" t="s">
        <v>4</v>
      </c>
      <c r="D283" s="95" t="s">
        <v>11</v>
      </c>
      <c r="E283" s="3" t="s">
        <v>26</v>
      </c>
      <c r="F283" s="5" t="s">
        <v>1</v>
      </c>
      <c r="G283" s="307">
        <v>59.9</v>
      </c>
      <c r="H283" s="307">
        <v>5.0999999999999996</v>
      </c>
      <c r="I283" s="302">
        <v>3.6</v>
      </c>
      <c r="J283" s="290">
        <v>9.6999999999999993</v>
      </c>
      <c r="K283" s="303">
        <v>30.4</v>
      </c>
      <c r="L283" s="290">
        <v>535</v>
      </c>
      <c r="P283" s="355"/>
      <c r="Q283" s="4"/>
      <c r="R283" s="5"/>
      <c r="S283" s="346"/>
      <c r="T283" s="5"/>
      <c r="U283" s="5"/>
      <c r="V283" s="355"/>
      <c r="W283" s="355"/>
      <c r="X283" s="355"/>
      <c r="Y283" s="355"/>
      <c r="Z283" s="355"/>
      <c r="AA283" s="42"/>
      <c r="AB283" s="355"/>
    </row>
    <row r="284" spans="2:28" ht="15.5" x14ac:dyDescent="0.25">
      <c r="B284" s="337">
        <v>44695</v>
      </c>
      <c r="C284" s="3" t="s">
        <v>4</v>
      </c>
      <c r="D284" s="95" t="s">
        <v>11</v>
      </c>
      <c r="E284" s="3" t="s">
        <v>26</v>
      </c>
      <c r="F284" s="5" t="s">
        <v>1</v>
      </c>
      <c r="G284" s="303">
        <v>60.3</v>
      </c>
      <c r="H284" s="307">
        <v>5.8</v>
      </c>
      <c r="I284" s="302">
        <v>3.2</v>
      </c>
      <c r="J284" s="303">
        <v>4</v>
      </c>
      <c r="K284" s="303">
        <v>45.8</v>
      </c>
      <c r="L284" s="290">
        <v>537</v>
      </c>
      <c r="P284" s="355"/>
      <c r="Q284" s="4"/>
      <c r="R284" s="5"/>
      <c r="S284" s="346"/>
      <c r="T284" s="5"/>
      <c r="U284" s="5"/>
      <c r="V284" s="355"/>
      <c r="W284" s="355"/>
      <c r="X284" s="355"/>
      <c r="Y284" s="355"/>
      <c r="Z284" s="355"/>
      <c r="AA284" s="42"/>
      <c r="AB284" s="355"/>
    </row>
    <row r="285" spans="2:28" ht="15.5" x14ac:dyDescent="0.25">
      <c r="B285" s="337">
        <v>44696</v>
      </c>
      <c r="C285" s="3" t="s">
        <v>4</v>
      </c>
      <c r="D285" s="95" t="s">
        <v>11</v>
      </c>
      <c r="E285" s="3" t="s">
        <v>26</v>
      </c>
      <c r="F285" s="5" t="s">
        <v>1</v>
      </c>
      <c r="G285" s="307">
        <v>57.8</v>
      </c>
      <c r="H285" s="307">
        <v>8</v>
      </c>
      <c r="I285" s="307">
        <v>4</v>
      </c>
      <c r="J285" s="290">
        <v>15.6</v>
      </c>
      <c r="K285" s="303">
        <v>37</v>
      </c>
      <c r="L285" s="290">
        <v>538</v>
      </c>
      <c r="P285" s="355"/>
      <c r="Q285" s="4"/>
      <c r="R285" s="5"/>
      <c r="S285" s="346"/>
      <c r="T285" s="5"/>
      <c r="U285" s="5"/>
      <c r="V285" s="355"/>
      <c r="W285" s="355"/>
      <c r="X285" s="355"/>
      <c r="Y285" s="355"/>
      <c r="Z285" s="355"/>
      <c r="AA285" s="42"/>
      <c r="AB285" s="355"/>
    </row>
    <row r="286" spans="2:28" ht="15.5" x14ac:dyDescent="0.25">
      <c r="B286" s="337">
        <v>44696</v>
      </c>
      <c r="C286" s="3" t="s">
        <v>4</v>
      </c>
      <c r="D286" s="95" t="s">
        <v>11</v>
      </c>
      <c r="E286" s="3" t="s">
        <v>26</v>
      </c>
      <c r="F286" s="5" t="s">
        <v>1</v>
      </c>
      <c r="G286" s="303">
        <v>62.1</v>
      </c>
      <c r="H286" s="304">
        <v>3.9</v>
      </c>
      <c r="I286" s="304">
        <v>3</v>
      </c>
      <c r="J286" s="290">
        <v>5.2</v>
      </c>
      <c r="K286" s="303">
        <v>48.8</v>
      </c>
      <c r="L286" s="290">
        <v>536</v>
      </c>
      <c r="P286" s="355"/>
      <c r="Q286" s="4"/>
      <c r="R286" s="5"/>
      <c r="S286" s="346"/>
      <c r="T286" s="5"/>
      <c r="U286" s="5"/>
      <c r="V286" s="355"/>
      <c r="W286" s="355"/>
      <c r="X286" s="355"/>
      <c r="Y286" s="355"/>
      <c r="Z286" s="355"/>
      <c r="AA286" s="42"/>
      <c r="AB286" s="355"/>
    </row>
    <row r="287" spans="2:28" ht="15.5" x14ac:dyDescent="0.25">
      <c r="B287" s="337">
        <v>44696</v>
      </c>
      <c r="C287" s="3" t="s">
        <v>4</v>
      </c>
      <c r="D287" s="95" t="s">
        <v>11</v>
      </c>
      <c r="E287" s="3" t="s">
        <v>26</v>
      </c>
      <c r="F287" s="5" t="s">
        <v>1</v>
      </c>
      <c r="G287" s="312">
        <v>61.1</v>
      </c>
      <c r="H287" s="313">
        <v>5.2</v>
      </c>
      <c r="I287" s="311">
        <v>3</v>
      </c>
      <c r="J287" s="310">
        <v>4.3</v>
      </c>
      <c r="K287" s="303">
        <v>66.7</v>
      </c>
      <c r="L287" s="310">
        <v>539</v>
      </c>
      <c r="P287" s="355"/>
      <c r="Q287" s="334"/>
      <c r="R287" s="5"/>
      <c r="S287" s="95"/>
      <c r="T287" s="5"/>
      <c r="U287" s="5"/>
      <c r="V287" s="296"/>
      <c r="W287" s="296"/>
      <c r="X287" s="321"/>
      <c r="Y287" s="296"/>
      <c r="Z287" s="296"/>
      <c r="AA287" s="324"/>
      <c r="AB287" s="355"/>
    </row>
    <row r="288" spans="2:28" ht="15.5" x14ac:dyDescent="0.35">
      <c r="B288" s="337">
        <v>44696</v>
      </c>
      <c r="C288" s="3" t="s">
        <v>4</v>
      </c>
      <c r="D288" s="95" t="s">
        <v>11</v>
      </c>
      <c r="E288" s="3" t="s">
        <v>26</v>
      </c>
      <c r="F288" s="5" t="s">
        <v>1</v>
      </c>
      <c r="G288" s="312">
        <v>61.5</v>
      </c>
      <c r="H288" s="311">
        <v>3.9</v>
      </c>
      <c r="I288" s="313">
        <v>3.7</v>
      </c>
      <c r="J288" s="310">
        <v>7.7</v>
      </c>
      <c r="K288" s="303">
        <v>36.6</v>
      </c>
      <c r="L288" s="310">
        <v>540</v>
      </c>
      <c r="P288" s="355"/>
      <c r="Q288" s="352"/>
      <c r="R288" s="5"/>
      <c r="S288" s="95"/>
      <c r="T288" s="5"/>
      <c r="U288" s="5"/>
      <c r="V288" s="303"/>
      <c r="W288" s="303"/>
      <c r="X288" s="303"/>
      <c r="Y288" s="303"/>
      <c r="Z288" s="303"/>
      <c r="AA288" s="290"/>
      <c r="AB288" s="355"/>
    </row>
    <row r="289" spans="2:28" ht="15.5" x14ac:dyDescent="0.35">
      <c r="B289" s="338">
        <v>44697</v>
      </c>
      <c r="C289" s="3" t="s">
        <v>4</v>
      </c>
      <c r="D289" s="95" t="s">
        <v>11</v>
      </c>
      <c r="E289" s="3" t="s">
        <v>26</v>
      </c>
      <c r="F289" s="5" t="s">
        <v>1</v>
      </c>
      <c r="G289" s="312">
        <v>62.2</v>
      </c>
      <c r="H289" s="311">
        <v>3.3</v>
      </c>
      <c r="I289" s="311">
        <v>3.2</v>
      </c>
      <c r="J289" s="310">
        <v>2.7</v>
      </c>
      <c r="K289" s="303">
        <v>51.2</v>
      </c>
      <c r="L289" s="310">
        <v>541</v>
      </c>
      <c r="P289" s="355"/>
      <c r="Q289" s="352"/>
      <c r="R289" s="5"/>
      <c r="S289" s="95"/>
      <c r="T289" s="5"/>
      <c r="U289" s="5"/>
      <c r="V289" s="303"/>
      <c r="W289" s="303"/>
      <c r="X289" s="303"/>
      <c r="Y289" s="303"/>
      <c r="Z289" s="303"/>
      <c r="AA289" s="290"/>
      <c r="AB289" s="355"/>
    </row>
    <row r="290" spans="2:28" ht="15.5" x14ac:dyDescent="0.35">
      <c r="B290" s="281">
        <v>44697</v>
      </c>
      <c r="C290" s="3" t="s">
        <v>4</v>
      </c>
      <c r="D290" s="95" t="s">
        <v>11</v>
      </c>
      <c r="E290" s="3" t="s">
        <v>26</v>
      </c>
      <c r="F290" s="5" t="s">
        <v>1</v>
      </c>
      <c r="G290" s="283">
        <v>61.3</v>
      </c>
      <c r="H290" s="283">
        <v>3.5</v>
      </c>
      <c r="I290" s="283">
        <v>3.4</v>
      </c>
      <c r="J290" s="283">
        <v>8.8000000000000007</v>
      </c>
      <c r="K290" s="283">
        <v>41.9</v>
      </c>
      <c r="L290" s="283">
        <v>542</v>
      </c>
      <c r="P290" s="355"/>
      <c r="Q290" s="352"/>
      <c r="R290" s="5"/>
      <c r="S290" s="95"/>
      <c r="T290" s="5"/>
      <c r="U290" s="5"/>
      <c r="V290" s="303"/>
      <c r="W290" s="307"/>
      <c r="X290" s="303"/>
      <c r="Y290" s="303"/>
      <c r="Z290" s="307"/>
      <c r="AA290" s="290"/>
      <c r="AB290" s="355"/>
    </row>
    <row r="291" spans="2:28" ht="15.5" x14ac:dyDescent="0.35">
      <c r="B291" s="281">
        <v>44698</v>
      </c>
      <c r="C291" s="3" t="s">
        <v>4</v>
      </c>
      <c r="D291" s="95" t="s">
        <v>11</v>
      </c>
      <c r="E291" s="3" t="s">
        <v>26</v>
      </c>
      <c r="F291" s="5" t="s">
        <v>1</v>
      </c>
      <c r="G291" s="283">
        <v>61.3</v>
      </c>
      <c r="H291" s="283">
        <v>5</v>
      </c>
      <c r="I291" s="283">
        <v>3.1</v>
      </c>
      <c r="J291" s="283">
        <v>19.2</v>
      </c>
      <c r="K291" s="283">
        <v>38.6</v>
      </c>
      <c r="L291" s="283">
        <v>543</v>
      </c>
      <c r="P291" s="355"/>
      <c r="Q291" s="352"/>
      <c r="R291" s="5"/>
      <c r="S291" s="95"/>
      <c r="T291" s="5"/>
      <c r="U291" s="5"/>
      <c r="V291" s="303"/>
      <c r="W291" s="307"/>
      <c r="X291" s="303"/>
      <c r="Y291" s="303"/>
      <c r="Z291" s="303"/>
      <c r="AA291" s="290"/>
      <c r="AB291" s="355"/>
    </row>
    <row r="292" spans="2:28" ht="15.5" x14ac:dyDescent="0.35">
      <c r="B292" s="281">
        <v>44698</v>
      </c>
      <c r="C292" s="3" t="s">
        <v>4</v>
      </c>
      <c r="D292" s="95" t="s">
        <v>11</v>
      </c>
      <c r="E292" s="3" t="s">
        <v>26</v>
      </c>
      <c r="F292" s="5" t="s">
        <v>1</v>
      </c>
      <c r="G292" s="283">
        <v>61.7</v>
      </c>
      <c r="H292" s="286">
        <v>4.8</v>
      </c>
      <c r="I292" s="283">
        <v>2.2999999999999998</v>
      </c>
      <c r="J292" s="283">
        <v>4.4000000000000004</v>
      </c>
      <c r="K292" s="283">
        <v>51.3</v>
      </c>
      <c r="L292" s="283">
        <v>546</v>
      </c>
      <c r="P292" s="355"/>
      <c r="Q292" s="352"/>
      <c r="R292" s="5"/>
      <c r="S292" s="95"/>
      <c r="T292" s="5"/>
      <c r="U292" s="5"/>
      <c r="V292" s="303"/>
      <c r="W292" s="307"/>
      <c r="X292" s="303"/>
      <c r="Y292" s="303"/>
      <c r="Z292" s="307"/>
      <c r="AA292" s="290"/>
      <c r="AB292" s="355"/>
    </row>
    <row r="293" spans="2:28" ht="15.5" x14ac:dyDescent="0.35">
      <c r="B293" s="329">
        <v>44698</v>
      </c>
      <c r="C293" s="3" t="s">
        <v>4</v>
      </c>
      <c r="D293" s="95" t="s">
        <v>11</v>
      </c>
      <c r="E293" s="3" t="s">
        <v>26</v>
      </c>
      <c r="F293" s="5" t="s">
        <v>1</v>
      </c>
      <c r="G293" s="290">
        <v>60.4</v>
      </c>
      <c r="H293" s="298">
        <v>4.9000000000000004</v>
      </c>
      <c r="I293" s="314">
        <v>3</v>
      </c>
      <c r="J293" s="290">
        <v>16.8</v>
      </c>
      <c r="K293" s="290">
        <v>45.1</v>
      </c>
      <c r="L293" s="290">
        <v>544</v>
      </c>
      <c r="P293" s="355"/>
      <c r="Q293" s="352"/>
      <c r="R293" s="5"/>
      <c r="S293" s="95"/>
      <c r="T293" s="5"/>
      <c r="U293" s="5"/>
      <c r="V293" s="303"/>
      <c r="W293" s="307"/>
      <c r="X293" s="303"/>
      <c r="Y293" s="303"/>
      <c r="Z293" s="303"/>
      <c r="AA293" s="290"/>
      <c r="AB293" s="355"/>
    </row>
    <row r="294" spans="2:28" ht="15.5" x14ac:dyDescent="0.35">
      <c r="B294" s="329">
        <v>44699</v>
      </c>
      <c r="C294" s="3" t="s">
        <v>4</v>
      </c>
      <c r="D294" s="95" t="s">
        <v>11</v>
      </c>
      <c r="E294" s="3" t="s">
        <v>26</v>
      </c>
      <c r="F294" s="5" t="s">
        <v>1</v>
      </c>
      <c r="G294" s="290">
        <v>62.8</v>
      </c>
      <c r="H294" s="314">
        <v>3</v>
      </c>
      <c r="I294" s="314">
        <v>2.6</v>
      </c>
      <c r="J294" s="290">
        <v>5.3</v>
      </c>
      <c r="K294" s="290">
        <v>47.5</v>
      </c>
      <c r="L294" s="290">
        <v>547</v>
      </c>
      <c r="P294" s="355"/>
      <c r="Q294" s="352"/>
      <c r="R294" s="5"/>
      <c r="S294" s="95"/>
      <c r="T294" s="5"/>
      <c r="U294" s="5"/>
      <c r="V294" s="303"/>
      <c r="W294" s="307"/>
      <c r="X294" s="303"/>
      <c r="Y294" s="303"/>
      <c r="Z294" s="303"/>
      <c r="AA294" s="290"/>
      <c r="AB294" s="355"/>
    </row>
    <row r="295" spans="2:28" ht="15.5" x14ac:dyDescent="0.35">
      <c r="B295" s="329">
        <v>44699</v>
      </c>
      <c r="C295" s="3" t="s">
        <v>4</v>
      </c>
      <c r="D295" s="95" t="s">
        <v>11</v>
      </c>
      <c r="E295" s="3" t="s">
        <v>26</v>
      </c>
      <c r="F295" s="5" t="s">
        <v>1</v>
      </c>
      <c r="G295" s="290">
        <v>60.6</v>
      </c>
      <c r="H295" s="298">
        <v>5</v>
      </c>
      <c r="I295" s="298">
        <v>3.5</v>
      </c>
      <c r="J295" s="290">
        <v>8</v>
      </c>
      <c r="K295" s="290">
        <v>42.6</v>
      </c>
      <c r="L295" s="290">
        <v>548</v>
      </c>
      <c r="P295" s="355"/>
      <c r="Q295" s="352"/>
      <c r="R295" s="5"/>
      <c r="S295" s="95"/>
      <c r="T295" s="5"/>
      <c r="U295" s="5"/>
      <c r="V295" s="303"/>
      <c r="W295" s="303"/>
      <c r="X295" s="303"/>
      <c r="Y295" s="303"/>
      <c r="Z295" s="307"/>
      <c r="AA295" s="290"/>
      <c r="AB295" s="355"/>
    </row>
    <row r="296" spans="2:28" ht="16" thickBot="1" x14ac:dyDescent="0.4">
      <c r="B296" s="329">
        <v>44699</v>
      </c>
      <c r="C296" s="3" t="s">
        <v>4</v>
      </c>
      <c r="D296" s="95" t="s">
        <v>11</v>
      </c>
      <c r="E296" s="3" t="s">
        <v>26</v>
      </c>
      <c r="F296" s="5" t="s">
        <v>1</v>
      </c>
      <c r="G296" s="290">
        <v>61</v>
      </c>
      <c r="H296" s="298">
        <v>5.5</v>
      </c>
      <c r="I296" s="314">
        <v>3</v>
      </c>
      <c r="J296" s="290">
        <v>3.2</v>
      </c>
      <c r="K296" s="290">
        <v>52</v>
      </c>
      <c r="L296" s="290">
        <v>549</v>
      </c>
      <c r="P296" s="355"/>
      <c r="Q296" s="335"/>
      <c r="R296" s="5"/>
      <c r="S296" s="95"/>
      <c r="T296" s="5"/>
      <c r="U296" s="5"/>
      <c r="V296" s="325"/>
      <c r="W296" s="325"/>
      <c r="X296" s="325"/>
      <c r="Y296" s="325"/>
      <c r="Z296" s="326"/>
      <c r="AA296" s="325"/>
      <c r="AB296" s="355"/>
    </row>
    <row r="297" spans="2:28" ht="15.5" x14ac:dyDescent="0.35">
      <c r="B297" s="329">
        <v>44700</v>
      </c>
      <c r="C297" s="3" t="s">
        <v>4</v>
      </c>
      <c r="D297" s="95" t="s">
        <v>11</v>
      </c>
      <c r="E297" s="3" t="s">
        <v>26</v>
      </c>
      <c r="F297" s="5" t="s">
        <v>1</v>
      </c>
      <c r="G297" s="290">
        <v>61.2</v>
      </c>
      <c r="H297" s="298">
        <v>5</v>
      </c>
      <c r="I297" s="314">
        <v>3.1</v>
      </c>
      <c r="J297" s="290">
        <v>6</v>
      </c>
      <c r="K297" s="290">
        <v>44.4</v>
      </c>
      <c r="L297" s="290">
        <v>553</v>
      </c>
      <c r="P297" s="355"/>
      <c r="Q297" s="281"/>
      <c r="R297" s="5"/>
      <c r="S297" s="95"/>
      <c r="T297" s="5"/>
      <c r="U297" s="5"/>
      <c r="V297" s="283"/>
      <c r="W297" s="283"/>
      <c r="X297" s="283"/>
      <c r="Y297" s="283"/>
      <c r="Z297" s="283"/>
      <c r="AA297" s="283"/>
      <c r="AB297" s="355"/>
    </row>
    <row r="298" spans="2:28" ht="15.5" x14ac:dyDescent="0.35">
      <c r="B298" s="329">
        <v>44700</v>
      </c>
      <c r="C298" s="3" t="s">
        <v>4</v>
      </c>
      <c r="D298" s="95" t="s">
        <v>11</v>
      </c>
      <c r="E298" s="3" t="s">
        <v>26</v>
      </c>
      <c r="F298" s="5" t="s">
        <v>1</v>
      </c>
      <c r="G298" s="290">
        <v>60.6</v>
      </c>
      <c r="H298" s="298">
        <v>5.2</v>
      </c>
      <c r="I298" s="298">
        <v>3.5</v>
      </c>
      <c r="J298" s="290">
        <v>15.5</v>
      </c>
      <c r="K298" s="290">
        <v>27.6</v>
      </c>
      <c r="L298" s="290">
        <v>555</v>
      </c>
      <c r="P298" s="355"/>
      <c r="Q298" s="281"/>
      <c r="R298" s="5"/>
      <c r="S298" s="95"/>
      <c r="T298" s="5"/>
      <c r="U298" s="5"/>
      <c r="V298" s="283"/>
      <c r="W298" s="286"/>
      <c r="X298" s="283"/>
      <c r="Y298" s="283"/>
      <c r="Z298" s="283"/>
      <c r="AA298" s="283"/>
      <c r="AB298" s="355"/>
    </row>
    <row r="299" spans="2:28" ht="15.5" x14ac:dyDescent="0.35">
      <c r="B299" s="352">
        <v>44700</v>
      </c>
      <c r="C299" s="3" t="s">
        <v>4</v>
      </c>
      <c r="D299" s="95" t="s">
        <v>11</v>
      </c>
      <c r="E299" s="3" t="s">
        <v>26</v>
      </c>
      <c r="F299" s="5" t="s">
        <v>1</v>
      </c>
      <c r="G299" s="303">
        <v>61</v>
      </c>
      <c r="H299" s="307">
        <v>4.4000000000000004</v>
      </c>
      <c r="I299" s="304">
        <v>3.6</v>
      </c>
      <c r="J299" s="290">
        <v>4.4000000000000004</v>
      </c>
      <c r="K299" s="303">
        <v>52.4</v>
      </c>
      <c r="L299" s="290">
        <v>554</v>
      </c>
      <c r="P299" s="355"/>
      <c r="Q299" s="327"/>
      <c r="R299" s="5"/>
      <c r="S299" s="95"/>
      <c r="T299" s="5"/>
      <c r="U299" s="5"/>
      <c r="V299" s="287"/>
      <c r="W299" s="288"/>
      <c r="X299" s="287"/>
      <c r="Y299" s="287"/>
      <c r="Z299" s="287"/>
      <c r="AA299" s="287"/>
      <c r="AB299" s="355"/>
    </row>
    <row r="300" spans="2:28" ht="15.5" x14ac:dyDescent="0.35">
      <c r="B300" s="352">
        <v>44702</v>
      </c>
      <c r="C300" s="3" t="s">
        <v>4</v>
      </c>
      <c r="D300" s="95" t="s">
        <v>11</v>
      </c>
      <c r="E300" s="3" t="s">
        <v>26</v>
      </c>
      <c r="F300" s="5" t="s">
        <v>1</v>
      </c>
      <c r="G300" s="303">
        <v>61</v>
      </c>
      <c r="H300" s="307">
        <v>4.7</v>
      </c>
      <c r="I300" s="304">
        <v>3</v>
      </c>
      <c r="J300" s="290">
        <v>7.6</v>
      </c>
      <c r="K300" s="303">
        <v>45.6</v>
      </c>
      <c r="L300" s="290">
        <v>556</v>
      </c>
      <c r="P300" s="355"/>
      <c r="Q300" s="281"/>
      <c r="R300" s="5"/>
      <c r="S300" s="95"/>
      <c r="T300" s="5"/>
      <c r="U300" s="5"/>
      <c r="V300" s="283"/>
      <c r="W300" s="286"/>
      <c r="X300" s="283"/>
      <c r="Y300" s="283"/>
      <c r="Z300" s="283"/>
      <c r="AA300" s="283"/>
      <c r="AB300" s="355"/>
    </row>
    <row r="301" spans="2:28" ht="15.5" x14ac:dyDescent="0.35">
      <c r="B301" s="352">
        <v>44702</v>
      </c>
      <c r="C301" s="3" t="s">
        <v>4</v>
      </c>
      <c r="D301" s="95" t="s">
        <v>11</v>
      </c>
      <c r="E301" s="3" t="s">
        <v>26</v>
      </c>
      <c r="F301" s="5" t="s">
        <v>1</v>
      </c>
      <c r="G301" s="303">
        <v>60.9</v>
      </c>
      <c r="H301" s="307">
        <v>4.8</v>
      </c>
      <c r="I301" s="304">
        <v>3.4</v>
      </c>
      <c r="J301" s="290">
        <v>7.5</v>
      </c>
      <c r="K301" s="303">
        <v>40.6</v>
      </c>
      <c r="L301" s="290">
        <v>557</v>
      </c>
      <c r="P301" s="355"/>
      <c r="Q301" s="327"/>
      <c r="R301" s="5"/>
      <c r="S301" s="95"/>
      <c r="T301" s="5"/>
      <c r="U301" s="5"/>
      <c r="V301" s="287"/>
      <c r="W301" s="288"/>
      <c r="X301" s="288"/>
      <c r="Y301" s="287"/>
      <c r="Z301" s="287"/>
      <c r="AA301" s="287"/>
      <c r="AB301" s="355"/>
    </row>
    <row r="302" spans="2:28" ht="15.5" x14ac:dyDescent="0.35">
      <c r="B302" s="352">
        <v>44702</v>
      </c>
      <c r="C302" s="3" t="s">
        <v>4</v>
      </c>
      <c r="D302" s="95" t="s">
        <v>11</v>
      </c>
      <c r="E302" s="3" t="s">
        <v>26</v>
      </c>
      <c r="F302" s="5" t="s">
        <v>1</v>
      </c>
      <c r="G302" s="303">
        <v>61.6</v>
      </c>
      <c r="H302" s="307">
        <v>4.0999999999999996</v>
      </c>
      <c r="I302" s="304">
        <v>3.2</v>
      </c>
      <c r="J302" s="290">
        <v>5.5</v>
      </c>
      <c r="K302" s="303">
        <v>55.1</v>
      </c>
      <c r="L302" s="290">
        <v>558</v>
      </c>
      <c r="P302" s="355"/>
      <c r="Q302" s="281"/>
      <c r="R302" s="5"/>
      <c r="S302" s="95"/>
      <c r="T302" s="5"/>
      <c r="U302" s="5"/>
      <c r="V302" s="283"/>
      <c r="W302" s="286"/>
      <c r="X302" s="283"/>
      <c r="Y302" s="283"/>
      <c r="Z302" s="283"/>
      <c r="AA302" s="283"/>
      <c r="AB302" s="355"/>
    </row>
    <row r="303" spans="2:28" ht="15.5" x14ac:dyDescent="0.35">
      <c r="B303" s="353">
        <v>44703</v>
      </c>
      <c r="C303" s="3" t="s">
        <v>4</v>
      </c>
      <c r="D303" s="95" t="s">
        <v>11</v>
      </c>
      <c r="E303" s="3" t="s">
        <v>26</v>
      </c>
      <c r="F303" s="5" t="s">
        <v>1</v>
      </c>
      <c r="G303" s="301">
        <v>60.1</v>
      </c>
      <c r="H303" s="306">
        <v>4.5</v>
      </c>
      <c r="I303" s="315">
        <v>4</v>
      </c>
      <c r="J303" s="296">
        <v>6.1</v>
      </c>
      <c r="K303" s="301">
        <v>4.5</v>
      </c>
      <c r="L303" s="296">
        <v>561</v>
      </c>
      <c r="P303" s="355"/>
      <c r="Q303" s="281"/>
      <c r="R303" s="5"/>
      <c r="S303" s="95"/>
      <c r="T303" s="5"/>
      <c r="U303" s="5"/>
      <c r="V303" s="283"/>
      <c r="W303" s="291"/>
      <c r="X303" s="291"/>
      <c r="Y303" s="283"/>
      <c r="Z303" s="283"/>
      <c r="AA303" s="283"/>
      <c r="AB303" s="355"/>
    </row>
    <row r="304" spans="2:28" ht="15.5" x14ac:dyDescent="0.25">
      <c r="B304" s="332">
        <v>44703</v>
      </c>
      <c r="C304" s="3" t="s">
        <v>4</v>
      </c>
      <c r="D304" s="95" t="s">
        <v>11</v>
      </c>
      <c r="E304" s="3" t="s">
        <v>26</v>
      </c>
      <c r="F304" s="5" t="s">
        <v>1</v>
      </c>
      <c r="G304" s="290">
        <v>61.7</v>
      </c>
      <c r="H304" s="298">
        <v>3.6</v>
      </c>
      <c r="I304" s="290">
        <v>2.9</v>
      </c>
      <c r="J304" s="290">
        <v>5.5</v>
      </c>
      <c r="K304" s="290">
        <v>39.6</v>
      </c>
      <c r="L304" s="290">
        <v>562</v>
      </c>
      <c r="P304" s="355"/>
      <c r="Q304" s="336"/>
      <c r="R304" s="5"/>
      <c r="S304" s="95"/>
      <c r="T304" s="5"/>
      <c r="U304" s="5"/>
      <c r="V304" s="296"/>
      <c r="W304" s="300"/>
      <c r="X304" s="300"/>
      <c r="Y304" s="296"/>
      <c r="Z304" s="301"/>
      <c r="AA304" s="296"/>
      <c r="AB304" s="355"/>
    </row>
    <row r="305" spans="2:28" ht="15.5" x14ac:dyDescent="0.25">
      <c r="B305" s="282" t="s">
        <v>269</v>
      </c>
      <c r="C305" s="3" t="s">
        <v>4</v>
      </c>
      <c r="D305" s="95" t="s">
        <v>11</v>
      </c>
      <c r="E305" s="3" t="s">
        <v>26</v>
      </c>
      <c r="F305" s="5" t="s">
        <v>1</v>
      </c>
      <c r="G305" s="290">
        <v>61.9</v>
      </c>
      <c r="H305" s="298">
        <v>4</v>
      </c>
      <c r="I305" s="290">
        <v>3.2</v>
      </c>
      <c r="J305" s="290">
        <v>9.8000000000000007</v>
      </c>
      <c r="K305" s="290">
        <v>44.7</v>
      </c>
      <c r="L305" s="290">
        <v>551</v>
      </c>
      <c r="P305" s="355"/>
      <c r="Q305" s="337"/>
      <c r="R305" s="5"/>
      <c r="S305" s="95"/>
      <c r="T305" s="5"/>
      <c r="U305" s="5"/>
      <c r="V305" s="290"/>
      <c r="W305" s="302"/>
      <c r="X305" s="302"/>
      <c r="Y305" s="303"/>
      <c r="Z305" s="303"/>
      <c r="AA305" s="290"/>
      <c r="AB305" s="355"/>
    </row>
    <row r="306" spans="2:28" ht="15.5" x14ac:dyDescent="0.25">
      <c r="B306" s="332">
        <v>44704</v>
      </c>
      <c r="C306" s="3" t="s">
        <v>4</v>
      </c>
      <c r="D306" s="95" t="s">
        <v>11</v>
      </c>
      <c r="E306" s="3" t="s">
        <v>26</v>
      </c>
      <c r="F306" s="5" t="s">
        <v>1</v>
      </c>
      <c r="G306" s="290">
        <v>62.1</v>
      </c>
      <c r="H306" s="298">
        <v>3.3</v>
      </c>
      <c r="I306" s="290">
        <v>2.9</v>
      </c>
      <c r="J306" s="290">
        <v>6.1</v>
      </c>
      <c r="K306" s="290">
        <v>41</v>
      </c>
      <c r="L306" s="290">
        <v>552</v>
      </c>
      <c r="P306" s="355"/>
      <c r="Q306" s="337"/>
      <c r="R306" s="5"/>
      <c r="S306" s="95"/>
      <c r="T306" s="5"/>
      <c r="U306" s="5"/>
      <c r="V306" s="290"/>
      <c r="W306" s="304"/>
      <c r="X306" s="302"/>
      <c r="Y306" s="290"/>
      <c r="Z306" s="303"/>
      <c r="AA306" s="290"/>
      <c r="AB306" s="355"/>
    </row>
    <row r="307" spans="2:28" ht="15.5" x14ac:dyDescent="0.25">
      <c r="B307" s="332">
        <v>44704</v>
      </c>
      <c r="C307" s="3" t="s">
        <v>4</v>
      </c>
      <c r="D307" s="95" t="s">
        <v>11</v>
      </c>
      <c r="E307" s="3" t="s">
        <v>26</v>
      </c>
      <c r="F307" s="5" t="s">
        <v>1</v>
      </c>
      <c r="G307" s="290">
        <v>60.6</v>
      </c>
      <c r="H307" s="298">
        <v>4.8</v>
      </c>
      <c r="I307" s="290">
        <v>3.6</v>
      </c>
      <c r="J307" s="290">
        <v>6.4</v>
      </c>
      <c r="K307" s="290">
        <v>40.200000000000003</v>
      </c>
      <c r="L307" s="290">
        <v>563</v>
      </c>
      <c r="P307" s="355"/>
      <c r="Q307" s="337"/>
      <c r="R307" s="5"/>
      <c r="S307" s="95"/>
      <c r="T307" s="5"/>
      <c r="U307" s="5"/>
      <c r="V307" s="290"/>
      <c r="W307" s="302"/>
      <c r="X307" s="302"/>
      <c r="Y307" s="290"/>
      <c r="Z307" s="303"/>
      <c r="AA307" s="290"/>
      <c r="AB307" s="355"/>
    </row>
    <row r="308" spans="2:28" ht="15.5" x14ac:dyDescent="0.25">
      <c r="B308" s="333">
        <v>44705</v>
      </c>
      <c r="C308" s="3" t="s">
        <v>4</v>
      </c>
      <c r="D308" s="95" t="s">
        <v>11</v>
      </c>
      <c r="E308" s="3" t="s">
        <v>26</v>
      </c>
      <c r="F308" s="5" t="s">
        <v>1</v>
      </c>
      <c r="G308" s="296">
        <v>62.9</v>
      </c>
      <c r="H308" s="296">
        <v>1.8</v>
      </c>
      <c r="I308" s="296">
        <v>2</v>
      </c>
      <c r="J308" s="296">
        <v>13</v>
      </c>
      <c r="K308" s="296">
        <v>34.9</v>
      </c>
      <c r="L308" s="296">
        <v>564</v>
      </c>
      <c r="P308" s="355"/>
      <c r="Q308" s="337"/>
      <c r="R308" s="5"/>
      <c r="S308" s="95"/>
      <c r="T308" s="5"/>
      <c r="U308" s="5"/>
      <c r="V308" s="290"/>
      <c r="W308" s="302"/>
      <c r="X308" s="302"/>
      <c r="Y308" s="290"/>
      <c r="Z308" s="303"/>
      <c r="AA308" s="290"/>
      <c r="AB308" s="355"/>
    </row>
    <row r="309" spans="2:28" ht="15.5" x14ac:dyDescent="0.25">
      <c r="B309" s="332">
        <v>44705</v>
      </c>
      <c r="C309" s="3" t="s">
        <v>4</v>
      </c>
      <c r="D309" s="95" t="s">
        <v>11</v>
      </c>
      <c r="E309" s="3" t="s">
        <v>26</v>
      </c>
      <c r="F309" s="5" t="s">
        <v>1</v>
      </c>
      <c r="G309" s="290">
        <v>61.3</v>
      </c>
      <c r="H309" s="298">
        <v>5.8</v>
      </c>
      <c r="I309" s="290">
        <v>2.5</v>
      </c>
      <c r="J309" s="290">
        <v>12.1</v>
      </c>
      <c r="K309" s="290">
        <v>44.2</v>
      </c>
      <c r="L309" s="290">
        <v>567</v>
      </c>
      <c r="P309" s="355"/>
      <c r="Q309" s="337"/>
      <c r="R309" s="5"/>
      <c r="S309" s="95"/>
      <c r="T309" s="5"/>
      <c r="U309" s="5"/>
      <c r="V309" s="290"/>
      <c r="W309" s="302"/>
      <c r="X309" s="302"/>
      <c r="Y309" s="290"/>
      <c r="Z309" s="303"/>
      <c r="AA309" s="290"/>
      <c r="AB309" s="355"/>
    </row>
    <row r="310" spans="2:28" ht="15.5" x14ac:dyDescent="0.25">
      <c r="B310" s="332">
        <v>44706</v>
      </c>
      <c r="C310" s="3" t="s">
        <v>4</v>
      </c>
      <c r="D310" s="95" t="s">
        <v>11</v>
      </c>
      <c r="E310" s="3" t="s">
        <v>26</v>
      </c>
      <c r="F310" s="5" t="s">
        <v>1</v>
      </c>
      <c r="G310" s="290">
        <v>61.5</v>
      </c>
      <c r="H310" s="298">
        <v>4.9000000000000004</v>
      </c>
      <c r="I310" s="290">
        <v>2.7</v>
      </c>
      <c r="J310" s="290">
        <v>14.3</v>
      </c>
      <c r="K310" s="290">
        <v>41.1</v>
      </c>
      <c r="L310" s="290">
        <v>565</v>
      </c>
      <c r="P310" s="355"/>
      <c r="Q310" s="337"/>
      <c r="R310" s="5"/>
      <c r="S310" s="95"/>
      <c r="T310" s="5"/>
      <c r="U310" s="5"/>
      <c r="V310" s="290"/>
      <c r="W310" s="302"/>
      <c r="X310" s="302"/>
      <c r="Y310" s="290"/>
      <c r="Z310" s="303"/>
      <c r="AA310" s="290"/>
      <c r="AB310" s="355"/>
    </row>
    <row r="311" spans="2:28" ht="15.5" x14ac:dyDescent="0.25">
      <c r="B311" s="332">
        <v>44706</v>
      </c>
      <c r="C311" s="3" t="s">
        <v>4</v>
      </c>
      <c r="D311" s="95" t="s">
        <v>11</v>
      </c>
      <c r="E311" s="3" t="s">
        <v>26</v>
      </c>
      <c r="F311" s="5" t="s">
        <v>1</v>
      </c>
      <c r="G311" s="290">
        <v>62.2</v>
      </c>
      <c r="H311" s="298">
        <v>4.5999999999999996</v>
      </c>
      <c r="I311" s="290">
        <v>2.2000000000000002</v>
      </c>
      <c r="J311" s="290">
        <v>11.1</v>
      </c>
      <c r="K311" s="290">
        <v>28.1</v>
      </c>
      <c r="L311" s="290">
        <v>568</v>
      </c>
      <c r="P311" s="355"/>
      <c r="Q311" s="337"/>
      <c r="R311" s="5"/>
      <c r="S311" s="95"/>
      <c r="T311" s="5"/>
      <c r="U311" s="5"/>
      <c r="V311" s="290"/>
      <c r="W311" s="302"/>
      <c r="X311" s="302"/>
      <c r="Y311" s="290"/>
      <c r="Z311" s="303"/>
      <c r="AA311" s="290"/>
      <c r="AB311" s="355"/>
    </row>
    <row r="312" spans="2:28" ht="15.5" x14ac:dyDescent="0.35">
      <c r="B312" s="329">
        <v>44706</v>
      </c>
      <c r="C312" s="3" t="s">
        <v>4</v>
      </c>
      <c r="D312" s="95" t="s">
        <v>11</v>
      </c>
      <c r="E312" s="3" t="s">
        <v>26</v>
      </c>
      <c r="F312" s="5" t="s">
        <v>1</v>
      </c>
      <c r="G312" s="290">
        <v>60.7</v>
      </c>
      <c r="H312" s="298">
        <v>4.8</v>
      </c>
      <c r="I312" s="314">
        <v>3.6</v>
      </c>
      <c r="J312" s="290">
        <v>13.4</v>
      </c>
      <c r="K312" s="290">
        <v>23.6</v>
      </c>
      <c r="L312" s="290">
        <v>559</v>
      </c>
      <c r="P312" s="355"/>
      <c r="Q312" s="337"/>
      <c r="R312" s="5"/>
      <c r="S312" s="95"/>
      <c r="T312" s="5"/>
      <c r="U312" s="5"/>
      <c r="V312" s="303"/>
      <c r="W312" s="298"/>
      <c r="X312" s="302"/>
      <c r="Y312" s="290"/>
      <c r="Z312" s="303"/>
      <c r="AA312" s="290"/>
      <c r="AB312" s="355"/>
    </row>
    <row r="313" spans="2:28" ht="15.5" x14ac:dyDescent="0.35">
      <c r="B313" s="329">
        <v>44707</v>
      </c>
      <c r="C313" s="3" t="s">
        <v>4</v>
      </c>
      <c r="D313" s="95" t="s">
        <v>11</v>
      </c>
      <c r="E313" s="3" t="s">
        <v>26</v>
      </c>
      <c r="F313" s="5" t="s">
        <v>1</v>
      </c>
      <c r="G313" s="290">
        <v>62.8</v>
      </c>
      <c r="H313" s="314">
        <v>3.6</v>
      </c>
      <c r="I313" s="314">
        <v>2.2000000000000002</v>
      </c>
      <c r="J313" s="290">
        <v>16.8</v>
      </c>
      <c r="K313" s="290">
        <v>56</v>
      </c>
      <c r="L313" s="290">
        <v>566</v>
      </c>
      <c r="P313" s="355"/>
      <c r="Q313" s="336"/>
      <c r="R313" s="5"/>
      <c r="S313" s="95"/>
      <c r="T313" s="5"/>
      <c r="U313" s="5"/>
      <c r="V313" s="296"/>
      <c r="W313" s="306"/>
      <c r="X313" s="300"/>
      <c r="Y313" s="296"/>
      <c r="Z313" s="301"/>
      <c r="AA313" s="296"/>
      <c r="AB313" s="355"/>
    </row>
    <row r="314" spans="2:28" ht="15.5" x14ac:dyDescent="0.35">
      <c r="B314" s="329">
        <v>44707</v>
      </c>
      <c r="C314" s="3" t="s">
        <v>4</v>
      </c>
      <c r="D314" s="95" t="s">
        <v>11</v>
      </c>
      <c r="E314" s="3" t="s">
        <v>26</v>
      </c>
      <c r="F314" s="5" t="s">
        <v>1</v>
      </c>
      <c r="G314" s="290">
        <v>62</v>
      </c>
      <c r="H314" s="298">
        <v>3.9</v>
      </c>
      <c r="I314" s="314">
        <v>2.2000000000000002</v>
      </c>
      <c r="J314" s="290">
        <v>10.1</v>
      </c>
      <c r="K314" s="290">
        <v>44.1</v>
      </c>
      <c r="L314" s="290">
        <v>569</v>
      </c>
      <c r="P314" s="355"/>
      <c r="Q314" s="337"/>
      <c r="R314" s="5"/>
      <c r="S314" s="95"/>
      <c r="T314" s="5"/>
      <c r="U314" s="5"/>
      <c r="V314" s="290"/>
      <c r="W314" s="304"/>
      <c r="X314" s="302"/>
      <c r="Y314" s="290"/>
      <c r="Z314" s="303"/>
      <c r="AA314" s="290"/>
      <c r="AB314" s="355"/>
    </row>
    <row r="315" spans="2:28" ht="15.5" x14ac:dyDescent="0.25">
      <c r="B315" s="339">
        <v>44708</v>
      </c>
      <c r="C315" s="3" t="s">
        <v>4</v>
      </c>
      <c r="D315" s="95" t="s">
        <v>11</v>
      </c>
      <c r="E315" s="3" t="s">
        <v>26</v>
      </c>
      <c r="F315" s="5" t="s">
        <v>1</v>
      </c>
      <c r="G315" s="290">
        <v>60.6</v>
      </c>
      <c r="H315" s="298">
        <v>6</v>
      </c>
      <c r="I315" s="314">
        <v>2.9</v>
      </c>
      <c r="J315" s="290">
        <v>14</v>
      </c>
      <c r="K315" s="290">
        <v>41.4</v>
      </c>
      <c r="L315" s="290">
        <v>572</v>
      </c>
      <c r="P315" s="355"/>
      <c r="Q315" s="337"/>
      <c r="R315" s="5"/>
      <c r="S315" s="95"/>
      <c r="T315" s="5"/>
      <c r="U315" s="5"/>
      <c r="V315" s="290"/>
      <c r="W315" s="304"/>
      <c r="X315" s="302"/>
      <c r="Y315" s="290"/>
      <c r="Z315" s="303"/>
      <c r="AA315" s="290"/>
      <c r="AB315" s="355"/>
    </row>
    <row r="316" spans="2:28" ht="15.5" x14ac:dyDescent="0.25">
      <c r="B316" s="339">
        <v>44708</v>
      </c>
      <c r="C316" s="3" t="s">
        <v>4</v>
      </c>
      <c r="D316" s="95" t="s">
        <v>11</v>
      </c>
      <c r="E316" s="3" t="s">
        <v>26</v>
      </c>
      <c r="F316" s="5" t="s">
        <v>1</v>
      </c>
      <c r="G316" s="298">
        <v>59.3</v>
      </c>
      <c r="H316" s="298">
        <v>5.7</v>
      </c>
      <c r="I316" s="298">
        <v>4.2</v>
      </c>
      <c r="J316" s="290">
        <v>5.6</v>
      </c>
      <c r="K316" s="290">
        <v>23.9</v>
      </c>
      <c r="L316" s="290">
        <v>573</v>
      </c>
      <c r="P316" s="355"/>
      <c r="Q316" s="337"/>
      <c r="R316" s="5"/>
      <c r="S316" s="95"/>
      <c r="T316" s="5"/>
      <c r="U316" s="5"/>
      <c r="V316" s="302"/>
      <c r="W316" s="290"/>
      <c r="X316" s="304"/>
      <c r="Y316" s="290"/>
      <c r="Z316" s="290"/>
      <c r="AA316" s="305"/>
      <c r="AB316" s="355"/>
    </row>
    <row r="317" spans="2:28" ht="15.5" x14ac:dyDescent="0.35">
      <c r="B317" s="352">
        <v>44708</v>
      </c>
      <c r="C317" s="3" t="s">
        <v>4</v>
      </c>
      <c r="D317" s="95" t="s">
        <v>11</v>
      </c>
      <c r="E317" s="3" t="s">
        <v>26</v>
      </c>
      <c r="F317" s="5" t="s">
        <v>1</v>
      </c>
      <c r="G317" s="303">
        <v>63.1</v>
      </c>
      <c r="H317" s="304">
        <v>2.5</v>
      </c>
      <c r="I317" s="304">
        <v>2.8</v>
      </c>
      <c r="J317" s="303">
        <v>21</v>
      </c>
      <c r="K317" s="303">
        <v>30.8</v>
      </c>
      <c r="L317" s="290">
        <v>575</v>
      </c>
      <c r="P317" s="355"/>
      <c r="Q317" s="337"/>
      <c r="R317" s="5"/>
      <c r="S317" s="95"/>
      <c r="T317" s="5"/>
      <c r="U317" s="5"/>
      <c r="V317" s="290"/>
      <c r="W317" s="304"/>
      <c r="X317" s="302"/>
      <c r="Y317" s="290"/>
      <c r="Z317" s="303"/>
      <c r="AA317" s="290"/>
      <c r="AB317" s="355"/>
    </row>
    <row r="318" spans="2:28" ht="15.5" x14ac:dyDescent="0.35">
      <c r="B318" s="352">
        <v>44709</v>
      </c>
      <c r="C318" s="3" t="s">
        <v>4</v>
      </c>
      <c r="D318" s="95" t="s">
        <v>11</v>
      </c>
      <c r="E318" s="3" t="s">
        <v>26</v>
      </c>
      <c r="F318" s="5" t="s">
        <v>1</v>
      </c>
      <c r="G318" s="303">
        <v>63.4</v>
      </c>
      <c r="H318" s="304">
        <v>2.2000000000000002</v>
      </c>
      <c r="I318" s="304">
        <v>3</v>
      </c>
      <c r="J318" s="290">
        <v>16.8</v>
      </c>
      <c r="K318" s="303">
        <v>44.4</v>
      </c>
      <c r="L318" s="290">
        <v>576</v>
      </c>
      <c r="P318" s="355"/>
      <c r="Q318" s="337"/>
      <c r="R318" s="5"/>
      <c r="S318" s="95"/>
      <c r="T318" s="5"/>
      <c r="U318" s="5"/>
      <c r="V318" s="290"/>
      <c r="W318" s="304"/>
      <c r="X318" s="304"/>
      <c r="Y318" s="290"/>
      <c r="Z318" s="303"/>
      <c r="AA318" s="290"/>
      <c r="AB318" s="355"/>
    </row>
    <row r="319" spans="2:28" ht="15.5" x14ac:dyDescent="0.35">
      <c r="B319" s="352">
        <v>44709</v>
      </c>
      <c r="C319" s="3" t="s">
        <v>4</v>
      </c>
      <c r="D319" s="95" t="s">
        <v>11</v>
      </c>
      <c r="E319" s="3" t="s">
        <v>26</v>
      </c>
      <c r="F319" s="5" t="s">
        <v>1</v>
      </c>
      <c r="G319" s="303">
        <v>63.1</v>
      </c>
      <c r="H319" s="304">
        <v>3</v>
      </c>
      <c r="I319" s="304">
        <v>2.1</v>
      </c>
      <c r="J319" s="290">
        <v>14.4</v>
      </c>
      <c r="K319" s="303">
        <v>46.8</v>
      </c>
      <c r="L319" s="290">
        <v>570</v>
      </c>
      <c r="P319" s="355"/>
      <c r="Q319" s="337"/>
      <c r="R319" s="5"/>
      <c r="S319" s="95"/>
      <c r="T319" s="5"/>
      <c r="U319" s="5"/>
      <c r="V319" s="290"/>
      <c r="W319" s="304"/>
      <c r="X319" s="302"/>
      <c r="Y319" s="290"/>
      <c r="Z319" s="303"/>
      <c r="AA319" s="290"/>
      <c r="AB319" s="355"/>
    </row>
    <row r="320" spans="2:28" ht="15.5" x14ac:dyDescent="0.35">
      <c r="B320" s="352">
        <v>44710</v>
      </c>
      <c r="C320" s="3" t="s">
        <v>4</v>
      </c>
      <c r="D320" s="95" t="s">
        <v>11</v>
      </c>
      <c r="E320" s="3" t="s">
        <v>26</v>
      </c>
      <c r="F320" s="5" t="s">
        <v>1</v>
      </c>
      <c r="G320" s="303">
        <v>62.8</v>
      </c>
      <c r="H320" s="304">
        <v>3.2</v>
      </c>
      <c r="I320" s="304">
        <v>1.8</v>
      </c>
      <c r="J320" s="290">
        <v>10.3</v>
      </c>
      <c r="K320" s="303">
        <v>46.3</v>
      </c>
      <c r="L320" s="290">
        <v>581</v>
      </c>
      <c r="P320" s="355"/>
      <c r="Q320" s="336"/>
      <c r="R320" s="5"/>
      <c r="S320" s="95"/>
      <c r="T320" s="5"/>
      <c r="U320" s="5"/>
      <c r="V320" s="301"/>
      <c r="W320" s="306"/>
      <c r="X320" s="300"/>
      <c r="Y320" s="296"/>
      <c r="Z320" s="301"/>
      <c r="AA320" s="296"/>
      <c r="AB320" s="355"/>
    </row>
    <row r="321" spans="2:28" ht="15.5" x14ac:dyDescent="0.35">
      <c r="B321" s="352">
        <v>44710</v>
      </c>
      <c r="C321" s="3" t="s">
        <v>4</v>
      </c>
      <c r="D321" s="95" t="s">
        <v>11</v>
      </c>
      <c r="E321" s="3" t="s">
        <v>26</v>
      </c>
      <c r="F321" s="5" t="s">
        <v>1</v>
      </c>
      <c r="G321" s="303">
        <v>61.4</v>
      </c>
      <c r="H321" s="307">
        <v>4.0999999999999996</v>
      </c>
      <c r="I321" s="304">
        <v>2.5</v>
      </c>
      <c r="J321" s="290">
        <v>9.6999999999999993</v>
      </c>
      <c r="K321" s="303">
        <v>41.4</v>
      </c>
      <c r="L321" s="290">
        <v>583</v>
      </c>
      <c r="P321" s="355"/>
      <c r="Q321" s="337"/>
      <c r="R321" s="5"/>
      <c r="S321" s="95"/>
      <c r="T321" s="5"/>
      <c r="U321" s="5"/>
      <c r="V321" s="303"/>
      <c r="W321" s="304"/>
      <c r="X321" s="302"/>
      <c r="Y321" s="290"/>
      <c r="Z321" s="303"/>
      <c r="AA321" s="290"/>
      <c r="AB321" s="355"/>
    </row>
    <row r="322" spans="2:28" ht="15.5" x14ac:dyDescent="0.35">
      <c r="B322" s="352">
        <v>44711</v>
      </c>
      <c r="C322" s="3" t="s">
        <v>4</v>
      </c>
      <c r="D322" s="95" t="s">
        <v>11</v>
      </c>
      <c r="E322" s="3" t="s">
        <v>26</v>
      </c>
      <c r="F322" s="5" t="s">
        <v>1</v>
      </c>
      <c r="G322" s="303">
        <v>61.6</v>
      </c>
      <c r="H322" s="307">
        <v>3.9</v>
      </c>
      <c r="I322" s="304">
        <v>2.5</v>
      </c>
      <c r="J322" s="290">
        <v>9.8000000000000007</v>
      </c>
      <c r="K322" s="303">
        <v>45.6</v>
      </c>
      <c r="L322" s="290">
        <v>582</v>
      </c>
      <c r="P322" s="355"/>
      <c r="Q322" s="337"/>
      <c r="R322" s="5"/>
      <c r="S322" s="95"/>
      <c r="T322" s="5"/>
      <c r="U322" s="5"/>
      <c r="V322" s="307"/>
      <c r="W322" s="307"/>
      <c r="X322" s="302"/>
      <c r="Y322" s="290"/>
      <c r="Z322" s="303"/>
      <c r="AA322" s="290"/>
      <c r="AB322" s="355"/>
    </row>
    <row r="323" spans="2:28" ht="15.5" x14ac:dyDescent="0.35">
      <c r="B323" s="352">
        <v>44711</v>
      </c>
      <c r="C323" s="3" t="s">
        <v>4</v>
      </c>
      <c r="D323" s="95" t="s">
        <v>11</v>
      </c>
      <c r="E323" s="3" t="s">
        <v>26</v>
      </c>
      <c r="F323" s="5" t="s">
        <v>1</v>
      </c>
      <c r="G323" s="303">
        <v>62.9</v>
      </c>
      <c r="H323" s="304">
        <v>2.2999999999999998</v>
      </c>
      <c r="I323" s="304">
        <v>3.4</v>
      </c>
      <c r="J323" s="290">
        <v>9.1</v>
      </c>
      <c r="K323" s="303">
        <v>40.6</v>
      </c>
      <c r="L323" s="290">
        <v>584</v>
      </c>
      <c r="P323" s="355"/>
      <c r="Q323" s="337"/>
      <c r="R323" s="5"/>
      <c r="S323" s="95"/>
      <c r="T323" s="5"/>
      <c r="U323" s="5"/>
      <c r="V323" s="307"/>
      <c r="W323" s="307"/>
      <c r="X323" s="302"/>
      <c r="Y323" s="290"/>
      <c r="Z323" s="303"/>
      <c r="AA323" s="290"/>
      <c r="AB323" s="355"/>
    </row>
    <row r="324" spans="2:28" ht="15.5" x14ac:dyDescent="0.35">
      <c r="B324" s="352">
        <v>44711</v>
      </c>
      <c r="C324" s="3" t="s">
        <v>4</v>
      </c>
      <c r="D324" s="95" t="s">
        <v>11</v>
      </c>
      <c r="E324" s="3" t="s">
        <v>26</v>
      </c>
      <c r="F324" s="5" t="s">
        <v>1</v>
      </c>
      <c r="G324" s="303">
        <v>63.3</v>
      </c>
      <c r="H324" s="304">
        <v>2.6</v>
      </c>
      <c r="I324" s="304">
        <v>1.9</v>
      </c>
      <c r="J324" s="290">
        <v>3.7</v>
      </c>
      <c r="K324" s="303">
        <v>39.799999999999997</v>
      </c>
      <c r="L324" s="290">
        <v>585</v>
      </c>
      <c r="P324" s="355"/>
      <c r="Q324" s="337"/>
      <c r="R324" s="5"/>
      <c r="S324" s="95"/>
      <c r="T324" s="5"/>
      <c r="U324" s="5"/>
      <c r="V324" s="303"/>
      <c r="W324" s="307"/>
      <c r="X324" s="302"/>
      <c r="Y324" s="303"/>
      <c r="Z324" s="303"/>
      <c r="AA324" s="290"/>
      <c r="AB324" s="355"/>
    </row>
    <row r="325" spans="2:28" ht="16" thickBot="1" x14ac:dyDescent="0.3">
      <c r="B325" s="335">
        <v>44712</v>
      </c>
      <c r="C325" s="3" t="s">
        <v>4</v>
      </c>
      <c r="D325" s="95" t="s">
        <v>11</v>
      </c>
      <c r="E325" s="3" t="s">
        <v>26</v>
      </c>
      <c r="F325" s="5" t="s">
        <v>1</v>
      </c>
      <c r="G325" s="325">
        <v>62.3</v>
      </c>
      <c r="H325" s="325">
        <v>3.6</v>
      </c>
      <c r="I325" s="325">
        <v>2.7</v>
      </c>
      <c r="J325" s="325">
        <v>10.3</v>
      </c>
      <c r="K325" s="325">
        <v>42.5</v>
      </c>
      <c r="L325" s="325">
        <v>586</v>
      </c>
      <c r="P325" s="355"/>
      <c r="Q325" s="337"/>
      <c r="R325" s="5"/>
      <c r="S325" s="95"/>
      <c r="T325" s="5"/>
      <c r="U325" s="5"/>
      <c r="V325" s="307"/>
      <c r="W325" s="307"/>
      <c r="X325" s="307"/>
      <c r="Y325" s="290"/>
      <c r="Z325" s="303"/>
      <c r="AA325" s="290"/>
      <c r="AB325" s="355"/>
    </row>
    <row r="326" spans="2:28" ht="15.5" x14ac:dyDescent="0.25">
      <c r="B326" s="340">
        <v>44682</v>
      </c>
      <c r="C326" s="5" t="s">
        <v>4</v>
      </c>
      <c r="D326" s="95" t="s">
        <v>9</v>
      </c>
      <c r="E326" s="5" t="s">
        <v>26</v>
      </c>
      <c r="F326" s="5" t="s">
        <v>0</v>
      </c>
      <c r="G326" s="284">
        <v>63.5</v>
      </c>
      <c r="H326" s="284">
        <v>1.8</v>
      </c>
      <c r="I326" s="284">
        <v>2</v>
      </c>
      <c r="J326" s="284">
        <v>7.8</v>
      </c>
      <c r="K326" s="284">
        <v>9.1999999999999993</v>
      </c>
      <c r="L326" s="284">
        <v>13</v>
      </c>
      <c r="P326" s="355"/>
      <c r="Q326" s="337"/>
      <c r="R326" s="5"/>
      <c r="S326" s="95"/>
      <c r="T326" s="5"/>
      <c r="U326" s="5"/>
      <c r="V326" s="303"/>
      <c r="W326" s="304"/>
      <c r="X326" s="304"/>
      <c r="Y326" s="290"/>
      <c r="Z326" s="303"/>
      <c r="AA326" s="290"/>
      <c r="AB326" s="355"/>
    </row>
    <row r="327" spans="2:28" ht="15.5" x14ac:dyDescent="0.25">
      <c r="B327" s="341">
        <v>44684</v>
      </c>
      <c r="C327" s="5" t="s">
        <v>4</v>
      </c>
      <c r="D327" s="95" t="s">
        <v>9</v>
      </c>
      <c r="E327" s="5" t="s">
        <v>26</v>
      </c>
      <c r="F327" s="5" t="s">
        <v>0</v>
      </c>
      <c r="G327" s="283">
        <v>62.3</v>
      </c>
      <c r="H327" s="283">
        <v>2.4</v>
      </c>
      <c r="I327" s="283">
        <v>2.4</v>
      </c>
      <c r="J327" s="283">
        <v>19.3</v>
      </c>
      <c r="K327" s="283">
        <v>12.6</v>
      </c>
      <c r="L327" s="285">
        <v>2</v>
      </c>
      <c r="P327" s="355"/>
      <c r="Q327" s="337"/>
      <c r="R327" s="5"/>
      <c r="S327" s="95"/>
      <c r="T327" s="5"/>
      <c r="U327" s="5"/>
      <c r="V327" s="312"/>
      <c r="W327" s="313"/>
      <c r="X327" s="311"/>
      <c r="Y327" s="310"/>
      <c r="Z327" s="303"/>
      <c r="AA327" s="310"/>
      <c r="AB327" s="355"/>
    </row>
    <row r="328" spans="2:28" ht="15.5" x14ac:dyDescent="0.25">
      <c r="B328" s="337">
        <v>44682</v>
      </c>
      <c r="C328" s="5" t="s">
        <v>4</v>
      </c>
      <c r="D328" s="95" t="s">
        <v>9</v>
      </c>
      <c r="E328" s="5" t="s">
        <v>26</v>
      </c>
      <c r="F328" s="5" t="s">
        <v>1</v>
      </c>
      <c r="G328" s="298">
        <v>58.8</v>
      </c>
      <c r="H328" s="298">
        <v>4.4000000000000004</v>
      </c>
      <c r="I328" s="290">
        <v>4.5999999999999996</v>
      </c>
      <c r="J328" s="290">
        <v>15.1</v>
      </c>
      <c r="K328" s="290">
        <v>27</v>
      </c>
      <c r="L328" s="290">
        <v>14</v>
      </c>
      <c r="P328" s="355"/>
      <c r="Q328" s="337"/>
      <c r="R328" s="5"/>
      <c r="S328" s="95"/>
      <c r="T328" s="5"/>
      <c r="U328" s="5"/>
      <c r="V328" s="312"/>
      <c r="W328" s="311"/>
      <c r="X328" s="313"/>
      <c r="Y328" s="310"/>
      <c r="Z328" s="303"/>
      <c r="AA328" s="310"/>
      <c r="AB328" s="355"/>
    </row>
    <row r="329" spans="2:28" ht="15.5" x14ac:dyDescent="0.25">
      <c r="B329" s="337">
        <v>44685</v>
      </c>
      <c r="C329" s="5" t="s">
        <v>4</v>
      </c>
      <c r="D329" s="95" t="s">
        <v>9</v>
      </c>
      <c r="E329" s="5" t="s">
        <v>26</v>
      </c>
      <c r="F329" s="5" t="s">
        <v>1</v>
      </c>
      <c r="G329" s="290">
        <v>63.5</v>
      </c>
      <c r="H329" s="290">
        <v>2.5</v>
      </c>
      <c r="I329" s="290">
        <v>2.2999999999999998</v>
      </c>
      <c r="J329" s="290">
        <v>7.1</v>
      </c>
      <c r="K329" s="290">
        <v>49.1</v>
      </c>
      <c r="L329" s="290">
        <v>2</v>
      </c>
      <c r="P329" s="355"/>
      <c r="Q329" s="338"/>
      <c r="R329" s="5"/>
      <c r="S329" s="95"/>
      <c r="T329" s="5"/>
      <c r="U329" s="5"/>
      <c r="V329" s="312"/>
      <c r="W329" s="311"/>
      <c r="X329" s="311"/>
      <c r="Y329" s="310"/>
      <c r="Z329" s="303"/>
      <c r="AA329" s="310"/>
      <c r="AB329" s="355"/>
    </row>
    <row r="330" spans="2:28" ht="15.5" x14ac:dyDescent="0.35">
      <c r="B330" s="342">
        <v>44695</v>
      </c>
      <c r="C330" s="5" t="s">
        <v>4</v>
      </c>
      <c r="D330" s="95" t="s">
        <v>9</v>
      </c>
      <c r="E330" s="5" t="s">
        <v>26</v>
      </c>
      <c r="F330" s="5" t="s">
        <v>1</v>
      </c>
      <c r="G330" s="319">
        <v>59.6</v>
      </c>
      <c r="H330" s="319">
        <v>5.3</v>
      </c>
      <c r="I330" s="309">
        <v>3.6</v>
      </c>
      <c r="J330" s="309">
        <v>13.3</v>
      </c>
      <c r="K330" s="309">
        <v>39.299999999999997</v>
      </c>
      <c r="L330" s="308">
        <v>3</v>
      </c>
      <c r="P330" s="355"/>
      <c r="Q330" s="281"/>
      <c r="R330" s="5"/>
      <c r="S330" s="95"/>
      <c r="T330" s="5"/>
      <c r="U330" s="5"/>
      <c r="V330" s="283"/>
      <c r="W330" s="283"/>
      <c r="X330" s="283"/>
      <c r="Y330" s="283"/>
      <c r="Z330" s="283"/>
      <c r="AA330" s="283"/>
      <c r="AB330" s="355"/>
    </row>
    <row r="331" spans="2:28" ht="15.5" x14ac:dyDescent="0.35">
      <c r="B331" s="343">
        <v>44703</v>
      </c>
      <c r="C331" s="5" t="s">
        <v>4</v>
      </c>
      <c r="D331" s="95" t="s">
        <v>9</v>
      </c>
      <c r="E331" s="5" t="s">
        <v>26</v>
      </c>
      <c r="F331" s="5" t="s">
        <v>1</v>
      </c>
      <c r="G331" s="317">
        <v>60.8</v>
      </c>
      <c r="H331" s="320">
        <v>5</v>
      </c>
      <c r="I331" s="317">
        <v>3.6</v>
      </c>
      <c r="J331" s="317">
        <v>7.8</v>
      </c>
      <c r="K331" s="317">
        <v>44.1</v>
      </c>
      <c r="L331" s="316">
        <v>4</v>
      </c>
      <c r="P331" s="355"/>
      <c r="Q331" s="281"/>
      <c r="R331" s="5"/>
      <c r="S331" s="95"/>
      <c r="T331" s="5"/>
      <c r="U331" s="5"/>
      <c r="V331" s="283"/>
      <c r="W331" s="283"/>
      <c r="X331" s="283"/>
      <c r="Y331" s="283"/>
      <c r="Z331" s="283"/>
      <c r="AA331" s="283"/>
      <c r="AB331" s="355"/>
    </row>
    <row r="332" spans="2:28" ht="15.5" x14ac:dyDescent="0.25">
      <c r="B332" s="344">
        <v>44705</v>
      </c>
      <c r="C332" s="5" t="s">
        <v>4</v>
      </c>
      <c r="D332" s="95" t="s">
        <v>9</v>
      </c>
      <c r="E332" s="5" t="s">
        <v>26</v>
      </c>
      <c r="F332" s="5" t="s">
        <v>1</v>
      </c>
      <c r="G332" s="322">
        <v>62.1</v>
      </c>
      <c r="H332" s="322">
        <v>3.5</v>
      </c>
      <c r="I332" s="322">
        <v>2.1</v>
      </c>
      <c r="J332" s="322">
        <v>3</v>
      </c>
      <c r="K332" s="322">
        <v>55.8</v>
      </c>
      <c r="L332" s="322">
        <v>5</v>
      </c>
      <c r="P332" s="355"/>
      <c r="Q332" s="281"/>
      <c r="R332" s="5"/>
      <c r="S332" s="95"/>
      <c r="T332" s="5"/>
      <c r="U332" s="5"/>
      <c r="V332" s="283"/>
      <c r="W332" s="286"/>
      <c r="X332" s="283"/>
      <c r="Y332" s="283"/>
      <c r="Z332" s="283"/>
      <c r="AA332" s="283"/>
      <c r="AB332" s="355"/>
    </row>
    <row r="333" spans="2:28" ht="16" thickBot="1" x14ac:dyDescent="0.4">
      <c r="B333" s="339">
        <v>44705</v>
      </c>
      <c r="C333" s="5" t="s">
        <v>4</v>
      </c>
      <c r="D333" s="95" t="s">
        <v>9</v>
      </c>
      <c r="E333" s="5" t="s">
        <v>26</v>
      </c>
      <c r="F333" s="5" t="s">
        <v>1</v>
      </c>
      <c r="G333" s="323">
        <v>59.4</v>
      </c>
      <c r="H333" s="323">
        <v>4.8</v>
      </c>
      <c r="I333" s="323">
        <v>4.0999999999999996</v>
      </c>
      <c r="J333" s="318">
        <v>7.2</v>
      </c>
      <c r="K333" s="318">
        <v>41.5</v>
      </c>
      <c r="L333" s="318">
        <v>6</v>
      </c>
      <c r="P333" s="355"/>
      <c r="Q333" s="329"/>
      <c r="R333" s="5"/>
      <c r="S333" s="95"/>
      <c r="T333" s="5"/>
      <c r="U333" s="5"/>
      <c r="V333" s="290"/>
      <c r="W333" s="298"/>
      <c r="X333" s="314"/>
      <c r="Y333" s="290"/>
      <c r="Z333" s="290"/>
      <c r="AA333" s="290"/>
      <c r="AB333" s="355"/>
    </row>
    <row r="334" spans="2:28" ht="16" thickBot="1" x14ac:dyDescent="0.4">
      <c r="B334" s="345">
        <v>44686</v>
      </c>
      <c r="C334" s="5" t="s">
        <v>4</v>
      </c>
      <c r="D334" s="95" t="s">
        <v>2</v>
      </c>
      <c r="E334" s="5" t="s">
        <v>26</v>
      </c>
      <c r="F334" s="5" t="s">
        <v>1</v>
      </c>
      <c r="G334" s="292">
        <v>58.5</v>
      </c>
      <c r="H334" s="292">
        <v>7.6</v>
      </c>
      <c r="I334" s="289">
        <v>2.4</v>
      </c>
      <c r="J334" s="289">
        <v>3.6</v>
      </c>
      <c r="K334" s="289">
        <v>56.2</v>
      </c>
      <c r="L334" s="280">
        <v>1</v>
      </c>
      <c r="P334" s="355"/>
      <c r="Q334" s="329"/>
      <c r="R334" s="5"/>
      <c r="S334" s="95"/>
      <c r="T334" s="5"/>
      <c r="U334" s="5"/>
      <c r="V334" s="290"/>
      <c r="W334" s="314"/>
      <c r="X334" s="314"/>
      <c r="Y334" s="290"/>
      <c r="Z334" s="290"/>
      <c r="AA334" s="290"/>
      <c r="AB334" s="355"/>
    </row>
    <row r="335" spans="2:28" ht="15.5" x14ac:dyDescent="0.35">
      <c r="B335" s="352">
        <v>44682</v>
      </c>
      <c r="C335" s="5" t="s">
        <v>30</v>
      </c>
      <c r="D335" s="94" t="s">
        <v>11</v>
      </c>
      <c r="E335" s="5" t="s">
        <v>26</v>
      </c>
      <c r="F335" s="5" t="s">
        <v>0</v>
      </c>
      <c r="G335" s="133">
        <v>64.010000000000005</v>
      </c>
      <c r="H335" s="133">
        <v>1.98</v>
      </c>
      <c r="I335" s="133">
        <v>1.77</v>
      </c>
      <c r="J335" s="350">
        <v>0</v>
      </c>
      <c r="K335" s="354">
        <v>16.312056737588652</v>
      </c>
      <c r="L335" s="351">
        <v>261006638</v>
      </c>
      <c r="P335" s="355"/>
      <c r="Q335" s="329"/>
      <c r="R335" s="5"/>
      <c r="S335" s="95"/>
      <c r="T335" s="5"/>
      <c r="U335" s="5"/>
      <c r="V335" s="290"/>
      <c r="W335" s="298"/>
      <c r="X335" s="298"/>
      <c r="Y335" s="290"/>
      <c r="Z335" s="290"/>
      <c r="AA335" s="290"/>
      <c r="AB335" s="355"/>
    </row>
    <row r="336" spans="2:28" ht="15.5" x14ac:dyDescent="0.35">
      <c r="B336" s="352">
        <v>44683</v>
      </c>
      <c r="C336" s="5" t="s">
        <v>30</v>
      </c>
      <c r="D336" s="94" t="s">
        <v>9</v>
      </c>
      <c r="E336" s="5" t="s">
        <v>26</v>
      </c>
      <c r="F336" s="5" t="s">
        <v>0</v>
      </c>
      <c r="G336" s="133">
        <v>62.38</v>
      </c>
      <c r="H336" s="133">
        <v>5.39</v>
      </c>
      <c r="I336" s="133">
        <v>1.1200000000000001</v>
      </c>
      <c r="J336" s="350">
        <v>0</v>
      </c>
      <c r="K336" s="354">
        <v>16.091954022988503</v>
      </c>
      <c r="L336" s="351">
        <v>261005799</v>
      </c>
      <c r="P336" s="355"/>
      <c r="Q336" s="329"/>
      <c r="R336" s="5"/>
      <c r="S336" s="95"/>
      <c r="T336" s="5"/>
      <c r="U336" s="5"/>
      <c r="V336" s="290"/>
      <c r="W336" s="298"/>
      <c r="X336" s="314"/>
      <c r="Y336" s="290"/>
      <c r="Z336" s="290"/>
      <c r="AA336" s="290"/>
      <c r="AB336" s="355"/>
    </row>
    <row r="337" spans="2:28" ht="15.5" x14ac:dyDescent="0.35">
      <c r="B337" s="352">
        <v>44683</v>
      </c>
      <c r="C337" s="5" t="s">
        <v>30</v>
      </c>
      <c r="D337" s="94" t="s">
        <v>11</v>
      </c>
      <c r="E337" s="5" t="s">
        <v>26</v>
      </c>
      <c r="F337" s="5" t="s">
        <v>0</v>
      </c>
      <c r="G337" s="133">
        <v>64.23</v>
      </c>
      <c r="H337" s="133">
        <v>2.17</v>
      </c>
      <c r="I337" s="133">
        <v>1.26</v>
      </c>
      <c r="J337" s="350">
        <v>10.576923076923077</v>
      </c>
      <c r="K337" s="354">
        <v>3.8461538461538463</v>
      </c>
      <c r="L337" s="351">
        <v>261006639</v>
      </c>
      <c r="P337" s="355"/>
      <c r="Q337" s="329"/>
      <c r="R337" s="5"/>
      <c r="S337" s="95"/>
      <c r="T337" s="5"/>
      <c r="U337" s="5"/>
      <c r="V337" s="290"/>
      <c r="W337" s="298"/>
      <c r="X337" s="314"/>
      <c r="Y337" s="290"/>
      <c r="Z337" s="290"/>
      <c r="AA337" s="290"/>
      <c r="AB337" s="355"/>
    </row>
    <row r="338" spans="2:28" ht="15.5" x14ac:dyDescent="0.35">
      <c r="B338" s="352">
        <v>44684</v>
      </c>
      <c r="C338" s="5" t="s">
        <v>30</v>
      </c>
      <c r="D338" s="94" t="s">
        <v>9</v>
      </c>
      <c r="E338" s="5" t="s">
        <v>26</v>
      </c>
      <c r="F338" s="5" t="s">
        <v>0</v>
      </c>
      <c r="G338" s="133">
        <v>63.5</v>
      </c>
      <c r="H338" s="133">
        <v>2.77</v>
      </c>
      <c r="I338" s="133">
        <v>1.85</v>
      </c>
      <c r="J338" s="350">
        <v>0</v>
      </c>
      <c r="K338" s="354">
        <v>17.177914110429448</v>
      </c>
      <c r="L338" s="351">
        <v>261005801</v>
      </c>
      <c r="P338" s="355"/>
      <c r="Q338" s="329"/>
      <c r="R338" s="5"/>
      <c r="S338" s="95"/>
      <c r="T338" s="5"/>
      <c r="U338" s="5"/>
      <c r="V338" s="290"/>
      <c r="W338" s="298"/>
      <c r="X338" s="298"/>
      <c r="Y338" s="290"/>
      <c r="Z338" s="290"/>
      <c r="AA338" s="290"/>
      <c r="AB338" s="355"/>
    </row>
    <row r="339" spans="2:28" ht="15.5" x14ac:dyDescent="0.35">
      <c r="B339" s="352">
        <v>44685</v>
      </c>
      <c r="C339" s="5" t="s">
        <v>30</v>
      </c>
      <c r="D339" s="94" t="s">
        <v>9</v>
      </c>
      <c r="E339" s="5" t="s">
        <v>26</v>
      </c>
      <c r="F339" s="5" t="s">
        <v>0</v>
      </c>
      <c r="G339" s="133">
        <v>64.13</v>
      </c>
      <c r="H339" s="133">
        <v>2.06</v>
      </c>
      <c r="I339" s="133">
        <v>1.42</v>
      </c>
      <c r="J339" s="350">
        <v>8.3333333333333339</v>
      </c>
      <c r="K339" s="354">
        <v>12.500000000000002</v>
      </c>
      <c r="L339" s="351">
        <v>261005802</v>
      </c>
      <c r="P339" s="355"/>
      <c r="Q339" s="352"/>
      <c r="R339" s="5"/>
      <c r="S339" s="95"/>
      <c r="T339" s="5"/>
      <c r="U339" s="5"/>
      <c r="V339" s="303"/>
      <c r="W339" s="307"/>
      <c r="X339" s="304"/>
      <c r="Y339" s="290"/>
      <c r="Z339" s="303"/>
      <c r="AA339" s="290"/>
      <c r="AB339" s="355"/>
    </row>
    <row r="340" spans="2:28" ht="15.5" x14ac:dyDescent="0.35">
      <c r="B340" s="352">
        <v>44685</v>
      </c>
      <c r="C340" s="5" t="s">
        <v>30</v>
      </c>
      <c r="D340" s="94" t="s">
        <v>9</v>
      </c>
      <c r="E340" s="5" t="s">
        <v>26</v>
      </c>
      <c r="F340" s="5" t="s">
        <v>0</v>
      </c>
      <c r="G340" s="133">
        <v>63.89</v>
      </c>
      <c r="H340" s="133">
        <v>2.4900000000000002</v>
      </c>
      <c r="I340" s="133">
        <v>1.49</v>
      </c>
      <c r="J340" s="350">
        <v>10.714285714285715</v>
      </c>
      <c r="K340" s="354">
        <v>3.5714285714285721</v>
      </c>
      <c r="L340" s="351">
        <v>261005803</v>
      </c>
      <c r="P340" s="355"/>
      <c r="Q340" s="352"/>
      <c r="R340" s="5"/>
      <c r="S340" s="95"/>
      <c r="T340" s="5"/>
      <c r="U340" s="5"/>
      <c r="V340" s="303"/>
      <c r="W340" s="307"/>
      <c r="X340" s="304"/>
      <c r="Y340" s="290"/>
      <c r="Z340" s="303"/>
      <c r="AA340" s="290"/>
      <c r="AB340" s="355"/>
    </row>
    <row r="341" spans="2:28" ht="15.5" x14ac:dyDescent="0.35">
      <c r="B341" s="352">
        <v>44686</v>
      </c>
      <c r="C341" s="5" t="s">
        <v>30</v>
      </c>
      <c r="D341" s="94" t="s">
        <v>11</v>
      </c>
      <c r="E341" s="5" t="s">
        <v>26</v>
      </c>
      <c r="F341" s="5" t="s">
        <v>0</v>
      </c>
      <c r="G341" s="133">
        <v>63.48</v>
      </c>
      <c r="H341" s="133">
        <v>3.09</v>
      </c>
      <c r="I341" s="133">
        <v>1.72</v>
      </c>
      <c r="J341" s="350">
        <v>0</v>
      </c>
      <c r="K341" s="354">
        <v>20.000000000000004</v>
      </c>
      <c r="L341" s="351">
        <v>261006645</v>
      </c>
      <c r="P341" s="355"/>
      <c r="Q341" s="352"/>
      <c r="R341" s="5"/>
      <c r="S341" s="95"/>
      <c r="T341" s="5"/>
      <c r="U341" s="5"/>
      <c r="V341" s="303"/>
      <c r="W341" s="307"/>
      <c r="X341" s="304"/>
      <c r="Y341" s="290"/>
      <c r="Z341" s="303"/>
      <c r="AA341" s="290"/>
      <c r="AB341" s="355"/>
    </row>
    <row r="342" spans="2:28" ht="15.5" x14ac:dyDescent="0.35">
      <c r="B342" s="352">
        <v>44687</v>
      </c>
      <c r="C342" s="5" t="s">
        <v>30</v>
      </c>
      <c r="D342" s="94" t="s">
        <v>9</v>
      </c>
      <c r="E342" s="5" t="s">
        <v>26</v>
      </c>
      <c r="F342" s="5" t="s">
        <v>0</v>
      </c>
      <c r="G342" s="133">
        <v>64.739999999999995</v>
      </c>
      <c r="H342" s="133">
        <v>1.83</v>
      </c>
      <c r="I342" s="133">
        <v>1.07</v>
      </c>
      <c r="J342" s="350">
        <v>0</v>
      </c>
      <c r="K342" s="354">
        <v>20.833333333333332</v>
      </c>
      <c r="L342" s="351">
        <v>261005807</v>
      </c>
      <c r="P342" s="355"/>
      <c r="Q342" s="352"/>
      <c r="R342" s="5"/>
      <c r="S342" s="95"/>
      <c r="T342" s="5"/>
      <c r="U342" s="5"/>
      <c r="V342" s="303"/>
      <c r="W342" s="307"/>
      <c r="X342" s="304"/>
      <c r="Y342" s="290"/>
      <c r="Z342" s="303"/>
      <c r="AA342" s="290"/>
      <c r="AB342" s="355"/>
    </row>
    <row r="343" spans="2:28" ht="15.5" x14ac:dyDescent="0.35">
      <c r="B343" s="352">
        <v>44687</v>
      </c>
      <c r="C343" s="5" t="s">
        <v>30</v>
      </c>
      <c r="D343" s="94" t="s">
        <v>9</v>
      </c>
      <c r="E343" s="5" t="s">
        <v>26</v>
      </c>
      <c r="F343" s="5" t="s">
        <v>0</v>
      </c>
      <c r="G343" s="133">
        <v>59.32</v>
      </c>
      <c r="H343" s="133">
        <v>9.2200000000000006</v>
      </c>
      <c r="I343" s="133">
        <v>1.08</v>
      </c>
      <c r="J343" s="350">
        <v>0</v>
      </c>
      <c r="K343" s="354">
        <v>17.829457364341089</v>
      </c>
      <c r="L343" s="351">
        <v>261005808</v>
      </c>
      <c r="P343" s="355"/>
      <c r="Q343" s="353"/>
      <c r="R343" s="5"/>
      <c r="S343" s="95"/>
      <c r="T343" s="5"/>
      <c r="U343" s="5"/>
      <c r="V343" s="301"/>
      <c r="W343" s="306"/>
      <c r="X343" s="315"/>
      <c r="Y343" s="296"/>
      <c r="Z343" s="301"/>
      <c r="AA343" s="296"/>
      <c r="AB343" s="355"/>
    </row>
    <row r="344" spans="2:28" ht="15.5" x14ac:dyDescent="0.35">
      <c r="B344" s="352">
        <v>44689</v>
      </c>
      <c r="C344" s="5" t="s">
        <v>30</v>
      </c>
      <c r="D344" s="94" t="s">
        <v>9</v>
      </c>
      <c r="E344" s="5" t="s">
        <v>26</v>
      </c>
      <c r="F344" s="5" t="s">
        <v>0</v>
      </c>
      <c r="G344" s="133">
        <v>63.79</v>
      </c>
      <c r="H344" s="133">
        <v>2.92</v>
      </c>
      <c r="I344" s="133">
        <v>1.0900000000000001</v>
      </c>
      <c r="J344" s="350">
        <v>0</v>
      </c>
      <c r="K344" s="354">
        <v>18.90243902439024</v>
      </c>
      <c r="L344" s="351">
        <v>261005814</v>
      </c>
      <c r="P344" s="355"/>
      <c r="Q344" s="332"/>
      <c r="R344" s="5"/>
      <c r="S344" s="95"/>
      <c r="T344" s="5"/>
      <c r="U344" s="5"/>
      <c r="V344" s="290"/>
      <c r="W344" s="298"/>
      <c r="X344" s="290"/>
      <c r="Y344" s="290"/>
      <c r="Z344" s="290"/>
      <c r="AA344" s="290"/>
      <c r="AB344" s="355"/>
    </row>
    <row r="345" spans="2:28" ht="15.5" x14ac:dyDescent="0.35">
      <c r="B345" s="352">
        <v>44689</v>
      </c>
      <c r="C345" s="5" t="s">
        <v>30</v>
      </c>
      <c r="D345" s="94" t="s">
        <v>9</v>
      </c>
      <c r="E345" s="5" t="s">
        <v>26</v>
      </c>
      <c r="F345" s="5" t="s">
        <v>0</v>
      </c>
      <c r="G345" s="133">
        <v>63.18</v>
      </c>
      <c r="H345" s="133">
        <v>3.86</v>
      </c>
      <c r="I345" s="133">
        <v>1.03</v>
      </c>
      <c r="J345" s="350">
        <v>8.8888888888888893</v>
      </c>
      <c r="K345" s="354">
        <v>17.777777777777779</v>
      </c>
      <c r="L345" s="351">
        <v>261005816</v>
      </c>
      <c r="P345" s="355"/>
      <c r="Q345" s="332"/>
      <c r="R345" s="5"/>
      <c r="S345" s="95"/>
      <c r="T345" s="5"/>
      <c r="U345" s="5"/>
      <c r="V345" s="290"/>
      <c r="W345" s="298"/>
      <c r="X345" s="290"/>
      <c r="Y345" s="290"/>
      <c r="Z345" s="290"/>
      <c r="AA345" s="290"/>
      <c r="AB345" s="355"/>
    </row>
    <row r="346" spans="2:28" ht="15.5" x14ac:dyDescent="0.35">
      <c r="B346" s="352">
        <v>44691</v>
      </c>
      <c r="C346" s="5" t="s">
        <v>30</v>
      </c>
      <c r="D346" s="94" t="s">
        <v>9</v>
      </c>
      <c r="E346" s="5" t="s">
        <v>26</v>
      </c>
      <c r="F346" s="5" t="s">
        <v>0</v>
      </c>
      <c r="G346" s="133">
        <v>62.43</v>
      </c>
      <c r="H346" s="133">
        <v>4.32</v>
      </c>
      <c r="I346" s="133">
        <v>1.78</v>
      </c>
      <c r="J346" s="350">
        <v>0</v>
      </c>
      <c r="K346" s="354">
        <v>18.253968253968257</v>
      </c>
      <c r="L346" s="351">
        <v>261005818</v>
      </c>
      <c r="P346" s="355"/>
      <c r="Q346" s="332"/>
      <c r="R346" s="5"/>
      <c r="S346" s="95"/>
      <c r="T346" s="5"/>
      <c r="U346" s="5"/>
      <c r="V346" s="290"/>
      <c r="W346" s="298"/>
      <c r="X346" s="290"/>
      <c r="Y346" s="290"/>
      <c r="Z346" s="290"/>
      <c r="AA346" s="290"/>
      <c r="AB346" s="355"/>
    </row>
    <row r="347" spans="2:28" ht="15.5" x14ac:dyDescent="0.35">
      <c r="B347" s="352">
        <v>44691</v>
      </c>
      <c r="C347" s="5" t="s">
        <v>30</v>
      </c>
      <c r="D347" s="94" t="s">
        <v>9</v>
      </c>
      <c r="E347" s="5" t="s">
        <v>26</v>
      </c>
      <c r="F347" s="5" t="s">
        <v>0</v>
      </c>
      <c r="G347" s="133">
        <v>64.260000000000005</v>
      </c>
      <c r="H347" s="133">
        <v>2.38</v>
      </c>
      <c r="I347" s="133">
        <v>1.0900000000000001</v>
      </c>
      <c r="J347" s="350">
        <v>10.714285714285715</v>
      </c>
      <c r="K347" s="354">
        <v>14.285714285714288</v>
      </c>
      <c r="L347" s="351">
        <v>261005819</v>
      </c>
      <c r="P347" s="355"/>
      <c r="Q347" s="332"/>
      <c r="R347" s="5"/>
      <c r="S347" s="95"/>
      <c r="T347" s="5"/>
      <c r="U347" s="5"/>
      <c r="V347" s="290"/>
      <c r="W347" s="298"/>
      <c r="X347" s="290"/>
      <c r="Y347" s="290"/>
      <c r="Z347" s="290"/>
      <c r="AA347" s="290"/>
      <c r="AB347" s="355"/>
    </row>
    <row r="348" spans="2:28" ht="15.5" x14ac:dyDescent="0.35">
      <c r="B348" s="352">
        <v>44691</v>
      </c>
      <c r="C348" s="5" t="s">
        <v>30</v>
      </c>
      <c r="D348" s="94" t="s">
        <v>9</v>
      </c>
      <c r="E348" s="5" t="s">
        <v>26</v>
      </c>
      <c r="F348" s="5" t="s">
        <v>0</v>
      </c>
      <c r="G348" s="133">
        <v>64.41</v>
      </c>
      <c r="H348" s="133">
        <v>2.4500000000000002</v>
      </c>
      <c r="I348" s="133">
        <v>1.06</v>
      </c>
      <c r="J348" s="350">
        <v>0</v>
      </c>
      <c r="K348" s="354">
        <v>21.1864406779661</v>
      </c>
      <c r="L348" s="351">
        <v>261005820</v>
      </c>
      <c r="P348" s="355"/>
      <c r="Q348" s="333"/>
      <c r="R348" s="5"/>
      <c r="S348" s="95"/>
      <c r="T348" s="5"/>
      <c r="U348" s="5"/>
      <c r="V348" s="296"/>
      <c r="W348" s="296"/>
      <c r="X348" s="296"/>
      <c r="Y348" s="296"/>
      <c r="Z348" s="296"/>
      <c r="AA348" s="296"/>
      <c r="AB348" s="355"/>
    </row>
    <row r="349" spans="2:28" ht="15.5" x14ac:dyDescent="0.35">
      <c r="B349" s="352">
        <v>44692</v>
      </c>
      <c r="C349" s="5" t="s">
        <v>30</v>
      </c>
      <c r="D349" s="94" t="s">
        <v>9</v>
      </c>
      <c r="E349" s="5" t="s">
        <v>26</v>
      </c>
      <c r="F349" s="5" t="s">
        <v>0</v>
      </c>
      <c r="G349" s="133">
        <v>63.16</v>
      </c>
      <c r="H349" s="133">
        <v>3.6</v>
      </c>
      <c r="I349" s="133">
        <v>1.57</v>
      </c>
      <c r="J349" s="350">
        <v>0</v>
      </c>
      <c r="K349" s="354">
        <v>12.727272727272727</v>
      </c>
      <c r="L349" s="351">
        <v>261005823</v>
      </c>
      <c r="P349" s="355"/>
      <c r="Q349" s="332"/>
      <c r="R349" s="5"/>
      <c r="S349" s="95"/>
      <c r="T349" s="5"/>
      <c r="U349" s="5"/>
      <c r="V349" s="290"/>
      <c r="W349" s="298"/>
      <c r="X349" s="290"/>
      <c r="Y349" s="290"/>
      <c r="Z349" s="290"/>
      <c r="AA349" s="290"/>
      <c r="AB349" s="355"/>
    </row>
    <row r="350" spans="2:28" ht="15.5" x14ac:dyDescent="0.35">
      <c r="B350" s="352">
        <v>44693</v>
      </c>
      <c r="C350" s="5" t="s">
        <v>30</v>
      </c>
      <c r="D350" s="94" t="s">
        <v>9</v>
      </c>
      <c r="E350" s="5" t="s">
        <v>26</v>
      </c>
      <c r="F350" s="5" t="s">
        <v>0</v>
      </c>
      <c r="G350" s="133">
        <v>64.56</v>
      </c>
      <c r="H350" s="133">
        <v>2.09</v>
      </c>
      <c r="I350" s="133">
        <v>1.27</v>
      </c>
      <c r="J350" s="350">
        <v>0</v>
      </c>
      <c r="K350" s="354">
        <v>8.1761006289308167</v>
      </c>
      <c r="L350" s="351">
        <v>261005825</v>
      </c>
      <c r="P350" s="355"/>
      <c r="Q350" s="332"/>
      <c r="R350" s="5"/>
      <c r="S350" s="95"/>
      <c r="T350" s="5"/>
      <c r="U350" s="5"/>
      <c r="V350" s="290"/>
      <c r="W350" s="298"/>
      <c r="X350" s="290"/>
      <c r="Y350" s="290"/>
      <c r="Z350" s="290"/>
      <c r="AA350" s="290"/>
      <c r="AB350" s="355"/>
    </row>
    <row r="351" spans="2:28" ht="15.5" x14ac:dyDescent="0.35">
      <c r="B351" s="352">
        <v>44693</v>
      </c>
      <c r="C351" s="5" t="s">
        <v>30</v>
      </c>
      <c r="D351" s="94" t="s">
        <v>11</v>
      </c>
      <c r="E351" s="5" t="s">
        <v>26</v>
      </c>
      <c r="F351" s="5" t="s">
        <v>0</v>
      </c>
      <c r="G351" s="133">
        <v>64.25</v>
      </c>
      <c r="H351" s="133">
        <v>2.85</v>
      </c>
      <c r="I351" s="133">
        <v>1.07</v>
      </c>
      <c r="J351" s="350">
        <v>7.4074074074074066</v>
      </c>
      <c r="K351" s="354">
        <v>5.1851851851851851</v>
      </c>
      <c r="L351" s="351">
        <v>261006654</v>
      </c>
      <c r="P351" s="355"/>
      <c r="Q351" s="332"/>
      <c r="R351" s="5"/>
      <c r="S351" s="95"/>
      <c r="T351" s="5"/>
      <c r="U351" s="5"/>
      <c r="V351" s="290"/>
      <c r="W351" s="298"/>
      <c r="X351" s="290"/>
      <c r="Y351" s="290"/>
      <c r="Z351" s="290"/>
      <c r="AA351" s="290"/>
      <c r="AB351" s="355"/>
    </row>
    <row r="352" spans="2:28" ht="15.5" x14ac:dyDescent="0.35">
      <c r="B352" s="352">
        <v>44694</v>
      </c>
      <c r="C352" s="5" t="s">
        <v>30</v>
      </c>
      <c r="D352" s="94" t="s">
        <v>9</v>
      </c>
      <c r="E352" s="5" t="s">
        <v>26</v>
      </c>
      <c r="F352" s="5" t="s">
        <v>0</v>
      </c>
      <c r="G352" s="133">
        <v>64.55</v>
      </c>
      <c r="H352" s="133">
        <v>1.84</v>
      </c>
      <c r="I352" s="133">
        <v>1.05</v>
      </c>
      <c r="J352" s="350">
        <v>9.2592592592592595</v>
      </c>
      <c r="K352" s="354">
        <v>7.4074074074074074</v>
      </c>
      <c r="L352" s="351">
        <v>261005827</v>
      </c>
      <c r="P352" s="355"/>
      <c r="Q352" s="329"/>
      <c r="R352" s="5"/>
      <c r="S352" s="95"/>
      <c r="T352" s="5"/>
      <c r="U352" s="5"/>
      <c r="V352" s="290"/>
      <c r="W352" s="298"/>
      <c r="X352" s="314"/>
      <c r="Y352" s="290"/>
      <c r="Z352" s="290"/>
      <c r="AA352" s="290"/>
      <c r="AB352" s="355"/>
    </row>
    <row r="353" spans="2:28" ht="15.5" x14ac:dyDescent="0.35">
      <c r="B353" s="352">
        <v>44695</v>
      </c>
      <c r="C353" s="5" t="s">
        <v>30</v>
      </c>
      <c r="D353" s="94" t="s">
        <v>11</v>
      </c>
      <c r="E353" s="5" t="s">
        <v>26</v>
      </c>
      <c r="F353" s="5" t="s">
        <v>0</v>
      </c>
      <c r="G353" s="133">
        <v>64.430000000000007</v>
      </c>
      <c r="H353" s="133">
        <v>2.17</v>
      </c>
      <c r="I353" s="133">
        <v>1.06</v>
      </c>
      <c r="J353" s="350">
        <v>0</v>
      </c>
      <c r="K353" s="354">
        <v>18.518518518518519</v>
      </c>
      <c r="L353" s="351">
        <v>261006657</v>
      </c>
      <c r="P353" s="355"/>
      <c r="Q353" s="329"/>
      <c r="R353" s="5"/>
      <c r="S353" s="95"/>
      <c r="T353" s="5"/>
      <c r="U353" s="5"/>
      <c r="V353" s="290"/>
      <c r="W353" s="314"/>
      <c r="X353" s="314"/>
      <c r="Y353" s="290"/>
      <c r="Z353" s="290"/>
      <c r="AA353" s="290"/>
      <c r="AB353" s="355"/>
    </row>
    <row r="354" spans="2:28" ht="15.5" x14ac:dyDescent="0.35">
      <c r="B354" s="352">
        <v>44695</v>
      </c>
      <c r="C354" s="5" t="s">
        <v>30</v>
      </c>
      <c r="D354" s="94" t="s">
        <v>9</v>
      </c>
      <c r="E354" s="5" t="s">
        <v>26</v>
      </c>
      <c r="F354" s="5" t="s">
        <v>0</v>
      </c>
      <c r="G354" s="133">
        <v>62.85</v>
      </c>
      <c r="H354" s="133">
        <v>3.96</v>
      </c>
      <c r="I354" s="133">
        <v>1.75</v>
      </c>
      <c r="J354" s="350">
        <v>0</v>
      </c>
      <c r="K354" s="354">
        <v>19.801980198019802</v>
      </c>
      <c r="L354" s="351">
        <v>261005830</v>
      </c>
      <c r="P354" s="355"/>
      <c r="Q354" s="329"/>
      <c r="R354" s="5"/>
      <c r="S354" s="95"/>
      <c r="T354" s="5"/>
      <c r="U354" s="5"/>
      <c r="V354" s="290"/>
      <c r="W354" s="298"/>
      <c r="X354" s="314"/>
      <c r="Y354" s="290"/>
      <c r="Z354" s="290"/>
      <c r="AA354" s="290"/>
      <c r="AB354" s="355"/>
    </row>
    <row r="355" spans="2:28" ht="15.5" x14ac:dyDescent="0.35">
      <c r="B355" s="352">
        <v>44696</v>
      </c>
      <c r="C355" s="5" t="s">
        <v>30</v>
      </c>
      <c r="D355" s="94" t="s">
        <v>9</v>
      </c>
      <c r="E355" s="5" t="s">
        <v>26</v>
      </c>
      <c r="F355" s="5" t="s">
        <v>0</v>
      </c>
      <c r="G355" s="133">
        <v>64.11</v>
      </c>
      <c r="H355" s="133">
        <v>1.95</v>
      </c>
      <c r="I355" s="133">
        <v>1.62</v>
      </c>
      <c r="J355" s="350">
        <v>0</v>
      </c>
      <c r="K355" s="354">
        <v>15.596330275229359</v>
      </c>
      <c r="L355" s="351">
        <v>241000360</v>
      </c>
      <c r="P355" s="355"/>
      <c r="Q355" s="339"/>
      <c r="R355" s="5"/>
      <c r="S355" s="95"/>
      <c r="T355" s="5"/>
      <c r="U355" s="5"/>
      <c r="V355" s="290"/>
      <c r="W355" s="298"/>
      <c r="X355" s="314"/>
      <c r="Y355" s="290"/>
      <c r="Z355" s="290"/>
      <c r="AA355" s="290"/>
      <c r="AB355" s="355"/>
    </row>
    <row r="356" spans="2:28" ht="15.5" x14ac:dyDescent="0.35">
      <c r="B356" s="352">
        <v>44696</v>
      </c>
      <c r="C356" s="5" t="s">
        <v>30</v>
      </c>
      <c r="D356" s="94" t="s">
        <v>9</v>
      </c>
      <c r="E356" s="5" t="s">
        <v>26</v>
      </c>
      <c r="F356" s="5" t="s">
        <v>0</v>
      </c>
      <c r="G356" s="133">
        <v>64.45</v>
      </c>
      <c r="H356" s="133">
        <v>1.34</v>
      </c>
      <c r="I356" s="133">
        <v>1.66</v>
      </c>
      <c r="J356" s="350">
        <v>12.765957446808512</v>
      </c>
      <c r="K356" s="354">
        <v>13.475177304964539</v>
      </c>
      <c r="L356" s="351">
        <v>261005833</v>
      </c>
      <c r="P356" s="355"/>
      <c r="Q356" s="339"/>
      <c r="R356" s="5"/>
      <c r="S356" s="95"/>
      <c r="T356" s="5"/>
      <c r="U356" s="5"/>
      <c r="V356" s="298"/>
      <c r="W356" s="298"/>
      <c r="X356" s="298"/>
      <c r="Y356" s="290"/>
      <c r="Z356" s="290"/>
      <c r="AA356" s="290"/>
      <c r="AB356" s="355"/>
    </row>
    <row r="357" spans="2:28" ht="15.5" x14ac:dyDescent="0.35">
      <c r="B357" s="352">
        <v>44696</v>
      </c>
      <c r="C357" s="5" t="s">
        <v>30</v>
      </c>
      <c r="D357" s="94" t="s">
        <v>9</v>
      </c>
      <c r="E357" s="5" t="s">
        <v>26</v>
      </c>
      <c r="F357" s="5" t="s">
        <v>0</v>
      </c>
      <c r="G357" s="133">
        <v>63.47</v>
      </c>
      <c r="H357" s="133">
        <v>3.02</v>
      </c>
      <c r="I357" s="133">
        <v>1.47</v>
      </c>
      <c r="J357" s="350">
        <v>0</v>
      </c>
      <c r="K357" s="354">
        <v>12.500000000000002</v>
      </c>
      <c r="L357" s="351">
        <v>241000361</v>
      </c>
      <c r="P357" s="355"/>
      <c r="Q357" s="352"/>
      <c r="R357" s="5"/>
      <c r="S357" s="95"/>
      <c r="T357" s="5"/>
      <c r="U357" s="5"/>
      <c r="V357" s="303"/>
      <c r="W357" s="304"/>
      <c r="X357" s="304"/>
      <c r="Y357" s="303"/>
      <c r="Z357" s="303"/>
      <c r="AA357" s="290"/>
      <c r="AB357" s="355"/>
    </row>
    <row r="358" spans="2:28" ht="15.5" x14ac:dyDescent="0.35">
      <c r="B358" s="352">
        <v>44697</v>
      </c>
      <c r="C358" s="5" t="s">
        <v>30</v>
      </c>
      <c r="D358" s="94" t="s">
        <v>9</v>
      </c>
      <c r="E358" s="5" t="s">
        <v>26</v>
      </c>
      <c r="F358" s="5" t="s">
        <v>0</v>
      </c>
      <c r="G358" s="133">
        <v>64.25</v>
      </c>
      <c r="H358" s="133">
        <v>1.49</v>
      </c>
      <c r="I358" s="133">
        <v>1.76</v>
      </c>
      <c r="J358" s="350">
        <v>10.869565217391305</v>
      </c>
      <c r="K358" s="354">
        <v>16.666666666666668</v>
      </c>
      <c r="L358" s="351">
        <v>261005836</v>
      </c>
      <c r="P358" s="355"/>
      <c r="Q358" s="352"/>
      <c r="R358" s="5"/>
      <c r="S358" s="95"/>
      <c r="T358" s="5"/>
      <c r="U358" s="5"/>
      <c r="V358" s="303"/>
      <c r="W358" s="304"/>
      <c r="X358" s="304"/>
      <c r="Y358" s="290"/>
      <c r="Z358" s="303"/>
      <c r="AA358" s="290"/>
      <c r="AB358" s="355"/>
    </row>
    <row r="359" spans="2:28" ht="15.5" x14ac:dyDescent="0.35">
      <c r="B359" s="352">
        <v>44697</v>
      </c>
      <c r="C359" s="5" t="s">
        <v>30</v>
      </c>
      <c r="D359" s="94" t="s">
        <v>9</v>
      </c>
      <c r="E359" s="5" t="s">
        <v>26</v>
      </c>
      <c r="F359" s="5" t="s">
        <v>0</v>
      </c>
      <c r="G359" s="133">
        <v>64.28</v>
      </c>
      <c r="H359" s="133">
        <v>1.82</v>
      </c>
      <c r="I359" s="133">
        <v>1.48</v>
      </c>
      <c r="J359" s="350">
        <v>0</v>
      </c>
      <c r="K359" s="354">
        <v>23.571428571428577</v>
      </c>
      <c r="L359" s="351">
        <v>261005837</v>
      </c>
      <c r="P359" s="355"/>
      <c r="Q359" s="352"/>
      <c r="R359" s="5"/>
      <c r="S359" s="95"/>
      <c r="T359" s="5"/>
      <c r="U359" s="5"/>
      <c r="V359" s="303"/>
      <c r="W359" s="304"/>
      <c r="X359" s="304"/>
      <c r="Y359" s="290"/>
      <c r="Z359" s="303"/>
      <c r="AA359" s="290"/>
      <c r="AB359" s="355"/>
    </row>
    <row r="360" spans="2:28" ht="15.5" x14ac:dyDescent="0.35">
      <c r="B360" s="352">
        <v>44698</v>
      </c>
      <c r="C360" s="5" t="s">
        <v>30</v>
      </c>
      <c r="D360" s="94" t="s">
        <v>9</v>
      </c>
      <c r="E360" s="5" t="s">
        <v>26</v>
      </c>
      <c r="F360" s="5" t="s">
        <v>0</v>
      </c>
      <c r="G360" s="133">
        <v>63.95</v>
      </c>
      <c r="H360" s="133">
        <v>1.92</v>
      </c>
      <c r="I360" s="133">
        <v>1.74</v>
      </c>
      <c r="J360" s="350">
        <v>8.8435374149659864</v>
      </c>
      <c r="K360" s="354">
        <v>5.7823129251700687</v>
      </c>
      <c r="L360" s="351">
        <v>241000362</v>
      </c>
      <c r="P360" s="355"/>
      <c r="Q360" s="352"/>
      <c r="R360" s="5"/>
      <c r="S360" s="95"/>
      <c r="T360" s="5"/>
      <c r="U360" s="5"/>
      <c r="V360" s="303"/>
      <c r="W360" s="304"/>
      <c r="X360" s="304"/>
      <c r="Y360" s="290"/>
      <c r="Z360" s="303"/>
      <c r="AA360" s="290"/>
      <c r="AB360" s="355"/>
    </row>
    <row r="361" spans="2:28" ht="15.5" x14ac:dyDescent="0.35">
      <c r="B361" s="352">
        <v>44698</v>
      </c>
      <c r="C361" s="5" t="s">
        <v>30</v>
      </c>
      <c r="D361" s="94" t="s">
        <v>9</v>
      </c>
      <c r="E361" s="5" t="s">
        <v>26</v>
      </c>
      <c r="F361" s="5" t="s">
        <v>0</v>
      </c>
      <c r="G361" s="133">
        <v>64.3</v>
      </c>
      <c r="H361" s="133">
        <v>1.85</v>
      </c>
      <c r="I361" s="133">
        <v>1.44</v>
      </c>
      <c r="J361" s="350">
        <v>0</v>
      </c>
      <c r="K361" s="354">
        <v>17.857142857142861</v>
      </c>
      <c r="L361" s="351">
        <v>261005839</v>
      </c>
      <c r="P361" s="355"/>
      <c r="Q361" s="352"/>
      <c r="R361" s="5"/>
      <c r="S361" s="95"/>
      <c r="T361" s="5"/>
      <c r="U361" s="5"/>
      <c r="V361" s="303"/>
      <c r="W361" s="307"/>
      <c r="X361" s="304"/>
      <c r="Y361" s="290"/>
      <c r="Z361" s="303"/>
      <c r="AA361" s="290"/>
      <c r="AB361" s="355"/>
    </row>
    <row r="362" spans="2:28" ht="15.5" x14ac:dyDescent="0.35">
      <c r="B362" s="352">
        <v>44699</v>
      </c>
      <c r="C362" s="5" t="s">
        <v>30</v>
      </c>
      <c r="D362" s="94" t="s">
        <v>9</v>
      </c>
      <c r="E362" s="5" t="s">
        <v>26</v>
      </c>
      <c r="F362" s="5" t="s">
        <v>0</v>
      </c>
      <c r="G362" s="133">
        <v>64.48</v>
      </c>
      <c r="H362" s="133">
        <v>2.09</v>
      </c>
      <c r="I362" s="133">
        <v>1.0900000000000001</v>
      </c>
      <c r="J362" s="350">
        <v>0</v>
      </c>
      <c r="K362" s="354">
        <v>10.191082802547772</v>
      </c>
      <c r="L362" s="351">
        <v>261005840</v>
      </c>
      <c r="P362" s="355"/>
      <c r="Q362" s="352"/>
      <c r="R362" s="5"/>
      <c r="S362" s="95"/>
      <c r="T362" s="5"/>
      <c r="U362" s="5"/>
      <c r="V362" s="303"/>
      <c r="W362" s="307"/>
      <c r="X362" s="304"/>
      <c r="Y362" s="290"/>
      <c r="Z362" s="303"/>
      <c r="AA362" s="290"/>
      <c r="AB362" s="355"/>
    </row>
    <row r="363" spans="2:28" ht="15.5" x14ac:dyDescent="0.35">
      <c r="B363" s="352">
        <v>44701</v>
      </c>
      <c r="C363" s="5" t="s">
        <v>30</v>
      </c>
      <c r="D363" s="94" t="s">
        <v>9</v>
      </c>
      <c r="E363" s="5" t="s">
        <v>26</v>
      </c>
      <c r="F363" s="5" t="s">
        <v>0</v>
      </c>
      <c r="G363" s="133">
        <v>63.92</v>
      </c>
      <c r="H363" s="133">
        <v>3.36</v>
      </c>
      <c r="I363" s="133">
        <v>1.0900000000000001</v>
      </c>
      <c r="J363" s="350">
        <v>0</v>
      </c>
      <c r="K363" s="354">
        <v>17.391304347826086</v>
      </c>
      <c r="L363" s="351">
        <v>261005844</v>
      </c>
      <c r="P363" s="355"/>
      <c r="Q363" s="352"/>
      <c r="R363" s="5"/>
      <c r="S363" s="95"/>
      <c r="T363" s="5"/>
      <c r="U363" s="5"/>
      <c r="V363" s="303"/>
      <c r="W363" s="304"/>
      <c r="X363" s="304"/>
      <c r="Y363" s="290"/>
      <c r="Z363" s="303"/>
      <c r="AA363" s="290"/>
      <c r="AB363" s="355"/>
    </row>
    <row r="364" spans="2:28" ht="15.5" x14ac:dyDescent="0.35">
      <c r="B364" s="352">
        <v>44701</v>
      </c>
      <c r="C364" s="5" t="s">
        <v>30</v>
      </c>
      <c r="D364" s="94" t="s">
        <v>9</v>
      </c>
      <c r="E364" s="5" t="s">
        <v>26</v>
      </c>
      <c r="F364" s="5" t="s">
        <v>0</v>
      </c>
      <c r="G364" s="133">
        <v>64.180000000000007</v>
      </c>
      <c r="H364" s="133">
        <v>1.94</v>
      </c>
      <c r="I364" s="133">
        <v>2.09</v>
      </c>
      <c r="J364" s="350">
        <v>0</v>
      </c>
      <c r="K364" s="354">
        <v>22.155688622754493</v>
      </c>
      <c r="L364" s="351">
        <v>261005845</v>
      </c>
      <c r="P364" s="355"/>
      <c r="Q364" s="352"/>
      <c r="R364" s="5"/>
      <c r="S364" s="95"/>
      <c r="T364" s="5"/>
      <c r="U364" s="5"/>
      <c r="V364" s="303"/>
      <c r="W364" s="304"/>
      <c r="X364" s="304"/>
      <c r="Y364" s="290"/>
      <c r="Z364" s="303"/>
      <c r="AA364" s="290"/>
      <c r="AB364" s="355"/>
    </row>
    <row r="365" spans="2:28" ht="16" thickBot="1" x14ac:dyDescent="0.4">
      <c r="B365" s="352">
        <v>44702</v>
      </c>
      <c r="C365" s="5" t="s">
        <v>30</v>
      </c>
      <c r="D365" s="94" t="s">
        <v>9</v>
      </c>
      <c r="E365" s="5" t="s">
        <v>26</v>
      </c>
      <c r="F365" s="5" t="s">
        <v>0</v>
      </c>
      <c r="G365" s="133">
        <v>63.9</v>
      </c>
      <c r="H365" s="133">
        <v>3.12</v>
      </c>
      <c r="I365" s="133">
        <v>1.04</v>
      </c>
      <c r="J365" s="350">
        <v>0</v>
      </c>
      <c r="K365" s="354">
        <v>9.79020979020979</v>
      </c>
      <c r="L365" s="351">
        <v>261005848</v>
      </c>
      <c r="P365" s="355"/>
      <c r="Q365" s="335"/>
      <c r="R365" s="5"/>
      <c r="S365" s="95"/>
      <c r="T365" s="5"/>
      <c r="U365" s="5"/>
      <c r="V365" s="325"/>
      <c r="W365" s="325"/>
      <c r="X365" s="325"/>
      <c r="Y365" s="325"/>
      <c r="Z365" s="325"/>
      <c r="AA365" s="325"/>
      <c r="AB365" s="355"/>
    </row>
    <row r="366" spans="2:28" ht="15.5" x14ac:dyDescent="0.35">
      <c r="B366" s="352">
        <v>44703</v>
      </c>
      <c r="C366" s="5" t="s">
        <v>30</v>
      </c>
      <c r="D366" s="94" t="s">
        <v>11</v>
      </c>
      <c r="E366" s="5" t="s">
        <v>26</v>
      </c>
      <c r="F366" s="5" t="s">
        <v>0</v>
      </c>
      <c r="G366" s="133">
        <v>64.47</v>
      </c>
      <c r="H366" s="133">
        <v>1.92</v>
      </c>
      <c r="I366" s="133">
        <v>1.17</v>
      </c>
      <c r="J366" s="350">
        <v>0</v>
      </c>
      <c r="K366" s="354">
        <v>2.521008403361344</v>
      </c>
      <c r="L366" s="351">
        <v>261006672</v>
      </c>
      <c r="P366" s="355"/>
      <c r="Q366" s="340"/>
      <c r="R366" s="5"/>
      <c r="S366" s="95"/>
      <c r="T366" s="5"/>
      <c r="U366" s="5"/>
      <c r="V366" s="284"/>
      <c r="W366" s="284"/>
      <c r="X366" s="284"/>
      <c r="Y366" s="284"/>
      <c r="Z366" s="284"/>
      <c r="AA366" s="284"/>
      <c r="AB366" s="355"/>
    </row>
    <row r="367" spans="2:28" ht="14.5" x14ac:dyDescent="0.35">
      <c r="B367" s="352">
        <v>44703</v>
      </c>
      <c r="C367" s="5" t="s">
        <v>30</v>
      </c>
      <c r="D367" s="94" t="s">
        <v>9</v>
      </c>
      <c r="E367" s="5" t="s">
        <v>26</v>
      </c>
      <c r="F367" s="5" t="s">
        <v>0</v>
      </c>
      <c r="G367" s="133">
        <v>63.57</v>
      </c>
      <c r="H367" s="133">
        <v>2.35</v>
      </c>
      <c r="I367" s="133">
        <v>1.9</v>
      </c>
      <c r="J367" s="350">
        <v>0</v>
      </c>
      <c r="K367" s="354">
        <v>21.621621621621621</v>
      </c>
      <c r="L367" s="351">
        <v>261005850</v>
      </c>
      <c r="P367" s="355"/>
      <c r="Q367" s="341"/>
      <c r="R367" s="5"/>
      <c r="S367" s="95"/>
      <c r="T367" s="5"/>
      <c r="U367" s="5"/>
      <c r="V367" s="283"/>
      <c r="W367" s="283"/>
      <c r="X367" s="283"/>
      <c r="Y367" s="283"/>
      <c r="Z367" s="283"/>
      <c r="AA367" s="285"/>
      <c r="AB367" s="355"/>
    </row>
    <row r="368" spans="2:28" ht="15.5" x14ac:dyDescent="0.35">
      <c r="B368" s="352">
        <v>44704</v>
      </c>
      <c r="C368" s="5" t="s">
        <v>30</v>
      </c>
      <c r="D368" s="94" t="s">
        <v>9</v>
      </c>
      <c r="E368" s="5" t="s">
        <v>26</v>
      </c>
      <c r="F368" s="5" t="s">
        <v>0</v>
      </c>
      <c r="G368" s="133">
        <v>63.57</v>
      </c>
      <c r="H368" s="133">
        <v>4.34</v>
      </c>
      <c r="I368" s="133">
        <v>1.08</v>
      </c>
      <c r="J368" s="350">
        <v>0</v>
      </c>
      <c r="K368" s="354">
        <v>14.410480349344976</v>
      </c>
      <c r="L368" s="351">
        <v>261005853</v>
      </c>
      <c r="P368" s="355"/>
      <c r="Q368" s="337"/>
      <c r="R368" s="5"/>
      <c r="S368" s="95"/>
      <c r="T368" s="5"/>
      <c r="U368" s="5"/>
      <c r="V368" s="298"/>
      <c r="W368" s="298"/>
      <c r="X368" s="290"/>
      <c r="Y368" s="290"/>
      <c r="Z368" s="290"/>
      <c r="AA368" s="290"/>
      <c r="AB368" s="355"/>
    </row>
    <row r="369" spans="2:28" ht="15.5" x14ac:dyDescent="0.35">
      <c r="B369" s="352">
        <v>44704</v>
      </c>
      <c r="C369" s="5" t="s">
        <v>30</v>
      </c>
      <c r="D369" s="94" t="s">
        <v>11</v>
      </c>
      <c r="E369" s="5" t="s">
        <v>26</v>
      </c>
      <c r="F369" s="5" t="s">
        <v>0</v>
      </c>
      <c r="G369" s="133">
        <v>64.55</v>
      </c>
      <c r="H369" s="133">
        <v>2.2200000000000002</v>
      </c>
      <c r="I369" s="133">
        <v>1.04</v>
      </c>
      <c r="J369" s="350">
        <v>0</v>
      </c>
      <c r="K369" s="354">
        <v>22</v>
      </c>
      <c r="L369" s="351">
        <v>261006678</v>
      </c>
      <c r="P369" s="355"/>
      <c r="Q369" s="337"/>
      <c r="R369" s="5"/>
      <c r="S369" s="95"/>
      <c r="T369" s="5"/>
      <c r="U369" s="5"/>
      <c r="V369" s="290"/>
      <c r="W369" s="290"/>
      <c r="X369" s="290"/>
      <c r="Y369" s="290"/>
      <c r="Z369" s="290"/>
      <c r="AA369" s="290"/>
      <c r="AB369" s="355"/>
    </row>
    <row r="370" spans="2:28" ht="15.5" x14ac:dyDescent="0.35">
      <c r="B370" s="352">
        <v>44705</v>
      </c>
      <c r="C370" s="5" t="s">
        <v>30</v>
      </c>
      <c r="D370" s="94" t="s">
        <v>9</v>
      </c>
      <c r="E370" s="5" t="s">
        <v>26</v>
      </c>
      <c r="F370" s="5" t="s">
        <v>0</v>
      </c>
      <c r="G370" s="133">
        <v>63.68</v>
      </c>
      <c r="H370" s="133">
        <v>2.7</v>
      </c>
      <c r="I370" s="133">
        <v>1.52</v>
      </c>
      <c r="J370" s="350">
        <v>8.9430894308943092</v>
      </c>
      <c r="K370" s="354">
        <v>13.821138211382113</v>
      </c>
      <c r="L370" s="351">
        <v>261005855</v>
      </c>
      <c r="P370" s="355"/>
      <c r="Q370" s="342"/>
      <c r="R370" s="5"/>
      <c r="S370" s="95"/>
      <c r="T370" s="5"/>
      <c r="U370" s="5"/>
      <c r="V370" s="319"/>
      <c r="W370" s="319"/>
      <c r="X370" s="309"/>
      <c r="Y370" s="309"/>
      <c r="Z370" s="309"/>
      <c r="AA370" s="308"/>
      <c r="AB370" s="355"/>
    </row>
    <row r="371" spans="2:28" ht="15.5" x14ac:dyDescent="0.35">
      <c r="B371" s="352">
        <v>44706</v>
      </c>
      <c r="C371" s="5" t="s">
        <v>30</v>
      </c>
      <c r="D371" s="94" t="s">
        <v>9</v>
      </c>
      <c r="E371" s="5" t="s">
        <v>26</v>
      </c>
      <c r="F371" s="5" t="s">
        <v>0</v>
      </c>
      <c r="G371" s="133">
        <v>61.87</v>
      </c>
      <c r="H371" s="133">
        <v>6.85</v>
      </c>
      <c r="I371" s="133">
        <v>1.1499999999999999</v>
      </c>
      <c r="J371" s="350">
        <v>0</v>
      </c>
      <c r="K371" s="354">
        <v>8.695652173913043</v>
      </c>
      <c r="L371" s="351">
        <v>261005857</v>
      </c>
      <c r="P371" s="355"/>
      <c r="Q371" s="343"/>
      <c r="R371" s="5"/>
      <c r="S371" s="95"/>
      <c r="T371" s="5"/>
      <c r="U371" s="5"/>
      <c r="V371" s="317"/>
      <c r="W371" s="320"/>
      <c r="X371" s="317"/>
      <c r="Y371" s="317"/>
      <c r="Z371" s="317"/>
      <c r="AA371" s="316"/>
      <c r="AB371" s="355"/>
    </row>
    <row r="372" spans="2:28" ht="15.5" x14ac:dyDescent="0.35">
      <c r="B372" s="352">
        <v>44707</v>
      </c>
      <c r="C372" s="5" t="s">
        <v>30</v>
      </c>
      <c r="D372" s="94" t="s">
        <v>9</v>
      </c>
      <c r="E372" s="5" t="s">
        <v>26</v>
      </c>
      <c r="F372" s="5" t="s">
        <v>0</v>
      </c>
      <c r="G372" s="133">
        <v>63.74</v>
      </c>
      <c r="H372" s="133">
        <v>2.93</v>
      </c>
      <c r="I372" s="133">
        <v>1.25</v>
      </c>
      <c r="J372" s="350">
        <v>0</v>
      </c>
      <c r="K372" s="354">
        <v>11.504424778761063</v>
      </c>
      <c r="L372" s="351">
        <v>261005859</v>
      </c>
      <c r="P372" s="355"/>
      <c r="Q372" s="344"/>
      <c r="R372" s="5"/>
      <c r="S372" s="95"/>
      <c r="T372" s="5"/>
      <c r="U372" s="5"/>
      <c r="V372" s="322"/>
      <c r="W372" s="322"/>
      <c r="X372" s="322"/>
      <c r="Y372" s="322"/>
      <c r="Z372" s="322"/>
      <c r="AA372" s="322"/>
      <c r="AB372" s="355"/>
    </row>
    <row r="373" spans="2:28" ht="16" thickBot="1" x14ac:dyDescent="0.4">
      <c r="B373" s="352">
        <v>44707</v>
      </c>
      <c r="C373" s="5" t="s">
        <v>30</v>
      </c>
      <c r="D373" s="94" t="s">
        <v>11</v>
      </c>
      <c r="E373" s="5" t="s">
        <v>26</v>
      </c>
      <c r="F373" s="5" t="s">
        <v>0</v>
      </c>
      <c r="G373" s="133">
        <v>63.95</v>
      </c>
      <c r="H373" s="133">
        <v>2.67</v>
      </c>
      <c r="I373" s="133">
        <v>1.43</v>
      </c>
      <c r="J373" s="350">
        <v>9.0090090090090094</v>
      </c>
      <c r="K373" s="354">
        <v>5.4054054054054053</v>
      </c>
      <c r="L373" s="351">
        <v>261006686</v>
      </c>
      <c r="P373" s="355"/>
      <c r="Q373" s="339"/>
      <c r="R373" s="5"/>
      <c r="S373" s="95"/>
      <c r="T373" s="5"/>
      <c r="U373" s="5"/>
      <c r="V373" s="323"/>
      <c r="W373" s="323"/>
      <c r="X373" s="323"/>
      <c r="Y373" s="318"/>
      <c r="Z373" s="318"/>
      <c r="AA373" s="318"/>
      <c r="AB373" s="355"/>
    </row>
    <row r="374" spans="2:28" ht="16" thickBot="1" x14ac:dyDescent="0.4">
      <c r="B374" s="352">
        <v>44709</v>
      </c>
      <c r="C374" s="5" t="s">
        <v>30</v>
      </c>
      <c r="D374" s="94" t="s">
        <v>9</v>
      </c>
      <c r="E374" s="5" t="s">
        <v>26</v>
      </c>
      <c r="F374" s="5" t="s">
        <v>0</v>
      </c>
      <c r="G374" s="133">
        <v>64.42</v>
      </c>
      <c r="H374" s="133">
        <v>2.2400000000000002</v>
      </c>
      <c r="I374" s="133">
        <v>1.06</v>
      </c>
      <c r="J374" s="350">
        <v>0</v>
      </c>
      <c r="K374" s="354">
        <v>17.431192660550462</v>
      </c>
      <c r="L374" s="351">
        <v>261005862</v>
      </c>
      <c r="P374" s="355"/>
      <c r="Q374" s="345"/>
      <c r="R374" s="5"/>
      <c r="S374" s="95"/>
      <c r="T374" s="5"/>
      <c r="U374" s="5"/>
      <c r="V374" s="292"/>
      <c r="W374" s="292"/>
      <c r="X374" s="289"/>
      <c r="Y374" s="289"/>
      <c r="Z374" s="289"/>
      <c r="AA374" s="280"/>
      <c r="AB374" s="355"/>
    </row>
    <row r="375" spans="2:28" ht="14.5" x14ac:dyDescent="0.35">
      <c r="B375" s="352">
        <v>44709</v>
      </c>
      <c r="C375" s="5" t="s">
        <v>30</v>
      </c>
      <c r="D375" s="94" t="s">
        <v>9</v>
      </c>
      <c r="E375" s="5" t="s">
        <v>26</v>
      </c>
      <c r="F375" s="5" t="s">
        <v>0</v>
      </c>
      <c r="G375" s="133">
        <v>62.2</v>
      </c>
      <c r="H375" s="133">
        <v>5.7</v>
      </c>
      <c r="I375" s="133">
        <v>1.1499999999999999</v>
      </c>
      <c r="J375" s="350">
        <v>0</v>
      </c>
      <c r="K375" s="354">
        <v>14.689265536723166</v>
      </c>
      <c r="L375" s="351">
        <v>261005863</v>
      </c>
      <c r="P375" s="355"/>
      <c r="Q375" s="352"/>
      <c r="R375" s="5"/>
      <c r="S375" s="95"/>
      <c r="T375" s="5"/>
      <c r="U375" s="5"/>
      <c r="V375" s="355"/>
      <c r="W375" s="355"/>
      <c r="X375" s="355"/>
      <c r="Y375" s="350"/>
      <c r="Z375" s="354"/>
      <c r="AA375" s="351"/>
      <c r="AB375" s="355"/>
    </row>
    <row r="376" spans="2:28" ht="14.5" x14ac:dyDescent="0.35">
      <c r="B376" s="352">
        <v>44710</v>
      </c>
      <c r="C376" s="5" t="s">
        <v>30</v>
      </c>
      <c r="D376" s="94" t="s">
        <v>9</v>
      </c>
      <c r="E376" s="5" t="s">
        <v>26</v>
      </c>
      <c r="F376" s="5" t="s">
        <v>0</v>
      </c>
      <c r="G376" s="133">
        <v>64.41</v>
      </c>
      <c r="H376" s="133">
        <v>1.96</v>
      </c>
      <c r="I376" s="133">
        <v>1.26</v>
      </c>
      <c r="J376" s="350">
        <v>6.7307692307692308</v>
      </c>
      <c r="K376" s="354">
        <v>14.903846153846153</v>
      </c>
      <c r="L376" s="351">
        <v>241000368</v>
      </c>
      <c r="P376" s="355"/>
      <c r="Q376" s="352"/>
      <c r="R376" s="5"/>
      <c r="S376" s="95"/>
      <c r="T376" s="5"/>
      <c r="U376" s="5"/>
      <c r="V376" s="355"/>
      <c r="W376" s="355"/>
      <c r="X376" s="355"/>
      <c r="Y376" s="350"/>
      <c r="Z376" s="354"/>
      <c r="AA376" s="351"/>
      <c r="AB376" s="355"/>
    </row>
    <row r="377" spans="2:28" ht="14.5" x14ac:dyDescent="0.35">
      <c r="B377" s="352">
        <v>44710</v>
      </c>
      <c r="C377" s="5" t="s">
        <v>30</v>
      </c>
      <c r="D377" s="94" t="s">
        <v>9</v>
      </c>
      <c r="E377" s="5" t="s">
        <v>26</v>
      </c>
      <c r="F377" s="5" t="s">
        <v>0</v>
      </c>
      <c r="G377" s="133">
        <v>62.83</v>
      </c>
      <c r="H377" s="133">
        <v>5.0999999999999996</v>
      </c>
      <c r="I377" s="133">
        <v>1.07</v>
      </c>
      <c r="J377" s="350">
        <v>0</v>
      </c>
      <c r="K377" s="354">
        <v>21.53846153846154</v>
      </c>
      <c r="L377" s="351">
        <v>261005865</v>
      </c>
      <c r="P377" s="355"/>
      <c r="Q377" s="352"/>
      <c r="R377" s="5"/>
      <c r="S377" s="95"/>
      <c r="T377" s="5"/>
      <c r="U377" s="5"/>
      <c r="V377" s="355"/>
      <c r="W377" s="355"/>
      <c r="X377" s="355"/>
      <c r="Y377" s="350"/>
      <c r="Z377" s="354"/>
      <c r="AA377" s="351"/>
      <c r="AB377" s="355"/>
    </row>
    <row r="378" spans="2:28" ht="14.5" x14ac:dyDescent="0.35">
      <c r="B378" s="352">
        <v>44710</v>
      </c>
      <c r="C378" s="5" t="s">
        <v>30</v>
      </c>
      <c r="D378" s="94" t="s">
        <v>9</v>
      </c>
      <c r="E378" s="5" t="s">
        <v>26</v>
      </c>
      <c r="F378" s="5" t="s">
        <v>0</v>
      </c>
      <c r="G378" s="133">
        <v>64.12</v>
      </c>
      <c r="H378" s="133">
        <v>2.0499999999999998</v>
      </c>
      <c r="I378" s="133">
        <v>1.39</v>
      </c>
      <c r="J378" s="350">
        <v>0</v>
      </c>
      <c r="K378" s="354">
        <v>15.306122448979592</v>
      </c>
      <c r="L378" s="351">
        <v>261005869</v>
      </c>
      <c r="P378" s="355"/>
      <c r="Q378" s="352"/>
      <c r="R378" s="5"/>
      <c r="S378" s="95"/>
      <c r="T378" s="5"/>
      <c r="U378" s="5"/>
      <c r="V378" s="355"/>
      <c r="W378" s="355"/>
      <c r="X378" s="355"/>
      <c r="Y378" s="350"/>
      <c r="Z378" s="354"/>
      <c r="AA378" s="351"/>
      <c r="AB378" s="355"/>
    </row>
    <row r="379" spans="2:28" ht="14.5" x14ac:dyDescent="0.35">
      <c r="B379" s="352">
        <v>44711</v>
      </c>
      <c r="C379" s="5" t="s">
        <v>30</v>
      </c>
      <c r="D379" s="94" t="s">
        <v>9</v>
      </c>
      <c r="E379" s="5" t="s">
        <v>26</v>
      </c>
      <c r="F379" s="5" t="s">
        <v>0</v>
      </c>
      <c r="G379" s="133">
        <v>63.64</v>
      </c>
      <c r="H379" s="133">
        <v>3.38</v>
      </c>
      <c r="I379" s="133">
        <v>1.08</v>
      </c>
      <c r="J379" s="350">
        <v>7.3529411764705888</v>
      </c>
      <c r="K379" s="354">
        <v>6.6176470588235299</v>
      </c>
      <c r="L379" s="351">
        <v>261005871</v>
      </c>
      <c r="P379" s="355"/>
      <c r="Q379" s="352"/>
      <c r="R379" s="5"/>
      <c r="S379" s="95"/>
      <c r="T379" s="5"/>
      <c r="U379" s="5"/>
      <c r="V379" s="355"/>
      <c r="W379" s="355"/>
      <c r="X379" s="355"/>
      <c r="Y379" s="350"/>
      <c r="Z379" s="354"/>
      <c r="AA379" s="351"/>
      <c r="AB379" s="355"/>
    </row>
    <row r="380" spans="2:28" ht="14.5" x14ac:dyDescent="0.35">
      <c r="B380" s="352">
        <v>44711</v>
      </c>
      <c r="C380" s="5" t="s">
        <v>30</v>
      </c>
      <c r="D380" s="94" t="s">
        <v>9</v>
      </c>
      <c r="E380" s="5" t="s">
        <v>26</v>
      </c>
      <c r="F380" s="5" t="s">
        <v>0</v>
      </c>
      <c r="G380" s="133">
        <v>64.53</v>
      </c>
      <c r="H380" s="133">
        <v>1.68</v>
      </c>
      <c r="I380" s="133">
        <v>1.22</v>
      </c>
      <c r="J380" s="350">
        <v>10.416666666666668</v>
      </c>
      <c r="K380" s="354">
        <v>10.416666666666668</v>
      </c>
      <c r="L380" s="351">
        <v>241000369</v>
      </c>
      <c r="P380" s="355"/>
      <c r="Q380" s="352"/>
      <c r="R380" s="5"/>
      <c r="S380" s="95"/>
      <c r="T380" s="5"/>
      <c r="U380" s="5"/>
      <c r="V380" s="355"/>
      <c r="W380" s="355"/>
      <c r="X380" s="355"/>
      <c r="Y380" s="350"/>
      <c r="Z380" s="354"/>
      <c r="AA380" s="351"/>
      <c r="AB380" s="355"/>
    </row>
    <row r="381" spans="2:28" ht="14.5" x14ac:dyDescent="0.35">
      <c r="B381" s="352">
        <v>44712</v>
      </c>
      <c r="C381" s="5" t="s">
        <v>30</v>
      </c>
      <c r="D381" s="94" t="s">
        <v>9</v>
      </c>
      <c r="E381" s="5" t="s">
        <v>26</v>
      </c>
      <c r="F381" s="5" t="s">
        <v>0</v>
      </c>
      <c r="G381" s="133">
        <v>61.18</v>
      </c>
      <c r="H381" s="133">
        <v>6.05</v>
      </c>
      <c r="I381" s="133">
        <v>2.42</v>
      </c>
      <c r="J381" s="350">
        <v>0</v>
      </c>
      <c r="K381" s="354">
        <v>18.000000000000004</v>
      </c>
      <c r="L381" s="351">
        <v>261005874</v>
      </c>
      <c r="P381" s="355"/>
      <c r="Q381" s="352"/>
      <c r="R381" s="5"/>
      <c r="S381" s="95"/>
      <c r="T381" s="5"/>
      <c r="U381" s="5"/>
      <c r="V381" s="355"/>
      <c r="W381" s="355"/>
      <c r="X381" s="355"/>
      <c r="Y381" s="350"/>
      <c r="Z381" s="354"/>
      <c r="AA381" s="351"/>
      <c r="AB381" s="355"/>
    </row>
    <row r="382" spans="2:28" ht="14.5" x14ac:dyDescent="0.35">
      <c r="B382" s="4">
        <v>44683</v>
      </c>
      <c r="C382" s="5" t="s">
        <v>30</v>
      </c>
      <c r="D382" s="346" t="s">
        <v>2</v>
      </c>
      <c r="E382" s="5" t="s">
        <v>26</v>
      </c>
      <c r="F382" s="5" t="s">
        <v>1</v>
      </c>
      <c r="G382" s="133">
        <v>60.696999999999989</v>
      </c>
      <c r="H382" s="133">
        <v>6.58</v>
      </c>
      <c r="I382" s="133">
        <v>2.13</v>
      </c>
      <c r="J382" s="44">
        <v>9.1463414634146361</v>
      </c>
      <c r="K382" s="44">
        <v>35.975609756097562</v>
      </c>
      <c r="L382" s="42">
        <v>261009889</v>
      </c>
      <c r="P382" s="355"/>
      <c r="Q382" s="352"/>
      <c r="R382" s="5"/>
      <c r="S382" s="95"/>
      <c r="T382" s="5"/>
      <c r="U382" s="5"/>
      <c r="V382" s="355"/>
      <c r="W382" s="355"/>
      <c r="X382" s="355"/>
      <c r="Y382" s="350"/>
      <c r="Z382" s="354"/>
      <c r="AA382" s="351"/>
      <c r="AB382" s="355"/>
    </row>
    <row r="383" spans="2:28" ht="14.5" x14ac:dyDescent="0.35">
      <c r="B383" s="4">
        <v>44683</v>
      </c>
      <c r="C383" s="5" t="s">
        <v>30</v>
      </c>
      <c r="D383" s="346" t="s">
        <v>2</v>
      </c>
      <c r="E383" s="5" t="s">
        <v>26</v>
      </c>
      <c r="F383" s="5" t="s">
        <v>1</v>
      </c>
      <c r="G383" s="133">
        <v>61.018999999999998</v>
      </c>
      <c r="H383" s="133">
        <v>6.6</v>
      </c>
      <c r="I383" s="133">
        <v>1.8</v>
      </c>
      <c r="J383" s="44">
        <v>8.3333333333333321</v>
      </c>
      <c r="K383" s="44">
        <v>39.743589743589745</v>
      </c>
      <c r="L383" s="42">
        <v>261009890</v>
      </c>
      <c r="P383" s="355"/>
      <c r="Q383" s="352"/>
      <c r="R383" s="5"/>
      <c r="S383" s="95"/>
      <c r="T383" s="5"/>
      <c r="U383" s="5"/>
      <c r="V383" s="355"/>
      <c r="W383" s="355"/>
      <c r="X383" s="355"/>
      <c r="Y383" s="350"/>
      <c r="Z383" s="354"/>
      <c r="AA383" s="351"/>
      <c r="AB383" s="355"/>
    </row>
    <row r="384" spans="2:28" ht="14.5" x14ac:dyDescent="0.35">
      <c r="B384" s="4">
        <v>44694</v>
      </c>
      <c r="C384" s="5" t="s">
        <v>30</v>
      </c>
      <c r="D384" s="346" t="s">
        <v>2</v>
      </c>
      <c r="E384" s="5" t="s">
        <v>26</v>
      </c>
      <c r="F384" s="5" t="s">
        <v>1</v>
      </c>
      <c r="G384" s="133">
        <v>60.93</v>
      </c>
      <c r="H384" s="133">
        <v>6.15</v>
      </c>
      <c r="I384" s="133">
        <v>2.15</v>
      </c>
      <c r="J384" s="43">
        <v>10.144927536231883</v>
      </c>
      <c r="K384" s="43">
        <v>36.231884057971016</v>
      </c>
      <c r="L384" s="42">
        <v>241000524</v>
      </c>
      <c r="P384" s="355"/>
      <c r="Q384" s="352"/>
      <c r="R384" s="5"/>
      <c r="S384" s="95"/>
      <c r="T384" s="5"/>
      <c r="U384" s="5"/>
      <c r="V384" s="355"/>
      <c r="W384" s="355"/>
      <c r="X384" s="355"/>
      <c r="Y384" s="350"/>
      <c r="Z384" s="354"/>
      <c r="AA384" s="351"/>
      <c r="AB384" s="355"/>
    </row>
    <row r="385" spans="2:28" ht="14.5" x14ac:dyDescent="0.35">
      <c r="B385" s="4">
        <v>44702</v>
      </c>
      <c r="C385" s="5" t="s">
        <v>30</v>
      </c>
      <c r="D385" s="346" t="s">
        <v>2</v>
      </c>
      <c r="E385" s="5" t="s">
        <v>26</v>
      </c>
      <c r="F385" s="5" t="s">
        <v>1</v>
      </c>
      <c r="G385" s="133">
        <v>61.984999999999992</v>
      </c>
      <c r="H385" s="133">
        <v>4.91</v>
      </c>
      <c r="I385" s="133">
        <v>1.95</v>
      </c>
      <c r="J385" s="44">
        <v>6.2893081761006293</v>
      </c>
      <c r="K385" s="44">
        <v>45.283018867924532</v>
      </c>
      <c r="L385" s="42">
        <v>241000528</v>
      </c>
      <c r="P385" s="355"/>
      <c r="Q385" s="352"/>
      <c r="R385" s="5"/>
      <c r="S385" s="95"/>
      <c r="T385" s="5"/>
      <c r="U385" s="5"/>
      <c r="V385" s="355"/>
      <c r="W385" s="355"/>
      <c r="X385" s="355"/>
      <c r="Y385" s="350"/>
      <c r="Z385" s="354"/>
      <c r="AA385" s="351"/>
      <c r="AB385" s="355"/>
    </row>
    <row r="386" spans="2:28" ht="14.5" x14ac:dyDescent="0.35">
      <c r="B386" s="4">
        <v>44703</v>
      </c>
      <c r="C386" s="5" t="s">
        <v>30</v>
      </c>
      <c r="D386" s="346" t="s">
        <v>2</v>
      </c>
      <c r="E386" s="5" t="s">
        <v>26</v>
      </c>
      <c r="F386" s="5" t="s">
        <v>1</v>
      </c>
      <c r="G386" s="133">
        <v>61.31</v>
      </c>
      <c r="H386" s="133">
        <v>6.54</v>
      </c>
      <c r="I386" s="133">
        <v>2.0099999999999998</v>
      </c>
      <c r="J386" s="44">
        <v>7.5</v>
      </c>
      <c r="K386" s="44">
        <v>44.375</v>
      </c>
      <c r="L386" s="42">
        <v>261009937</v>
      </c>
      <c r="P386" s="355"/>
      <c r="Q386" s="352"/>
      <c r="R386" s="5"/>
      <c r="S386" s="95"/>
      <c r="T386" s="5"/>
      <c r="U386" s="5"/>
      <c r="V386" s="355"/>
      <c r="W386" s="355"/>
      <c r="X386" s="355"/>
      <c r="Y386" s="350"/>
      <c r="Z386" s="354"/>
      <c r="AA386" s="351"/>
      <c r="AB386" s="355"/>
    </row>
    <row r="387" spans="2:28" ht="14.5" x14ac:dyDescent="0.35">
      <c r="B387" s="4">
        <v>44703</v>
      </c>
      <c r="C387" s="5" t="s">
        <v>30</v>
      </c>
      <c r="D387" s="346" t="s">
        <v>2</v>
      </c>
      <c r="E387" s="5" t="s">
        <v>26</v>
      </c>
      <c r="F387" s="5" t="s">
        <v>1</v>
      </c>
      <c r="G387" s="133">
        <v>61.11</v>
      </c>
      <c r="H387" s="133">
        <v>6.9</v>
      </c>
      <c r="I387" s="133">
        <v>1.89</v>
      </c>
      <c r="J387" s="44">
        <v>6.9930069930069925</v>
      </c>
      <c r="K387" s="44">
        <v>44.755244755244753</v>
      </c>
      <c r="L387" s="42">
        <v>261009938</v>
      </c>
      <c r="P387" s="355"/>
      <c r="Q387" s="352"/>
      <c r="R387" s="5"/>
      <c r="S387" s="95"/>
      <c r="T387" s="5"/>
      <c r="U387" s="5"/>
      <c r="V387" s="355"/>
      <c r="W387" s="355"/>
      <c r="X387" s="355"/>
      <c r="Y387" s="350"/>
      <c r="Z387" s="354"/>
      <c r="AA387" s="351"/>
      <c r="AB387" s="355"/>
    </row>
    <row r="388" spans="2:28" ht="14.5" x14ac:dyDescent="0.35">
      <c r="B388" s="4">
        <v>44707</v>
      </c>
      <c r="C388" s="5" t="s">
        <v>30</v>
      </c>
      <c r="D388" s="346" t="s">
        <v>2</v>
      </c>
      <c r="E388" s="5" t="s">
        <v>26</v>
      </c>
      <c r="F388" s="5" t="s">
        <v>1</v>
      </c>
      <c r="G388" s="133">
        <v>61.01</v>
      </c>
      <c r="H388" s="133">
        <v>6.33</v>
      </c>
      <c r="I388" s="133">
        <v>2.75</v>
      </c>
      <c r="J388" s="44">
        <v>7.4829931972789119</v>
      </c>
      <c r="K388" s="44">
        <v>44.217687074829932</v>
      </c>
      <c r="L388" s="42">
        <v>261009945</v>
      </c>
      <c r="P388" s="355"/>
      <c r="Q388" s="352"/>
      <c r="R388" s="5"/>
      <c r="S388" s="95"/>
      <c r="T388" s="5"/>
      <c r="U388" s="5"/>
      <c r="V388" s="355"/>
      <c r="W388" s="355"/>
      <c r="X388" s="355"/>
      <c r="Y388" s="350"/>
      <c r="Z388" s="354"/>
      <c r="AA388" s="351"/>
      <c r="AB388" s="355"/>
    </row>
    <row r="389" spans="2:28" ht="14.5" x14ac:dyDescent="0.35">
      <c r="B389" s="4">
        <v>44708</v>
      </c>
      <c r="C389" s="5" t="s">
        <v>30</v>
      </c>
      <c r="D389" s="346" t="s">
        <v>2</v>
      </c>
      <c r="E389" s="5" t="s">
        <v>26</v>
      </c>
      <c r="F389" s="5" t="s">
        <v>1</v>
      </c>
      <c r="G389" s="133">
        <v>61.55</v>
      </c>
      <c r="H389" s="133">
        <v>6.42</v>
      </c>
      <c r="I389" s="133">
        <v>1.82</v>
      </c>
      <c r="J389" s="44">
        <v>8.3333333333333321</v>
      </c>
      <c r="K389" s="44">
        <v>43.333333333333336</v>
      </c>
      <c r="L389" s="42">
        <v>261009945</v>
      </c>
      <c r="P389" s="355"/>
      <c r="Q389" s="352"/>
      <c r="R389" s="5"/>
      <c r="S389" s="95"/>
      <c r="T389" s="5"/>
      <c r="U389" s="5"/>
      <c r="V389" s="355"/>
      <c r="W389" s="355"/>
      <c r="X389" s="355"/>
      <c r="Y389" s="350"/>
      <c r="Z389" s="354"/>
      <c r="AA389" s="351"/>
      <c r="AB389" s="355"/>
    </row>
    <row r="390" spans="2:28" ht="14.5" x14ac:dyDescent="0.35">
      <c r="B390" s="4">
        <v>44709</v>
      </c>
      <c r="C390" s="5" t="s">
        <v>30</v>
      </c>
      <c r="D390" s="346" t="s">
        <v>2</v>
      </c>
      <c r="E390" s="5" t="s">
        <v>26</v>
      </c>
      <c r="F390" s="5" t="s">
        <v>1</v>
      </c>
      <c r="G390" s="133">
        <v>60.836999999999996</v>
      </c>
      <c r="H390" s="133">
        <v>7.17</v>
      </c>
      <c r="I390" s="133">
        <v>1.83</v>
      </c>
      <c r="J390" s="44">
        <v>6.3829787234042561</v>
      </c>
      <c r="K390" s="44">
        <v>45.390070921985817</v>
      </c>
      <c r="L390" s="42">
        <v>241000530</v>
      </c>
      <c r="P390" s="355"/>
      <c r="Q390" s="352"/>
      <c r="R390" s="5"/>
      <c r="S390" s="95"/>
      <c r="T390" s="5"/>
      <c r="U390" s="5"/>
      <c r="V390" s="355"/>
      <c r="W390" s="355"/>
      <c r="X390" s="355"/>
      <c r="Y390" s="350"/>
      <c r="Z390" s="354"/>
      <c r="AA390" s="351"/>
      <c r="AB390" s="355"/>
    </row>
    <row r="391" spans="2:28" ht="14.5" x14ac:dyDescent="0.35">
      <c r="B391" s="4">
        <v>44710</v>
      </c>
      <c r="C391" s="5" t="s">
        <v>30</v>
      </c>
      <c r="D391" s="346" t="s">
        <v>2</v>
      </c>
      <c r="E391" s="5" t="s">
        <v>26</v>
      </c>
      <c r="F391" s="5" t="s">
        <v>1</v>
      </c>
      <c r="G391" s="133">
        <v>61.96</v>
      </c>
      <c r="H391" s="133">
        <v>6.42</v>
      </c>
      <c r="I391" s="133">
        <v>1.17</v>
      </c>
      <c r="J391" s="44">
        <v>7.4534161490683219</v>
      </c>
      <c r="K391" s="44">
        <v>44.720496894409933</v>
      </c>
      <c r="L391" s="42">
        <v>261009952</v>
      </c>
      <c r="P391" s="355"/>
      <c r="Q391" s="352"/>
      <c r="R391" s="5"/>
      <c r="S391" s="95"/>
      <c r="T391" s="5"/>
      <c r="U391" s="5"/>
      <c r="V391" s="355"/>
      <c r="W391" s="355"/>
      <c r="X391" s="355"/>
      <c r="Y391" s="350"/>
      <c r="Z391" s="354"/>
      <c r="AA391" s="351"/>
      <c r="AB391" s="355"/>
    </row>
    <row r="392" spans="2:28" ht="14.5" x14ac:dyDescent="0.35">
      <c r="B392" s="4">
        <v>44682</v>
      </c>
      <c r="C392" s="5" t="s">
        <v>30</v>
      </c>
      <c r="D392" s="346" t="s">
        <v>11</v>
      </c>
      <c r="E392" s="5" t="s">
        <v>26</v>
      </c>
      <c r="F392" s="5" t="s">
        <v>1</v>
      </c>
      <c r="G392" s="133">
        <v>63.51</v>
      </c>
      <c r="H392" s="133">
        <v>2.82</v>
      </c>
      <c r="I392" s="133">
        <v>2.0299999999999998</v>
      </c>
      <c r="J392" s="43">
        <v>7.7922077922077921</v>
      </c>
      <c r="K392" s="133">
        <v>42.207792207792203</v>
      </c>
      <c r="L392" s="42">
        <v>261006638</v>
      </c>
      <c r="P392" s="355"/>
      <c r="Q392" s="352"/>
      <c r="R392" s="5"/>
      <c r="S392" s="95"/>
      <c r="T392" s="5"/>
      <c r="U392" s="5"/>
      <c r="V392" s="355"/>
      <c r="W392" s="355"/>
      <c r="X392" s="355"/>
      <c r="Y392" s="350"/>
      <c r="Z392" s="354"/>
      <c r="AA392" s="351"/>
      <c r="AB392" s="355"/>
    </row>
    <row r="393" spans="2:28" ht="14.5" x14ac:dyDescent="0.35">
      <c r="B393" s="4">
        <v>44683</v>
      </c>
      <c r="C393" s="5" t="s">
        <v>30</v>
      </c>
      <c r="D393" s="346" t="s">
        <v>11</v>
      </c>
      <c r="E393" s="5" t="s">
        <v>26</v>
      </c>
      <c r="F393" s="5" t="s">
        <v>1</v>
      </c>
      <c r="G393" s="133">
        <v>62.047999999999995</v>
      </c>
      <c r="H393" s="133">
        <v>4.5</v>
      </c>
      <c r="I393" s="133">
        <v>2.5499999999999998</v>
      </c>
      <c r="J393" s="43">
        <v>7.0063694267515935</v>
      </c>
      <c r="K393" s="133">
        <v>46.496815286624205</v>
      </c>
      <c r="L393" s="42">
        <v>261006639</v>
      </c>
      <c r="P393" s="355"/>
      <c r="Q393" s="352"/>
      <c r="R393" s="5"/>
      <c r="S393" s="95"/>
      <c r="T393" s="5"/>
      <c r="U393" s="5"/>
      <c r="V393" s="355"/>
      <c r="W393" s="355"/>
      <c r="X393" s="355"/>
      <c r="Y393" s="350"/>
      <c r="Z393" s="354"/>
      <c r="AA393" s="351"/>
      <c r="AB393" s="355"/>
    </row>
    <row r="394" spans="2:28" ht="14.5" x14ac:dyDescent="0.35">
      <c r="B394" s="4">
        <v>44686</v>
      </c>
      <c r="C394" s="5" t="s">
        <v>30</v>
      </c>
      <c r="D394" s="346" t="s">
        <v>11</v>
      </c>
      <c r="E394" s="5" t="s">
        <v>26</v>
      </c>
      <c r="F394" s="5" t="s">
        <v>1</v>
      </c>
      <c r="G394" s="133">
        <v>63.65</v>
      </c>
      <c r="H394" s="133">
        <v>2.7</v>
      </c>
      <c r="I394" s="133">
        <v>1.98</v>
      </c>
      <c r="J394" s="43">
        <v>7.2463768115942031</v>
      </c>
      <c r="K394" s="133">
        <v>44.927536231884055</v>
      </c>
      <c r="L394" s="42">
        <v>261006645</v>
      </c>
      <c r="P394" s="355"/>
      <c r="Q394" s="352"/>
      <c r="R394" s="5"/>
      <c r="S394" s="95"/>
      <c r="T394" s="5"/>
      <c r="U394" s="5"/>
      <c r="V394" s="355"/>
      <c r="W394" s="355"/>
      <c r="X394" s="355"/>
      <c r="Y394" s="350"/>
      <c r="Z394" s="354"/>
      <c r="AA394" s="351"/>
      <c r="AB394" s="355"/>
    </row>
    <row r="395" spans="2:28" ht="14.5" x14ac:dyDescent="0.35">
      <c r="B395" s="4">
        <v>44688</v>
      </c>
      <c r="C395" s="5" t="s">
        <v>30</v>
      </c>
      <c r="D395" s="346" t="s">
        <v>11</v>
      </c>
      <c r="E395" s="5" t="s">
        <v>26</v>
      </c>
      <c r="F395" s="5" t="s">
        <v>1</v>
      </c>
      <c r="G395" s="133">
        <v>63.994</v>
      </c>
      <c r="H395" s="133">
        <v>2.4700000000000002</v>
      </c>
      <c r="I395" s="133">
        <v>1.43</v>
      </c>
      <c r="J395" s="44">
        <v>8.2191780821917799</v>
      </c>
      <c r="K395" s="133">
        <v>39.726027397260268</v>
      </c>
      <c r="L395" s="42">
        <v>261006649</v>
      </c>
      <c r="P395" s="355"/>
      <c r="Q395" s="352"/>
      <c r="R395" s="5"/>
      <c r="S395" s="95"/>
      <c r="T395" s="5"/>
      <c r="U395" s="5"/>
      <c r="V395" s="355"/>
      <c r="W395" s="355"/>
      <c r="X395" s="355"/>
      <c r="Y395" s="350"/>
      <c r="Z395" s="354"/>
      <c r="AA395" s="351"/>
      <c r="AB395" s="355"/>
    </row>
    <row r="396" spans="2:28" ht="14.5" x14ac:dyDescent="0.35">
      <c r="B396" s="4">
        <v>44692</v>
      </c>
      <c r="C396" s="5" t="s">
        <v>30</v>
      </c>
      <c r="D396" s="346" t="s">
        <v>11</v>
      </c>
      <c r="E396" s="5" t="s">
        <v>26</v>
      </c>
      <c r="F396" s="5" t="s">
        <v>1</v>
      </c>
      <c r="G396" s="133">
        <v>62.97</v>
      </c>
      <c r="H396" s="133">
        <v>2.95</v>
      </c>
      <c r="I396" s="133">
        <v>2.33</v>
      </c>
      <c r="J396" s="43">
        <v>5.982905982905983</v>
      </c>
      <c r="K396" s="133">
        <v>43.589743589743591</v>
      </c>
      <c r="L396" s="42">
        <v>261006654</v>
      </c>
      <c r="P396" s="355"/>
      <c r="Q396" s="352"/>
      <c r="R396" s="5"/>
      <c r="S396" s="95"/>
      <c r="T396" s="5"/>
      <c r="U396" s="5"/>
      <c r="V396" s="355"/>
      <c r="W396" s="355"/>
      <c r="X396" s="355"/>
      <c r="Y396" s="350"/>
      <c r="Z396" s="354"/>
      <c r="AA396" s="351"/>
      <c r="AB396" s="355"/>
    </row>
    <row r="397" spans="2:28" ht="14.5" x14ac:dyDescent="0.35">
      <c r="B397" s="4">
        <v>44693</v>
      </c>
      <c r="C397" s="5" t="s">
        <v>30</v>
      </c>
      <c r="D397" s="346" t="s">
        <v>11</v>
      </c>
      <c r="E397" s="5" t="s">
        <v>26</v>
      </c>
      <c r="F397" s="5" t="s">
        <v>1</v>
      </c>
      <c r="G397" s="133">
        <v>62.79</v>
      </c>
      <c r="H397" s="133">
        <v>4.79</v>
      </c>
      <c r="I397" s="133">
        <v>1.1200000000000001</v>
      </c>
      <c r="J397" s="43">
        <v>9.6551724137931032</v>
      </c>
      <c r="K397" s="133">
        <v>37.931034482758619</v>
      </c>
      <c r="L397" s="42">
        <v>261006656</v>
      </c>
      <c r="P397" s="355"/>
      <c r="Q397" s="352"/>
      <c r="R397" s="5"/>
      <c r="S397" s="95"/>
      <c r="T397" s="5"/>
      <c r="U397" s="5"/>
      <c r="V397" s="355"/>
      <c r="W397" s="355"/>
      <c r="X397" s="355"/>
      <c r="Y397" s="350"/>
      <c r="Z397" s="354"/>
      <c r="AA397" s="351"/>
      <c r="AB397" s="355"/>
    </row>
    <row r="398" spans="2:28" ht="14.5" x14ac:dyDescent="0.35">
      <c r="B398" s="4">
        <v>44694</v>
      </c>
      <c r="C398" s="5" t="s">
        <v>30</v>
      </c>
      <c r="D398" s="346" t="s">
        <v>11</v>
      </c>
      <c r="E398" s="5" t="s">
        <v>26</v>
      </c>
      <c r="F398" s="5" t="s">
        <v>1</v>
      </c>
      <c r="G398" s="133">
        <v>60.36</v>
      </c>
      <c r="H398" s="133">
        <v>6.18</v>
      </c>
      <c r="I398" s="133">
        <v>3.48</v>
      </c>
      <c r="J398" s="43">
        <v>11.38211382113821</v>
      </c>
      <c r="K398" s="133">
        <v>32.520325203252028</v>
      </c>
      <c r="L398" s="42">
        <v>261006657</v>
      </c>
      <c r="P398" s="355"/>
      <c r="Q398" s="352"/>
      <c r="R398" s="5"/>
      <c r="S398" s="95"/>
      <c r="T398" s="5"/>
      <c r="U398" s="5"/>
      <c r="V398" s="355"/>
      <c r="W398" s="355"/>
      <c r="X398" s="355"/>
      <c r="Y398" s="350"/>
      <c r="Z398" s="354"/>
      <c r="AA398" s="351"/>
      <c r="AB398" s="355"/>
    </row>
    <row r="399" spans="2:28" ht="14.5" x14ac:dyDescent="0.35">
      <c r="B399" s="4">
        <v>44703</v>
      </c>
      <c r="C399" s="5" t="s">
        <v>30</v>
      </c>
      <c r="D399" s="346" t="s">
        <v>11</v>
      </c>
      <c r="E399" s="5" t="s">
        <v>26</v>
      </c>
      <c r="F399" s="5" t="s">
        <v>1</v>
      </c>
      <c r="G399" s="133">
        <v>63.588000000000001</v>
      </c>
      <c r="H399" s="133">
        <v>2.9</v>
      </c>
      <c r="I399" s="133">
        <v>1.51</v>
      </c>
      <c r="J399" s="43">
        <v>6.9444444444444446</v>
      </c>
      <c r="K399" s="133">
        <v>47.222222222222229</v>
      </c>
      <c r="L399" s="42">
        <v>261006672</v>
      </c>
      <c r="P399" s="355"/>
      <c r="Q399" s="352"/>
      <c r="R399" s="5"/>
      <c r="S399" s="95"/>
      <c r="T399" s="5"/>
      <c r="U399" s="5"/>
      <c r="V399" s="355"/>
      <c r="W399" s="355"/>
      <c r="X399" s="355"/>
      <c r="Y399" s="350"/>
      <c r="Z399" s="354"/>
      <c r="AA399" s="351"/>
      <c r="AB399" s="355"/>
    </row>
    <row r="400" spans="2:28" ht="14.5" x14ac:dyDescent="0.35">
      <c r="B400" s="4">
        <v>44705</v>
      </c>
      <c r="C400" s="5" t="s">
        <v>30</v>
      </c>
      <c r="D400" s="346" t="s">
        <v>11</v>
      </c>
      <c r="E400" s="5" t="s">
        <v>26</v>
      </c>
      <c r="F400" s="5" t="s">
        <v>1</v>
      </c>
      <c r="G400" s="133">
        <v>63.48</v>
      </c>
      <c r="H400" s="133">
        <v>2.86</v>
      </c>
      <c r="I400" s="133">
        <v>1.79</v>
      </c>
      <c r="J400" s="43">
        <v>6.1224489795918373</v>
      </c>
      <c r="K400" s="133">
        <v>48.979591836734699</v>
      </c>
      <c r="L400" s="42">
        <v>261006682</v>
      </c>
      <c r="P400" s="355"/>
      <c r="Q400" s="352"/>
      <c r="R400" s="5"/>
      <c r="S400" s="95"/>
      <c r="T400" s="5"/>
      <c r="U400" s="5"/>
      <c r="V400" s="355"/>
      <c r="W400" s="355"/>
      <c r="X400" s="355"/>
      <c r="Y400" s="350"/>
      <c r="Z400" s="354"/>
      <c r="AA400" s="351"/>
      <c r="AB400" s="355"/>
    </row>
    <row r="401" spans="2:28" ht="14.5" x14ac:dyDescent="0.35">
      <c r="B401" s="4">
        <v>44707</v>
      </c>
      <c r="C401" s="5" t="s">
        <v>30</v>
      </c>
      <c r="D401" s="346" t="s">
        <v>11</v>
      </c>
      <c r="E401" s="5" t="s">
        <v>26</v>
      </c>
      <c r="F401" s="5" t="s">
        <v>1</v>
      </c>
      <c r="G401" s="133">
        <v>63.93</v>
      </c>
      <c r="H401" s="133">
        <v>2.66</v>
      </c>
      <c r="I401" s="133">
        <v>1.26</v>
      </c>
      <c r="J401" s="43">
        <v>6.8181818181818192</v>
      </c>
      <c r="K401" s="133">
        <v>43.181818181818187</v>
      </c>
      <c r="L401" s="42">
        <v>261006686</v>
      </c>
      <c r="P401" s="355"/>
      <c r="Q401" s="352"/>
      <c r="R401" s="5"/>
      <c r="S401" s="95"/>
      <c r="T401" s="5"/>
      <c r="U401" s="5"/>
      <c r="V401" s="355"/>
      <c r="W401" s="355"/>
      <c r="X401" s="355"/>
      <c r="Y401" s="350"/>
      <c r="Z401" s="354"/>
      <c r="AA401" s="351"/>
      <c r="AB401" s="355"/>
    </row>
    <row r="402" spans="2:28" ht="14.5" x14ac:dyDescent="0.35">
      <c r="B402" s="4">
        <v>44707</v>
      </c>
      <c r="C402" s="5" t="s">
        <v>30</v>
      </c>
      <c r="D402" s="346" t="s">
        <v>11</v>
      </c>
      <c r="E402" s="5" t="s">
        <v>26</v>
      </c>
      <c r="F402" s="5" t="s">
        <v>1</v>
      </c>
      <c r="G402" s="133">
        <v>63.85</v>
      </c>
      <c r="H402" s="133">
        <v>2.93</v>
      </c>
      <c r="I402" s="133">
        <v>1.24</v>
      </c>
      <c r="J402" s="43">
        <v>10.416666666666666</v>
      </c>
      <c r="K402" s="133">
        <v>31.944444444444443</v>
      </c>
      <c r="L402" s="42">
        <v>241000405</v>
      </c>
      <c r="Q402" s="6"/>
    </row>
    <row r="403" spans="2:28" ht="14.5" x14ac:dyDescent="0.35">
      <c r="B403" s="4">
        <v>44708</v>
      </c>
      <c r="C403" s="5" t="s">
        <v>30</v>
      </c>
      <c r="D403" s="346" t="s">
        <v>11</v>
      </c>
      <c r="E403" s="5" t="s">
        <v>26</v>
      </c>
      <c r="F403" s="5" t="s">
        <v>1</v>
      </c>
      <c r="G403" s="133">
        <v>63.82</v>
      </c>
      <c r="H403" s="133">
        <v>2.97</v>
      </c>
      <c r="I403" s="133">
        <v>1.82</v>
      </c>
      <c r="J403" s="43">
        <v>9.183673469387756</v>
      </c>
      <c r="K403" s="133">
        <v>35.374149659863946</v>
      </c>
      <c r="L403" s="42">
        <v>241000405</v>
      </c>
      <c r="Q403" s="6"/>
    </row>
    <row r="404" spans="2:28" ht="14.5" x14ac:dyDescent="0.35">
      <c r="B404" s="4">
        <v>44709</v>
      </c>
      <c r="C404" s="5" t="s">
        <v>30</v>
      </c>
      <c r="D404" s="346" t="s">
        <v>11</v>
      </c>
      <c r="E404" s="5" t="s">
        <v>26</v>
      </c>
      <c r="F404" s="5" t="s">
        <v>1</v>
      </c>
      <c r="G404" s="133">
        <v>63.930999999999997</v>
      </c>
      <c r="H404" s="133">
        <v>3</v>
      </c>
      <c r="I404" s="133">
        <v>1.1599999999999999</v>
      </c>
      <c r="J404" s="43">
        <v>7.3529411764705888</v>
      </c>
      <c r="K404" s="133">
        <v>41.911764705882355</v>
      </c>
      <c r="L404" s="42">
        <v>261006689</v>
      </c>
      <c r="Q404" s="6"/>
    </row>
    <row r="405" spans="2:28" ht="14.5" x14ac:dyDescent="0.35">
      <c r="B405" s="4">
        <v>44712</v>
      </c>
      <c r="C405" s="5" t="s">
        <v>30</v>
      </c>
      <c r="D405" s="346" t="s">
        <v>11</v>
      </c>
      <c r="E405" s="5" t="s">
        <v>26</v>
      </c>
      <c r="F405" s="5" t="s">
        <v>1</v>
      </c>
      <c r="G405" s="133">
        <v>61.277999999999999</v>
      </c>
      <c r="H405" s="133">
        <v>5.51</v>
      </c>
      <c r="I405" s="133">
        <v>2.62</v>
      </c>
      <c r="J405" s="43">
        <v>6.4748201438848918</v>
      </c>
      <c r="K405" s="133">
        <v>44.60431654676259</v>
      </c>
      <c r="L405" s="42">
        <v>261006699</v>
      </c>
      <c r="Q405" s="6"/>
    </row>
    <row r="406" spans="2:28" ht="14.5" x14ac:dyDescent="0.35">
      <c r="B406" s="4">
        <v>44683</v>
      </c>
      <c r="C406" s="5" t="s">
        <v>30</v>
      </c>
      <c r="D406" s="346" t="s">
        <v>9</v>
      </c>
      <c r="E406" s="5" t="s">
        <v>26</v>
      </c>
      <c r="F406" s="5" t="s">
        <v>1</v>
      </c>
      <c r="G406" s="133">
        <v>62.832000000000001</v>
      </c>
      <c r="H406" s="133">
        <v>2.82</v>
      </c>
      <c r="I406" s="133">
        <v>2.75</v>
      </c>
      <c r="J406" s="133">
        <v>5.625</v>
      </c>
      <c r="K406" s="133">
        <v>54.374999999999993</v>
      </c>
      <c r="L406" s="42">
        <v>261005799</v>
      </c>
      <c r="Q406" s="6"/>
    </row>
    <row r="407" spans="2:28" ht="14.5" x14ac:dyDescent="0.35">
      <c r="B407" s="4">
        <v>44684</v>
      </c>
      <c r="C407" s="5" t="s">
        <v>30</v>
      </c>
      <c r="D407" s="346" t="s">
        <v>9</v>
      </c>
      <c r="E407" s="5" t="s">
        <v>26</v>
      </c>
      <c r="F407" s="5" t="s">
        <v>1</v>
      </c>
      <c r="G407" s="133">
        <v>62.32</v>
      </c>
      <c r="H407" s="133">
        <v>3.65</v>
      </c>
      <c r="I407" s="133">
        <v>2.77</v>
      </c>
      <c r="J407" s="133">
        <v>8.092485549132947</v>
      </c>
      <c r="K407" s="133">
        <v>41.618497109826592</v>
      </c>
      <c r="L407" s="42">
        <v>261005800</v>
      </c>
      <c r="Q407" s="6"/>
    </row>
    <row r="408" spans="2:28" ht="14.5" x14ac:dyDescent="0.35">
      <c r="B408" s="4">
        <v>44684</v>
      </c>
      <c r="C408" s="5" t="s">
        <v>30</v>
      </c>
      <c r="D408" s="346" t="s">
        <v>9</v>
      </c>
      <c r="E408" s="5" t="s">
        <v>26</v>
      </c>
      <c r="F408" s="5" t="s">
        <v>1</v>
      </c>
      <c r="G408" s="133">
        <v>61.06</v>
      </c>
      <c r="H408" s="133">
        <v>5.15</v>
      </c>
      <c r="I408" s="133">
        <v>2.91</v>
      </c>
      <c r="J408" s="133">
        <v>8.6666666666666679</v>
      </c>
      <c r="K408" s="133">
        <v>40.666666666666664</v>
      </c>
      <c r="L408" s="42">
        <v>261005801</v>
      </c>
      <c r="Q408" s="6"/>
    </row>
    <row r="409" spans="2:28" ht="14.5" x14ac:dyDescent="0.35">
      <c r="B409" s="4">
        <v>44685</v>
      </c>
      <c r="C409" s="5" t="s">
        <v>30</v>
      </c>
      <c r="D409" s="346" t="s">
        <v>9</v>
      </c>
      <c r="E409" s="5" t="s">
        <v>26</v>
      </c>
      <c r="F409" s="5" t="s">
        <v>1</v>
      </c>
      <c r="G409" s="133">
        <v>62.04</v>
      </c>
      <c r="H409" s="133">
        <v>3.75</v>
      </c>
      <c r="I409" s="133">
        <v>2.98</v>
      </c>
      <c r="J409" s="133">
        <v>8.6330935251798557</v>
      </c>
      <c r="K409" s="133">
        <v>41.726618705035975</v>
      </c>
      <c r="L409" s="42">
        <v>261005802</v>
      </c>
      <c r="Q409" s="6"/>
    </row>
    <row r="410" spans="2:28" ht="14.5" x14ac:dyDescent="0.35">
      <c r="B410" s="4">
        <v>44685</v>
      </c>
      <c r="C410" s="5" t="s">
        <v>30</v>
      </c>
      <c r="D410" s="346" t="s">
        <v>9</v>
      </c>
      <c r="E410" s="5" t="s">
        <v>26</v>
      </c>
      <c r="F410" s="5" t="s">
        <v>1</v>
      </c>
      <c r="G410" s="133">
        <v>63.31</v>
      </c>
      <c r="H410" s="133">
        <v>2.73</v>
      </c>
      <c r="I410" s="133">
        <v>2.0099999999999998</v>
      </c>
      <c r="J410" s="133">
        <v>7.7922077922077921</v>
      </c>
      <c r="K410" s="133">
        <v>44.805194805194809</v>
      </c>
      <c r="L410" s="42">
        <v>261005803</v>
      </c>
      <c r="Q410" s="6"/>
    </row>
    <row r="411" spans="2:28" ht="14.5" x14ac:dyDescent="0.35">
      <c r="B411" s="4">
        <v>44685</v>
      </c>
      <c r="C411" s="5" t="s">
        <v>30</v>
      </c>
      <c r="D411" s="346" t="s">
        <v>9</v>
      </c>
      <c r="E411" s="5" t="s">
        <v>26</v>
      </c>
      <c r="F411" s="5" t="s">
        <v>1</v>
      </c>
      <c r="G411" s="133">
        <v>62.68</v>
      </c>
      <c r="H411" s="133">
        <v>3.59</v>
      </c>
      <c r="I411" s="133">
        <v>2.2799999999999998</v>
      </c>
      <c r="J411" s="133">
        <v>7.0063694267515935</v>
      </c>
      <c r="K411" s="133">
        <v>46.496815286624205</v>
      </c>
      <c r="L411" s="42">
        <v>261005804</v>
      </c>
      <c r="Q411" s="6"/>
    </row>
    <row r="412" spans="2:28" ht="14.5" x14ac:dyDescent="0.35">
      <c r="B412" s="4">
        <v>44686</v>
      </c>
      <c r="C412" s="5" t="s">
        <v>30</v>
      </c>
      <c r="D412" s="346" t="s">
        <v>9</v>
      </c>
      <c r="E412" s="5" t="s">
        <v>26</v>
      </c>
      <c r="F412" s="5" t="s">
        <v>1</v>
      </c>
      <c r="G412" s="133">
        <v>63.32</v>
      </c>
      <c r="H412" s="133">
        <v>2.85</v>
      </c>
      <c r="I412" s="133">
        <v>2.04</v>
      </c>
      <c r="J412" s="133">
        <v>6.7484662576687118</v>
      </c>
      <c r="K412" s="133">
        <v>46.012269938650299</v>
      </c>
      <c r="L412" s="42">
        <v>261005806</v>
      </c>
      <c r="Q412" s="6"/>
    </row>
    <row r="413" spans="2:28" ht="14.5" x14ac:dyDescent="0.35">
      <c r="B413" s="4">
        <v>44687</v>
      </c>
      <c r="C413" s="5" t="s">
        <v>30</v>
      </c>
      <c r="D413" s="346" t="s">
        <v>9</v>
      </c>
      <c r="E413" s="5" t="s">
        <v>26</v>
      </c>
      <c r="F413" s="5" t="s">
        <v>1</v>
      </c>
      <c r="G413" s="133">
        <v>63.22</v>
      </c>
      <c r="H413" s="133">
        <v>3.43</v>
      </c>
      <c r="I413" s="133">
        <v>1.67</v>
      </c>
      <c r="J413" s="133">
        <v>5.1282051282051295</v>
      </c>
      <c r="K413" s="133">
        <v>52.564102564102569</v>
      </c>
      <c r="L413" s="42">
        <v>261005807</v>
      </c>
      <c r="Q413" s="6"/>
    </row>
    <row r="414" spans="2:28" ht="14.5" x14ac:dyDescent="0.35">
      <c r="B414" s="4">
        <v>44687</v>
      </c>
      <c r="C414" s="5" t="s">
        <v>30</v>
      </c>
      <c r="D414" s="346" t="s">
        <v>9</v>
      </c>
      <c r="E414" s="5" t="s">
        <v>26</v>
      </c>
      <c r="F414" s="5" t="s">
        <v>1</v>
      </c>
      <c r="G414" s="133">
        <v>62.08</v>
      </c>
      <c r="H414" s="133">
        <v>4.3099999999999996</v>
      </c>
      <c r="I414" s="133">
        <v>2.25</v>
      </c>
      <c r="J414" s="133">
        <v>7.6388888888888911</v>
      </c>
      <c r="K414" s="133">
        <v>45.138888888888893</v>
      </c>
      <c r="L414" s="42">
        <v>261005808</v>
      </c>
      <c r="Q414" s="6"/>
    </row>
    <row r="415" spans="2:28" ht="14.5" x14ac:dyDescent="0.35">
      <c r="B415" s="4">
        <v>44687</v>
      </c>
      <c r="C415" s="5" t="s">
        <v>30</v>
      </c>
      <c r="D415" s="346" t="s">
        <v>9</v>
      </c>
      <c r="E415" s="5" t="s">
        <v>26</v>
      </c>
      <c r="F415" s="5" t="s">
        <v>1</v>
      </c>
      <c r="G415" s="133">
        <v>62.57</v>
      </c>
      <c r="H415" s="133">
        <v>3.21</v>
      </c>
      <c r="I415" s="133">
        <v>2.4300000000000002</v>
      </c>
      <c r="J415" s="133">
        <v>6.2068965517241379</v>
      </c>
      <c r="K415" s="133">
        <v>51.03448275862069</v>
      </c>
      <c r="L415" s="42">
        <v>261005809</v>
      </c>
      <c r="Q415" s="6"/>
    </row>
    <row r="416" spans="2:28" ht="14.5" x14ac:dyDescent="0.35">
      <c r="B416" s="4">
        <v>44687</v>
      </c>
      <c r="C416" s="5" t="s">
        <v>30</v>
      </c>
      <c r="D416" s="346" t="s">
        <v>9</v>
      </c>
      <c r="E416" s="5" t="s">
        <v>26</v>
      </c>
      <c r="F416" s="5" t="s">
        <v>1</v>
      </c>
      <c r="G416" s="133">
        <v>63.32</v>
      </c>
      <c r="H416" s="133">
        <v>3.76</v>
      </c>
      <c r="I416" s="133">
        <v>1.31</v>
      </c>
      <c r="J416" s="133">
        <v>7.0512820512820529</v>
      </c>
      <c r="K416" s="133">
        <v>48.717948717948715</v>
      </c>
      <c r="L416" s="42">
        <v>261005808</v>
      </c>
      <c r="Q416" s="6"/>
    </row>
    <row r="417" spans="2:17" ht="14.5" x14ac:dyDescent="0.35">
      <c r="B417" s="4">
        <v>44688</v>
      </c>
      <c r="C417" s="5" t="s">
        <v>30</v>
      </c>
      <c r="D417" s="346" t="s">
        <v>9</v>
      </c>
      <c r="E417" s="5" t="s">
        <v>26</v>
      </c>
      <c r="F417" s="5" t="s">
        <v>1</v>
      </c>
      <c r="G417" s="133">
        <v>62.208999999999996</v>
      </c>
      <c r="H417" s="133">
        <v>5.01</v>
      </c>
      <c r="I417" s="133">
        <v>1.59</v>
      </c>
      <c r="J417" s="133">
        <v>7.7922077922077921</v>
      </c>
      <c r="K417" s="133">
        <v>46.103896103896105</v>
      </c>
      <c r="L417" s="42">
        <v>261005812</v>
      </c>
      <c r="Q417" s="6"/>
    </row>
    <row r="418" spans="2:17" ht="14.5" x14ac:dyDescent="0.35">
      <c r="B418" s="4">
        <v>44688</v>
      </c>
      <c r="C418" s="5" t="s">
        <v>30</v>
      </c>
      <c r="D418" s="346" t="s">
        <v>9</v>
      </c>
      <c r="E418" s="5" t="s">
        <v>26</v>
      </c>
      <c r="F418" s="5" t="s">
        <v>1</v>
      </c>
      <c r="G418" s="133">
        <v>61.319999999999993</v>
      </c>
      <c r="H418" s="133">
        <v>6.3</v>
      </c>
      <c r="I418" s="133">
        <v>1.48</v>
      </c>
      <c r="J418" s="133">
        <v>6.9930069930069925</v>
      </c>
      <c r="K418" s="133">
        <v>46.853146853146853</v>
      </c>
      <c r="L418" s="42">
        <v>261005811</v>
      </c>
      <c r="Q418" s="6"/>
    </row>
    <row r="419" spans="2:17" ht="14.5" x14ac:dyDescent="0.35">
      <c r="B419" s="4">
        <v>44689</v>
      </c>
      <c r="C419" s="5" t="s">
        <v>30</v>
      </c>
      <c r="D419" s="346" t="s">
        <v>9</v>
      </c>
      <c r="E419" s="5" t="s">
        <v>26</v>
      </c>
      <c r="F419" s="5" t="s">
        <v>1</v>
      </c>
      <c r="G419" s="133">
        <v>62.509999999999991</v>
      </c>
      <c r="H419" s="133">
        <v>4.17</v>
      </c>
      <c r="I419" s="133">
        <v>2.02</v>
      </c>
      <c r="J419" s="133">
        <v>8.0536912751677843</v>
      </c>
      <c r="K419" s="133">
        <v>43.624161073825505</v>
      </c>
      <c r="L419" s="42">
        <v>261005814</v>
      </c>
      <c r="Q419" s="6"/>
    </row>
    <row r="420" spans="2:17" ht="14.5" x14ac:dyDescent="0.35">
      <c r="B420" s="4">
        <v>44689</v>
      </c>
      <c r="C420" s="5" t="s">
        <v>30</v>
      </c>
      <c r="D420" s="346" t="s">
        <v>9</v>
      </c>
      <c r="E420" s="5" t="s">
        <v>26</v>
      </c>
      <c r="F420" s="5" t="s">
        <v>1</v>
      </c>
      <c r="G420" s="133">
        <v>63.02</v>
      </c>
      <c r="H420" s="133">
        <v>4.3600000000000003</v>
      </c>
      <c r="I420" s="133">
        <v>1.04</v>
      </c>
      <c r="J420" s="133">
        <v>4.9382716049382713</v>
      </c>
      <c r="K420" s="133">
        <v>48.76543209876543</v>
      </c>
      <c r="L420" s="42">
        <v>241000357</v>
      </c>
      <c r="Q420" s="6"/>
    </row>
    <row r="421" spans="2:17" ht="14.5" x14ac:dyDescent="0.35">
      <c r="B421" s="4">
        <v>44690</v>
      </c>
      <c r="C421" s="5" t="s">
        <v>30</v>
      </c>
      <c r="D421" s="346" t="s">
        <v>9</v>
      </c>
      <c r="E421" s="5" t="s">
        <v>26</v>
      </c>
      <c r="F421" s="5" t="s">
        <v>1</v>
      </c>
      <c r="G421" s="133">
        <v>63.92</v>
      </c>
      <c r="H421" s="133">
        <v>2.68</v>
      </c>
      <c r="I421" s="133">
        <v>1.1499999999999999</v>
      </c>
      <c r="J421" s="133">
        <v>7.1428571428571441</v>
      </c>
      <c r="K421" s="133">
        <v>46.103896103896105</v>
      </c>
      <c r="L421" s="42">
        <v>261005816</v>
      </c>
      <c r="Q421" s="6"/>
    </row>
    <row r="422" spans="2:17" ht="14.5" x14ac:dyDescent="0.35">
      <c r="B422" s="4">
        <v>44690</v>
      </c>
      <c r="C422" s="5" t="s">
        <v>30</v>
      </c>
      <c r="D422" s="346" t="s">
        <v>9</v>
      </c>
      <c r="E422" s="5" t="s">
        <v>26</v>
      </c>
      <c r="F422" s="5" t="s">
        <v>1</v>
      </c>
      <c r="G422" s="133">
        <v>62.91</v>
      </c>
      <c r="H422" s="133">
        <v>3.54</v>
      </c>
      <c r="I422" s="133">
        <v>2.0499999999999998</v>
      </c>
      <c r="J422" s="133">
        <v>5.8394160583941614</v>
      </c>
      <c r="K422" s="133">
        <v>48.9051094890511</v>
      </c>
      <c r="L422" s="42">
        <v>261005817</v>
      </c>
      <c r="Q422" s="6"/>
    </row>
    <row r="423" spans="2:17" ht="14.5" x14ac:dyDescent="0.35">
      <c r="B423" s="4">
        <v>44691</v>
      </c>
      <c r="C423" s="5" t="s">
        <v>30</v>
      </c>
      <c r="D423" s="346" t="s">
        <v>9</v>
      </c>
      <c r="E423" s="5" t="s">
        <v>26</v>
      </c>
      <c r="F423" s="5" t="s">
        <v>1</v>
      </c>
      <c r="G423" s="133">
        <v>64.182999999999993</v>
      </c>
      <c r="H423" s="133">
        <v>2.62</v>
      </c>
      <c r="I423" s="133">
        <v>1.04</v>
      </c>
      <c r="J423" s="133">
        <v>7.4324324324324325</v>
      </c>
      <c r="K423" s="133">
        <v>43.918918918918912</v>
      </c>
      <c r="L423" s="42">
        <v>261005818</v>
      </c>
      <c r="Q423" s="6"/>
    </row>
    <row r="424" spans="2:17" ht="14.5" x14ac:dyDescent="0.35">
      <c r="B424" s="4">
        <v>44691</v>
      </c>
      <c r="C424" s="5" t="s">
        <v>30</v>
      </c>
      <c r="D424" s="346" t="s">
        <v>9</v>
      </c>
      <c r="E424" s="5" t="s">
        <v>26</v>
      </c>
      <c r="F424" s="5" t="s">
        <v>1</v>
      </c>
      <c r="G424" s="133">
        <v>62.103999999999992</v>
      </c>
      <c r="H424" s="133">
        <v>5.2</v>
      </c>
      <c r="I424" s="133">
        <v>1.69</v>
      </c>
      <c r="J424" s="133">
        <v>5.5214723926380369</v>
      </c>
      <c r="K424" s="133">
        <v>50.306748466257666</v>
      </c>
      <c r="L424" s="42">
        <v>261005822</v>
      </c>
      <c r="Q424" s="6"/>
    </row>
    <row r="425" spans="2:17" ht="14.5" x14ac:dyDescent="0.35">
      <c r="B425" s="4">
        <v>44691</v>
      </c>
      <c r="C425" s="5" t="s">
        <v>30</v>
      </c>
      <c r="D425" s="346" t="s">
        <v>9</v>
      </c>
      <c r="E425" s="5" t="s">
        <v>26</v>
      </c>
      <c r="F425" s="5" t="s">
        <v>1</v>
      </c>
      <c r="G425" s="133">
        <v>62.04099999999999</v>
      </c>
      <c r="H425" s="133">
        <v>5.08</v>
      </c>
      <c r="I425" s="133">
        <v>1.73</v>
      </c>
      <c r="J425" s="133">
        <v>5.298013245033113</v>
      </c>
      <c r="K425" s="133">
        <v>52.317880794701985</v>
      </c>
      <c r="L425" s="42">
        <v>261005820</v>
      </c>
      <c r="Q425" s="6"/>
    </row>
    <row r="426" spans="2:17" ht="14.5" x14ac:dyDescent="0.35">
      <c r="B426" s="4">
        <v>44691</v>
      </c>
      <c r="C426" s="5" t="s">
        <v>30</v>
      </c>
      <c r="D426" s="346" t="s">
        <v>9</v>
      </c>
      <c r="E426" s="5" t="s">
        <v>26</v>
      </c>
      <c r="F426" s="5" t="s">
        <v>1</v>
      </c>
      <c r="G426" s="133">
        <v>62.845999999999997</v>
      </c>
      <c r="H426" s="133">
        <v>4.37</v>
      </c>
      <c r="I426" s="133">
        <v>1.33</v>
      </c>
      <c r="J426" s="133">
        <v>7.8431372549019605</v>
      </c>
      <c r="K426" s="133">
        <v>41.830065359477132</v>
      </c>
      <c r="L426" s="42">
        <v>261005823</v>
      </c>
      <c r="Q426" s="6"/>
    </row>
    <row r="427" spans="2:17" ht="14.5" x14ac:dyDescent="0.35">
      <c r="B427" s="4">
        <v>44692</v>
      </c>
      <c r="C427" s="5" t="s">
        <v>30</v>
      </c>
      <c r="D427" s="346" t="s">
        <v>9</v>
      </c>
      <c r="E427" s="5" t="s">
        <v>26</v>
      </c>
      <c r="F427" s="5" t="s">
        <v>1</v>
      </c>
      <c r="G427" s="133">
        <v>63.25</v>
      </c>
      <c r="H427" s="133">
        <v>3.8</v>
      </c>
      <c r="I427" s="133">
        <v>1.34</v>
      </c>
      <c r="J427" s="133">
        <v>7.4074074074074066</v>
      </c>
      <c r="K427" s="133">
        <v>46.296296296296291</v>
      </c>
      <c r="L427" s="42">
        <v>261005823</v>
      </c>
      <c r="Q427" s="6"/>
    </row>
    <row r="428" spans="2:17" ht="14.5" x14ac:dyDescent="0.35">
      <c r="B428" s="4">
        <v>44692</v>
      </c>
      <c r="C428" s="5" t="s">
        <v>30</v>
      </c>
      <c r="D428" s="346" t="s">
        <v>9</v>
      </c>
      <c r="E428" s="5" t="s">
        <v>26</v>
      </c>
      <c r="F428" s="5" t="s">
        <v>1</v>
      </c>
      <c r="G428" s="133">
        <v>62.7</v>
      </c>
      <c r="H428" s="133">
        <v>4.24</v>
      </c>
      <c r="I428" s="133">
        <v>1.91</v>
      </c>
      <c r="J428" s="133">
        <v>6.1643835616438354</v>
      </c>
      <c r="K428" s="133">
        <v>42.465753424657535</v>
      </c>
      <c r="L428" s="42">
        <v>261005824</v>
      </c>
      <c r="Q428" s="6"/>
    </row>
    <row r="429" spans="2:17" ht="14.5" x14ac:dyDescent="0.35">
      <c r="B429" s="4">
        <v>44693</v>
      </c>
      <c r="C429" s="5" t="s">
        <v>30</v>
      </c>
      <c r="D429" s="346" t="s">
        <v>9</v>
      </c>
      <c r="E429" s="5" t="s">
        <v>26</v>
      </c>
      <c r="F429" s="5" t="s">
        <v>1</v>
      </c>
      <c r="G429" s="133">
        <v>63.58</v>
      </c>
      <c r="H429" s="133">
        <v>3.05</v>
      </c>
      <c r="I429" s="133">
        <v>1.58</v>
      </c>
      <c r="J429" s="133">
        <v>7.096774193548387</v>
      </c>
      <c r="K429" s="133">
        <v>43.225806451612904</v>
      </c>
      <c r="L429" s="42">
        <v>261005825</v>
      </c>
      <c r="Q429" s="6"/>
    </row>
    <row r="430" spans="2:17" ht="14.5" x14ac:dyDescent="0.35">
      <c r="B430" s="4">
        <v>44693</v>
      </c>
      <c r="C430" s="5" t="s">
        <v>30</v>
      </c>
      <c r="D430" s="346" t="s">
        <v>9</v>
      </c>
      <c r="E430" s="5" t="s">
        <v>26</v>
      </c>
      <c r="F430" s="5" t="s">
        <v>1</v>
      </c>
      <c r="G430" s="133">
        <v>62.19</v>
      </c>
      <c r="H430" s="133">
        <v>5.33</v>
      </c>
      <c r="I430" s="133">
        <v>1.64</v>
      </c>
      <c r="J430" s="133">
        <v>5.7971014492753623</v>
      </c>
      <c r="K430" s="133">
        <v>44.927536231884055</v>
      </c>
      <c r="L430" s="42">
        <v>261005826</v>
      </c>
      <c r="Q430" s="6"/>
    </row>
    <row r="431" spans="2:17" ht="14.5" x14ac:dyDescent="0.35">
      <c r="B431" s="4">
        <v>44694</v>
      </c>
      <c r="C431" s="5" t="s">
        <v>30</v>
      </c>
      <c r="D431" s="346" t="s">
        <v>9</v>
      </c>
      <c r="E431" s="5" t="s">
        <v>26</v>
      </c>
      <c r="F431" s="5" t="s">
        <v>1</v>
      </c>
      <c r="G431" s="133">
        <v>62.59</v>
      </c>
      <c r="H431" s="133">
        <v>3.67</v>
      </c>
      <c r="I431" s="133">
        <v>2.14</v>
      </c>
      <c r="J431" s="133">
        <v>6.2937062937062933</v>
      </c>
      <c r="K431" s="133">
        <v>46.853146853146853</v>
      </c>
      <c r="L431" s="42">
        <v>261005828</v>
      </c>
      <c r="Q431" s="6"/>
    </row>
    <row r="432" spans="2:17" ht="14.5" x14ac:dyDescent="0.35">
      <c r="B432" s="4">
        <v>44695</v>
      </c>
      <c r="C432" s="5" t="s">
        <v>30</v>
      </c>
      <c r="D432" s="346" t="s">
        <v>9</v>
      </c>
      <c r="E432" s="5" t="s">
        <v>26</v>
      </c>
      <c r="F432" s="5" t="s">
        <v>1</v>
      </c>
      <c r="G432" s="133">
        <v>63.741999999999997</v>
      </c>
      <c r="H432" s="133">
        <v>2.54</v>
      </c>
      <c r="I432" s="133">
        <v>1.52</v>
      </c>
      <c r="J432" s="133">
        <v>5.4421768707483</v>
      </c>
      <c r="K432" s="133">
        <v>48.299319727891152</v>
      </c>
      <c r="L432" s="42">
        <v>261005831</v>
      </c>
      <c r="Q432" s="6"/>
    </row>
    <row r="433" spans="2:17" ht="14.5" x14ac:dyDescent="0.35">
      <c r="B433" s="4">
        <v>44695</v>
      </c>
      <c r="C433" s="5" t="s">
        <v>30</v>
      </c>
      <c r="D433" s="346" t="s">
        <v>9</v>
      </c>
      <c r="E433" s="5" t="s">
        <v>26</v>
      </c>
      <c r="F433" s="5" t="s">
        <v>1</v>
      </c>
      <c r="G433" s="133">
        <v>63.573999999999991</v>
      </c>
      <c r="H433" s="133">
        <v>2.87</v>
      </c>
      <c r="I433" s="133">
        <v>1.68</v>
      </c>
      <c r="J433" s="133">
        <v>6.7114093959731544</v>
      </c>
      <c r="K433" s="133">
        <v>44.966442953020142</v>
      </c>
      <c r="L433" s="42">
        <v>261005830</v>
      </c>
      <c r="Q433" s="6"/>
    </row>
    <row r="434" spans="2:17" ht="14.5" x14ac:dyDescent="0.35">
      <c r="B434" s="4">
        <v>44696</v>
      </c>
      <c r="C434" s="5" t="s">
        <v>30</v>
      </c>
      <c r="D434" s="346" t="s">
        <v>9</v>
      </c>
      <c r="E434" s="5" t="s">
        <v>26</v>
      </c>
      <c r="F434" s="5" t="s">
        <v>1</v>
      </c>
      <c r="G434" s="133">
        <v>62.215999999999994</v>
      </c>
      <c r="H434" s="133">
        <v>4.68</v>
      </c>
      <c r="I434" s="133">
        <v>1.86</v>
      </c>
      <c r="J434" s="133">
        <v>6.4748201438848918</v>
      </c>
      <c r="K434" s="133">
        <v>48.201438848920866</v>
      </c>
      <c r="L434" s="42">
        <v>241000361</v>
      </c>
      <c r="Q434" s="6"/>
    </row>
    <row r="435" spans="2:17" ht="14.5" x14ac:dyDescent="0.35">
      <c r="B435" s="4">
        <v>44696</v>
      </c>
      <c r="C435" s="5" t="s">
        <v>30</v>
      </c>
      <c r="D435" s="346" t="s">
        <v>9</v>
      </c>
      <c r="E435" s="5" t="s">
        <v>26</v>
      </c>
      <c r="F435" s="5" t="s">
        <v>1</v>
      </c>
      <c r="G435" s="133">
        <v>63.238</v>
      </c>
      <c r="H435" s="133">
        <v>2.78</v>
      </c>
      <c r="I435" s="133">
        <v>2.1800000000000002</v>
      </c>
      <c r="J435" s="133">
        <v>6.666666666666667</v>
      </c>
      <c r="K435" s="133">
        <v>42</v>
      </c>
      <c r="L435" s="42">
        <v>241000360</v>
      </c>
      <c r="Q435" s="6"/>
    </row>
    <row r="436" spans="2:17" ht="14.5" x14ac:dyDescent="0.35">
      <c r="B436" s="4">
        <v>44696</v>
      </c>
      <c r="C436" s="5" t="s">
        <v>30</v>
      </c>
      <c r="D436" s="346" t="s">
        <v>9</v>
      </c>
      <c r="E436" s="5" t="s">
        <v>26</v>
      </c>
      <c r="F436" s="5" t="s">
        <v>1</v>
      </c>
      <c r="G436" s="133">
        <v>62.41</v>
      </c>
      <c r="H436" s="133">
        <v>4.01</v>
      </c>
      <c r="I436" s="133">
        <v>1.95</v>
      </c>
      <c r="J436" s="133">
        <v>5.6338028169014089</v>
      </c>
      <c r="K436" s="133">
        <v>43.661971830985919</v>
      </c>
      <c r="L436" s="42">
        <v>261005833</v>
      </c>
      <c r="Q436" s="6"/>
    </row>
    <row r="437" spans="2:17" ht="14.5" x14ac:dyDescent="0.35">
      <c r="B437" s="4">
        <v>44696</v>
      </c>
      <c r="C437" s="5" t="s">
        <v>30</v>
      </c>
      <c r="D437" s="346" t="s">
        <v>9</v>
      </c>
      <c r="E437" s="5" t="s">
        <v>26</v>
      </c>
      <c r="F437" s="5" t="s">
        <v>1</v>
      </c>
      <c r="G437" s="133">
        <v>62.98</v>
      </c>
      <c r="H437" s="133">
        <v>3.72</v>
      </c>
      <c r="I437" s="133">
        <v>1.6</v>
      </c>
      <c r="J437" s="133">
        <v>5.806451612903226</v>
      </c>
      <c r="K437" s="133">
        <v>50.967741935483865</v>
      </c>
      <c r="L437" s="42">
        <v>241000361</v>
      </c>
      <c r="Q437" s="6"/>
    </row>
    <row r="438" spans="2:17" ht="14.5" x14ac:dyDescent="0.35">
      <c r="B438" s="4">
        <v>44697</v>
      </c>
      <c r="C438" s="5" t="s">
        <v>30</v>
      </c>
      <c r="D438" s="346" t="s">
        <v>9</v>
      </c>
      <c r="E438" s="5" t="s">
        <v>26</v>
      </c>
      <c r="F438" s="5" t="s">
        <v>1</v>
      </c>
      <c r="G438" s="133">
        <v>62.85</v>
      </c>
      <c r="H438" s="133">
        <v>3.25</v>
      </c>
      <c r="I438" s="133">
        <v>2.31</v>
      </c>
      <c r="J438" s="133">
        <v>7.0512820512820529</v>
      </c>
      <c r="K438" s="133">
        <v>48.717948717948715</v>
      </c>
      <c r="L438" s="42">
        <v>261005835</v>
      </c>
      <c r="Q438" s="6"/>
    </row>
    <row r="439" spans="2:17" ht="14.5" x14ac:dyDescent="0.35">
      <c r="B439" s="4">
        <v>44697</v>
      </c>
      <c r="C439" s="5" t="s">
        <v>30</v>
      </c>
      <c r="D439" s="346" t="s">
        <v>9</v>
      </c>
      <c r="E439" s="5" t="s">
        <v>26</v>
      </c>
      <c r="F439" s="5" t="s">
        <v>1</v>
      </c>
      <c r="G439" s="133">
        <v>62.69</v>
      </c>
      <c r="H439" s="133">
        <v>3.39</v>
      </c>
      <c r="I439" s="133">
        <v>2.48</v>
      </c>
      <c r="J439" s="133">
        <v>8.2191780821917799</v>
      </c>
      <c r="K439" s="133">
        <v>44.520547945205479</v>
      </c>
      <c r="L439" s="42">
        <v>261005836</v>
      </c>
      <c r="Q439" s="6"/>
    </row>
    <row r="440" spans="2:17" ht="14.5" x14ac:dyDescent="0.35">
      <c r="B440" s="4">
        <v>44697</v>
      </c>
      <c r="C440" s="5" t="s">
        <v>30</v>
      </c>
      <c r="D440" s="346" t="s">
        <v>9</v>
      </c>
      <c r="E440" s="5" t="s">
        <v>26</v>
      </c>
      <c r="F440" s="5" t="s">
        <v>1</v>
      </c>
      <c r="G440" s="133">
        <v>62.37</v>
      </c>
      <c r="H440" s="133">
        <v>4.24</v>
      </c>
      <c r="I440" s="133">
        <v>2.14</v>
      </c>
      <c r="J440" s="133">
        <v>5.0314465408805038</v>
      </c>
      <c r="K440" s="133">
        <v>52.20125786163522</v>
      </c>
      <c r="L440" s="42">
        <v>261005837</v>
      </c>
      <c r="Q440" s="6"/>
    </row>
    <row r="441" spans="2:17" ht="14.5" x14ac:dyDescent="0.35">
      <c r="B441" s="4">
        <v>44698</v>
      </c>
      <c r="C441" s="5" t="s">
        <v>30</v>
      </c>
      <c r="D441" s="346" t="s">
        <v>9</v>
      </c>
      <c r="E441" s="5" t="s">
        <v>26</v>
      </c>
      <c r="F441" s="5" t="s">
        <v>1</v>
      </c>
      <c r="G441" s="133">
        <v>62.34</v>
      </c>
      <c r="H441" s="133">
        <v>3.68</v>
      </c>
      <c r="I441" s="133">
        <v>2.4500000000000002</v>
      </c>
      <c r="J441" s="133">
        <v>7.0921985815602824</v>
      </c>
      <c r="K441" s="133">
        <v>48.936170212765958</v>
      </c>
      <c r="L441" s="42">
        <v>241000362</v>
      </c>
      <c r="Q441" s="6"/>
    </row>
    <row r="442" spans="2:17" ht="14.5" x14ac:dyDescent="0.35">
      <c r="B442" s="4">
        <v>44698</v>
      </c>
      <c r="C442" s="5" t="s">
        <v>30</v>
      </c>
      <c r="D442" s="346" t="s">
        <v>9</v>
      </c>
      <c r="E442" s="5" t="s">
        <v>26</v>
      </c>
      <c r="F442" s="5" t="s">
        <v>1</v>
      </c>
      <c r="G442" s="133">
        <v>63.47</v>
      </c>
      <c r="H442" s="133">
        <v>2.54</v>
      </c>
      <c r="I442" s="133">
        <v>1.78</v>
      </c>
      <c r="J442" s="133">
        <v>8.1481481481481488</v>
      </c>
      <c r="K442" s="133">
        <v>29.629629629629626</v>
      </c>
      <c r="L442" s="42">
        <v>261005839</v>
      </c>
      <c r="Q442" s="6"/>
    </row>
    <row r="443" spans="2:17" ht="14.5" x14ac:dyDescent="0.35">
      <c r="B443" s="4">
        <v>44698</v>
      </c>
      <c r="C443" s="5" t="s">
        <v>30</v>
      </c>
      <c r="D443" s="346" t="s">
        <v>9</v>
      </c>
      <c r="E443" s="5" t="s">
        <v>26</v>
      </c>
      <c r="F443" s="5" t="s">
        <v>1</v>
      </c>
      <c r="G443" s="133">
        <v>62.1</v>
      </c>
      <c r="H443" s="133">
        <v>4.37</v>
      </c>
      <c r="I443" s="133">
        <v>2.37</v>
      </c>
      <c r="J443" s="133">
        <v>7.0512820512820529</v>
      </c>
      <c r="K443" s="133">
        <v>35.897435897435898</v>
      </c>
      <c r="L443" s="42">
        <v>261005838</v>
      </c>
      <c r="Q443" s="6"/>
    </row>
    <row r="444" spans="2:17" ht="14.5" x14ac:dyDescent="0.35">
      <c r="B444" s="4">
        <v>44699</v>
      </c>
      <c r="C444" s="5" t="s">
        <v>30</v>
      </c>
      <c r="D444" s="346" t="s">
        <v>9</v>
      </c>
      <c r="E444" s="5" t="s">
        <v>26</v>
      </c>
      <c r="F444" s="5" t="s">
        <v>1</v>
      </c>
      <c r="G444" s="133">
        <v>61.34</v>
      </c>
      <c r="H444" s="133">
        <v>5.62</v>
      </c>
      <c r="I444" s="133">
        <v>2.71</v>
      </c>
      <c r="J444" s="133">
        <v>6.1224489795918373</v>
      </c>
      <c r="K444" s="133">
        <v>40.816326530612244</v>
      </c>
      <c r="L444" s="42">
        <v>261005840</v>
      </c>
      <c r="Q444" s="6"/>
    </row>
    <row r="445" spans="2:17" ht="14.5" x14ac:dyDescent="0.35">
      <c r="B445" s="4">
        <v>44699</v>
      </c>
      <c r="C445" s="5" t="s">
        <v>30</v>
      </c>
      <c r="D445" s="346" t="s">
        <v>9</v>
      </c>
      <c r="E445" s="5" t="s">
        <v>26</v>
      </c>
      <c r="F445" s="5" t="s">
        <v>1</v>
      </c>
      <c r="G445" s="133">
        <v>62.57</v>
      </c>
      <c r="H445" s="133">
        <v>3.59</v>
      </c>
      <c r="I445" s="133">
        <v>2.42</v>
      </c>
      <c r="J445" s="133">
        <v>5.6737588652482271</v>
      </c>
      <c r="K445" s="133">
        <v>46.099290780141843</v>
      </c>
      <c r="L445" s="42">
        <v>261005842</v>
      </c>
      <c r="Q445" s="6"/>
    </row>
    <row r="446" spans="2:17" ht="14.5" x14ac:dyDescent="0.35">
      <c r="B446" s="4">
        <v>44699</v>
      </c>
      <c r="C446" s="5" t="s">
        <v>30</v>
      </c>
      <c r="D446" s="346" t="s">
        <v>9</v>
      </c>
      <c r="E446" s="5" t="s">
        <v>26</v>
      </c>
      <c r="F446" s="5" t="s">
        <v>1</v>
      </c>
      <c r="G446" s="133">
        <v>63.43</v>
      </c>
      <c r="H446" s="133">
        <v>2.79</v>
      </c>
      <c r="I446" s="133">
        <v>1.71</v>
      </c>
      <c r="J446" s="133">
        <v>5.8394160583941614</v>
      </c>
      <c r="K446" s="133">
        <v>42.335766423357661</v>
      </c>
      <c r="L446" s="42">
        <v>241000363</v>
      </c>
      <c r="Q446" s="6"/>
    </row>
    <row r="447" spans="2:17" ht="14.5" x14ac:dyDescent="0.35">
      <c r="B447" s="4">
        <v>44700</v>
      </c>
      <c r="C447" s="5" t="s">
        <v>30</v>
      </c>
      <c r="D447" s="346" t="s">
        <v>9</v>
      </c>
      <c r="E447" s="5" t="s">
        <v>26</v>
      </c>
      <c r="F447" s="5" t="s">
        <v>1</v>
      </c>
      <c r="G447" s="133">
        <v>61.86</v>
      </c>
      <c r="H447" s="133">
        <v>5.0599999999999996</v>
      </c>
      <c r="I447" s="133">
        <v>2.36</v>
      </c>
      <c r="J447" s="133">
        <v>6.1643835616438354</v>
      </c>
      <c r="K447" s="133">
        <v>45.890410958904106</v>
      </c>
      <c r="L447" s="42">
        <v>261005843</v>
      </c>
      <c r="Q447" s="6"/>
    </row>
    <row r="448" spans="2:17" ht="14.5" x14ac:dyDescent="0.35">
      <c r="B448" s="4">
        <v>44700</v>
      </c>
      <c r="C448" s="5" t="s">
        <v>30</v>
      </c>
      <c r="D448" s="346" t="s">
        <v>9</v>
      </c>
      <c r="E448" s="5" t="s">
        <v>26</v>
      </c>
      <c r="F448" s="5" t="s">
        <v>1</v>
      </c>
      <c r="G448" s="133">
        <v>62.2</v>
      </c>
      <c r="H448" s="133">
        <v>4.3499999999999996</v>
      </c>
      <c r="I448" s="133">
        <v>2.35</v>
      </c>
      <c r="J448" s="133">
        <v>7.382550335570472</v>
      </c>
      <c r="K448" s="133">
        <v>43.624161073825505</v>
      </c>
      <c r="L448" s="42">
        <v>261005844</v>
      </c>
      <c r="Q448" s="6"/>
    </row>
    <row r="449" spans="2:17" ht="14.5" x14ac:dyDescent="0.35">
      <c r="B449" s="4">
        <v>44701</v>
      </c>
      <c r="C449" s="5" t="s">
        <v>30</v>
      </c>
      <c r="D449" s="346" t="s">
        <v>9</v>
      </c>
      <c r="E449" s="5" t="s">
        <v>26</v>
      </c>
      <c r="F449" s="5" t="s">
        <v>1</v>
      </c>
      <c r="G449" s="133">
        <v>61.41</v>
      </c>
      <c r="H449" s="133">
        <v>4.53</v>
      </c>
      <c r="I449" s="133">
        <v>3.15</v>
      </c>
      <c r="J449" s="133">
        <v>3.9370078740157481</v>
      </c>
      <c r="K449" s="133">
        <v>47.244094488188978</v>
      </c>
      <c r="L449" s="42">
        <v>261005846</v>
      </c>
      <c r="Q449" s="6"/>
    </row>
    <row r="450" spans="2:17" ht="14.5" x14ac:dyDescent="0.35">
      <c r="B450" s="4">
        <v>44701</v>
      </c>
      <c r="C450" s="5" t="s">
        <v>30</v>
      </c>
      <c r="D450" s="346" t="s">
        <v>9</v>
      </c>
      <c r="E450" s="5" t="s">
        <v>26</v>
      </c>
      <c r="F450" s="5" t="s">
        <v>1</v>
      </c>
      <c r="G450" s="133">
        <v>61.52</v>
      </c>
      <c r="H450" s="133">
        <v>4.45</v>
      </c>
      <c r="I450" s="133">
        <v>3.18</v>
      </c>
      <c r="J450" s="133">
        <v>4.6511627906976747</v>
      </c>
      <c r="K450" s="133">
        <v>38.953488372093027</v>
      </c>
      <c r="L450" s="42">
        <v>261005845</v>
      </c>
      <c r="Q450" s="6"/>
    </row>
    <row r="451" spans="2:17" ht="14.5" x14ac:dyDescent="0.35">
      <c r="B451" s="4">
        <v>44702</v>
      </c>
      <c r="C451" s="5" t="s">
        <v>30</v>
      </c>
      <c r="D451" s="346" t="s">
        <v>9</v>
      </c>
      <c r="E451" s="5" t="s">
        <v>26</v>
      </c>
      <c r="F451" s="5" t="s">
        <v>1</v>
      </c>
      <c r="G451" s="133">
        <v>61.284999999999997</v>
      </c>
      <c r="H451" s="133">
        <v>5.78</v>
      </c>
      <c r="I451" s="133">
        <v>2.36</v>
      </c>
      <c r="J451" s="133">
        <v>9.615384615384615</v>
      </c>
      <c r="K451" s="133">
        <v>36.538461538461533</v>
      </c>
      <c r="L451" s="42">
        <v>261005847</v>
      </c>
      <c r="Q451" s="6"/>
    </row>
    <row r="452" spans="2:17" ht="14.5" x14ac:dyDescent="0.35">
      <c r="B452" s="4">
        <v>44703</v>
      </c>
      <c r="C452" s="5" t="s">
        <v>30</v>
      </c>
      <c r="D452" s="346" t="s">
        <v>9</v>
      </c>
      <c r="E452" s="5" t="s">
        <v>26</v>
      </c>
      <c r="F452" s="5" t="s">
        <v>1</v>
      </c>
      <c r="G452" s="133">
        <v>61.711999999999996</v>
      </c>
      <c r="H452" s="133">
        <v>5.64</v>
      </c>
      <c r="I452" s="133">
        <v>1.82</v>
      </c>
      <c r="J452" s="133">
        <v>8.108108108108107</v>
      </c>
      <c r="K452" s="133">
        <v>43.243243243243242</v>
      </c>
      <c r="L452" s="42">
        <v>261005849</v>
      </c>
      <c r="Q452" s="6"/>
    </row>
    <row r="453" spans="2:17" ht="14.5" x14ac:dyDescent="0.35">
      <c r="B453" s="4">
        <v>44703</v>
      </c>
      <c r="C453" s="5" t="s">
        <v>30</v>
      </c>
      <c r="D453" s="346" t="s">
        <v>9</v>
      </c>
      <c r="E453" s="5" t="s">
        <v>26</v>
      </c>
      <c r="F453" s="5" t="s">
        <v>1</v>
      </c>
      <c r="G453" s="133">
        <v>63.230999999999995</v>
      </c>
      <c r="H453" s="133">
        <v>3.18</v>
      </c>
      <c r="I453" s="133">
        <v>1.87</v>
      </c>
      <c r="J453" s="133">
        <v>5.1724137931034484</v>
      </c>
      <c r="K453" s="133">
        <v>50.862068965517246</v>
      </c>
      <c r="L453" s="42">
        <v>261005848</v>
      </c>
      <c r="Q453" s="6"/>
    </row>
    <row r="454" spans="2:17" ht="14.5" x14ac:dyDescent="0.35">
      <c r="B454" s="4">
        <v>44703</v>
      </c>
      <c r="C454" s="5" t="s">
        <v>30</v>
      </c>
      <c r="D454" s="346" t="s">
        <v>9</v>
      </c>
      <c r="E454" s="5" t="s">
        <v>26</v>
      </c>
      <c r="F454" s="5" t="s">
        <v>1</v>
      </c>
      <c r="G454" s="133">
        <v>61.84</v>
      </c>
      <c r="H454" s="133">
        <v>4.82</v>
      </c>
      <c r="I454" s="133">
        <v>2.2400000000000002</v>
      </c>
      <c r="J454" s="133">
        <v>6.2937062937062933</v>
      </c>
      <c r="K454" s="133">
        <v>46.853146853146853</v>
      </c>
      <c r="L454" s="42">
        <v>261005850</v>
      </c>
      <c r="Q454" s="6"/>
    </row>
    <row r="455" spans="2:17" ht="14.5" x14ac:dyDescent="0.35">
      <c r="B455" s="4">
        <v>44703</v>
      </c>
      <c r="C455" s="5" t="s">
        <v>30</v>
      </c>
      <c r="D455" s="346" t="s">
        <v>9</v>
      </c>
      <c r="E455" s="5" t="s">
        <v>26</v>
      </c>
      <c r="F455" s="5" t="s">
        <v>1</v>
      </c>
      <c r="G455" s="133">
        <v>62.85</v>
      </c>
      <c r="H455" s="133">
        <v>3.11</v>
      </c>
      <c r="I455" s="133">
        <v>2.25</v>
      </c>
      <c r="J455" s="133">
        <v>7.6335877862595405</v>
      </c>
      <c r="K455" s="133">
        <v>43.511450381679381</v>
      </c>
      <c r="L455" s="42">
        <v>261005851</v>
      </c>
      <c r="Q455" s="6"/>
    </row>
    <row r="456" spans="2:17" ht="14.5" x14ac:dyDescent="0.35">
      <c r="B456" s="4">
        <v>44704</v>
      </c>
      <c r="C456" s="5" t="s">
        <v>30</v>
      </c>
      <c r="D456" s="346" t="s">
        <v>9</v>
      </c>
      <c r="E456" s="5" t="s">
        <v>26</v>
      </c>
      <c r="F456" s="5" t="s">
        <v>1</v>
      </c>
      <c r="G456" s="133">
        <v>62.49</v>
      </c>
      <c r="H456" s="133">
        <v>3.96</v>
      </c>
      <c r="I456" s="133">
        <v>2.1</v>
      </c>
      <c r="J456" s="133">
        <v>6.0060060060060065</v>
      </c>
      <c r="K456" s="133">
        <v>42.642642642642642</v>
      </c>
      <c r="L456" s="42">
        <v>261005853</v>
      </c>
      <c r="Q456" s="6"/>
    </row>
    <row r="457" spans="2:17" ht="14.5" x14ac:dyDescent="0.35">
      <c r="B457" s="4">
        <v>44704</v>
      </c>
      <c r="C457" s="5" t="s">
        <v>30</v>
      </c>
      <c r="D457" s="346" t="s">
        <v>9</v>
      </c>
      <c r="E457" s="5" t="s">
        <v>26</v>
      </c>
      <c r="F457" s="5" t="s">
        <v>1</v>
      </c>
      <c r="G457" s="133">
        <v>62.75</v>
      </c>
      <c r="H457" s="133">
        <v>3.31</v>
      </c>
      <c r="I457" s="133">
        <v>2.16</v>
      </c>
      <c r="J457" s="133">
        <v>7.2000000000000011</v>
      </c>
      <c r="K457" s="133">
        <v>44</v>
      </c>
      <c r="L457" s="42">
        <v>261005852</v>
      </c>
      <c r="Q457" s="6"/>
    </row>
    <row r="458" spans="2:17" ht="14.5" x14ac:dyDescent="0.35">
      <c r="B458" s="4">
        <v>44705</v>
      </c>
      <c r="C458" s="5" t="s">
        <v>30</v>
      </c>
      <c r="D458" s="346" t="s">
        <v>9</v>
      </c>
      <c r="E458" s="5" t="s">
        <v>26</v>
      </c>
      <c r="F458" s="5" t="s">
        <v>1</v>
      </c>
      <c r="G458" s="133">
        <v>62.02</v>
      </c>
      <c r="H458" s="133">
        <v>5.57</v>
      </c>
      <c r="I458" s="133">
        <v>1.96</v>
      </c>
      <c r="J458" s="133">
        <v>8.720930232558139</v>
      </c>
      <c r="K458" s="133">
        <v>38.372093023255815</v>
      </c>
      <c r="L458" s="42">
        <v>261005854</v>
      </c>
      <c r="Q458" s="6"/>
    </row>
    <row r="459" spans="2:17" ht="14.5" x14ac:dyDescent="0.35">
      <c r="B459" s="4">
        <v>44706</v>
      </c>
      <c r="C459" s="5" t="s">
        <v>30</v>
      </c>
      <c r="D459" s="346" t="s">
        <v>9</v>
      </c>
      <c r="E459" s="5" t="s">
        <v>26</v>
      </c>
      <c r="F459" s="5" t="s">
        <v>1</v>
      </c>
      <c r="G459" s="133">
        <v>62.78</v>
      </c>
      <c r="H459" s="133">
        <v>4.34</v>
      </c>
      <c r="I459" s="133">
        <v>1.49</v>
      </c>
      <c r="J459" s="133">
        <v>6.6225165562913899</v>
      </c>
      <c r="K459" s="133">
        <v>45.033112582781456</v>
      </c>
      <c r="L459" s="42">
        <v>261005855</v>
      </c>
      <c r="Q459" s="6"/>
    </row>
    <row r="460" spans="2:17" ht="14.5" x14ac:dyDescent="0.35">
      <c r="B460" s="4">
        <v>44706</v>
      </c>
      <c r="C460" s="5" t="s">
        <v>30</v>
      </c>
      <c r="D460" s="346" t="s">
        <v>9</v>
      </c>
      <c r="E460" s="5" t="s">
        <v>26</v>
      </c>
      <c r="F460" s="5" t="s">
        <v>1</v>
      </c>
      <c r="G460" s="133">
        <v>62.08</v>
      </c>
      <c r="H460" s="133">
        <v>4.97</v>
      </c>
      <c r="I460" s="133">
        <v>2.2000000000000002</v>
      </c>
      <c r="J460" s="133">
        <v>6.4748201438848918</v>
      </c>
      <c r="K460" s="133">
        <v>48.920863309352512</v>
      </c>
      <c r="L460" s="42">
        <v>261005856</v>
      </c>
      <c r="Q460" s="6"/>
    </row>
    <row r="461" spans="2:17" ht="14.5" x14ac:dyDescent="0.35">
      <c r="B461" s="4">
        <v>44706</v>
      </c>
      <c r="C461" s="5" t="s">
        <v>30</v>
      </c>
      <c r="D461" s="346" t="s">
        <v>9</v>
      </c>
      <c r="E461" s="5" t="s">
        <v>26</v>
      </c>
      <c r="F461" s="5" t="s">
        <v>1</v>
      </c>
      <c r="G461" s="133">
        <v>62.29</v>
      </c>
      <c r="H461" s="133">
        <v>5.43</v>
      </c>
      <c r="I461" s="133">
        <v>1.95</v>
      </c>
      <c r="J461" s="133">
        <v>7.1895424836601318</v>
      </c>
      <c r="K461" s="133">
        <v>47.058823529411761</v>
      </c>
      <c r="L461" s="42">
        <v>261005858</v>
      </c>
      <c r="Q461" s="6"/>
    </row>
    <row r="462" spans="2:17" ht="14.5" x14ac:dyDescent="0.35">
      <c r="B462" s="4">
        <v>44707</v>
      </c>
      <c r="C462" s="5" t="s">
        <v>30</v>
      </c>
      <c r="D462" s="346" t="s">
        <v>9</v>
      </c>
      <c r="E462" s="5" t="s">
        <v>26</v>
      </c>
      <c r="F462" s="5" t="s">
        <v>1</v>
      </c>
      <c r="G462" s="133">
        <v>63.71</v>
      </c>
      <c r="H462" s="133">
        <v>2.5</v>
      </c>
      <c r="I462" s="133">
        <v>1.67</v>
      </c>
      <c r="J462" s="133">
        <v>6.106870229007634</v>
      </c>
      <c r="K462" s="133">
        <v>41.984732824427482</v>
      </c>
      <c r="L462" s="42">
        <v>261005860</v>
      </c>
      <c r="Q462" s="6"/>
    </row>
    <row r="463" spans="2:17" ht="14.5" x14ac:dyDescent="0.35">
      <c r="B463" s="4">
        <v>44709</v>
      </c>
      <c r="C463" s="5" t="s">
        <v>30</v>
      </c>
      <c r="D463" s="346" t="s">
        <v>9</v>
      </c>
      <c r="E463" s="5" t="s">
        <v>26</v>
      </c>
      <c r="F463" s="5" t="s">
        <v>1</v>
      </c>
      <c r="G463" s="133">
        <v>61.620999999999995</v>
      </c>
      <c r="H463" s="133">
        <v>5.35</v>
      </c>
      <c r="I463" s="133">
        <v>2.44</v>
      </c>
      <c r="J463" s="133">
        <v>6.3829787234042561</v>
      </c>
      <c r="K463" s="133">
        <v>43.971631205673759</v>
      </c>
      <c r="L463" s="42">
        <v>241000367</v>
      </c>
      <c r="Q463" s="6"/>
    </row>
    <row r="464" spans="2:17" ht="14.5" x14ac:dyDescent="0.35">
      <c r="B464" s="4">
        <v>44710</v>
      </c>
      <c r="C464" s="5" t="s">
        <v>30</v>
      </c>
      <c r="D464" s="346" t="s">
        <v>9</v>
      </c>
      <c r="E464" s="5" t="s">
        <v>26</v>
      </c>
      <c r="F464" s="5" t="s">
        <v>1</v>
      </c>
      <c r="G464" s="133">
        <v>61.781999999999996</v>
      </c>
      <c r="H464" s="133">
        <v>5.27</v>
      </c>
      <c r="I464" s="133">
        <v>2.16</v>
      </c>
      <c r="J464" s="133">
        <v>4.3103448275862064</v>
      </c>
      <c r="K464" s="133">
        <v>49.999999999999993</v>
      </c>
      <c r="L464" s="42">
        <v>241000368</v>
      </c>
      <c r="Q464" s="6"/>
    </row>
    <row r="465" spans="2:17" ht="14.5" x14ac:dyDescent="0.35">
      <c r="B465" s="4">
        <v>44710</v>
      </c>
      <c r="C465" s="5" t="s">
        <v>30</v>
      </c>
      <c r="D465" s="346" t="s">
        <v>9</v>
      </c>
      <c r="E465" s="5" t="s">
        <v>26</v>
      </c>
      <c r="F465" s="5" t="s">
        <v>1</v>
      </c>
      <c r="G465" s="133">
        <v>63.41</v>
      </c>
      <c r="H465" s="133">
        <v>3.28</v>
      </c>
      <c r="I465" s="133">
        <v>1.47</v>
      </c>
      <c r="J465" s="133">
        <v>7.042253521126761</v>
      </c>
      <c r="K465" s="133">
        <v>47.183098591549296</v>
      </c>
      <c r="L465" s="42">
        <v>261005865</v>
      </c>
      <c r="Q465" s="6"/>
    </row>
    <row r="466" spans="2:17" ht="14.5" x14ac:dyDescent="0.35">
      <c r="B466" s="4">
        <v>44710</v>
      </c>
      <c r="C466" s="5" t="s">
        <v>30</v>
      </c>
      <c r="D466" s="346" t="s">
        <v>9</v>
      </c>
      <c r="E466" s="5" t="s">
        <v>26</v>
      </c>
      <c r="F466" s="5" t="s">
        <v>1</v>
      </c>
      <c r="G466" s="133">
        <v>62.29</v>
      </c>
      <c r="H466" s="133">
        <v>5.05</v>
      </c>
      <c r="I466" s="133">
        <v>1.7</v>
      </c>
      <c r="J466" s="133">
        <v>6.2937062937062933</v>
      </c>
      <c r="K466" s="133">
        <v>48.251748251748253</v>
      </c>
      <c r="L466" s="42">
        <v>261005869</v>
      </c>
      <c r="Q466" s="6"/>
    </row>
    <row r="467" spans="2:17" ht="14.5" x14ac:dyDescent="0.35">
      <c r="B467" s="4">
        <v>44711</v>
      </c>
      <c r="C467" s="5" t="s">
        <v>30</v>
      </c>
      <c r="D467" s="346" t="s">
        <v>9</v>
      </c>
      <c r="E467" s="5" t="s">
        <v>26</v>
      </c>
      <c r="F467" s="5" t="s">
        <v>1</v>
      </c>
      <c r="G467" s="133">
        <v>61.24</v>
      </c>
      <c r="H467" s="133">
        <v>5.98</v>
      </c>
      <c r="I467" s="133">
        <v>2.4700000000000002</v>
      </c>
      <c r="J467" s="133">
        <v>4.1666666666666661</v>
      </c>
      <c r="K467" s="133">
        <v>54.166666666666664</v>
      </c>
      <c r="L467" s="42">
        <v>261005871</v>
      </c>
      <c r="Q467" s="6"/>
    </row>
    <row r="468" spans="2:17" ht="14.5" x14ac:dyDescent="0.35">
      <c r="B468" s="6">
        <v>44683</v>
      </c>
      <c r="C468" s="5" t="s">
        <v>5</v>
      </c>
      <c r="D468" s="95" t="s">
        <v>31</v>
      </c>
      <c r="E468" s="5" t="s">
        <v>26</v>
      </c>
      <c r="F468" s="5" t="s">
        <v>0</v>
      </c>
      <c r="G468" s="14">
        <v>63.2</v>
      </c>
      <c r="H468" s="8">
        <v>2.5</v>
      </c>
      <c r="I468" s="7">
        <v>2.2000000000000002</v>
      </c>
      <c r="J468" s="18">
        <v>3</v>
      </c>
      <c r="K468" s="18">
        <v>16</v>
      </c>
      <c r="L468">
        <v>3</v>
      </c>
      <c r="Q468" s="6"/>
    </row>
    <row r="469" spans="2:17" ht="14.5" x14ac:dyDescent="0.35">
      <c r="B469" s="33">
        <v>44684</v>
      </c>
      <c r="C469" s="5" t="s">
        <v>5</v>
      </c>
      <c r="D469" s="95" t="s">
        <v>31</v>
      </c>
      <c r="E469" s="5" t="s">
        <v>26</v>
      </c>
      <c r="F469" s="5" t="s">
        <v>0</v>
      </c>
      <c r="G469" s="14">
        <v>63.2</v>
      </c>
      <c r="H469" s="8">
        <v>2.5</v>
      </c>
      <c r="I469" s="7">
        <v>2.1</v>
      </c>
      <c r="J469" s="18">
        <v>3</v>
      </c>
      <c r="K469" s="18">
        <v>14</v>
      </c>
      <c r="L469">
        <v>6</v>
      </c>
      <c r="Q469" s="6"/>
    </row>
    <row r="470" spans="2:17" ht="14.5" x14ac:dyDescent="0.35">
      <c r="B470" s="33">
        <v>44685</v>
      </c>
      <c r="C470" s="5" t="s">
        <v>5</v>
      </c>
      <c r="D470" s="95" t="s">
        <v>31</v>
      </c>
      <c r="E470" s="5" t="s">
        <v>26</v>
      </c>
      <c r="F470" s="5" t="s">
        <v>0</v>
      </c>
      <c r="G470" s="14">
        <v>63.1</v>
      </c>
      <c r="H470" s="8">
        <v>2.4</v>
      </c>
      <c r="I470" s="7">
        <v>2.4</v>
      </c>
      <c r="J470" s="18">
        <v>5</v>
      </c>
      <c r="K470" s="18">
        <v>16</v>
      </c>
      <c r="L470">
        <v>9</v>
      </c>
      <c r="Q470" s="6"/>
    </row>
    <row r="471" spans="2:17" ht="14.5" x14ac:dyDescent="0.35">
      <c r="B471" s="33">
        <v>44687</v>
      </c>
      <c r="C471" s="5" t="s">
        <v>5</v>
      </c>
      <c r="D471" s="95" t="s">
        <v>31</v>
      </c>
      <c r="E471" s="5" t="s">
        <v>26</v>
      </c>
      <c r="F471" s="5" t="s">
        <v>0</v>
      </c>
      <c r="G471" s="14">
        <v>63.3</v>
      </c>
      <c r="H471" s="8">
        <v>2.4</v>
      </c>
      <c r="I471" s="7">
        <v>2.1</v>
      </c>
      <c r="J471" s="18">
        <v>3</v>
      </c>
      <c r="K471" s="18">
        <v>20</v>
      </c>
      <c r="L471">
        <v>12</v>
      </c>
      <c r="Q471" s="6"/>
    </row>
    <row r="472" spans="2:17" ht="14.5" x14ac:dyDescent="0.35">
      <c r="B472" s="33">
        <v>44688</v>
      </c>
      <c r="C472" s="5" t="s">
        <v>5</v>
      </c>
      <c r="D472" s="95" t="s">
        <v>31</v>
      </c>
      <c r="E472" s="5" t="s">
        <v>26</v>
      </c>
      <c r="F472" s="5" t="s">
        <v>0</v>
      </c>
      <c r="G472" s="15">
        <v>63.1</v>
      </c>
      <c r="H472" s="10">
        <v>2.5</v>
      </c>
      <c r="I472" s="9">
        <v>2.2999999999999998</v>
      </c>
      <c r="J472" s="19">
        <v>2</v>
      </c>
      <c r="K472" s="19">
        <v>17</v>
      </c>
      <c r="L472">
        <v>15</v>
      </c>
      <c r="Q472" s="6"/>
    </row>
    <row r="473" spans="2:17" ht="14.5" x14ac:dyDescent="0.35">
      <c r="B473" s="6">
        <v>44689</v>
      </c>
      <c r="C473" s="5" t="s">
        <v>5</v>
      </c>
      <c r="D473" s="95" t="s">
        <v>31</v>
      </c>
      <c r="E473" s="5" t="s">
        <v>26</v>
      </c>
      <c r="F473" s="5" t="s">
        <v>0</v>
      </c>
      <c r="G473" s="14">
        <v>63.3</v>
      </c>
      <c r="H473" s="8">
        <v>2.2999999999999998</v>
      </c>
      <c r="I473" s="8">
        <v>2.2000000000000002</v>
      </c>
      <c r="J473" s="18">
        <v>2</v>
      </c>
      <c r="K473" s="18">
        <v>12</v>
      </c>
      <c r="L473">
        <v>17</v>
      </c>
      <c r="Q473" s="6"/>
    </row>
    <row r="474" spans="2:17" ht="14.5" x14ac:dyDescent="0.35">
      <c r="B474" s="6">
        <v>44689</v>
      </c>
      <c r="C474" s="5" t="s">
        <v>5</v>
      </c>
      <c r="D474" s="95" t="s">
        <v>31</v>
      </c>
      <c r="E474" s="5" t="s">
        <v>26</v>
      </c>
      <c r="F474" s="5" t="s">
        <v>0</v>
      </c>
      <c r="G474" s="14">
        <v>63.1</v>
      </c>
      <c r="H474" s="8">
        <v>2.2999999999999998</v>
      </c>
      <c r="I474" s="8">
        <v>2.5</v>
      </c>
      <c r="J474" s="18">
        <v>4</v>
      </c>
      <c r="K474" s="18">
        <v>9</v>
      </c>
      <c r="L474">
        <v>19</v>
      </c>
      <c r="Q474" s="6"/>
    </row>
    <row r="475" spans="2:17" ht="14.5" x14ac:dyDescent="0.35">
      <c r="B475" s="33">
        <v>44691</v>
      </c>
      <c r="C475" s="5" t="s">
        <v>5</v>
      </c>
      <c r="D475" s="95" t="s">
        <v>31</v>
      </c>
      <c r="E475" s="5" t="s">
        <v>26</v>
      </c>
      <c r="F475" s="5" t="s">
        <v>0</v>
      </c>
      <c r="G475" s="15">
        <v>63.2</v>
      </c>
      <c r="H475" s="9">
        <v>2.4</v>
      </c>
      <c r="I475" s="9">
        <v>2.2000000000000002</v>
      </c>
      <c r="J475" s="19">
        <v>2</v>
      </c>
      <c r="K475" s="19">
        <v>12</v>
      </c>
      <c r="L475">
        <v>23</v>
      </c>
      <c r="Q475" s="6"/>
    </row>
    <row r="476" spans="2:17" ht="15.5" x14ac:dyDescent="0.35">
      <c r="B476" s="6">
        <v>44691</v>
      </c>
      <c r="C476" s="5" t="s">
        <v>5</v>
      </c>
      <c r="D476" s="95" t="s">
        <v>31</v>
      </c>
      <c r="E476" s="5" t="s">
        <v>26</v>
      </c>
      <c r="F476" s="5" t="s">
        <v>0</v>
      </c>
      <c r="G476" s="16">
        <v>63.1</v>
      </c>
      <c r="H476" s="11">
        <v>2.5</v>
      </c>
      <c r="I476" s="11">
        <v>2.2999999999999998</v>
      </c>
      <c r="J476" s="22">
        <v>3</v>
      </c>
      <c r="K476" s="22">
        <v>12</v>
      </c>
      <c r="L476">
        <v>25</v>
      </c>
      <c r="Q476" s="6"/>
    </row>
    <row r="477" spans="2:17" ht="15.5" x14ac:dyDescent="0.35">
      <c r="B477" s="6">
        <v>44692</v>
      </c>
      <c r="C477" s="5" t="s">
        <v>5</v>
      </c>
      <c r="D477" s="95" t="s">
        <v>31</v>
      </c>
      <c r="E477" s="5" t="s">
        <v>26</v>
      </c>
      <c r="F477" s="5" t="s">
        <v>0</v>
      </c>
      <c r="G477" s="16">
        <v>63.2</v>
      </c>
      <c r="H477" s="11">
        <v>2.5</v>
      </c>
      <c r="I477" s="11">
        <v>2.2000000000000002</v>
      </c>
      <c r="J477" s="22">
        <v>4</v>
      </c>
      <c r="K477" s="22">
        <v>7</v>
      </c>
      <c r="L477">
        <v>28</v>
      </c>
      <c r="Q477" s="6"/>
    </row>
    <row r="478" spans="2:17" ht="15.5" x14ac:dyDescent="0.35">
      <c r="B478" s="34">
        <v>44694</v>
      </c>
      <c r="C478" s="5" t="s">
        <v>5</v>
      </c>
      <c r="D478" s="95" t="s">
        <v>31</v>
      </c>
      <c r="E478" s="5" t="s">
        <v>26</v>
      </c>
      <c r="F478" s="5" t="s">
        <v>0</v>
      </c>
      <c r="G478" s="17">
        <v>63.3</v>
      </c>
      <c r="H478" s="12">
        <v>2.4</v>
      </c>
      <c r="I478" s="13">
        <v>2.2000000000000002</v>
      </c>
      <c r="J478" s="23">
        <v>4</v>
      </c>
      <c r="K478" s="23">
        <v>14</v>
      </c>
      <c r="L478">
        <v>33</v>
      </c>
      <c r="Q478" s="6"/>
    </row>
    <row r="479" spans="2:17" ht="15.5" x14ac:dyDescent="0.35">
      <c r="B479" s="34">
        <v>44695</v>
      </c>
      <c r="C479" s="5" t="s">
        <v>5</v>
      </c>
      <c r="D479" s="95" t="s">
        <v>31</v>
      </c>
      <c r="E479" s="5" t="s">
        <v>26</v>
      </c>
      <c r="F479" s="5" t="s">
        <v>0</v>
      </c>
      <c r="G479" s="17">
        <v>63.1</v>
      </c>
      <c r="H479" s="12">
        <v>2.6</v>
      </c>
      <c r="I479" s="13">
        <v>2.1</v>
      </c>
      <c r="J479" s="23">
        <v>5</v>
      </c>
      <c r="K479" s="23">
        <v>19</v>
      </c>
      <c r="L479">
        <v>35</v>
      </c>
      <c r="Q479" s="6"/>
    </row>
    <row r="480" spans="2:17" ht="15.5" x14ac:dyDescent="0.35">
      <c r="B480" s="6">
        <v>44696</v>
      </c>
      <c r="C480" s="5" t="s">
        <v>5</v>
      </c>
      <c r="D480" s="95" t="s">
        <v>31</v>
      </c>
      <c r="E480" s="5" t="s">
        <v>26</v>
      </c>
      <c r="F480" s="5" t="s">
        <v>0</v>
      </c>
      <c r="G480" s="16">
        <v>63.2</v>
      </c>
      <c r="H480" s="11">
        <v>2.2999999999999998</v>
      </c>
      <c r="I480" s="11">
        <v>2.4</v>
      </c>
      <c r="J480" s="22">
        <v>3</v>
      </c>
      <c r="K480" s="22">
        <v>13</v>
      </c>
      <c r="L480">
        <v>37</v>
      </c>
      <c r="Q480" s="6"/>
    </row>
    <row r="481" spans="2:17" ht="15.5" x14ac:dyDescent="0.35">
      <c r="B481" s="6">
        <v>44697</v>
      </c>
      <c r="C481" s="5" t="s">
        <v>5</v>
      </c>
      <c r="D481" s="95" t="s">
        <v>31</v>
      </c>
      <c r="E481" s="5" t="s">
        <v>26</v>
      </c>
      <c r="F481" s="5" t="s">
        <v>0</v>
      </c>
      <c r="G481" s="16">
        <v>63.3</v>
      </c>
      <c r="H481" s="11">
        <v>2.4</v>
      </c>
      <c r="I481" s="11">
        <v>2.2999999999999998</v>
      </c>
      <c r="J481" s="22">
        <v>4</v>
      </c>
      <c r="K481" s="22">
        <v>15</v>
      </c>
      <c r="L481">
        <v>40</v>
      </c>
      <c r="Q481" s="6"/>
    </row>
    <row r="482" spans="2:17" ht="15.5" x14ac:dyDescent="0.35">
      <c r="B482" s="6">
        <v>44697</v>
      </c>
      <c r="C482" s="5" t="s">
        <v>5</v>
      </c>
      <c r="D482" s="95" t="s">
        <v>31</v>
      </c>
      <c r="E482" s="5" t="s">
        <v>26</v>
      </c>
      <c r="F482" s="5" t="s">
        <v>0</v>
      </c>
      <c r="G482" s="16">
        <v>63.3</v>
      </c>
      <c r="H482" s="12">
        <v>2.4</v>
      </c>
      <c r="I482" s="11">
        <v>2.2000000000000002</v>
      </c>
      <c r="J482" s="22">
        <v>2</v>
      </c>
      <c r="K482" s="22">
        <v>13</v>
      </c>
      <c r="L482">
        <v>41</v>
      </c>
      <c r="Q482" s="6"/>
    </row>
    <row r="483" spans="2:17" ht="14.5" x14ac:dyDescent="0.35">
      <c r="B483" s="281">
        <v>44698</v>
      </c>
      <c r="C483" s="5" t="s">
        <v>5</v>
      </c>
      <c r="D483" s="95" t="s">
        <v>31</v>
      </c>
      <c r="E483" s="5" t="s">
        <v>26</v>
      </c>
      <c r="F483" s="5" t="s">
        <v>0</v>
      </c>
      <c r="G483" s="138">
        <v>62.7</v>
      </c>
      <c r="H483" s="150">
        <v>2.6</v>
      </c>
      <c r="I483" s="149">
        <v>2.7</v>
      </c>
      <c r="J483" s="166">
        <v>9</v>
      </c>
      <c r="K483" s="177">
        <v>14</v>
      </c>
      <c r="L483" s="191">
        <v>36</v>
      </c>
      <c r="Q483" s="6"/>
    </row>
    <row r="484" spans="2:17" ht="14.5" x14ac:dyDescent="0.35">
      <c r="B484" s="281">
        <v>44698</v>
      </c>
      <c r="C484" s="5" t="s">
        <v>5</v>
      </c>
      <c r="D484" s="95" t="s">
        <v>31</v>
      </c>
      <c r="E484" s="5" t="s">
        <v>26</v>
      </c>
      <c r="F484" s="5" t="s">
        <v>0</v>
      </c>
      <c r="G484" s="137">
        <v>63.2</v>
      </c>
      <c r="H484" s="149">
        <v>2.5</v>
      </c>
      <c r="I484" s="149">
        <v>2.2000000000000002</v>
      </c>
      <c r="J484" s="166">
        <v>3</v>
      </c>
      <c r="K484" s="177">
        <v>17</v>
      </c>
      <c r="L484" s="191">
        <v>44</v>
      </c>
      <c r="Q484" s="6"/>
    </row>
    <row r="485" spans="2:17" ht="14.5" x14ac:dyDescent="0.35">
      <c r="B485" s="281">
        <v>44698</v>
      </c>
      <c r="C485" s="5" t="s">
        <v>5</v>
      </c>
      <c r="D485" s="95" t="s">
        <v>31</v>
      </c>
      <c r="E485" s="5" t="s">
        <v>26</v>
      </c>
      <c r="F485" s="5" t="s">
        <v>0</v>
      </c>
      <c r="G485" s="137">
        <v>63.1</v>
      </c>
      <c r="H485" s="149">
        <v>2.7</v>
      </c>
      <c r="I485" s="149">
        <v>2.1</v>
      </c>
      <c r="J485" s="166">
        <v>2</v>
      </c>
      <c r="K485" s="176">
        <v>18</v>
      </c>
      <c r="L485" s="191">
        <v>46</v>
      </c>
      <c r="Q485" s="6"/>
    </row>
    <row r="486" spans="2:17" ht="14.5" x14ac:dyDescent="0.35">
      <c r="B486" s="281">
        <v>44699</v>
      </c>
      <c r="C486" s="5" t="s">
        <v>5</v>
      </c>
      <c r="D486" s="95" t="s">
        <v>31</v>
      </c>
      <c r="E486" s="5" t="s">
        <v>26</v>
      </c>
      <c r="F486" s="5" t="s">
        <v>0</v>
      </c>
      <c r="G486" s="137">
        <v>63.3</v>
      </c>
      <c r="H486" s="149">
        <v>2.4</v>
      </c>
      <c r="I486" s="149">
        <v>2.2000000000000002</v>
      </c>
      <c r="J486" s="166">
        <v>4</v>
      </c>
      <c r="K486" s="176">
        <v>17</v>
      </c>
      <c r="L486" s="191">
        <v>49</v>
      </c>
      <c r="Q486" s="6"/>
    </row>
    <row r="487" spans="2:17" ht="14.5" x14ac:dyDescent="0.35">
      <c r="B487" s="281">
        <v>44700</v>
      </c>
      <c r="C487" s="5" t="s">
        <v>5</v>
      </c>
      <c r="D487" s="95" t="s">
        <v>31</v>
      </c>
      <c r="E487" s="5" t="s">
        <v>26</v>
      </c>
      <c r="F487" s="5" t="s">
        <v>0</v>
      </c>
      <c r="G487" s="137">
        <v>63.1</v>
      </c>
      <c r="H487" s="149">
        <v>2.6</v>
      </c>
      <c r="I487" s="149">
        <v>2.2000000000000002</v>
      </c>
      <c r="J487" s="166">
        <v>2</v>
      </c>
      <c r="K487" s="176">
        <v>18</v>
      </c>
      <c r="L487" s="191">
        <v>52</v>
      </c>
      <c r="Q487" s="6"/>
    </row>
    <row r="488" spans="2:17" ht="14.5" x14ac:dyDescent="0.35">
      <c r="B488" s="327">
        <v>44701</v>
      </c>
      <c r="C488" s="5" t="s">
        <v>5</v>
      </c>
      <c r="D488" s="95" t="s">
        <v>31</v>
      </c>
      <c r="E488" s="5" t="s">
        <v>26</v>
      </c>
      <c r="F488" s="5" t="s">
        <v>0</v>
      </c>
      <c r="G488" s="139">
        <v>63.2</v>
      </c>
      <c r="H488" s="151">
        <v>2.2999999999999998</v>
      </c>
      <c r="I488" s="151">
        <v>2.4</v>
      </c>
      <c r="J488" s="167">
        <v>5</v>
      </c>
      <c r="K488" s="178">
        <v>22</v>
      </c>
      <c r="L488" s="192">
        <v>54</v>
      </c>
      <c r="Q488" s="6"/>
    </row>
    <row r="489" spans="2:17" ht="14.5" x14ac:dyDescent="0.35">
      <c r="B489" s="281">
        <v>44703</v>
      </c>
      <c r="C489" s="5" t="s">
        <v>5</v>
      </c>
      <c r="D489" s="95" t="s">
        <v>31</v>
      </c>
      <c r="E489" s="5" t="s">
        <v>26</v>
      </c>
      <c r="F489" s="5" t="s">
        <v>0</v>
      </c>
      <c r="G489" s="137">
        <v>63.1</v>
      </c>
      <c r="H489" s="149">
        <v>2.5</v>
      </c>
      <c r="I489" s="149">
        <v>2.2999999999999998</v>
      </c>
      <c r="J489" s="166">
        <v>2</v>
      </c>
      <c r="K489" s="176">
        <v>14</v>
      </c>
      <c r="L489" s="191">
        <v>60</v>
      </c>
      <c r="Q489" s="6"/>
    </row>
    <row r="490" spans="2:17" ht="14.5" x14ac:dyDescent="0.35">
      <c r="B490" s="327">
        <v>44703</v>
      </c>
      <c r="C490" s="5" t="s">
        <v>5</v>
      </c>
      <c r="D490" s="95" t="s">
        <v>31</v>
      </c>
      <c r="E490" s="5" t="s">
        <v>26</v>
      </c>
      <c r="F490" s="5" t="s">
        <v>0</v>
      </c>
      <c r="G490" s="139">
        <v>63.2</v>
      </c>
      <c r="H490" s="151">
        <v>2.5</v>
      </c>
      <c r="I490" s="151">
        <v>2.1</v>
      </c>
      <c r="J490" s="167">
        <v>4</v>
      </c>
      <c r="K490" s="178">
        <v>12</v>
      </c>
      <c r="L490" s="192">
        <v>63</v>
      </c>
      <c r="Q490" s="6"/>
    </row>
    <row r="491" spans="2:17" ht="14.5" x14ac:dyDescent="0.35">
      <c r="B491" s="281">
        <v>44705</v>
      </c>
      <c r="C491" s="5" t="s">
        <v>5</v>
      </c>
      <c r="D491" s="95" t="s">
        <v>31</v>
      </c>
      <c r="E491" s="5" t="s">
        <v>26</v>
      </c>
      <c r="F491" s="5" t="s">
        <v>0</v>
      </c>
      <c r="G491" s="137">
        <v>63.1</v>
      </c>
      <c r="H491" s="149">
        <v>2.6</v>
      </c>
      <c r="I491" s="149">
        <v>2.1</v>
      </c>
      <c r="J491" s="166">
        <v>2</v>
      </c>
      <c r="K491" s="176">
        <v>16</v>
      </c>
      <c r="L491" s="191">
        <v>66</v>
      </c>
      <c r="Q491" s="6"/>
    </row>
    <row r="492" spans="2:17" ht="14.5" x14ac:dyDescent="0.35">
      <c r="B492" s="281">
        <v>44705</v>
      </c>
      <c r="C492" s="5" t="s">
        <v>5</v>
      </c>
      <c r="D492" s="95" t="s">
        <v>31</v>
      </c>
      <c r="E492" s="5" t="s">
        <v>26</v>
      </c>
      <c r="F492" s="5" t="s">
        <v>0</v>
      </c>
      <c r="G492" s="137">
        <v>63.2</v>
      </c>
      <c r="H492" s="149">
        <v>2.4</v>
      </c>
      <c r="I492" s="149">
        <v>2.2000000000000002</v>
      </c>
      <c r="J492" s="166">
        <v>2</v>
      </c>
      <c r="K492" s="176">
        <v>14</v>
      </c>
      <c r="L492" s="191">
        <v>68</v>
      </c>
      <c r="Q492" s="6"/>
    </row>
    <row r="493" spans="2:17" ht="14.5" x14ac:dyDescent="0.35">
      <c r="B493" s="281">
        <v>44706</v>
      </c>
      <c r="C493" s="5" t="s">
        <v>5</v>
      </c>
      <c r="D493" s="95" t="s">
        <v>31</v>
      </c>
      <c r="E493" s="5" t="s">
        <v>26</v>
      </c>
      <c r="F493" s="5" t="s">
        <v>0</v>
      </c>
      <c r="G493" s="137">
        <v>63.2</v>
      </c>
      <c r="H493" s="149">
        <v>2.2999999999999998</v>
      </c>
      <c r="I493" s="149">
        <v>2.2999999999999998</v>
      </c>
      <c r="J493" s="166">
        <v>2</v>
      </c>
      <c r="K493" s="177">
        <v>12</v>
      </c>
      <c r="L493" s="191">
        <v>70</v>
      </c>
      <c r="Q493" s="6"/>
    </row>
    <row r="494" spans="2:17" ht="14.5" x14ac:dyDescent="0.35">
      <c r="B494" s="281">
        <v>44707</v>
      </c>
      <c r="C494" s="5" t="s">
        <v>5</v>
      </c>
      <c r="D494" s="95" t="s">
        <v>31</v>
      </c>
      <c r="E494" s="5" t="s">
        <v>26</v>
      </c>
      <c r="F494" s="5" t="s">
        <v>0</v>
      </c>
      <c r="G494" s="137">
        <v>63.1</v>
      </c>
      <c r="H494" s="149">
        <v>2.5</v>
      </c>
      <c r="I494" s="149">
        <v>2.2999999999999998</v>
      </c>
      <c r="J494" s="166">
        <v>2</v>
      </c>
      <c r="K494" s="176">
        <v>13</v>
      </c>
      <c r="L494" s="191">
        <v>73</v>
      </c>
      <c r="Q494" s="6"/>
    </row>
    <row r="495" spans="2:17" ht="14.5" x14ac:dyDescent="0.35">
      <c r="B495" s="281">
        <v>44708</v>
      </c>
      <c r="C495" s="5" t="s">
        <v>5</v>
      </c>
      <c r="D495" s="95" t="s">
        <v>31</v>
      </c>
      <c r="E495" s="5" t="s">
        <v>26</v>
      </c>
      <c r="F495" s="5" t="s">
        <v>0</v>
      </c>
      <c r="G495" s="137">
        <v>63.2</v>
      </c>
      <c r="H495" s="149">
        <v>2.2000000000000002</v>
      </c>
      <c r="I495" s="155">
        <v>2.4</v>
      </c>
      <c r="J495" s="166">
        <v>2</v>
      </c>
      <c r="K495" s="176">
        <v>10</v>
      </c>
      <c r="L495" s="191">
        <v>75</v>
      </c>
      <c r="Q495" s="6"/>
    </row>
    <row r="496" spans="2:17" ht="14.5" x14ac:dyDescent="0.35">
      <c r="B496" s="281">
        <v>44709</v>
      </c>
      <c r="C496" s="5" t="s">
        <v>5</v>
      </c>
      <c r="D496" s="95" t="s">
        <v>31</v>
      </c>
      <c r="E496" s="5" t="s">
        <v>26</v>
      </c>
      <c r="F496" s="5" t="s">
        <v>0</v>
      </c>
      <c r="G496" s="137">
        <v>63.3</v>
      </c>
      <c r="H496" s="149">
        <v>2.1</v>
      </c>
      <c r="I496" s="155">
        <v>2.4</v>
      </c>
      <c r="J496" s="166">
        <v>2</v>
      </c>
      <c r="K496" s="176">
        <v>18</v>
      </c>
      <c r="L496" s="191">
        <v>77</v>
      </c>
      <c r="Q496" s="6"/>
    </row>
    <row r="497" spans="2:17" ht="14.5" x14ac:dyDescent="0.35">
      <c r="B497" s="281">
        <v>44710</v>
      </c>
      <c r="C497" s="5" t="s">
        <v>5</v>
      </c>
      <c r="D497" s="95" t="s">
        <v>31</v>
      </c>
      <c r="E497" s="5" t="s">
        <v>26</v>
      </c>
      <c r="F497" s="5" t="s">
        <v>0</v>
      </c>
      <c r="G497" s="137">
        <v>63.1</v>
      </c>
      <c r="H497" s="149">
        <v>2.2000000000000002</v>
      </c>
      <c r="I497" s="149">
        <v>2.5</v>
      </c>
      <c r="J497" s="169">
        <v>3</v>
      </c>
      <c r="K497" s="176">
        <v>13</v>
      </c>
      <c r="L497" s="191">
        <v>79</v>
      </c>
      <c r="Q497" s="6"/>
    </row>
    <row r="498" spans="2:17" ht="14.5" x14ac:dyDescent="0.35">
      <c r="B498" s="328">
        <v>44710</v>
      </c>
      <c r="C498" s="5" t="s">
        <v>5</v>
      </c>
      <c r="D498" s="95" t="s">
        <v>31</v>
      </c>
      <c r="E498" s="5" t="s">
        <v>26</v>
      </c>
      <c r="F498" s="5" t="s">
        <v>0</v>
      </c>
      <c r="G498" s="142">
        <v>63.2</v>
      </c>
      <c r="H498" s="154">
        <v>2.2000000000000002</v>
      </c>
      <c r="I498" s="156">
        <v>2.4</v>
      </c>
      <c r="J498" s="170">
        <v>2</v>
      </c>
      <c r="K498" s="181">
        <v>12</v>
      </c>
      <c r="L498" s="194">
        <v>80</v>
      </c>
      <c r="Q498" s="6"/>
    </row>
    <row r="499" spans="2:17" ht="14.5" x14ac:dyDescent="0.35">
      <c r="B499" s="281">
        <v>44711</v>
      </c>
      <c r="C499" s="5" t="s">
        <v>5</v>
      </c>
      <c r="D499" s="95" t="s">
        <v>31</v>
      </c>
      <c r="E499" s="5" t="s">
        <v>26</v>
      </c>
      <c r="F499" s="5" t="s">
        <v>0</v>
      </c>
      <c r="G499" s="141">
        <v>63.1</v>
      </c>
      <c r="H499" s="149">
        <v>2.2999999999999998</v>
      </c>
      <c r="I499" s="155">
        <v>2.4</v>
      </c>
      <c r="J499" s="169">
        <v>3</v>
      </c>
      <c r="K499" s="186">
        <v>15</v>
      </c>
      <c r="L499" s="191">
        <v>83</v>
      </c>
      <c r="Q499" s="6"/>
    </row>
    <row r="500" spans="2:17" ht="14.5" x14ac:dyDescent="0.35">
      <c r="B500" s="281">
        <v>44712</v>
      </c>
      <c r="C500" s="5" t="s">
        <v>5</v>
      </c>
      <c r="D500" s="95" t="s">
        <v>31</v>
      </c>
      <c r="E500" s="5" t="s">
        <v>26</v>
      </c>
      <c r="F500" s="5" t="s">
        <v>0</v>
      </c>
      <c r="G500" s="141">
        <v>63.3</v>
      </c>
      <c r="H500" s="155">
        <v>2.2000000000000002</v>
      </c>
      <c r="I500" s="155">
        <v>2.2999999999999998</v>
      </c>
      <c r="J500" s="169">
        <v>3</v>
      </c>
      <c r="K500" s="182">
        <v>20</v>
      </c>
      <c r="L500" s="191">
        <v>86</v>
      </c>
      <c r="Q500" s="6"/>
    </row>
    <row r="501" spans="2:17" ht="14.5" x14ac:dyDescent="0.35">
      <c r="B501" s="281">
        <v>44712</v>
      </c>
      <c r="C501" s="5" t="s">
        <v>5</v>
      </c>
      <c r="D501" s="95" t="s">
        <v>31</v>
      </c>
      <c r="E501" s="5" t="s">
        <v>26</v>
      </c>
      <c r="F501" s="5" t="s">
        <v>0</v>
      </c>
      <c r="G501" s="141">
        <v>63.2</v>
      </c>
      <c r="H501" s="149">
        <v>2.6</v>
      </c>
      <c r="I501" s="155">
        <v>2</v>
      </c>
      <c r="J501" s="169">
        <v>1</v>
      </c>
      <c r="K501" s="182">
        <v>14</v>
      </c>
      <c r="L501" s="191">
        <v>89</v>
      </c>
      <c r="Q501" s="6"/>
    </row>
    <row r="502" spans="2:17" ht="14.5" x14ac:dyDescent="0.35">
      <c r="B502" s="327">
        <v>44682</v>
      </c>
      <c r="C502" s="5" t="s">
        <v>5</v>
      </c>
      <c r="D502" s="95" t="s">
        <v>10</v>
      </c>
      <c r="E502" s="5" t="s">
        <v>26</v>
      </c>
      <c r="F502" s="5" t="s">
        <v>0</v>
      </c>
      <c r="G502" s="144">
        <v>62.2</v>
      </c>
      <c r="H502" s="151">
        <v>2</v>
      </c>
      <c r="I502" s="158">
        <v>4</v>
      </c>
      <c r="J502" s="172">
        <v>15</v>
      </c>
      <c r="K502" s="184">
        <v>23</v>
      </c>
      <c r="L502" s="192">
        <v>1</v>
      </c>
      <c r="Q502" s="6"/>
    </row>
    <row r="503" spans="2:17" ht="14.5" x14ac:dyDescent="0.35">
      <c r="B503" s="281">
        <v>44684</v>
      </c>
      <c r="C503" s="5" t="s">
        <v>5</v>
      </c>
      <c r="D503" s="95" t="s">
        <v>10</v>
      </c>
      <c r="E503" s="5" t="s">
        <v>26</v>
      </c>
      <c r="F503" s="5" t="s">
        <v>0</v>
      </c>
      <c r="G503" s="141">
        <v>61.4</v>
      </c>
      <c r="H503" s="149">
        <v>3.4</v>
      </c>
      <c r="I503" s="155">
        <v>3.9</v>
      </c>
      <c r="J503" s="169">
        <v>12</v>
      </c>
      <c r="K503" s="182">
        <v>18</v>
      </c>
      <c r="L503" s="191">
        <v>5</v>
      </c>
      <c r="Q503" s="6"/>
    </row>
    <row r="504" spans="2:17" ht="14.5" x14ac:dyDescent="0.35">
      <c r="B504" s="281">
        <v>44685</v>
      </c>
      <c r="C504" s="5" t="s">
        <v>5</v>
      </c>
      <c r="D504" s="95" t="s">
        <v>10</v>
      </c>
      <c r="E504" s="5" t="s">
        <v>26</v>
      </c>
      <c r="F504" s="5" t="s">
        <v>0</v>
      </c>
      <c r="G504" s="141">
        <v>61.5</v>
      </c>
      <c r="H504" s="149">
        <v>3.4</v>
      </c>
      <c r="I504" s="155">
        <v>3.6</v>
      </c>
      <c r="J504" s="169">
        <v>20</v>
      </c>
      <c r="K504" s="182">
        <v>16</v>
      </c>
      <c r="L504" s="191">
        <v>9</v>
      </c>
      <c r="Q504" s="6"/>
    </row>
    <row r="505" spans="2:17" ht="14.5" x14ac:dyDescent="0.35">
      <c r="B505" s="327">
        <v>44686</v>
      </c>
      <c r="C505" s="5" t="s">
        <v>5</v>
      </c>
      <c r="D505" s="95" t="s">
        <v>10</v>
      </c>
      <c r="E505" s="5" t="s">
        <v>26</v>
      </c>
      <c r="F505" s="5" t="s">
        <v>0</v>
      </c>
      <c r="G505" s="144">
        <v>62.1</v>
      </c>
      <c r="H505" s="158">
        <v>2.5</v>
      </c>
      <c r="I505" s="158">
        <v>3.7</v>
      </c>
      <c r="J505" s="172">
        <v>15</v>
      </c>
      <c r="K505" s="184">
        <v>13</v>
      </c>
      <c r="L505" s="192">
        <v>13</v>
      </c>
      <c r="Q505" s="6"/>
    </row>
    <row r="506" spans="2:17" ht="14.5" x14ac:dyDescent="0.35">
      <c r="B506" s="281">
        <v>44688</v>
      </c>
      <c r="C506" s="5" t="s">
        <v>5</v>
      </c>
      <c r="D506" s="95" t="s">
        <v>10</v>
      </c>
      <c r="E506" s="5" t="s">
        <v>26</v>
      </c>
      <c r="F506" s="5" t="s">
        <v>0</v>
      </c>
      <c r="G506" s="141">
        <v>60.6</v>
      </c>
      <c r="H506" s="160">
        <v>5.0999999999999996</v>
      </c>
      <c r="I506" s="155">
        <v>2.2999999999999998</v>
      </c>
      <c r="J506" s="169">
        <v>20</v>
      </c>
      <c r="K506" s="186">
        <v>17</v>
      </c>
      <c r="L506" s="191">
        <v>17</v>
      </c>
      <c r="Q506" s="6"/>
    </row>
    <row r="507" spans="2:17" ht="14.5" x14ac:dyDescent="0.35">
      <c r="B507" s="281">
        <v>44689</v>
      </c>
      <c r="C507" s="5" t="s">
        <v>5</v>
      </c>
      <c r="D507" s="95" t="s">
        <v>10</v>
      </c>
      <c r="E507" s="5" t="s">
        <v>26</v>
      </c>
      <c r="F507" s="5" t="s">
        <v>0</v>
      </c>
      <c r="G507" s="141">
        <v>62.1</v>
      </c>
      <c r="H507" s="160">
        <v>2.2000000000000002</v>
      </c>
      <c r="I507" s="155">
        <v>4</v>
      </c>
      <c r="J507" s="169">
        <v>15</v>
      </c>
      <c r="K507" s="182">
        <v>12</v>
      </c>
      <c r="L507" s="191">
        <v>20</v>
      </c>
      <c r="Q507" s="6"/>
    </row>
    <row r="508" spans="2:17" ht="14.5" x14ac:dyDescent="0.35">
      <c r="B508" s="281">
        <v>44692</v>
      </c>
      <c r="C508" s="5" t="s">
        <v>5</v>
      </c>
      <c r="D508" s="95" t="s">
        <v>10</v>
      </c>
      <c r="E508" s="5" t="s">
        <v>26</v>
      </c>
      <c r="F508" s="5" t="s">
        <v>0</v>
      </c>
      <c r="G508" s="145">
        <v>61.5</v>
      </c>
      <c r="H508" s="160">
        <v>3.8</v>
      </c>
      <c r="I508" s="155">
        <v>3.2</v>
      </c>
      <c r="J508" s="169">
        <v>5</v>
      </c>
      <c r="K508" s="182">
        <v>23</v>
      </c>
      <c r="L508" s="191">
        <v>24</v>
      </c>
      <c r="Q508" s="6"/>
    </row>
    <row r="509" spans="2:17" ht="14.5" x14ac:dyDescent="0.35">
      <c r="B509" s="281">
        <v>44693</v>
      </c>
      <c r="C509" s="5" t="s">
        <v>5</v>
      </c>
      <c r="D509" s="95" t="s">
        <v>10</v>
      </c>
      <c r="E509" s="5" t="s">
        <v>26</v>
      </c>
      <c r="F509" s="5" t="s">
        <v>0</v>
      </c>
      <c r="G509" s="145">
        <v>61.6</v>
      </c>
      <c r="H509" s="160">
        <v>4.7</v>
      </c>
      <c r="I509" s="160">
        <v>2.2000000000000002</v>
      </c>
      <c r="J509" s="169">
        <v>20</v>
      </c>
      <c r="K509" s="186">
        <v>15</v>
      </c>
      <c r="L509" s="191">
        <v>27</v>
      </c>
      <c r="Q509" s="6"/>
    </row>
    <row r="510" spans="2:17" ht="14.5" x14ac:dyDescent="0.35">
      <c r="B510" s="281">
        <v>44694</v>
      </c>
      <c r="C510" s="5" t="s">
        <v>5</v>
      </c>
      <c r="D510" s="95" t="s">
        <v>10</v>
      </c>
      <c r="E510" s="5" t="s">
        <v>26</v>
      </c>
      <c r="F510" s="5" t="s">
        <v>0</v>
      </c>
      <c r="G510" s="145">
        <v>61.9</v>
      </c>
      <c r="H510" s="160">
        <v>3.1</v>
      </c>
      <c r="I510" s="155">
        <v>3.5</v>
      </c>
      <c r="J510" s="169">
        <v>10</v>
      </c>
      <c r="K510" s="182">
        <v>13</v>
      </c>
      <c r="L510" s="191">
        <v>29</v>
      </c>
      <c r="Q510" s="6"/>
    </row>
    <row r="511" spans="2:17" ht="14.5" x14ac:dyDescent="0.35">
      <c r="B511" s="281">
        <v>44695</v>
      </c>
      <c r="C511" s="5" t="s">
        <v>5</v>
      </c>
      <c r="D511" s="95" t="s">
        <v>10</v>
      </c>
      <c r="E511" s="5" t="s">
        <v>26</v>
      </c>
      <c r="F511" s="5" t="s">
        <v>0</v>
      </c>
      <c r="G511" s="141">
        <v>60.1</v>
      </c>
      <c r="H511" s="160">
        <v>5.9</v>
      </c>
      <c r="I511" s="155">
        <v>2</v>
      </c>
      <c r="J511" s="169">
        <v>15</v>
      </c>
      <c r="K511" s="186">
        <v>14</v>
      </c>
      <c r="L511" s="191">
        <v>31</v>
      </c>
      <c r="Q511" s="6"/>
    </row>
    <row r="512" spans="2:17" ht="14.5" x14ac:dyDescent="0.35">
      <c r="B512" s="281">
        <v>44696</v>
      </c>
      <c r="C512" s="5" t="s">
        <v>5</v>
      </c>
      <c r="D512" s="95" t="s">
        <v>10</v>
      </c>
      <c r="E512" s="5" t="s">
        <v>26</v>
      </c>
      <c r="F512" s="5" t="s">
        <v>0</v>
      </c>
      <c r="G512" s="141">
        <v>61.2</v>
      </c>
      <c r="H512" s="155">
        <v>3.8</v>
      </c>
      <c r="I512" s="155">
        <v>3.8</v>
      </c>
      <c r="J512" s="169">
        <v>11</v>
      </c>
      <c r="K512" s="186">
        <v>11</v>
      </c>
      <c r="L512" s="191">
        <v>34</v>
      </c>
      <c r="Q512" s="6"/>
    </row>
    <row r="513" spans="2:17" ht="14.5" x14ac:dyDescent="0.35">
      <c r="B513" s="281">
        <v>44698</v>
      </c>
      <c r="C513" s="5" t="s">
        <v>5</v>
      </c>
      <c r="D513" s="95" t="s">
        <v>10</v>
      </c>
      <c r="E513" s="5" t="s">
        <v>26</v>
      </c>
      <c r="F513" s="5" t="s">
        <v>0</v>
      </c>
      <c r="G513" s="141">
        <v>61.4</v>
      </c>
      <c r="H513" s="160">
        <v>3</v>
      </c>
      <c r="I513" s="160">
        <v>4.0999999999999996</v>
      </c>
      <c r="J513" s="169">
        <v>12</v>
      </c>
      <c r="K513" s="182">
        <v>15</v>
      </c>
      <c r="L513" s="191">
        <v>37</v>
      </c>
      <c r="Q513" s="6"/>
    </row>
    <row r="514" spans="2:17" ht="14.5" x14ac:dyDescent="0.35">
      <c r="B514" s="281">
        <v>44700</v>
      </c>
      <c r="C514" s="5" t="s">
        <v>5</v>
      </c>
      <c r="D514" s="95" t="s">
        <v>10</v>
      </c>
      <c r="E514" s="5" t="s">
        <v>26</v>
      </c>
      <c r="F514" s="5" t="s">
        <v>0</v>
      </c>
      <c r="G514" s="137">
        <v>61</v>
      </c>
      <c r="H514" s="150">
        <v>3.3</v>
      </c>
      <c r="I514" s="149">
        <v>4.3</v>
      </c>
      <c r="J514" s="166">
        <v>10</v>
      </c>
      <c r="K514" s="176">
        <v>17</v>
      </c>
      <c r="L514" s="191">
        <v>40</v>
      </c>
      <c r="Q514" s="6"/>
    </row>
    <row r="515" spans="2:17" ht="14.5" x14ac:dyDescent="0.35">
      <c r="B515" s="281">
        <v>44701</v>
      </c>
      <c r="C515" s="5" t="s">
        <v>5</v>
      </c>
      <c r="D515" s="95" t="s">
        <v>10</v>
      </c>
      <c r="E515" s="5" t="s">
        <v>26</v>
      </c>
      <c r="F515" s="5" t="s">
        <v>0</v>
      </c>
      <c r="G515" s="137">
        <v>61.5</v>
      </c>
      <c r="H515" s="149">
        <v>2.2000000000000002</v>
      </c>
      <c r="I515" s="149">
        <v>4.9000000000000004</v>
      </c>
      <c r="J515" s="166">
        <v>12</v>
      </c>
      <c r="K515" s="176">
        <v>15</v>
      </c>
      <c r="L515" s="191">
        <v>42</v>
      </c>
      <c r="Q515" s="6"/>
    </row>
    <row r="516" spans="2:17" ht="14.5" x14ac:dyDescent="0.35">
      <c r="B516" s="281">
        <v>44702</v>
      </c>
      <c r="C516" s="5" t="s">
        <v>5</v>
      </c>
      <c r="D516" s="95" t="s">
        <v>10</v>
      </c>
      <c r="E516" s="5" t="s">
        <v>26</v>
      </c>
      <c r="F516" s="5" t="s">
        <v>0</v>
      </c>
      <c r="G516" s="137">
        <v>61.2</v>
      </c>
      <c r="H516" s="149">
        <v>2</v>
      </c>
      <c r="I516" s="149">
        <v>5.5</v>
      </c>
      <c r="J516" s="166">
        <v>6</v>
      </c>
      <c r="K516" s="176">
        <v>26</v>
      </c>
      <c r="L516" s="191">
        <v>45</v>
      </c>
      <c r="Q516" s="6"/>
    </row>
    <row r="517" spans="2:17" ht="14.5" x14ac:dyDescent="0.35">
      <c r="B517" s="327">
        <v>44703</v>
      </c>
      <c r="C517" s="5" t="s">
        <v>5</v>
      </c>
      <c r="D517" s="95" t="s">
        <v>10</v>
      </c>
      <c r="E517" s="5" t="s">
        <v>26</v>
      </c>
      <c r="F517" s="5" t="s">
        <v>0</v>
      </c>
      <c r="G517" s="139">
        <v>61</v>
      </c>
      <c r="H517" s="152">
        <v>3.8</v>
      </c>
      <c r="I517" s="151">
        <v>4</v>
      </c>
      <c r="J517" s="167">
        <v>13</v>
      </c>
      <c r="K517" s="179">
        <v>12</v>
      </c>
      <c r="L517" s="192">
        <v>49</v>
      </c>
      <c r="Q517" s="6"/>
    </row>
    <row r="518" spans="2:17" ht="14.5" x14ac:dyDescent="0.35">
      <c r="B518" s="281">
        <v>44706</v>
      </c>
      <c r="C518" s="5" t="s">
        <v>5</v>
      </c>
      <c r="D518" s="95" t="s">
        <v>10</v>
      </c>
      <c r="E518" s="5" t="s">
        <v>26</v>
      </c>
      <c r="F518" s="5" t="s">
        <v>0</v>
      </c>
      <c r="G518" s="137">
        <v>61.3</v>
      </c>
      <c r="H518" s="149">
        <v>4.3</v>
      </c>
      <c r="I518" s="149">
        <v>3.1</v>
      </c>
      <c r="J518" s="166">
        <v>18</v>
      </c>
      <c r="K518" s="176">
        <v>23</v>
      </c>
      <c r="L518" s="191">
        <v>56</v>
      </c>
      <c r="Q518" s="6"/>
    </row>
    <row r="519" spans="2:17" ht="14.5" x14ac:dyDescent="0.35">
      <c r="B519" s="281">
        <v>44707</v>
      </c>
      <c r="C519" s="5" t="s">
        <v>5</v>
      </c>
      <c r="D519" s="95" t="s">
        <v>10</v>
      </c>
      <c r="E519" s="5" t="s">
        <v>26</v>
      </c>
      <c r="F519" s="5" t="s">
        <v>0</v>
      </c>
      <c r="G519" s="137">
        <v>60.5</v>
      </c>
      <c r="H519" s="149">
        <v>4</v>
      </c>
      <c r="I519" s="149">
        <v>4.5</v>
      </c>
      <c r="J519" s="166">
        <v>18</v>
      </c>
      <c r="K519" s="176">
        <v>12</v>
      </c>
      <c r="L519" s="191">
        <v>60</v>
      </c>
      <c r="Q519" s="6"/>
    </row>
    <row r="520" spans="2:17" ht="14.5" x14ac:dyDescent="0.35">
      <c r="B520" s="281">
        <v>44709</v>
      </c>
      <c r="C520" s="5" t="s">
        <v>5</v>
      </c>
      <c r="D520" s="95" t="s">
        <v>10</v>
      </c>
      <c r="E520" s="5" t="s">
        <v>26</v>
      </c>
      <c r="F520" s="5" t="s">
        <v>0</v>
      </c>
      <c r="G520" s="137">
        <v>61.5</v>
      </c>
      <c r="H520" s="149">
        <v>3.6</v>
      </c>
      <c r="I520" s="149">
        <v>3.5</v>
      </c>
      <c r="J520" s="166">
        <v>5</v>
      </c>
      <c r="K520" s="177">
        <v>18</v>
      </c>
      <c r="L520" s="191">
        <v>63</v>
      </c>
      <c r="Q520" s="6"/>
    </row>
    <row r="521" spans="2:17" ht="14.5" x14ac:dyDescent="0.35">
      <c r="B521" s="281">
        <v>44710</v>
      </c>
      <c r="C521" s="5" t="s">
        <v>5</v>
      </c>
      <c r="D521" s="95" t="s">
        <v>10</v>
      </c>
      <c r="E521" s="5" t="s">
        <v>26</v>
      </c>
      <c r="F521" s="5" t="s">
        <v>0</v>
      </c>
      <c r="G521" s="137">
        <v>61.5</v>
      </c>
      <c r="H521" s="150">
        <v>3.2</v>
      </c>
      <c r="I521" s="149">
        <v>3.9</v>
      </c>
      <c r="J521" s="166">
        <v>4</v>
      </c>
      <c r="K521" s="177">
        <v>21</v>
      </c>
      <c r="L521" s="191">
        <v>65</v>
      </c>
      <c r="Q521" s="6"/>
    </row>
    <row r="522" spans="2:17" ht="14.5" x14ac:dyDescent="0.35">
      <c r="B522" s="329">
        <v>44683</v>
      </c>
      <c r="C522" s="5" t="s">
        <v>5</v>
      </c>
      <c r="D522" s="95" t="s">
        <v>146</v>
      </c>
      <c r="E522" s="5" t="s">
        <v>26</v>
      </c>
      <c r="F522" s="5" t="s">
        <v>0</v>
      </c>
      <c r="G522" s="137">
        <v>62.7</v>
      </c>
      <c r="H522" s="149">
        <v>2.5</v>
      </c>
      <c r="I522" s="149">
        <v>2.8</v>
      </c>
      <c r="J522" s="166">
        <v>4</v>
      </c>
      <c r="K522" s="176">
        <v>15</v>
      </c>
      <c r="L522" s="191">
        <v>3</v>
      </c>
      <c r="Q522" s="6"/>
    </row>
    <row r="523" spans="2:17" ht="14.5" x14ac:dyDescent="0.35">
      <c r="B523" s="329">
        <v>44687</v>
      </c>
      <c r="C523" s="5" t="s">
        <v>5</v>
      </c>
      <c r="D523" s="95" t="s">
        <v>146</v>
      </c>
      <c r="E523" s="5" t="s">
        <v>26</v>
      </c>
      <c r="F523" s="5" t="s">
        <v>0</v>
      </c>
      <c r="G523" s="137">
        <v>62.6</v>
      </c>
      <c r="H523" s="150">
        <v>2.6</v>
      </c>
      <c r="I523" s="149">
        <v>2.9</v>
      </c>
      <c r="J523" s="166">
        <v>6</v>
      </c>
      <c r="K523" s="176">
        <v>13</v>
      </c>
      <c r="L523" s="191">
        <v>16</v>
      </c>
      <c r="Q523" s="6"/>
    </row>
    <row r="524" spans="2:17" ht="15.5" x14ac:dyDescent="0.35">
      <c r="B524" s="330">
        <v>44689</v>
      </c>
      <c r="C524" s="5" t="s">
        <v>5</v>
      </c>
      <c r="D524" s="95" t="s">
        <v>146</v>
      </c>
      <c r="E524" s="5" t="s">
        <v>26</v>
      </c>
      <c r="F524" s="5" t="s">
        <v>0</v>
      </c>
      <c r="G524" s="147">
        <v>62.7</v>
      </c>
      <c r="H524" s="162">
        <v>2.6</v>
      </c>
      <c r="I524" s="162">
        <v>2.7</v>
      </c>
      <c r="J524" s="174">
        <v>4</v>
      </c>
      <c r="K524" s="189">
        <v>17</v>
      </c>
      <c r="L524" s="193">
        <v>19</v>
      </c>
      <c r="Q524" s="6"/>
    </row>
    <row r="525" spans="2:17" ht="15.5" x14ac:dyDescent="0.35">
      <c r="B525" s="330">
        <v>44692</v>
      </c>
      <c r="C525" s="5" t="s">
        <v>5</v>
      </c>
      <c r="D525" s="95" t="s">
        <v>146</v>
      </c>
      <c r="E525" s="5" t="s">
        <v>26</v>
      </c>
      <c r="F525" s="5" t="s">
        <v>0</v>
      </c>
      <c r="G525" s="147">
        <v>62.7</v>
      </c>
      <c r="H525" s="162">
        <v>3.2</v>
      </c>
      <c r="I525" s="162">
        <v>2.2000000000000002</v>
      </c>
      <c r="J525" s="174">
        <v>4</v>
      </c>
      <c r="K525" s="189">
        <v>14</v>
      </c>
      <c r="L525" s="193">
        <v>25</v>
      </c>
      <c r="Q525" s="6"/>
    </row>
    <row r="526" spans="2:17" ht="15.5" x14ac:dyDescent="0.35">
      <c r="B526" s="331">
        <v>44695</v>
      </c>
      <c r="C526" s="5" t="s">
        <v>5</v>
      </c>
      <c r="D526" s="95" t="s">
        <v>146</v>
      </c>
      <c r="E526" s="5" t="s">
        <v>26</v>
      </c>
      <c r="F526" s="5" t="s">
        <v>0</v>
      </c>
      <c r="G526" s="146">
        <v>62.8</v>
      </c>
      <c r="H526" s="161">
        <v>3</v>
      </c>
      <c r="I526" s="161">
        <v>2.2999999999999998</v>
      </c>
      <c r="J526" s="173">
        <v>7</v>
      </c>
      <c r="K526" s="187">
        <v>14</v>
      </c>
      <c r="L526" s="195">
        <v>30</v>
      </c>
      <c r="Q526" s="6"/>
    </row>
    <row r="527" spans="2:17" ht="15.5" x14ac:dyDescent="0.35">
      <c r="B527" s="332">
        <v>44696</v>
      </c>
      <c r="C527" s="5" t="s">
        <v>5</v>
      </c>
      <c r="D527" s="95" t="s">
        <v>146</v>
      </c>
      <c r="E527" s="5" t="s">
        <v>26</v>
      </c>
      <c r="F527" s="5" t="s">
        <v>0</v>
      </c>
      <c r="G527" s="140">
        <v>62.8</v>
      </c>
      <c r="H527" s="159">
        <v>2.6</v>
      </c>
      <c r="I527" s="153">
        <v>2.7</v>
      </c>
      <c r="J527" s="168">
        <v>6</v>
      </c>
      <c r="K527" s="180">
        <v>14</v>
      </c>
      <c r="L527" s="193">
        <v>33</v>
      </c>
      <c r="Q527" s="6"/>
    </row>
    <row r="528" spans="2:17" ht="15.5" x14ac:dyDescent="0.35">
      <c r="B528" s="332">
        <v>44700</v>
      </c>
      <c r="C528" s="5" t="s">
        <v>5</v>
      </c>
      <c r="D528" s="95" t="s">
        <v>146</v>
      </c>
      <c r="E528" s="5" t="s">
        <v>26</v>
      </c>
      <c r="F528" s="5" t="s">
        <v>0</v>
      </c>
      <c r="G528" s="140">
        <v>62.7</v>
      </c>
      <c r="H528" s="159">
        <v>2.5</v>
      </c>
      <c r="I528" s="153">
        <v>2.8</v>
      </c>
      <c r="J528" s="168">
        <v>5</v>
      </c>
      <c r="K528" s="180">
        <v>13</v>
      </c>
      <c r="L528" s="193">
        <v>41</v>
      </c>
      <c r="Q528" s="6"/>
    </row>
    <row r="529" spans="2:17" ht="15.5" x14ac:dyDescent="0.35">
      <c r="B529" s="332">
        <v>44703</v>
      </c>
      <c r="C529" s="5" t="s">
        <v>5</v>
      </c>
      <c r="D529" s="95" t="s">
        <v>146</v>
      </c>
      <c r="E529" s="5" t="s">
        <v>26</v>
      </c>
      <c r="F529" s="5" t="s">
        <v>0</v>
      </c>
      <c r="G529" s="140">
        <v>62.5</v>
      </c>
      <c r="H529" s="153">
        <v>3.1</v>
      </c>
      <c r="I529" s="153">
        <v>2.6</v>
      </c>
      <c r="J529" s="168">
        <v>3</v>
      </c>
      <c r="K529" s="180">
        <v>22</v>
      </c>
      <c r="L529" s="193">
        <v>46</v>
      </c>
      <c r="Q529" s="6"/>
    </row>
    <row r="530" spans="2:17" ht="15.5" x14ac:dyDescent="0.35">
      <c r="B530" s="333">
        <v>44704</v>
      </c>
      <c r="C530" s="5" t="s">
        <v>5</v>
      </c>
      <c r="D530" s="95" t="s">
        <v>146</v>
      </c>
      <c r="E530" s="5" t="s">
        <v>26</v>
      </c>
      <c r="F530" s="5" t="s">
        <v>0</v>
      </c>
      <c r="G530" s="143">
        <v>62.5</v>
      </c>
      <c r="H530" s="164">
        <v>3.3</v>
      </c>
      <c r="I530" s="157">
        <v>2.2000000000000002</v>
      </c>
      <c r="J530" s="171">
        <v>6</v>
      </c>
      <c r="K530" s="183">
        <v>14</v>
      </c>
      <c r="L530" s="195">
        <v>52</v>
      </c>
      <c r="Q530" s="6"/>
    </row>
    <row r="531" spans="2:17" ht="15.5" x14ac:dyDescent="0.35">
      <c r="B531" s="332">
        <v>44706</v>
      </c>
      <c r="C531" s="5" t="s">
        <v>5</v>
      </c>
      <c r="D531" s="95" t="s">
        <v>146</v>
      </c>
      <c r="E531" s="5" t="s">
        <v>26</v>
      </c>
      <c r="F531" s="5" t="s">
        <v>0</v>
      </c>
      <c r="G531" s="140">
        <v>62.7</v>
      </c>
      <c r="H531" s="153">
        <v>3.2</v>
      </c>
      <c r="I531" s="153">
        <v>2.1</v>
      </c>
      <c r="J531" s="168">
        <v>5</v>
      </c>
      <c r="K531" s="180">
        <v>16</v>
      </c>
      <c r="L531" s="193">
        <v>57</v>
      </c>
      <c r="Q531" s="6"/>
    </row>
    <row r="532" spans="2:17" ht="15.5" x14ac:dyDescent="0.35">
      <c r="B532" s="332">
        <v>44707</v>
      </c>
      <c r="C532" s="5" t="s">
        <v>5</v>
      </c>
      <c r="D532" s="95" t="s">
        <v>146</v>
      </c>
      <c r="E532" s="5" t="s">
        <v>26</v>
      </c>
      <c r="F532" s="5" t="s">
        <v>0</v>
      </c>
      <c r="G532" s="140">
        <v>62.2</v>
      </c>
      <c r="H532" s="159">
        <v>2.8</v>
      </c>
      <c r="I532" s="153">
        <v>3.1</v>
      </c>
      <c r="J532" s="168">
        <v>4</v>
      </c>
      <c r="K532" s="180">
        <v>43</v>
      </c>
      <c r="L532" s="193">
        <v>58</v>
      </c>
      <c r="Q532" s="6"/>
    </row>
    <row r="533" spans="2:17" ht="15.5" x14ac:dyDescent="0.35">
      <c r="B533" s="329">
        <v>44708</v>
      </c>
      <c r="C533" s="5" t="s">
        <v>5</v>
      </c>
      <c r="D533" s="95" t="s">
        <v>146</v>
      </c>
      <c r="E533" s="5" t="s">
        <v>26</v>
      </c>
      <c r="F533" s="5" t="s">
        <v>0</v>
      </c>
      <c r="G533" s="140">
        <v>62.6</v>
      </c>
      <c r="H533" s="153">
        <v>2.9</v>
      </c>
      <c r="I533" s="153">
        <v>2.6</v>
      </c>
      <c r="J533" s="168">
        <v>2</v>
      </c>
      <c r="K533" s="180">
        <v>12</v>
      </c>
      <c r="L533" s="193">
        <v>62</v>
      </c>
      <c r="Q533" s="6"/>
    </row>
    <row r="534" spans="2:17" ht="15.5" x14ac:dyDescent="0.35">
      <c r="B534" s="329">
        <v>44710</v>
      </c>
      <c r="C534" s="5" t="s">
        <v>5</v>
      </c>
      <c r="D534" s="95" t="s">
        <v>146</v>
      </c>
      <c r="E534" s="5" t="s">
        <v>26</v>
      </c>
      <c r="F534" s="5" t="s">
        <v>0</v>
      </c>
      <c r="G534" s="140">
        <v>62.7</v>
      </c>
      <c r="H534" s="153">
        <v>2.9</v>
      </c>
      <c r="I534" s="153">
        <v>2.5</v>
      </c>
      <c r="J534" s="168">
        <v>1</v>
      </c>
      <c r="K534" s="185">
        <v>11</v>
      </c>
      <c r="L534" s="193">
        <v>67</v>
      </c>
      <c r="Q534" s="6"/>
    </row>
    <row r="535" spans="2:17" ht="15.5" x14ac:dyDescent="0.35">
      <c r="B535" s="329">
        <v>44712</v>
      </c>
      <c r="C535" s="5" t="s">
        <v>5</v>
      </c>
      <c r="D535" s="95" t="s">
        <v>146</v>
      </c>
      <c r="E535" s="5" t="s">
        <v>26</v>
      </c>
      <c r="F535" s="5" t="s">
        <v>0</v>
      </c>
      <c r="G535" s="140">
        <v>62.7</v>
      </c>
      <c r="H535" s="153">
        <v>2.7</v>
      </c>
      <c r="I535" s="153">
        <v>2.6</v>
      </c>
      <c r="J535" s="168">
        <v>3</v>
      </c>
      <c r="K535" s="180">
        <v>13</v>
      </c>
      <c r="L535" s="193">
        <v>70</v>
      </c>
      <c r="Q535" s="6"/>
    </row>
    <row r="536" spans="2:17" ht="15.5" x14ac:dyDescent="0.35">
      <c r="B536" s="334">
        <v>44682</v>
      </c>
      <c r="C536" s="5" t="s">
        <v>5</v>
      </c>
      <c r="D536" s="95" t="s">
        <v>31</v>
      </c>
      <c r="E536" s="5" t="s">
        <v>26</v>
      </c>
      <c r="F536" s="5" t="s">
        <v>1</v>
      </c>
      <c r="G536" s="143">
        <v>63.1</v>
      </c>
      <c r="H536" s="157">
        <v>2.2999999999999998</v>
      </c>
      <c r="I536" s="164">
        <v>2.4</v>
      </c>
      <c r="J536" s="171">
        <v>3</v>
      </c>
      <c r="K536" s="183">
        <v>38</v>
      </c>
      <c r="L536" s="196">
        <v>1</v>
      </c>
      <c r="Q536" s="6"/>
    </row>
    <row r="537" spans="2:17" ht="15.5" x14ac:dyDescent="0.35">
      <c r="B537" s="330">
        <v>44682</v>
      </c>
      <c r="C537" s="5" t="s">
        <v>5</v>
      </c>
      <c r="D537" s="95" t="s">
        <v>31</v>
      </c>
      <c r="E537" s="5" t="s">
        <v>26</v>
      </c>
      <c r="F537" s="5" t="s">
        <v>1</v>
      </c>
      <c r="G537" s="147">
        <v>62.9</v>
      </c>
      <c r="H537" s="162">
        <v>2.4</v>
      </c>
      <c r="I537" s="162">
        <v>2.5</v>
      </c>
      <c r="J537" s="174">
        <v>5</v>
      </c>
      <c r="K537" s="188">
        <v>36</v>
      </c>
      <c r="L537" s="193">
        <v>2</v>
      </c>
      <c r="Q537" s="6"/>
    </row>
    <row r="538" spans="2:17" ht="15.5" x14ac:dyDescent="0.35">
      <c r="B538" s="330">
        <v>44683</v>
      </c>
      <c r="C538" s="5" t="s">
        <v>5</v>
      </c>
      <c r="D538" s="95" t="s">
        <v>31</v>
      </c>
      <c r="E538" s="5" t="s">
        <v>26</v>
      </c>
      <c r="F538" s="5" t="s">
        <v>1</v>
      </c>
      <c r="G538" s="147">
        <v>62.9</v>
      </c>
      <c r="H538" s="162">
        <v>2.5</v>
      </c>
      <c r="I538" s="162">
        <v>2.4</v>
      </c>
      <c r="J538" s="174">
        <v>3</v>
      </c>
      <c r="K538" s="188">
        <v>43</v>
      </c>
      <c r="L538" s="193">
        <v>4</v>
      </c>
      <c r="Q538" s="6"/>
    </row>
    <row r="539" spans="2:17" ht="15.5" x14ac:dyDescent="0.35">
      <c r="B539" s="330">
        <v>44684</v>
      </c>
      <c r="C539" s="5" t="s">
        <v>5</v>
      </c>
      <c r="D539" s="95" t="s">
        <v>31</v>
      </c>
      <c r="E539" s="5" t="s">
        <v>26</v>
      </c>
      <c r="F539" s="5" t="s">
        <v>1</v>
      </c>
      <c r="G539" s="147">
        <v>62.8</v>
      </c>
      <c r="H539" s="163">
        <v>2.6</v>
      </c>
      <c r="I539" s="162">
        <v>2.5</v>
      </c>
      <c r="J539" s="174">
        <v>3</v>
      </c>
      <c r="K539" s="189">
        <v>33</v>
      </c>
      <c r="L539" s="193">
        <v>5</v>
      </c>
      <c r="Q539" s="6"/>
    </row>
    <row r="540" spans="2:17" ht="15.5" x14ac:dyDescent="0.35">
      <c r="B540" s="330">
        <v>44684</v>
      </c>
      <c r="C540" s="5" t="s">
        <v>5</v>
      </c>
      <c r="D540" s="95" t="s">
        <v>31</v>
      </c>
      <c r="E540" s="5" t="s">
        <v>26</v>
      </c>
      <c r="F540" s="5" t="s">
        <v>1</v>
      </c>
      <c r="G540" s="147">
        <v>63</v>
      </c>
      <c r="H540" s="163">
        <v>2.4</v>
      </c>
      <c r="I540" s="162">
        <v>2.2999999999999998</v>
      </c>
      <c r="J540" s="174">
        <v>3</v>
      </c>
      <c r="K540" s="188">
        <v>38</v>
      </c>
      <c r="L540" s="193">
        <v>7</v>
      </c>
      <c r="Q540" s="6"/>
    </row>
    <row r="541" spans="2:17" ht="15.5" x14ac:dyDescent="0.35">
      <c r="B541" s="330">
        <v>44685</v>
      </c>
      <c r="C541" s="5" t="s">
        <v>5</v>
      </c>
      <c r="D541" s="95" t="s">
        <v>31</v>
      </c>
      <c r="E541" s="5" t="s">
        <v>26</v>
      </c>
      <c r="F541" s="5" t="s">
        <v>1</v>
      </c>
      <c r="G541" s="147">
        <v>62.8</v>
      </c>
      <c r="H541" s="163">
        <v>2.6</v>
      </c>
      <c r="I541" s="162">
        <v>2.4</v>
      </c>
      <c r="J541" s="174">
        <v>4</v>
      </c>
      <c r="K541" s="189">
        <v>37</v>
      </c>
      <c r="L541" s="193">
        <v>8</v>
      </c>
      <c r="Q541" s="6"/>
    </row>
    <row r="542" spans="2:17" ht="15.5" x14ac:dyDescent="0.35">
      <c r="B542" s="330">
        <v>44686</v>
      </c>
      <c r="C542" s="5" t="s">
        <v>5</v>
      </c>
      <c r="D542" s="95" t="s">
        <v>31</v>
      </c>
      <c r="E542" s="5" t="s">
        <v>26</v>
      </c>
      <c r="F542" s="5" t="s">
        <v>1</v>
      </c>
      <c r="G542" s="147">
        <v>63</v>
      </c>
      <c r="H542" s="163">
        <v>2.5</v>
      </c>
      <c r="I542" s="162">
        <v>2.2000000000000002</v>
      </c>
      <c r="J542" s="174">
        <v>3</v>
      </c>
      <c r="K542" s="188">
        <v>44</v>
      </c>
      <c r="L542" s="193">
        <v>10</v>
      </c>
      <c r="Q542" s="6"/>
    </row>
    <row r="543" spans="2:17" ht="15.5" x14ac:dyDescent="0.35">
      <c r="B543" s="330">
        <v>44686</v>
      </c>
      <c r="C543" s="5" t="s">
        <v>5</v>
      </c>
      <c r="D543" s="95" t="s">
        <v>31</v>
      </c>
      <c r="E543" s="5" t="s">
        <v>26</v>
      </c>
      <c r="F543" s="5" t="s">
        <v>1</v>
      </c>
      <c r="G543" s="147">
        <v>62.8</v>
      </c>
      <c r="H543" s="163">
        <v>2.4</v>
      </c>
      <c r="I543" s="162">
        <v>2.6</v>
      </c>
      <c r="J543" s="174">
        <v>2</v>
      </c>
      <c r="K543" s="188">
        <v>34</v>
      </c>
      <c r="L543" s="193">
        <v>11</v>
      </c>
      <c r="Q543" s="6"/>
    </row>
    <row r="544" spans="2:17" ht="15.5" x14ac:dyDescent="0.35">
      <c r="B544" s="330">
        <v>44687</v>
      </c>
      <c r="C544" s="5" t="s">
        <v>5</v>
      </c>
      <c r="D544" s="95" t="s">
        <v>31</v>
      </c>
      <c r="E544" s="5" t="s">
        <v>26</v>
      </c>
      <c r="F544" s="5" t="s">
        <v>1</v>
      </c>
      <c r="G544" s="147">
        <v>62.9</v>
      </c>
      <c r="H544" s="162">
        <v>2.5</v>
      </c>
      <c r="I544" s="162">
        <v>2.4</v>
      </c>
      <c r="J544" s="174">
        <v>3</v>
      </c>
      <c r="K544" s="189">
        <v>24</v>
      </c>
      <c r="L544" s="193">
        <v>13</v>
      </c>
      <c r="Q544" s="6"/>
    </row>
    <row r="545" spans="2:17" ht="16" thickBot="1" x14ac:dyDescent="0.4">
      <c r="B545" s="335">
        <v>44688</v>
      </c>
      <c r="C545" s="5" t="s">
        <v>5</v>
      </c>
      <c r="D545" s="95" t="s">
        <v>31</v>
      </c>
      <c r="E545" s="5" t="s">
        <v>26</v>
      </c>
      <c r="F545" s="5" t="s">
        <v>1</v>
      </c>
      <c r="G545" s="148">
        <v>63</v>
      </c>
      <c r="H545" s="165">
        <v>2.2000000000000002</v>
      </c>
      <c r="I545" s="165">
        <v>2.5</v>
      </c>
      <c r="J545" s="175">
        <v>3</v>
      </c>
      <c r="K545" s="190">
        <v>41</v>
      </c>
      <c r="L545" s="197">
        <v>14</v>
      </c>
      <c r="Q545" s="6"/>
    </row>
    <row r="546" spans="2:17" ht="14.5" x14ac:dyDescent="0.35">
      <c r="B546" s="281">
        <v>44688</v>
      </c>
      <c r="C546" s="5" t="s">
        <v>5</v>
      </c>
      <c r="D546" s="95" t="s">
        <v>31</v>
      </c>
      <c r="E546" s="5" t="s">
        <v>26</v>
      </c>
      <c r="F546" s="5" t="s">
        <v>1</v>
      </c>
      <c r="G546" s="198">
        <v>63</v>
      </c>
      <c r="H546" s="209">
        <v>2.5</v>
      </c>
      <c r="I546" s="209">
        <v>2.2000000000000002</v>
      </c>
      <c r="J546" s="227">
        <v>4</v>
      </c>
      <c r="K546" s="227">
        <v>35</v>
      </c>
      <c r="L546" s="235">
        <v>16</v>
      </c>
      <c r="Q546" s="6"/>
    </row>
    <row r="547" spans="2:17" ht="14.5" x14ac:dyDescent="0.35">
      <c r="B547" s="281">
        <v>44689</v>
      </c>
      <c r="C547" s="5" t="s">
        <v>5</v>
      </c>
      <c r="D547" s="95" t="s">
        <v>31</v>
      </c>
      <c r="E547" s="5" t="s">
        <v>26</v>
      </c>
      <c r="F547" s="5" t="s">
        <v>1</v>
      </c>
      <c r="G547" s="198">
        <v>62.9</v>
      </c>
      <c r="H547" s="210">
        <v>2.4</v>
      </c>
      <c r="I547" s="209">
        <v>2.5</v>
      </c>
      <c r="J547" s="227">
        <v>4</v>
      </c>
      <c r="K547" s="227">
        <v>42</v>
      </c>
      <c r="L547" s="235">
        <v>18</v>
      </c>
      <c r="Q547" s="6"/>
    </row>
    <row r="548" spans="2:17" ht="14.5" x14ac:dyDescent="0.35">
      <c r="B548" s="327">
        <v>44690</v>
      </c>
      <c r="C548" s="5" t="s">
        <v>5</v>
      </c>
      <c r="D548" s="95" t="s">
        <v>31</v>
      </c>
      <c r="E548" s="5" t="s">
        <v>26</v>
      </c>
      <c r="F548" s="5" t="s">
        <v>1</v>
      </c>
      <c r="G548" s="199">
        <v>62.8</v>
      </c>
      <c r="H548" s="212">
        <v>2.6</v>
      </c>
      <c r="I548" s="211">
        <v>2.4</v>
      </c>
      <c r="J548" s="228">
        <v>3</v>
      </c>
      <c r="K548" s="228">
        <v>43</v>
      </c>
      <c r="L548" s="236">
        <v>20</v>
      </c>
      <c r="Q548" s="6"/>
    </row>
    <row r="549" spans="2:17" ht="14.5" x14ac:dyDescent="0.35">
      <c r="B549" s="281">
        <v>44690</v>
      </c>
      <c r="C549" s="5" t="s">
        <v>5</v>
      </c>
      <c r="D549" s="95" t="s">
        <v>31</v>
      </c>
      <c r="E549" s="5" t="s">
        <v>26</v>
      </c>
      <c r="F549" s="5" t="s">
        <v>1</v>
      </c>
      <c r="G549" s="198">
        <v>63</v>
      </c>
      <c r="H549" s="210">
        <v>2.2999999999999998</v>
      </c>
      <c r="I549" s="209">
        <v>2.4</v>
      </c>
      <c r="J549" s="227">
        <v>3</v>
      </c>
      <c r="K549" s="227">
        <v>34</v>
      </c>
      <c r="L549" s="235">
        <v>21</v>
      </c>
      <c r="Q549" s="6"/>
    </row>
    <row r="550" spans="2:17" ht="14.5" x14ac:dyDescent="0.35">
      <c r="B550" s="327">
        <v>44691</v>
      </c>
      <c r="C550" s="5" t="s">
        <v>5</v>
      </c>
      <c r="D550" s="95" t="s">
        <v>31</v>
      </c>
      <c r="E550" s="5" t="s">
        <v>26</v>
      </c>
      <c r="F550" s="5" t="s">
        <v>1</v>
      </c>
      <c r="G550" s="199">
        <v>62.9</v>
      </c>
      <c r="H550" s="212">
        <v>2.6</v>
      </c>
      <c r="I550" s="212">
        <v>2.2000000000000002</v>
      </c>
      <c r="J550" s="228">
        <v>4</v>
      </c>
      <c r="K550" s="228">
        <v>41</v>
      </c>
      <c r="L550" s="236">
        <v>22</v>
      </c>
      <c r="Q550" s="6"/>
    </row>
    <row r="551" spans="2:17" ht="14.5" x14ac:dyDescent="0.35">
      <c r="B551" s="281">
        <v>44691</v>
      </c>
      <c r="C551" s="5" t="s">
        <v>5</v>
      </c>
      <c r="D551" s="95" t="s">
        <v>31</v>
      </c>
      <c r="E551" s="5" t="s">
        <v>26</v>
      </c>
      <c r="F551" s="5" t="s">
        <v>1</v>
      </c>
      <c r="G551" s="198">
        <v>62.9</v>
      </c>
      <c r="H551" s="210">
        <v>2.8</v>
      </c>
      <c r="I551" s="209">
        <v>2.1</v>
      </c>
      <c r="J551" s="227">
        <v>2</v>
      </c>
      <c r="K551" s="227">
        <v>40</v>
      </c>
      <c r="L551" s="235">
        <v>24</v>
      </c>
      <c r="Q551" s="6"/>
    </row>
    <row r="552" spans="2:17" ht="14.5" x14ac:dyDescent="0.35">
      <c r="B552" s="281">
        <v>44691</v>
      </c>
      <c r="C552" s="5" t="s">
        <v>5</v>
      </c>
      <c r="D552" s="95" t="s">
        <v>31</v>
      </c>
      <c r="E552" s="5" t="s">
        <v>26</v>
      </c>
      <c r="F552" s="5" t="s">
        <v>1</v>
      </c>
      <c r="G552" s="198">
        <v>62.8</v>
      </c>
      <c r="H552" s="214">
        <v>2.6</v>
      </c>
      <c r="I552" s="214">
        <v>2.4</v>
      </c>
      <c r="J552" s="227">
        <v>2</v>
      </c>
      <c r="K552" s="227">
        <v>43</v>
      </c>
      <c r="L552" s="235">
        <v>26</v>
      </c>
      <c r="Q552" s="6"/>
    </row>
    <row r="553" spans="2:17" ht="15.5" x14ac:dyDescent="0.35">
      <c r="B553" s="336">
        <v>44692</v>
      </c>
      <c r="C553" s="5" t="s">
        <v>5</v>
      </c>
      <c r="D553" s="95" t="s">
        <v>31</v>
      </c>
      <c r="E553" s="5" t="s">
        <v>26</v>
      </c>
      <c r="F553" s="5" t="s">
        <v>1</v>
      </c>
      <c r="G553" s="201">
        <v>62.9</v>
      </c>
      <c r="H553" s="217">
        <v>2.7</v>
      </c>
      <c r="I553" s="217">
        <v>2.2000000000000002</v>
      </c>
      <c r="J553" s="230">
        <v>3</v>
      </c>
      <c r="K553" s="231">
        <v>41</v>
      </c>
      <c r="L553" s="238">
        <v>27</v>
      </c>
      <c r="Q553" s="6"/>
    </row>
    <row r="554" spans="2:17" ht="15.5" x14ac:dyDescent="0.35">
      <c r="B554" s="337">
        <v>44693</v>
      </c>
      <c r="C554" s="5" t="s">
        <v>5</v>
      </c>
      <c r="D554" s="95" t="s">
        <v>31</v>
      </c>
      <c r="E554" s="5" t="s">
        <v>26</v>
      </c>
      <c r="F554" s="5" t="s">
        <v>1</v>
      </c>
      <c r="G554" s="200">
        <v>62.8</v>
      </c>
      <c r="H554" s="218">
        <v>2.4</v>
      </c>
      <c r="I554" s="218">
        <v>2.6</v>
      </c>
      <c r="J554" s="232">
        <v>3</v>
      </c>
      <c r="K554" s="232">
        <v>42</v>
      </c>
      <c r="L554" s="237">
        <v>29</v>
      </c>
      <c r="Q554" s="6"/>
    </row>
    <row r="555" spans="2:17" ht="15.5" x14ac:dyDescent="0.35">
      <c r="B555" s="337">
        <v>44693</v>
      </c>
      <c r="C555" s="5" t="s">
        <v>5</v>
      </c>
      <c r="D555" s="95" t="s">
        <v>31</v>
      </c>
      <c r="E555" s="5" t="s">
        <v>26</v>
      </c>
      <c r="F555" s="5" t="s">
        <v>1</v>
      </c>
      <c r="G555" s="200">
        <v>63</v>
      </c>
      <c r="H555" s="219">
        <v>2.5</v>
      </c>
      <c r="I555" s="218">
        <v>2.2000000000000002</v>
      </c>
      <c r="J555" s="229">
        <v>4</v>
      </c>
      <c r="K555" s="232">
        <v>43</v>
      </c>
      <c r="L555" s="237">
        <v>30</v>
      </c>
      <c r="Q555" s="6"/>
    </row>
    <row r="556" spans="2:17" ht="15.5" x14ac:dyDescent="0.35">
      <c r="B556" s="337">
        <v>44693</v>
      </c>
      <c r="C556" s="5" t="s">
        <v>5</v>
      </c>
      <c r="D556" s="95" t="s">
        <v>31</v>
      </c>
      <c r="E556" s="5" t="s">
        <v>26</v>
      </c>
      <c r="F556" s="5" t="s">
        <v>1</v>
      </c>
      <c r="G556" s="200">
        <v>62.9</v>
      </c>
      <c r="H556" s="218">
        <v>2.5</v>
      </c>
      <c r="I556" s="218">
        <v>2.2999999999999998</v>
      </c>
      <c r="J556" s="229">
        <v>3</v>
      </c>
      <c r="K556" s="232">
        <v>43</v>
      </c>
      <c r="L556" s="237">
        <v>31</v>
      </c>
      <c r="Q556" s="6"/>
    </row>
    <row r="557" spans="2:17" ht="15.5" x14ac:dyDescent="0.35">
      <c r="B557" s="337">
        <v>44694</v>
      </c>
      <c r="C557" s="5" t="s">
        <v>5</v>
      </c>
      <c r="D557" s="95" t="s">
        <v>31</v>
      </c>
      <c r="E557" s="5" t="s">
        <v>26</v>
      </c>
      <c r="F557" s="5" t="s">
        <v>1</v>
      </c>
      <c r="G557" s="200">
        <v>62.9</v>
      </c>
      <c r="H557" s="218">
        <v>2.5</v>
      </c>
      <c r="I557" s="218">
        <v>2.4</v>
      </c>
      <c r="J557" s="229">
        <v>2</v>
      </c>
      <c r="K557" s="232">
        <v>35</v>
      </c>
      <c r="L557" s="237">
        <v>34</v>
      </c>
      <c r="Q557" s="6"/>
    </row>
    <row r="558" spans="2:17" ht="15.5" x14ac:dyDescent="0.35">
      <c r="B558" s="337">
        <v>44695</v>
      </c>
      <c r="C558" s="5" t="s">
        <v>5</v>
      </c>
      <c r="D558" s="95" t="s">
        <v>31</v>
      </c>
      <c r="E558" s="5" t="s">
        <v>26</v>
      </c>
      <c r="F558" s="5" t="s">
        <v>1</v>
      </c>
      <c r="G558" s="200">
        <v>62.9</v>
      </c>
      <c r="H558" s="218">
        <v>2.7</v>
      </c>
      <c r="I558" s="218">
        <v>2.1</v>
      </c>
      <c r="J558" s="229">
        <v>4</v>
      </c>
      <c r="K558" s="232">
        <v>39</v>
      </c>
      <c r="L558" s="237">
        <v>36</v>
      </c>
      <c r="Q558" s="6"/>
    </row>
    <row r="559" spans="2:17" ht="15.5" x14ac:dyDescent="0.35">
      <c r="B559" s="337">
        <v>44696</v>
      </c>
      <c r="C559" s="5" t="s">
        <v>5</v>
      </c>
      <c r="D559" s="95" t="s">
        <v>31</v>
      </c>
      <c r="E559" s="5" t="s">
        <v>26</v>
      </c>
      <c r="F559" s="5" t="s">
        <v>1</v>
      </c>
      <c r="G559" s="200">
        <v>63</v>
      </c>
      <c r="H559" s="218">
        <v>2.5</v>
      </c>
      <c r="I559" s="218">
        <v>2.2999999999999998</v>
      </c>
      <c r="J559" s="229">
        <v>6</v>
      </c>
      <c r="K559" s="232">
        <v>42</v>
      </c>
      <c r="L559" s="237">
        <v>39</v>
      </c>
      <c r="Q559" s="6"/>
    </row>
    <row r="560" spans="2:17" ht="15.5" x14ac:dyDescent="0.35">
      <c r="B560" s="337">
        <v>44697</v>
      </c>
      <c r="C560" s="5" t="s">
        <v>5</v>
      </c>
      <c r="D560" s="95" t="s">
        <v>31</v>
      </c>
      <c r="E560" s="5" t="s">
        <v>26</v>
      </c>
      <c r="F560" s="5" t="s">
        <v>1</v>
      </c>
      <c r="G560" s="200">
        <v>63</v>
      </c>
      <c r="H560" s="218">
        <v>2.5</v>
      </c>
      <c r="I560" s="218">
        <v>2.2999999999999998</v>
      </c>
      <c r="J560" s="229">
        <v>2</v>
      </c>
      <c r="K560" s="232">
        <v>39</v>
      </c>
      <c r="L560" s="237">
        <v>42</v>
      </c>
      <c r="Q560" s="6"/>
    </row>
    <row r="561" spans="2:17" ht="15.5" x14ac:dyDescent="0.35">
      <c r="B561" s="337">
        <v>44698</v>
      </c>
      <c r="C561" s="5" t="s">
        <v>5</v>
      </c>
      <c r="D561" s="95" t="s">
        <v>31</v>
      </c>
      <c r="E561" s="5" t="s">
        <v>26</v>
      </c>
      <c r="F561" s="5" t="s">
        <v>1</v>
      </c>
      <c r="G561" s="205">
        <v>63.1</v>
      </c>
      <c r="H561" s="216">
        <v>2.7</v>
      </c>
      <c r="I561" s="218">
        <v>2</v>
      </c>
      <c r="J561" s="229">
        <v>2</v>
      </c>
      <c r="K561" s="232">
        <v>37</v>
      </c>
      <c r="L561" s="237">
        <v>43</v>
      </c>
      <c r="Q561" s="6"/>
    </row>
    <row r="562" spans="2:17" ht="15.5" x14ac:dyDescent="0.35">
      <c r="B562" s="336">
        <v>44698</v>
      </c>
      <c r="C562" s="5" t="s">
        <v>5</v>
      </c>
      <c r="D562" s="95" t="s">
        <v>31</v>
      </c>
      <c r="E562" s="5" t="s">
        <v>26</v>
      </c>
      <c r="F562" s="5" t="s">
        <v>1</v>
      </c>
      <c r="G562" s="201">
        <v>63</v>
      </c>
      <c r="H562" s="220">
        <v>2.2000000000000002</v>
      </c>
      <c r="I562" s="217">
        <v>2.6</v>
      </c>
      <c r="J562" s="230">
        <v>2</v>
      </c>
      <c r="K562" s="231">
        <v>42</v>
      </c>
      <c r="L562" s="238">
        <v>45</v>
      </c>
      <c r="Q562" s="6"/>
    </row>
    <row r="563" spans="2:17" ht="15.5" x14ac:dyDescent="0.35">
      <c r="B563" s="337">
        <v>44699</v>
      </c>
      <c r="C563" s="5" t="s">
        <v>5</v>
      </c>
      <c r="D563" s="95" t="s">
        <v>31</v>
      </c>
      <c r="E563" s="5" t="s">
        <v>26</v>
      </c>
      <c r="F563" s="5" t="s">
        <v>1</v>
      </c>
      <c r="G563" s="200">
        <v>63</v>
      </c>
      <c r="H563" s="219">
        <v>2.7</v>
      </c>
      <c r="I563" s="218">
        <v>2.1</v>
      </c>
      <c r="J563" s="229">
        <v>3</v>
      </c>
      <c r="K563" s="232">
        <v>40</v>
      </c>
      <c r="L563" s="237">
        <v>47</v>
      </c>
      <c r="Q563" s="6"/>
    </row>
    <row r="564" spans="2:17" ht="15.5" x14ac:dyDescent="0.35">
      <c r="B564" s="337">
        <v>44700</v>
      </c>
      <c r="C564" s="5" t="s">
        <v>5</v>
      </c>
      <c r="D564" s="95" t="s">
        <v>31</v>
      </c>
      <c r="E564" s="5" t="s">
        <v>26</v>
      </c>
      <c r="F564" s="5" t="s">
        <v>1</v>
      </c>
      <c r="G564" s="200">
        <v>62.9</v>
      </c>
      <c r="H564" s="219">
        <v>2.8</v>
      </c>
      <c r="I564" s="218">
        <v>2.1</v>
      </c>
      <c r="J564" s="229">
        <v>3</v>
      </c>
      <c r="K564" s="232">
        <v>35</v>
      </c>
      <c r="L564" s="237">
        <v>48</v>
      </c>
      <c r="Q564" s="6"/>
    </row>
    <row r="565" spans="2:17" ht="15.5" x14ac:dyDescent="0.35">
      <c r="B565" s="337">
        <v>44700</v>
      </c>
      <c r="C565" s="5" t="s">
        <v>5</v>
      </c>
      <c r="D565" s="95" t="s">
        <v>31</v>
      </c>
      <c r="E565" s="5" t="s">
        <v>26</v>
      </c>
      <c r="F565" s="5" t="s">
        <v>1</v>
      </c>
      <c r="G565" s="204">
        <v>63</v>
      </c>
      <c r="H565" s="213">
        <v>2.5</v>
      </c>
      <c r="I565" s="219">
        <v>2.2999999999999998</v>
      </c>
      <c r="J565" s="229">
        <v>3</v>
      </c>
      <c r="K565" s="229">
        <v>39</v>
      </c>
      <c r="L565" s="239">
        <v>50</v>
      </c>
      <c r="Q565" s="6"/>
    </row>
    <row r="566" spans="2:17" ht="15.5" x14ac:dyDescent="0.35">
      <c r="B566" s="337">
        <v>44700</v>
      </c>
      <c r="C566" s="5" t="s">
        <v>5</v>
      </c>
      <c r="D566" s="95" t="s">
        <v>31</v>
      </c>
      <c r="E566" s="5" t="s">
        <v>26</v>
      </c>
      <c r="F566" s="5" t="s">
        <v>1</v>
      </c>
      <c r="G566" s="200">
        <v>62.9</v>
      </c>
      <c r="H566" s="219">
        <v>2.8</v>
      </c>
      <c r="I566" s="218">
        <v>2.1</v>
      </c>
      <c r="J566" s="229">
        <v>2</v>
      </c>
      <c r="K566" s="232">
        <v>45</v>
      </c>
      <c r="L566" s="237">
        <v>51</v>
      </c>
      <c r="Q566" s="6"/>
    </row>
    <row r="567" spans="2:17" ht="15.5" x14ac:dyDescent="0.35">
      <c r="B567" s="337">
        <v>44701</v>
      </c>
      <c r="C567" s="5" t="s">
        <v>5</v>
      </c>
      <c r="D567" s="95" t="s">
        <v>31</v>
      </c>
      <c r="E567" s="5" t="s">
        <v>26</v>
      </c>
      <c r="F567" s="5" t="s">
        <v>1</v>
      </c>
      <c r="G567" s="200">
        <v>62.8</v>
      </c>
      <c r="H567" s="219">
        <v>2.4</v>
      </c>
      <c r="I567" s="219">
        <v>2.6</v>
      </c>
      <c r="J567" s="229">
        <v>5</v>
      </c>
      <c r="K567" s="232">
        <v>38</v>
      </c>
      <c r="L567" s="237">
        <v>53</v>
      </c>
      <c r="Q567" s="6"/>
    </row>
    <row r="568" spans="2:17" ht="15.5" x14ac:dyDescent="0.35">
      <c r="B568" s="337">
        <v>44701</v>
      </c>
      <c r="C568" s="5" t="s">
        <v>5</v>
      </c>
      <c r="D568" s="95" t="s">
        <v>31</v>
      </c>
      <c r="E568" s="5" t="s">
        <v>26</v>
      </c>
      <c r="F568" s="5" t="s">
        <v>1</v>
      </c>
      <c r="G568" s="200">
        <v>63</v>
      </c>
      <c r="H568" s="219">
        <v>2.4</v>
      </c>
      <c r="I568" s="218">
        <v>2.4</v>
      </c>
      <c r="J568" s="229">
        <v>3</v>
      </c>
      <c r="K568" s="232">
        <v>39</v>
      </c>
      <c r="L568" s="237">
        <v>55</v>
      </c>
      <c r="Q568" s="6"/>
    </row>
    <row r="569" spans="2:17" ht="15.5" x14ac:dyDescent="0.35">
      <c r="B569" s="336">
        <v>44702</v>
      </c>
      <c r="C569" s="5" t="s">
        <v>5</v>
      </c>
      <c r="D569" s="95" t="s">
        <v>31</v>
      </c>
      <c r="E569" s="5" t="s">
        <v>26</v>
      </c>
      <c r="F569" s="5" t="s">
        <v>1</v>
      </c>
      <c r="G569" s="203">
        <v>62.8</v>
      </c>
      <c r="H569" s="220">
        <v>3</v>
      </c>
      <c r="I569" s="217">
        <v>2.1</v>
      </c>
      <c r="J569" s="230">
        <v>3</v>
      </c>
      <c r="K569" s="231">
        <v>41</v>
      </c>
      <c r="L569" s="238">
        <v>57</v>
      </c>
      <c r="Q569" s="6"/>
    </row>
    <row r="570" spans="2:17" ht="15.5" x14ac:dyDescent="0.35">
      <c r="B570" s="337">
        <v>44702</v>
      </c>
      <c r="C570" s="5" t="s">
        <v>5</v>
      </c>
      <c r="D570" s="95" t="s">
        <v>31</v>
      </c>
      <c r="E570" s="5" t="s">
        <v>26</v>
      </c>
      <c r="F570" s="5" t="s">
        <v>1</v>
      </c>
      <c r="G570" s="205">
        <v>62.9</v>
      </c>
      <c r="H570" s="219">
        <v>2.6</v>
      </c>
      <c r="I570" s="218">
        <v>2.4</v>
      </c>
      <c r="J570" s="229">
        <v>4</v>
      </c>
      <c r="K570" s="232">
        <v>36</v>
      </c>
      <c r="L570" s="237">
        <v>58</v>
      </c>
      <c r="Q570" s="6"/>
    </row>
    <row r="571" spans="2:17" ht="15.5" x14ac:dyDescent="0.35">
      <c r="B571" s="337">
        <v>44702</v>
      </c>
      <c r="C571" s="5" t="s">
        <v>5</v>
      </c>
      <c r="D571" s="95" t="s">
        <v>31</v>
      </c>
      <c r="E571" s="5" t="s">
        <v>26</v>
      </c>
      <c r="F571" s="5" t="s">
        <v>1</v>
      </c>
      <c r="G571" s="206">
        <v>63</v>
      </c>
      <c r="H571" s="221">
        <v>2.4</v>
      </c>
      <c r="I571" s="218">
        <v>2.2999999999999998</v>
      </c>
      <c r="J571" s="229">
        <v>3</v>
      </c>
      <c r="K571" s="232">
        <v>35</v>
      </c>
      <c r="L571" s="237">
        <v>59</v>
      </c>
      <c r="Q571" s="6"/>
    </row>
    <row r="572" spans="2:17" ht="15.5" x14ac:dyDescent="0.35">
      <c r="B572" s="337">
        <v>44703</v>
      </c>
      <c r="C572" s="5" t="s">
        <v>5</v>
      </c>
      <c r="D572" s="95" t="s">
        <v>31</v>
      </c>
      <c r="E572" s="5" t="s">
        <v>26</v>
      </c>
      <c r="F572" s="5" t="s">
        <v>1</v>
      </c>
      <c r="G572" s="206">
        <v>62.9</v>
      </c>
      <c r="H572" s="221">
        <v>2.5</v>
      </c>
      <c r="I572" s="218">
        <v>2.4</v>
      </c>
      <c r="J572" s="229">
        <v>3</v>
      </c>
      <c r="K572" s="232">
        <v>44</v>
      </c>
      <c r="L572" s="237">
        <v>61</v>
      </c>
      <c r="Q572" s="6"/>
    </row>
    <row r="573" spans="2:17" ht="15.5" x14ac:dyDescent="0.35">
      <c r="B573" s="337">
        <v>44703</v>
      </c>
      <c r="C573" s="5" t="s">
        <v>5</v>
      </c>
      <c r="D573" s="95" t="s">
        <v>31</v>
      </c>
      <c r="E573" s="5" t="s">
        <v>26</v>
      </c>
      <c r="F573" s="5" t="s">
        <v>1</v>
      </c>
      <c r="G573" s="205">
        <v>62.8</v>
      </c>
      <c r="H573" s="221">
        <v>2.7</v>
      </c>
      <c r="I573" s="218">
        <v>2.4</v>
      </c>
      <c r="J573" s="232">
        <v>4</v>
      </c>
      <c r="K573" s="232">
        <v>44</v>
      </c>
      <c r="L573" s="237">
        <v>62</v>
      </c>
      <c r="Q573" s="6"/>
    </row>
    <row r="574" spans="2:17" ht="15.5" x14ac:dyDescent="0.35">
      <c r="B574" s="337">
        <v>44704</v>
      </c>
      <c r="C574" s="5" t="s">
        <v>5</v>
      </c>
      <c r="D574" s="95" t="s">
        <v>31</v>
      </c>
      <c r="E574" s="5" t="s">
        <v>26</v>
      </c>
      <c r="F574" s="5" t="s">
        <v>1</v>
      </c>
      <c r="G574" s="206">
        <v>62.8</v>
      </c>
      <c r="H574" s="221">
        <v>3</v>
      </c>
      <c r="I574" s="221">
        <v>2</v>
      </c>
      <c r="J574" s="229">
        <v>2</v>
      </c>
      <c r="K574" s="232">
        <v>42</v>
      </c>
      <c r="L574" s="237">
        <v>64</v>
      </c>
      <c r="Q574" s="6"/>
    </row>
    <row r="575" spans="2:17" ht="15.5" x14ac:dyDescent="0.35">
      <c r="B575" s="337">
        <v>44705</v>
      </c>
      <c r="C575" s="5" t="s">
        <v>5</v>
      </c>
      <c r="D575" s="95" t="s">
        <v>31</v>
      </c>
      <c r="E575" s="5" t="s">
        <v>26</v>
      </c>
      <c r="F575" s="5" t="s">
        <v>1</v>
      </c>
      <c r="G575" s="205">
        <v>62.9</v>
      </c>
      <c r="H575" s="219">
        <v>2.5</v>
      </c>
      <c r="I575" s="219">
        <v>2.4</v>
      </c>
      <c r="J575" s="229">
        <v>2</v>
      </c>
      <c r="K575" s="232">
        <v>44</v>
      </c>
      <c r="L575" s="237">
        <v>65</v>
      </c>
      <c r="Q575" s="6"/>
    </row>
    <row r="576" spans="2:17" ht="15.5" x14ac:dyDescent="0.35">
      <c r="B576" s="337">
        <v>44705</v>
      </c>
      <c r="C576" s="5" t="s">
        <v>5</v>
      </c>
      <c r="D576" s="95" t="s">
        <v>31</v>
      </c>
      <c r="E576" s="5" t="s">
        <v>26</v>
      </c>
      <c r="F576" s="5" t="s">
        <v>1</v>
      </c>
      <c r="G576" s="207">
        <v>62.8</v>
      </c>
      <c r="H576" s="223">
        <v>2.6</v>
      </c>
      <c r="I576" s="222">
        <v>2.4</v>
      </c>
      <c r="J576" s="233">
        <v>4</v>
      </c>
      <c r="K576" s="232">
        <v>38</v>
      </c>
      <c r="L576" s="240">
        <v>67</v>
      </c>
      <c r="Q576" s="6"/>
    </row>
    <row r="577" spans="2:17" ht="15.5" x14ac:dyDescent="0.35">
      <c r="B577" s="337">
        <v>44706</v>
      </c>
      <c r="C577" s="5" t="s">
        <v>5</v>
      </c>
      <c r="D577" s="95" t="s">
        <v>31</v>
      </c>
      <c r="E577" s="5" t="s">
        <v>26</v>
      </c>
      <c r="F577" s="5" t="s">
        <v>1</v>
      </c>
      <c r="G577" s="207">
        <v>62.8</v>
      </c>
      <c r="H577" s="222">
        <v>2.6</v>
      </c>
      <c r="I577" s="223">
        <v>2.4</v>
      </c>
      <c r="J577" s="233">
        <v>7</v>
      </c>
      <c r="K577" s="232">
        <v>38</v>
      </c>
      <c r="L577" s="240">
        <v>69</v>
      </c>
      <c r="Q577" s="6"/>
    </row>
    <row r="578" spans="2:17" ht="15.5" x14ac:dyDescent="0.35">
      <c r="B578" s="338">
        <v>44707</v>
      </c>
      <c r="C578" s="5" t="s">
        <v>5</v>
      </c>
      <c r="D578" s="95" t="s">
        <v>31</v>
      </c>
      <c r="E578" s="5" t="s">
        <v>26</v>
      </c>
      <c r="F578" s="5" t="s">
        <v>1</v>
      </c>
      <c r="G578" s="207">
        <v>63</v>
      </c>
      <c r="H578" s="222">
        <v>2.5</v>
      </c>
      <c r="I578" s="222">
        <v>2.2999999999999998</v>
      </c>
      <c r="J578" s="233">
        <v>3</v>
      </c>
      <c r="K578" s="232">
        <v>39</v>
      </c>
      <c r="L578" s="240">
        <v>71</v>
      </c>
      <c r="Q578" s="6"/>
    </row>
    <row r="579" spans="2:17" ht="14.5" x14ac:dyDescent="0.35">
      <c r="B579" s="281">
        <v>44707</v>
      </c>
      <c r="C579" s="5" t="s">
        <v>5</v>
      </c>
      <c r="D579" s="95" t="s">
        <v>31</v>
      </c>
      <c r="E579" s="5" t="s">
        <v>26</v>
      </c>
      <c r="F579" s="5" t="s">
        <v>1</v>
      </c>
      <c r="G579" s="198">
        <v>62.9</v>
      </c>
      <c r="H579" s="209">
        <v>2.7</v>
      </c>
      <c r="I579" s="209">
        <v>2.2000000000000002</v>
      </c>
      <c r="J579" s="227">
        <v>4</v>
      </c>
      <c r="K579" s="227">
        <v>38</v>
      </c>
      <c r="L579" s="235">
        <v>72</v>
      </c>
      <c r="Q579" s="6"/>
    </row>
    <row r="580" spans="2:17" ht="14.5" x14ac:dyDescent="0.35">
      <c r="B580" s="281">
        <v>44708</v>
      </c>
      <c r="C580" s="5" t="s">
        <v>5</v>
      </c>
      <c r="D580" s="95" t="s">
        <v>31</v>
      </c>
      <c r="E580" s="5" t="s">
        <v>26</v>
      </c>
      <c r="F580" s="5" t="s">
        <v>1</v>
      </c>
      <c r="G580" s="198">
        <v>62.9</v>
      </c>
      <c r="H580" s="209">
        <v>2.6</v>
      </c>
      <c r="I580" s="209">
        <v>2.2999999999999998</v>
      </c>
      <c r="J580" s="227">
        <v>3</v>
      </c>
      <c r="K580" s="227">
        <v>39</v>
      </c>
      <c r="L580" s="235">
        <v>74</v>
      </c>
      <c r="Q580" s="6"/>
    </row>
    <row r="581" spans="2:17" ht="14.5" x14ac:dyDescent="0.35">
      <c r="B581" s="281">
        <v>44709</v>
      </c>
      <c r="C581" s="5" t="s">
        <v>5</v>
      </c>
      <c r="D581" s="95" t="s">
        <v>31</v>
      </c>
      <c r="E581" s="5" t="s">
        <v>26</v>
      </c>
      <c r="F581" s="5" t="s">
        <v>1</v>
      </c>
      <c r="G581" s="198">
        <v>62.7</v>
      </c>
      <c r="H581" s="210">
        <v>2.8</v>
      </c>
      <c r="I581" s="209">
        <v>2.2999999999999998</v>
      </c>
      <c r="J581" s="227">
        <v>4</v>
      </c>
      <c r="K581" s="227">
        <v>32</v>
      </c>
      <c r="L581" s="235">
        <v>76</v>
      </c>
      <c r="Q581" s="6"/>
    </row>
    <row r="582" spans="2:17" ht="15.5" x14ac:dyDescent="0.35">
      <c r="B582" s="329">
        <v>44710</v>
      </c>
      <c r="C582" s="5" t="s">
        <v>5</v>
      </c>
      <c r="D582" s="95" t="s">
        <v>31</v>
      </c>
      <c r="E582" s="5" t="s">
        <v>26</v>
      </c>
      <c r="F582" s="5" t="s">
        <v>1</v>
      </c>
      <c r="G582" s="200">
        <v>62.8</v>
      </c>
      <c r="H582" s="216">
        <v>2.6</v>
      </c>
      <c r="I582" s="224">
        <v>2.4</v>
      </c>
      <c r="J582" s="229">
        <v>6</v>
      </c>
      <c r="K582" s="229">
        <v>39</v>
      </c>
      <c r="L582" s="237">
        <v>78</v>
      </c>
      <c r="Q582" s="6"/>
    </row>
    <row r="583" spans="2:17" ht="15.5" x14ac:dyDescent="0.35">
      <c r="B583" s="329">
        <v>44711</v>
      </c>
      <c r="C583" s="5" t="s">
        <v>5</v>
      </c>
      <c r="D583" s="95" t="s">
        <v>31</v>
      </c>
      <c r="E583" s="5" t="s">
        <v>26</v>
      </c>
      <c r="F583" s="5" t="s">
        <v>1</v>
      </c>
      <c r="G583" s="200">
        <v>62.8</v>
      </c>
      <c r="H583" s="224">
        <v>3</v>
      </c>
      <c r="I583" s="224">
        <v>2</v>
      </c>
      <c r="J583" s="229">
        <v>4</v>
      </c>
      <c r="K583" s="229">
        <v>39</v>
      </c>
      <c r="L583" s="237">
        <v>81</v>
      </c>
      <c r="Q583" s="6"/>
    </row>
    <row r="584" spans="2:17" ht="15.5" x14ac:dyDescent="0.35">
      <c r="B584" s="329">
        <v>44711</v>
      </c>
      <c r="C584" s="5" t="s">
        <v>5</v>
      </c>
      <c r="D584" s="95" t="s">
        <v>31</v>
      </c>
      <c r="E584" s="5" t="s">
        <v>26</v>
      </c>
      <c r="F584" s="5" t="s">
        <v>1</v>
      </c>
      <c r="G584" s="200">
        <v>63</v>
      </c>
      <c r="H584" s="216">
        <v>2.2999999999999998</v>
      </c>
      <c r="I584" s="216">
        <v>2.4</v>
      </c>
      <c r="J584" s="229">
        <v>2</v>
      </c>
      <c r="K584" s="229">
        <v>40</v>
      </c>
      <c r="L584" s="237">
        <v>82</v>
      </c>
      <c r="Q584" s="6"/>
    </row>
    <row r="585" spans="2:17" ht="15.5" x14ac:dyDescent="0.35">
      <c r="B585" s="329">
        <v>44711</v>
      </c>
      <c r="C585" s="5" t="s">
        <v>5</v>
      </c>
      <c r="D585" s="95" t="s">
        <v>31</v>
      </c>
      <c r="E585" s="5" t="s">
        <v>26</v>
      </c>
      <c r="F585" s="5" t="s">
        <v>1</v>
      </c>
      <c r="G585" s="200">
        <v>62.9</v>
      </c>
      <c r="H585" s="216">
        <v>2.5</v>
      </c>
      <c r="I585" s="224">
        <v>2.4</v>
      </c>
      <c r="J585" s="229">
        <v>2</v>
      </c>
      <c r="K585" s="229">
        <v>38</v>
      </c>
      <c r="L585" s="237">
        <v>84</v>
      </c>
      <c r="Q585" s="6"/>
    </row>
    <row r="586" spans="2:17" ht="15.5" x14ac:dyDescent="0.35">
      <c r="B586" s="329">
        <v>44712</v>
      </c>
      <c r="C586" s="5" t="s">
        <v>5</v>
      </c>
      <c r="D586" s="95" t="s">
        <v>31</v>
      </c>
      <c r="E586" s="5" t="s">
        <v>26</v>
      </c>
      <c r="F586" s="5" t="s">
        <v>1</v>
      </c>
      <c r="G586" s="200">
        <v>63</v>
      </c>
      <c r="H586" s="216">
        <v>2.6</v>
      </c>
      <c r="I586" s="224">
        <v>2.1</v>
      </c>
      <c r="J586" s="229">
        <v>5</v>
      </c>
      <c r="K586" s="229">
        <v>36</v>
      </c>
      <c r="L586" s="237">
        <v>85</v>
      </c>
      <c r="Q586" s="6"/>
    </row>
    <row r="587" spans="2:17" ht="15.5" x14ac:dyDescent="0.35">
      <c r="B587" s="329">
        <v>44712</v>
      </c>
      <c r="C587" s="5" t="s">
        <v>5</v>
      </c>
      <c r="D587" s="95" t="s">
        <v>31</v>
      </c>
      <c r="E587" s="5" t="s">
        <v>26</v>
      </c>
      <c r="F587" s="5" t="s">
        <v>1</v>
      </c>
      <c r="G587" s="200">
        <v>62.9</v>
      </c>
      <c r="H587" s="216">
        <v>2.5</v>
      </c>
      <c r="I587" s="216">
        <v>2.2999999999999998</v>
      </c>
      <c r="J587" s="229">
        <v>3</v>
      </c>
      <c r="K587" s="229">
        <v>39</v>
      </c>
      <c r="L587" s="237">
        <v>87</v>
      </c>
      <c r="Q587" s="6"/>
    </row>
    <row r="588" spans="2:17" ht="15.5" x14ac:dyDescent="0.35">
      <c r="B588" s="330">
        <v>44682</v>
      </c>
      <c r="C588" s="5" t="s">
        <v>5</v>
      </c>
      <c r="D588" s="95" t="s">
        <v>10</v>
      </c>
      <c r="E588" s="5" t="s">
        <v>26</v>
      </c>
      <c r="F588" s="5" t="s">
        <v>1</v>
      </c>
      <c r="G588" s="205">
        <v>59.2</v>
      </c>
      <c r="H588" s="221">
        <v>3.9</v>
      </c>
      <c r="I588" s="219">
        <v>6.2</v>
      </c>
      <c r="J588" s="229">
        <v>2</v>
      </c>
      <c r="K588" s="232">
        <v>37</v>
      </c>
      <c r="L588" s="237">
        <v>2</v>
      </c>
      <c r="Q588" s="6"/>
    </row>
    <row r="589" spans="2:17" ht="15.5" x14ac:dyDescent="0.35">
      <c r="B589" s="330">
        <v>44684</v>
      </c>
      <c r="C589" s="5" t="s">
        <v>5</v>
      </c>
      <c r="D589" s="95" t="s">
        <v>10</v>
      </c>
      <c r="E589" s="5" t="s">
        <v>26</v>
      </c>
      <c r="F589" s="5" t="s">
        <v>1</v>
      </c>
      <c r="G589" s="205">
        <v>60.8</v>
      </c>
      <c r="H589" s="221">
        <v>3.3</v>
      </c>
      <c r="I589" s="219">
        <v>4.4000000000000004</v>
      </c>
      <c r="J589" s="229">
        <v>2</v>
      </c>
      <c r="K589" s="232">
        <v>45</v>
      </c>
      <c r="L589" s="237">
        <v>6</v>
      </c>
      <c r="Q589" s="6"/>
    </row>
    <row r="590" spans="2:17" ht="15.5" x14ac:dyDescent="0.35">
      <c r="B590" s="330">
        <v>44685</v>
      </c>
      <c r="C590" s="5" t="s">
        <v>5</v>
      </c>
      <c r="D590" s="95" t="s">
        <v>10</v>
      </c>
      <c r="E590" s="5" t="s">
        <v>26</v>
      </c>
      <c r="F590" s="5" t="s">
        <v>1</v>
      </c>
      <c r="G590" s="205">
        <v>60.4</v>
      </c>
      <c r="H590" s="221">
        <v>4.4000000000000004</v>
      </c>
      <c r="I590" s="219">
        <v>4</v>
      </c>
      <c r="J590" s="229">
        <v>4</v>
      </c>
      <c r="K590" s="232">
        <v>42</v>
      </c>
      <c r="L590" s="237">
        <v>8</v>
      </c>
      <c r="Q590" s="6"/>
    </row>
    <row r="591" spans="2:17" ht="15.5" x14ac:dyDescent="0.35">
      <c r="B591" s="330">
        <v>44686</v>
      </c>
      <c r="C591" s="5" t="s">
        <v>5</v>
      </c>
      <c r="D591" s="95" t="s">
        <v>10</v>
      </c>
      <c r="E591" s="5" t="s">
        <v>26</v>
      </c>
      <c r="F591" s="5" t="s">
        <v>1</v>
      </c>
      <c r="G591" s="205">
        <v>60.9</v>
      </c>
      <c r="H591" s="221">
        <v>3.7</v>
      </c>
      <c r="I591" s="219">
        <v>4</v>
      </c>
      <c r="J591" s="229">
        <v>4</v>
      </c>
      <c r="K591" s="232">
        <v>48</v>
      </c>
      <c r="L591" s="237">
        <v>11</v>
      </c>
      <c r="Q591" s="6"/>
    </row>
    <row r="592" spans="2:17" ht="15.5" x14ac:dyDescent="0.35">
      <c r="B592" s="331">
        <v>44686</v>
      </c>
      <c r="C592" s="5" t="s">
        <v>5</v>
      </c>
      <c r="D592" s="95" t="s">
        <v>10</v>
      </c>
      <c r="E592" s="5" t="s">
        <v>26</v>
      </c>
      <c r="F592" s="5" t="s">
        <v>1</v>
      </c>
      <c r="G592" s="203">
        <v>60.4</v>
      </c>
      <c r="H592" s="220">
        <v>5.3</v>
      </c>
      <c r="I592" s="225">
        <v>3</v>
      </c>
      <c r="J592" s="230">
        <v>2</v>
      </c>
      <c r="K592" s="231">
        <v>45</v>
      </c>
      <c r="L592" s="238">
        <v>12</v>
      </c>
      <c r="Q592" s="6"/>
    </row>
    <row r="593" spans="2:17" ht="15.5" x14ac:dyDescent="0.35">
      <c r="B593" s="332">
        <v>44688</v>
      </c>
      <c r="C593" s="5" t="s">
        <v>5</v>
      </c>
      <c r="D593" s="95" t="s">
        <v>10</v>
      </c>
      <c r="E593" s="5" t="s">
        <v>26</v>
      </c>
      <c r="F593" s="5" t="s">
        <v>1</v>
      </c>
      <c r="G593" s="200">
        <v>60.2</v>
      </c>
      <c r="H593" s="216">
        <v>3.9</v>
      </c>
      <c r="I593" s="213">
        <v>4.8</v>
      </c>
      <c r="J593" s="229">
        <v>4</v>
      </c>
      <c r="K593" s="229">
        <v>44</v>
      </c>
      <c r="L593" s="237">
        <v>15</v>
      </c>
      <c r="Q593" s="6"/>
    </row>
    <row r="594" spans="2:17" ht="15.5" x14ac:dyDescent="0.35">
      <c r="B594" s="332">
        <v>44689</v>
      </c>
      <c r="C594" s="5" t="s">
        <v>5</v>
      </c>
      <c r="D594" s="95" t="s">
        <v>10</v>
      </c>
      <c r="E594" s="5" t="s">
        <v>26</v>
      </c>
      <c r="F594" s="5" t="s">
        <v>1</v>
      </c>
      <c r="G594" s="200">
        <v>60.4</v>
      </c>
      <c r="H594" s="216">
        <v>3.9</v>
      </c>
      <c r="I594" s="213">
        <v>4.5</v>
      </c>
      <c r="J594" s="229">
        <v>4</v>
      </c>
      <c r="K594" s="229">
        <v>40</v>
      </c>
      <c r="L594" s="237">
        <v>18</v>
      </c>
      <c r="Q594" s="6"/>
    </row>
    <row r="595" spans="2:17" ht="15.5" x14ac:dyDescent="0.35">
      <c r="B595" s="332">
        <v>44690</v>
      </c>
      <c r="C595" s="5" t="s">
        <v>5</v>
      </c>
      <c r="D595" s="95" t="s">
        <v>10</v>
      </c>
      <c r="E595" s="5" t="s">
        <v>26</v>
      </c>
      <c r="F595" s="5" t="s">
        <v>1</v>
      </c>
      <c r="G595" s="200">
        <v>61.8</v>
      </c>
      <c r="H595" s="216">
        <v>2.9</v>
      </c>
      <c r="I595" s="213">
        <v>3.5</v>
      </c>
      <c r="J595" s="229">
        <v>2</v>
      </c>
      <c r="K595" s="229">
        <v>45</v>
      </c>
      <c r="L595" s="237">
        <v>22</v>
      </c>
      <c r="Q595" s="6"/>
    </row>
    <row r="596" spans="2:17" ht="15.5" x14ac:dyDescent="0.35">
      <c r="B596" s="332">
        <v>44692</v>
      </c>
      <c r="C596" s="5" t="s">
        <v>5</v>
      </c>
      <c r="D596" s="95" t="s">
        <v>10</v>
      </c>
      <c r="E596" s="5" t="s">
        <v>26</v>
      </c>
      <c r="F596" s="5" t="s">
        <v>1</v>
      </c>
      <c r="G596" s="200">
        <v>59.7</v>
      </c>
      <c r="H596" s="216">
        <v>6.5</v>
      </c>
      <c r="I596" s="213">
        <v>2.9</v>
      </c>
      <c r="J596" s="229">
        <v>3</v>
      </c>
      <c r="K596" s="229">
        <v>46</v>
      </c>
      <c r="L596" s="237">
        <v>26</v>
      </c>
      <c r="Q596" s="6"/>
    </row>
    <row r="597" spans="2:17" ht="15.5" x14ac:dyDescent="0.35">
      <c r="B597" s="333">
        <v>44703</v>
      </c>
      <c r="C597" s="5" t="s">
        <v>5</v>
      </c>
      <c r="D597" s="95" t="s">
        <v>10</v>
      </c>
      <c r="E597" s="5" t="s">
        <v>26</v>
      </c>
      <c r="F597" s="5" t="s">
        <v>1</v>
      </c>
      <c r="G597" s="201">
        <v>60.2</v>
      </c>
      <c r="H597" s="215">
        <v>4.3</v>
      </c>
      <c r="I597" s="215">
        <v>4.4000000000000004</v>
      </c>
      <c r="J597" s="230">
        <v>4</v>
      </c>
      <c r="K597" s="230">
        <v>46</v>
      </c>
      <c r="L597" s="238">
        <v>48</v>
      </c>
      <c r="Q597" s="6"/>
    </row>
    <row r="598" spans="2:17" ht="15.5" x14ac:dyDescent="0.35">
      <c r="B598" s="332">
        <v>44704</v>
      </c>
      <c r="C598" s="5" t="s">
        <v>5</v>
      </c>
      <c r="D598" s="95" t="s">
        <v>10</v>
      </c>
      <c r="E598" s="5" t="s">
        <v>26</v>
      </c>
      <c r="F598" s="5" t="s">
        <v>1</v>
      </c>
      <c r="G598" s="200">
        <v>59.5</v>
      </c>
      <c r="H598" s="216">
        <v>4.5</v>
      </c>
      <c r="I598" s="213">
        <v>5.2</v>
      </c>
      <c r="J598" s="229">
        <v>3</v>
      </c>
      <c r="K598" s="229">
        <v>42</v>
      </c>
      <c r="L598" s="237">
        <v>51</v>
      </c>
      <c r="Q598" s="6"/>
    </row>
    <row r="599" spans="2:17" ht="15.5" x14ac:dyDescent="0.35">
      <c r="B599" s="332">
        <v>44705</v>
      </c>
      <c r="C599" s="5" t="s">
        <v>5</v>
      </c>
      <c r="D599" s="95" t="s">
        <v>10</v>
      </c>
      <c r="E599" s="5" t="s">
        <v>26</v>
      </c>
      <c r="F599" s="5" t="s">
        <v>1</v>
      </c>
      <c r="G599" s="200">
        <v>60</v>
      </c>
      <c r="H599" s="216">
        <v>5.2</v>
      </c>
      <c r="I599" s="213">
        <v>3.9</v>
      </c>
      <c r="J599" s="229">
        <v>3</v>
      </c>
      <c r="K599" s="229">
        <v>40</v>
      </c>
      <c r="L599" s="237">
        <v>54</v>
      </c>
      <c r="Q599" s="6"/>
    </row>
    <row r="600" spans="2:17" ht="15.5" x14ac:dyDescent="0.35">
      <c r="B600" s="332">
        <v>44706</v>
      </c>
      <c r="C600" s="5" t="s">
        <v>5</v>
      </c>
      <c r="D600" s="95" t="s">
        <v>10</v>
      </c>
      <c r="E600" s="5" t="s">
        <v>26</v>
      </c>
      <c r="F600" s="5" t="s">
        <v>1</v>
      </c>
      <c r="G600" s="200">
        <v>60.1</v>
      </c>
      <c r="H600" s="216">
        <v>5.8</v>
      </c>
      <c r="I600" s="213">
        <v>3.2</v>
      </c>
      <c r="J600" s="229">
        <v>4</v>
      </c>
      <c r="K600" s="229">
        <v>42</v>
      </c>
      <c r="L600" s="237">
        <v>55</v>
      </c>
      <c r="Q600" s="6"/>
    </row>
    <row r="601" spans="2:17" ht="15.5" x14ac:dyDescent="0.35">
      <c r="B601" s="329">
        <v>44709</v>
      </c>
      <c r="C601" s="5" t="s">
        <v>5</v>
      </c>
      <c r="D601" s="95" t="s">
        <v>10</v>
      </c>
      <c r="E601" s="5" t="s">
        <v>26</v>
      </c>
      <c r="F601" s="5" t="s">
        <v>1</v>
      </c>
      <c r="G601" s="200">
        <v>60.1</v>
      </c>
      <c r="H601" s="216">
        <v>4.3</v>
      </c>
      <c r="I601" s="224">
        <v>4.5</v>
      </c>
      <c r="J601" s="229">
        <v>4</v>
      </c>
      <c r="K601" s="229">
        <v>42</v>
      </c>
      <c r="L601" s="237">
        <v>64</v>
      </c>
      <c r="Q601" s="6"/>
    </row>
    <row r="602" spans="2:17" ht="15.5" x14ac:dyDescent="0.35">
      <c r="B602" s="329">
        <v>44684</v>
      </c>
      <c r="C602" s="5" t="s">
        <v>5</v>
      </c>
      <c r="D602" s="95" t="s">
        <v>2</v>
      </c>
      <c r="E602" s="5" t="s">
        <v>26</v>
      </c>
      <c r="F602" s="5" t="s">
        <v>1</v>
      </c>
      <c r="G602" s="200">
        <v>60.1</v>
      </c>
      <c r="H602" s="224">
        <v>5.6</v>
      </c>
      <c r="I602" s="224">
        <v>3.3</v>
      </c>
      <c r="J602" s="229"/>
      <c r="K602" s="229"/>
      <c r="L602" s="237">
        <v>710</v>
      </c>
      <c r="M602" s="40"/>
      <c r="Q602" s="6"/>
    </row>
    <row r="603" spans="2:17" ht="15.5" x14ac:dyDescent="0.35">
      <c r="B603" s="329">
        <v>44685</v>
      </c>
      <c r="C603" s="5" t="s">
        <v>5</v>
      </c>
      <c r="D603" s="95" t="s">
        <v>2</v>
      </c>
      <c r="E603" s="5" t="s">
        <v>26</v>
      </c>
      <c r="F603" s="5" t="s">
        <v>1</v>
      </c>
      <c r="G603" s="200">
        <v>60.5</v>
      </c>
      <c r="H603" s="216">
        <v>5.3</v>
      </c>
      <c r="I603" s="224">
        <v>3</v>
      </c>
      <c r="J603" s="229">
        <v>2</v>
      </c>
      <c r="K603" s="229">
        <v>46</v>
      </c>
      <c r="L603" s="237">
        <v>719</v>
      </c>
      <c r="M603" s="40"/>
      <c r="Q603" s="6"/>
    </row>
    <row r="604" spans="2:17" ht="15.5" x14ac:dyDescent="0.25">
      <c r="B604" s="339">
        <v>44686</v>
      </c>
      <c r="C604" s="5" t="s">
        <v>5</v>
      </c>
      <c r="D604" s="95" t="s">
        <v>2</v>
      </c>
      <c r="E604" s="5" t="s">
        <v>26</v>
      </c>
      <c r="F604" s="5" t="s">
        <v>1</v>
      </c>
      <c r="G604" s="200">
        <v>60.8</v>
      </c>
      <c r="H604" s="216">
        <v>3.8</v>
      </c>
      <c r="I604" s="224">
        <v>4.0999999999999996</v>
      </c>
      <c r="J604" s="229">
        <v>2</v>
      </c>
      <c r="K604" s="229">
        <v>48</v>
      </c>
      <c r="L604" s="237">
        <v>724</v>
      </c>
      <c r="M604" s="40"/>
    </row>
    <row r="605" spans="2:17" ht="15.5" x14ac:dyDescent="0.25">
      <c r="B605" s="339">
        <v>44688</v>
      </c>
      <c r="C605" s="5" t="s">
        <v>5</v>
      </c>
      <c r="D605" s="95" t="s">
        <v>2</v>
      </c>
      <c r="E605" s="5" t="s">
        <v>26</v>
      </c>
      <c r="F605" s="5" t="s">
        <v>1</v>
      </c>
      <c r="G605" s="202">
        <v>60.7</v>
      </c>
      <c r="H605" s="216">
        <v>4.4000000000000004</v>
      </c>
      <c r="I605" s="216">
        <v>3.6</v>
      </c>
      <c r="J605" s="229">
        <v>3</v>
      </c>
      <c r="K605" s="229">
        <v>35</v>
      </c>
      <c r="L605" s="237">
        <v>775</v>
      </c>
      <c r="M605" s="40"/>
    </row>
    <row r="606" spans="2:17" ht="15.5" x14ac:dyDescent="0.35">
      <c r="B606" s="330">
        <v>44689</v>
      </c>
      <c r="C606" s="5" t="s">
        <v>5</v>
      </c>
      <c r="D606" s="95" t="s">
        <v>2</v>
      </c>
      <c r="E606" s="5" t="s">
        <v>26</v>
      </c>
      <c r="F606" s="5" t="s">
        <v>1</v>
      </c>
      <c r="G606" s="205">
        <v>60.5</v>
      </c>
      <c r="H606" s="219">
        <v>5.2</v>
      </c>
      <c r="I606" s="219">
        <v>3.1</v>
      </c>
      <c r="J606" s="232">
        <v>3</v>
      </c>
      <c r="K606" s="232">
        <v>43</v>
      </c>
      <c r="L606" s="237">
        <v>739</v>
      </c>
      <c r="M606" s="40"/>
    </row>
    <row r="607" spans="2:17" ht="15.5" x14ac:dyDescent="0.35">
      <c r="B607" s="330">
        <v>44690</v>
      </c>
      <c r="C607" s="5" t="s">
        <v>5</v>
      </c>
      <c r="D607" s="95" t="s">
        <v>2</v>
      </c>
      <c r="E607" s="5" t="s">
        <v>26</v>
      </c>
      <c r="F607" s="5" t="s">
        <v>1</v>
      </c>
      <c r="G607" s="205">
        <v>60.4</v>
      </c>
      <c r="H607" s="219">
        <v>5.8</v>
      </c>
      <c r="I607" s="219">
        <v>2.6</v>
      </c>
      <c r="J607" s="229">
        <v>3</v>
      </c>
      <c r="K607" s="232">
        <v>44</v>
      </c>
      <c r="L607" s="237">
        <v>745</v>
      </c>
      <c r="M607" s="40"/>
    </row>
    <row r="608" spans="2:17" ht="15.5" x14ac:dyDescent="0.35">
      <c r="B608" s="330">
        <v>44691</v>
      </c>
      <c r="C608" s="5" t="s">
        <v>5</v>
      </c>
      <c r="D608" s="95" t="s">
        <v>2</v>
      </c>
      <c r="E608" s="5" t="s">
        <v>26</v>
      </c>
      <c r="F608" s="5" t="s">
        <v>1</v>
      </c>
      <c r="G608" s="205">
        <v>61</v>
      </c>
      <c r="H608" s="219">
        <v>5.4</v>
      </c>
      <c r="I608" s="219">
        <v>2.1</v>
      </c>
      <c r="J608" s="229">
        <v>5</v>
      </c>
      <c r="K608" s="232">
        <v>44</v>
      </c>
      <c r="L608" s="237">
        <v>751</v>
      </c>
      <c r="M608" s="40"/>
    </row>
    <row r="609" spans="2:13" ht="15.5" x14ac:dyDescent="0.35">
      <c r="B609" s="330">
        <v>44692</v>
      </c>
      <c r="C609" s="5" t="s">
        <v>5</v>
      </c>
      <c r="D609" s="95" t="s">
        <v>2</v>
      </c>
      <c r="E609" s="5" t="s">
        <v>26</v>
      </c>
      <c r="F609" s="5" t="s">
        <v>1</v>
      </c>
      <c r="G609" s="205">
        <v>59.2</v>
      </c>
      <c r="H609" s="219">
        <v>6</v>
      </c>
      <c r="I609" s="219">
        <v>4.2</v>
      </c>
      <c r="J609" s="229">
        <v>3</v>
      </c>
      <c r="K609" s="232">
        <v>45</v>
      </c>
      <c r="L609" s="237">
        <v>756</v>
      </c>
      <c r="M609" s="40"/>
    </row>
    <row r="610" spans="2:13" ht="15.5" x14ac:dyDescent="0.35">
      <c r="B610" s="330">
        <v>44692</v>
      </c>
      <c r="C610" s="5" t="s">
        <v>5</v>
      </c>
      <c r="D610" s="95" t="s">
        <v>2</v>
      </c>
      <c r="E610" s="5" t="s">
        <v>26</v>
      </c>
      <c r="F610" s="5" t="s">
        <v>1</v>
      </c>
      <c r="G610" s="205">
        <v>59</v>
      </c>
      <c r="H610" s="221">
        <v>6.4</v>
      </c>
      <c r="I610" s="219">
        <v>4</v>
      </c>
      <c r="J610" s="229">
        <v>4</v>
      </c>
      <c r="K610" s="232">
        <v>44</v>
      </c>
      <c r="L610" s="237">
        <v>757</v>
      </c>
      <c r="M610" s="40"/>
    </row>
    <row r="611" spans="2:13" ht="15.5" x14ac:dyDescent="0.35">
      <c r="B611" s="330">
        <v>44694</v>
      </c>
      <c r="C611" s="5" t="s">
        <v>5</v>
      </c>
      <c r="D611" s="95" t="s">
        <v>2</v>
      </c>
      <c r="E611" s="5" t="s">
        <v>26</v>
      </c>
      <c r="F611" s="5" t="s">
        <v>1</v>
      </c>
      <c r="G611" s="205">
        <v>58.7</v>
      </c>
      <c r="H611" s="221">
        <v>6.2</v>
      </c>
      <c r="I611" s="219">
        <v>4.5999999999999996</v>
      </c>
      <c r="J611" s="229">
        <v>3</v>
      </c>
      <c r="K611" s="232">
        <v>42</v>
      </c>
      <c r="L611" s="237">
        <v>763</v>
      </c>
      <c r="M611" s="40"/>
    </row>
    <row r="612" spans="2:13" ht="15.5" x14ac:dyDescent="0.35">
      <c r="B612" s="330">
        <v>44694</v>
      </c>
      <c r="C612" s="5" t="s">
        <v>5</v>
      </c>
      <c r="D612" s="95" t="s">
        <v>2</v>
      </c>
      <c r="E612" s="5" t="s">
        <v>26</v>
      </c>
      <c r="F612" s="5" t="s">
        <v>1</v>
      </c>
      <c r="G612" s="205">
        <v>60.1</v>
      </c>
      <c r="H612" s="219">
        <v>5.2</v>
      </c>
      <c r="I612" s="219">
        <v>3.7</v>
      </c>
      <c r="J612" s="229">
        <v>4</v>
      </c>
      <c r="K612" s="232">
        <v>37</v>
      </c>
      <c r="L612" s="237">
        <v>767</v>
      </c>
      <c r="M612" s="40"/>
    </row>
    <row r="613" spans="2:13" ht="15.5" x14ac:dyDescent="0.35">
      <c r="B613" s="330">
        <v>44695</v>
      </c>
      <c r="C613" s="5" t="s">
        <v>5</v>
      </c>
      <c r="D613" s="95" t="s">
        <v>2</v>
      </c>
      <c r="E613" s="5" t="s">
        <v>26</v>
      </c>
      <c r="F613" s="5" t="s">
        <v>1</v>
      </c>
      <c r="G613" s="205">
        <v>59.6</v>
      </c>
      <c r="H613" s="219">
        <v>6.7</v>
      </c>
      <c r="I613" s="219">
        <v>2.8</v>
      </c>
      <c r="J613" s="229">
        <v>5</v>
      </c>
      <c r="K613" s="232">
        <v>45</v>
      </c>
      <c r="L613" s="237">
        <v>770</v>
      </c>
      <c r="M613" s="40"/>
    </row>
    <row r="614" spans="2:13" ht="16" thickBot="1" x14ac:dyDescent="0.3">
      <c r="B614" s="335">
        <v>44696</v>
      </c>
      <c r="C614" s="5" t="s">
        <v>5</v>
      </c>
      <c r="D614" s="95" t="s">
        <v>2</v>
      </c>
      <c r="E614" s="5" t="s">
        <v>26</v>
      </c>
      <c r="F614" s="5" t="s">
        <v>1</v>
      </c>
      <c r="G614" s="208">
        <v>59.4</v>
      </c>
      <c r="H614" s="226">
        <v>6.6</v>
      </c>
      <c r="I614" s="226">
        <v>3.2</v>
      </c>
      <c r="J614" s="234">
        <v>4</v>
      </c>
      <c r="K614" s="234">
        <v>46</v>
      </c>
      <c r="L614" s="241">
        <v>775</v>
      </c>
    </row>
    <row r="615" spans="2:13" ht="15.5" x14ac:dyDescent="0.25">
      <c r="B615" s="340">
        <v>44697</v>
      </c>
      <c r="C615" s="5" t="s">
        <v>5</v>
      </c>
      <c r="D615" s="95" t="s">
        <v>2</v>
      </c>
      <c r="E615" s="5" t="s">
        <v>26</v>
      </c>
      <c r="F615" s="5" t="s">
        <v>1</v>
      </c>
      <c r="G615" s="245">
        <v>60.5</v>
      </c>
      <c r="H615" s="247">
        <v>5.2</v>
      </c>
      <c r="I615" s="247">
        <v>3.1</v>
      </c>
      <c r="J615" s="249">
        <v>3</v>
      </c>
      <c r="K615" s="251">
        <v>48</v>
      </c>
      <c r="L615" s="242">
        <v>780</v>
      </c>
    </row>
    <row r="616" spans="2:13" ht="14.5" x14ac:dyDescent="0.25">
      <c r="B616" s="341">
        <v>44697</v>
      </c>
      <c r="C616" s="5" t="s">
        <v>5</v>
      </c>
      <c r="D616" s="95" t="s">
        <v>2</v>
      </c>
      <c r="E616" s="5" t="s">
        <v>26</v>
      </c>
      <c r="F616" s="5" t="s">
        <v>1</v>
      </c>
      <c r="G616" s="244">
        <v>60.6</v>
      </c>
      <c r="H616" s="246">
        <v>4.9000000000000004</v>
      </c>
      <c r="I616" s="246">
        <v>3.3</v>
      </c>
      <c r="J616" s="248">
        <v>4</v>
      </c>
      <c r="K616" s="250">
        <v>46</v>
      </c>
      <c r="L616" s="243">
        <v>781</v>
      </c>
    </row>
    <row r="617" spans="2:13" ht="15.5" x14ac:dyDescent="0.25">
      <c r="B617" s="337">
        <v>44698</v>
      </c>
      <c r="C617" s="5" t="s">
        <v>5</v>
      </c>
      <c r="D617" s="95" t="s">
        <v>2</v>
      </c>
      <c r="E617" s="5" t="s">
        <v>26</v>
      </c>
      <c r="F617" s="5" t="s">
        <v>1</v>
      </c>
      <c r="G617" s="253">
        <v>60.7</v>
      </c>
      <c r="H617" s="259">
        <v>4.7</v>
      </c>
      <c r="I617" s="258">
        <v>3.3</v>
      </c>
      <c r="J617" s="266">
        <v>8</v>
      </c>
      <c r="K617" s="266">
        <v>38</v>
      </c>
      <c r="L617" s="271">
        <v>794</v>
      </c>
    </row>
    <row r="618" spans="2:13" ht="15.5" x14ac:dyDescent="0.25">
      <c r="B618" s="337">
        <v>44712</v>
      </c>
      <c r="C618" s="5" t="s">
        <v>5</v>
      </c>
      <c r="D618" s="95" t="s">
        <v>2</v>
      </c>
      <c r="E618" s="5" t="s">
        <v>26</v>
      </c>
      <c r="F618" s="5" t="s">
        <v>1</v>
      </c>
      <c r="G618" s="252">
        <v>60.6</v>
      </c>
      <c r="H618" s="258">
        <v>4.9000000000000004</v>
      </c>
      <c r="I618" s="258">
        <v>3.2</v>
      </c>
      <c r="J618" s="266">
        <v>4</v>
      </c>
      <c r="K618" s="266">
        <v>40</v>
      </c>
      <c r="L618" s="271">
        <v>859</v>
      </c>
    </row>
    <row r="619" spans="2:13" ht="15.5" x14ac:dyDescent="0.35">
      <c r="B619" s="342">
        <v>44682</v>
      </c>
      <c r="C619" s="5" t="s">
        <v>5</v>
      </c>
      <c r="D619" s="95" t="s">
        <v>27</v>
      </c>
      <c r="E619" s="5" t="s">
        <v>26</v>
      </c>
      <c r="F619" s="5" t="s">
        <v>1</v>
      </c>
      <c r="G619" s="255">
        <v>60.4</v>
      </c>
      <c r="H619" s="262">
        <v>5.8</v>
      </c>
      <c r="I619" s="260">
        <v>2.7</v>
      </c>
      <c r="J619" s="267">
        <v>5</v>
      </c>
      <c r="K619" s="267">
        <v>41</v>
      </c>
      <c r="L619" s="272">
        <v>855</v>
      </c>
    </row>
    <row r="620" spans="2:13" ht="15.5" x14ac:dyDescent="0.35">
      <c r="B620" s="343">
        <v>44683</v>
      </c>
      <c r="C620" s="5" t="s">
        <v>5</v>
      </c>
      <c r="D620" s="95" t="s">
        <v>27</v>
      </c>
      <c r="E620" s="5" t="s">
        <v>26</v>
      </c>
      <c r="F620" s="5" t="s">
        <v>1</v>
      </c>
      <c r="G620" s="254">
        <v>60.8</v>
      </c>
      <c r="H620" s="263">
        <v>5</v>
      </c>
      <c r="I620" s="261">
        <v>2.9</v>
      </c>
      <c r="J620" s="268">
        <v>3</v>
      </c>
      <c r="K620" s="268">
        <v>43</v>
      </c>
      <c r="L620" s="273">
        <v>704</v>
      </c>
    </row>
    <row r="621" spans="2:13" ht="15.5" x14ac:dyDescent="0.25">
      <c r="B621" s="344">
        <v>44685</v>
      </c>
      <c r="C621" s="5" t="s">
        <v>5</v>
      </c>
      <c r="D621" s="95" t="s">
        <v>27</v>
      </c>
      <c r="E621" s="5" t="s">
        <v>26</v>
      </c>
      <c r="F621" s="5" t="s">
        <v>1</v>
      </c>
      <c r="G621" s="256">
        <v>60.4</v>
      </c>
      <c r="H621" s="264">
        <v>4.5999999999999996</v>
      </c>
      <c r="I621" s="264">
        <v>3.8</v>
      </c>
      <c r="J621" s="270">
        <v>8</v>
      </c>
      <c r="K621" s="270">
        <v>45</v>
      </c>
      <c r="L621" s="275">
        <v>721</v>
      </c>
    </row>
    <row r="622" spans="2:13" ht="16" thickBot="1" x14ac:dyDescent="0.3">
      <c r="B622" s="339">
        <v>44699</v>
      </c>
      <c r="C622" s="5" t="s">
        <v>5</v>
      </c>
      <c r="D622" s="95" t="s">
        <v>27</v>
      </c>
      <c r="E622" s="5" t="s">
        <v>26</v>
      </c>
      <c r="F622" s="5" t="s">
        <v>1</v>
      </c>
      <c r="G622" s="257">
        <v>59.6</v>
      </c>
      <c r="H622" s="265">
        <v>6.8</v>
      </c>
      <c r="I622" s="265">
        <v>2.7</v>
      </c>
      <c r="J622" s="269">
        <v>7</v>
      </c>
      <c r="K622" s="269">
        <v>43</v>
      </c>
      <c r="L622" s="274">
        <v>798</v>
      </c>
    </row>
    <row r="623" spans="2:13" ht="16" thickBot="1" x14ac:dyDescent="0.3">
      <c r="B623" s="345">
        <v>44700</v>
      </c>
      <c r="C623" s="5" t="s">
        <v>5</v>
      </c>
      <c r="D623" s="95" t="s">
        <v>27</v>
      </c>
      <c r="E623" s="5" t="s">
        <v>26</v>
      </c>
      <c r="F623" s="5" t="s">
        <v>1</v>
      </c>
      <c r="G623" s="276">
        <v>61.4</v>
      </c>
      <c r="H623" s="278">
        <v>5</v>
      </c>
      <c r="I623" s="277">
        <v>2</v>
      </c>
      <c r="J623" s="279">
        <v>9</v>
      </c>
      <c r="K623" s="279">
        <v>47</v>
      </c>
      <c r="L623" s="280">
        <v>802</v>
      </c>
    </row>
    <row r="624" spans="2:13" ht="14.5" x14ac:dyDescent="0.35">
      <c r="B624" s="352">
        <v>44702</v>
      </c>
      <c r="C624" s="5" t="s">
        <v>5</v>
      </c>
      <c r="D624" s="95" t="s">
        <v>27</v>
      </c>
      <c r="E624" s="5" t="s">
        <v>26</v>
      </c>
      <c r="F624" s="5" t="s">
        <v>1</v>
      </c>
      <c r="G624">
        <v>61</v>
      </c>
      <c r="H624">
        <v>4.7</v>
      </c>
      <c r="I624">
        <v>2.9</v>
      </c>
      <c r="J624" s="347">
        <v>8</v>
      </c>
      <c r="K624" s="348">
        <v>47</v>
      </c>
      <c r="L624" s="349">
        <v>813</v>
      </c>
    </row>
    <row r="625" spans="2:12" ht="14.5" x14ac:dyDescent="0.35">
      <c r="B625" s="352">
        <v>44705</v>
      </c>
      <c r="C625" s="5" t="s">
        <v>5</v>
      </c>
      <c r="D625" s="95" t="s">
        <v>27</v>
      </c>
      <c r="E625" s="5" t="s">
        <v>26</v>
      </c>
      <c r="F625" s="5" t="s">
        <v>1</v>
      </c>
      <c r="G625">
        <v>59.6</v>
      </c>
      <c r="H625">
        <v>7</v>
      </c>
      <c r="I625">
        <v>2.8</v>
      </c>
      <c r="J625" s="347">
        <v>10</v>
      </c>
      <c r="K625" s="348">
        <v>39</v>
      </c>
      <c r="L625" s="349">
        <v>824</v>
      </c>
    </row>
    <row r="626" spans="2:12" ht="14.5" x14ac:dyDescent="0.35">
      <c r="B626" s="352">
        <v>44706</v>
      </c>
      <c r="C626" s="5" t="s">
        <v>5</v>
      </c>
      <c r="D626" s="95" t="s">
        <v>27</v>
      </c>
      <c r="E626" s="5" t="s">
        <v>26</v>
      </c>
      <c r="F626" s="5" t="s">
        <v>1</v>
      </c>
      <c r="G626">
        <v>60.4</v>
      </c>
      <c r="H626">
        <v>5.4</v>
      </c>
      <c r="I626">
        <v>3</v>
      </c>
      <c r="J626" s="347">
        <v>8</v>
      </c>
      <c r="K626" s="348">
        <v>37</v>
      </c>
      <c r="L626" s="349">
        <v>828</v>
      </c>
    </row>
    <row r="627" spans="2:12" ht="14.5" x14ac:dyDescent="0.35">
      <c r="B627" s="352">
        <v>44708</v>
      </c>
      <c r="C627" s="5" t="s">
        <v>5</v>
      </c>
      <c r="D627" s="95" t="s">
        <v>27</v>
      </c>
      <c r="E627" s="5" t="s">
        <v>26</v>
      </c>
      <c r="F627" s="5" t="s">
        <v>1</v>
      </c>
      <c r="G627">
        <v>59.5</v>
      </c>
      <c r="H627">
        <v>5.3</v>
      </c>
      <c r="I627">
        <v>4.4000000000000004</v>
      </c>
      <c r="J627" s="347">
        <v>9</v>
      </c>
      <c r="K627" s="348">
        <v>32</v>
      </c>
      <c r="L627" s="349">
        <v>836</v>
      </c>
    </row>
    <row r="628" spans="2:12" ht="14.5" x14ac:dyDescent="0.35">
      <c r="B628" s="352">
        <v>44709</v>
      </c>
      <c r="C628" s="5" t="s">
        <v>5</v>
      </c>
      <c r="D628" s="95" t="s">
        <v>27</v>
      </c>
      <c r="E628" s="5" t="s">
        <v>26</v>
      </c>
      <c r="F628" s="5" t="s">
        <v>1</v>
      </c>
      <c r="G628">
        <v>60.8</v>
      </c>
      <c r="H628">
        <v>4.8</v>
      </c>
      <c r="I628">
        <v>3.1</v>
      </c>
      <c r="J628" s="347">
        <v>7</v>
      </c>
      <c r="K628" s="348">
        <v>46</v>
      </c>
      <c r="L628" s="349">
        <v>845</v>
      </c>
    </row>
    <row r="629" spans="2:12" ht="14.5" x14ac:dyDescent="0.35">
      <c r="B629" s="352">
        <v>44710</v>
      </c>
      <c r="C629" s="5" t="s">
        <v>5</v>
      </c>
      <c r="D629" s="95" t="s">
        <v>27</v>
      </c>
      <c r="E629" s="5" t="s">
        <v>26</v>
      </c>
      <c r="F629" s="5" t="s">
        <v>1</v>
      </c>
      <c r="G629">
        <v>61</v>
      </c>
      <c r="H629">
        <v>3.9</v>
      </c>
      <c r="I629">
        <v>3.7</v>
      </c>
      <c r="J629" s="347">
        <v>7</v>
      </c>
      <c r="K629" s="348">
        <v>70</v>
      </c>
      <c r="L629" s="349">
        <v>853</v>
      </c>
    </row>
    <row r="630" spans="2:12" ht="14.5" x14ac:dyDescent="0.35">
      <c r="B630" s="352">
        <v>44683</v>
      </c>
      <c r="C630" s="5" t="s">
        <v>5</v>
      </c>
      <c r="D630" s="95" t="s">
        <v>146</v>
      </c>
      <c r="E630" s="5" t="s">
        <v>26</v>
      </c>
      <c r="F630" s="5" t="s">
        <v>1</v>
      </c>
      <c r="G630">
        <v>62.2</v>
      </c>
      <c r="H630">
        <v>3.1</v>
      </c>
      <c r="I630">
        <v>2.8</v>
      </c>
      <c r="J630" s="347">
        <v>4</v>
      </c>
      <c r="K630" s="348">
        <v>36</v>
      </c>
      <c r="L630" s="349">
        <v>4</v>
      </c>
    </row>
    <row r="631" spans="2:12" ht="14.5" x14ac:dyDescent="0.35">
      <c r="B631" s="352">
        <v>44684</v>
      </c>
      <c r="C631" s="5" t="s">
        <v>5</v>
      </c>
      <c r="D631" s="95" t="s">
        <v>146</v>
      </c>
      <c r="E631" s="5" t="s">
        <v>26</v>
      </c>
      <c r="F631" s="5" t="s">
        <v>1</v>
      </c>
      <c r="G631">
        <v>62.1</v>
      </c>
      <c r="H631">
        <v>3.5</v>
      </c>
      <c r="I631">
        <v>2.5</v>
      </c>
      <c r="J631" s="347">
        <v>5</v>
      </c>
      <c r="K631" s="348">
        <v>37</v>
      </c>
      <c r="L631" s="349">
        <v>7</v>
      </c>
    </row>
    <row r="632" spans="2:12" ht="14.5" x14ac:dyDescent="0.35">
      <c r="B632" s="352">
        <v>44685</v>
      </c>
      <c r="C632" s="5" t="s">
        <v>5</v>
      </c>
      <c r="D632" s="95" t="s">
        <v>146</v>
      </c>
      <c r="E632" s="5" t="s">
        <v>26</v>
      </c>
      <c r="F632" s="5" t="s">
        <v>1</v>
      </c>
      <c r="G632">
        <v>62.2</v>
      </c>
      <c r="H632">
        <v>3.7</v>
      </c>
      <c r="I632">
        <v>2.2000000000000002</v>
      </c>
      <c r="J632" s="347">
        <v>4</v>
      </c>
      <c r="K632" s="348">
        <v>43</v>
      </c>
      <c r="L632" s="349">
        <v>10</v>
      </c>
    </row>
    <row r="633" spans="2:12" ht="14.5" x14ac:dyDescent="0.35">
      <c r="B633" s="352">
        <v>44687</v>
      </c>
      <c r="C633" s="5" t="s">
        <v>5</v>
      </c>
      <c r="D633" s="95" t="s">
        <v>146</v>
      </c>
      <c r="E633" s="5" t="s">
        <v>26</v>
      </c>
      <c r="F633" s="5" t="s">
        <v>1</v>
      </c>
      <c r="G633">
        <v>62.4</v>
      </c>
      <c r="H633">
        <v>3</v>
      </c>
      <c r="I633">
        <v>2.6</v>
      </c>
      <c r="J633" s="347">
        <v>3</v>
      </c>
      <c r="K633" s="348">
        <v>44</v>
      </c>
      <c r="L633" s="349">
        <v>14</v>
      </c>
    </row>
    <row r="634" spans="2:12" ht="14.5" x14ac:dyDescent="0.35">
      <c r="B634" s="352">
        <v>44690</v>
      </c>
      <c r="C634" s="5" t="s">
        <v>5</v>
      </c>
      <c r="D634" s="95" t="s">
        <v>146</v>
      </c>
      <c r="E634" s="5" t="s">
        <v>26</v>
      </c>
      <c r="F634" s="5" t="s">
        <v>1</v>
      </c>
      <c r="G634">
        <v>62.1</v>
      </c>
      <c r="H634">
        <v>3.3</v>
      </c>
      <c r="I634">
        <v>2.8</v>
      </c>
      <c r="J634" s="347">
        <v>4</v>
      </c>
      <c r="K634" s="348">
        <v>40</v>
      </c>
      <c r="L634" s="349">
        <v>21</v>
      </c>
    </row>
    <row r="635" spans="2:12" ht="14.5" x14ac:dyDescent="0.35">
      <c r="B635" s="352">
        <v>44691</v>
      </c>
      <c r="C635" s="5" t="s">
        <v>5</v>
      </c>
      <c r="D635" s="95" t="s">
        <v>146</v>
      </c>
      <c r="E635" s="5" t="s">
        <v>26</v>
      </c>
      <c r="F635" s="5" t="s">
        <v>1</v>
      </c>
      <c r="G635">
        <v>62.5</v>
      </c>
      <c r="H635">
        <v>3</v>
      </c>
      <c r="I635">
        <v>2.4</v>
      </c>
      <c r="J635" s="347">
        <v>2</v>
      </c>
      <c r="K635" s="348">
        <v>45</v>
      </c>
      <c r="L635" s="349">
        <v>23</v>
      </c>
    </row>
    <row r="636" spans="2:12" ht="14.5" x14ac:dyDescent="0.35">
      <c r="B636" s="352">
        <v>44694</v>
      </c>
      <c r="C636" s="5" t="s">
        <v>5</v>
      </c>
      <c r="D636" s="95" t="s">
        <v>146</v>
      </c>
      <c r="E636" s="5" t="s">
        <v>26</v>
      </c>
      <c r="F636" s="5" t="s">
        <v>1</v>
      </c>
      <c r="G636">
        <v>62.8</v>
      </c>
      <c r="H636">
        <v>2.7</v>
      </c>
      <c r="I636">
        <v>2.2999999999999998</v>
      </c>
      <c r="J636" s="347">
        <v>5</v>
      </c>
      <c r="K636" s="348">
        <v>41</v>
      </c>
      <c r="L636" s="349">
        <v>32</v>
      </c>
    </row>
    <row r="637" spans="2:12" ht="14.5" x14ac:dyDescent="0.35">
      <c r="B637" s="352">
        <v>44696</v>
      </c>
      <c r="C637" s="5" t="s">
        <v>5</v>
      </c>
      <c r="D637" s="95" t="s">
        <v>146</v>
      </c>
      <c r="E637" s="5" t="s">
        <v>26</v>
      </c>
      <c r="F637" s="5" t="s">
        <v>1</v>
      </c>
      <c r="G637">
        <v>62.5</v>
      </c>
      <c r="H637">
        <v>2.7</v>
      </c>
      <c r="I637">
        <v>2.8</v>
      </c>
      <c r="J637" s="347">
        <v>4</v>
      </c>
      <c r="K637" s="348">
        <v>45</v>
      </c>
      <c r="L637" s="349">
        <v>32</v>
      </c>
    </row>
    <row r="638" spans="2:12" ht="14.5" x14ac:dyDescent="0.35">
      <c r="B638" s="352">
        <v>44697</v>
      </c>
      <c r="C638" s="5" t="s">
        <v>5</v>
      </c>
      <c r="D638" s="95" t="s">
        <v>146</v>
      </c>
      <c r="E638" s="5" t="s">
        <v>26</v>
      </c>
      <c r="F638" s="5" t="s">
        <v>1</v>
      </c>
      <c r="G638">
        <v>62.3</v>
      </c>
      <c r="H638">
        <v>3</v>
      </c>
      <c r="I638">
        <v>2.7</v>
      </c>
      <c r="J638" s="347">
        <v>2</v>
      </c>
      <c r="K638" s="348">
        <v>38</v>
      </c>
      <c r="L638" s="349">
        <v>35</v>
      </c>
    </row>
    <row r="639" spans="2:12" ht="14.5" x14ac:dyDescent="0.35">
      <c r="B639" s="352">
        <v>44699</v>
      </c>
      <c r="C639" s="5" t="s">
        <v>5</v>
      </c>
      <c r="D639" s="95" t="s">
        <v>146</v>
      </c>
      <c r="E639" s="5" t="s">
        <v>26</v>
      </c>
      <c r="F639" s="5" t="s">
        <v>1</v>
      </c>
      <c r="G639">
        <v>62.3</v>
      </c>
      <c r="H639">
        <v>2.2000000000000002</v>
      </c>
      <c r="I639">
        <v>3.5</v>
      </c>
      <c r="J639" s="347">
        <v>3</v>
      </c>
      <c r="K639" s="348">
        <v>46</v>
      </c>
      <c r="L639" s="349">
        <v>38</v>
      </c>
    </row>
    <row r="640" spans="2:12" ht="14.5" x14ac:dyDescent="0.35">
      <c r="B640" s="352">
        <v>44699</v>
      </c>
      <c r="C640" s="5" t="s">
        <v>5</v>
      </c>
      <c r="D640" s="95" t="s">
        <v>146</v>
      </c>
      <c r="E640" s="5" t="s">
        <v>26</v>
      </c>
      <c r="F640" s="5" t="s">
        <v>1</v>
      </c>
      <c r="G640">
        <v>62</v>
      </c>
      <c r="H640">
        <v>2.8</v>
      </c>
      <c r="I640">
        <v>3.3</v>
      </c>
      <c r="J640" s="347">
        <v>4</v>
      </c>
      <c r="K640" s="348">
        <v>37</v>
      </c>
      <c r="L640" s="349">
        <v>39</v>
      </c>
    </row>
    <row r="641" spans="2:12" ht="14.5" x14ac:dyDescent="0.35">
      <c r="B641" s="352">
        <v>44701</v>
      </c>
      <c r="C641" s="5" t="s">
        <v>5</v>
      </c>
      <c r="D641" s="95" t="s">
        <v>146</v>
      </c>
      <c r="E641" s="5" t="s">
        <v>26</v>
      </c>
      <c r="F641" s="5" t="s">
        <v>1</v>
      </c>
      <c r="G641">
        <v>62.4</v>
      </c>
      <c r="H641">
        <v>2.5</v>
      </c>
      <c r="I641">
        <v>3</v>
      </c>
      <c r="J641" s="347">
        <v>5</v>
      </c>
      <c r="K641" s="348">
        <v>41</v>
      </c>
      <c r="L641" s="349">
        <v>43</v>
      </c>
    </row>
    <row r="642" spans="2:12" ht="14.5" x14ac:dyDescent="0.35">
      <c r="B642" s="352">
        <v>44702</v>
      </c>
      <c r="C642" s="5" t="s">
        <v>5</v>
      </c>
      <c r="D642" s="95" t="s">
        <v>146</v>
      </c>
      <c r="E642" s="5" t="s">
        <v>26</v>
      </c>
      <c r="F642" s="5" t="s">
        <v>1</v>
      </c>
      <c r="G642">
        <v>62</v>
      </c>
      <c r="H642">
        <v>2.9</v>
      </c>
      <c r="I642">
        <v>3.2</v>
      </c>
      <c r="J642" s="347">
        <v>2</v>
      </c>
      <c r="K642" s="348">
        <v>38</v>
      </c>
      <c r="L642" s="349">
        <v>44</v>
      </c>
    </row>
    <row r="643" spans="2:12" ht="14.5" x14ac:dyDescent="0.35">
      <c r="B643" s="352">
        <v>44703</v>
      </c>
      <c r="C643" s="5" t="s">
        <v>5</v>
      </c>
      <c r="D643" s="95" t="s">
        <v>146</v>
      </c>
      <c r="E643" s="5" t="s">
        <v>26</v>
      </c>
      <c r="F643" s="5" t="s">
        <v>1</v>
      </c>
      <c r="G643">
        <v>62</v>
      </c>
      <c r="H643">
        <v>2.9</v>
      </c>
      <c r="I643">
        <v>3.2</v>
      </c>
      <c r="J643" s="347">
        <v>4</v>
      </c>
      <c r="K643" s="348">
        <v>37</v>
      </c>
      <c r="L643" s="349">
        <v>47</v>
      </c>
    </row>
    <row r="644" spans="2:12" ht="14.5" x14ac:dyDescent="0.35">
      <c r="B644" s="352">
        <v>44704</v>
      </c>
      <c r="C644" s="5" t="s">
        <v>5</v>
      </c>
      <c r="D644" s="95" t="s">
        <v>146</v>
      </c>
      <c r="E644" s="5" t="s">
        <v>26</v>
      </c>
      <c r="F644" s="5" t="s">
        <v>1</v>
      </c>
      <c r="G644">
        <v>62.2</v>
      </c>
      <c r="H644">
        <v>3.6</v>
      </c>
      <c r="I644">
        <v>2.2999999999999998</v>
      </c>
      <c r="J644" s="347">
        <v>5</v>
      </c>
      <c r="K644" s="348">
        <v>46</v>
      </c>
      <c r="L644" s="349">
        <v>50</v>
      </c>
    </row>
    <row r="645" spans="2:12" ht="14.5" x14ac:dyDescent="0.35">
      <c r="B645" s="352">
        <v>44705</v>
      </c>
      <c r="C645" s="5" t="s">
        <v>5</v>
      </c>
      <c r="D645" s="95" t="s">
        <v>146</v>
      </c>
      <c r="E645" s="5" t="s">
        <v>26</v>
      </c>
      <c r="F645" s="5" t="s">
        <v>1</v>
      </c>
      <c r="G645">
        <v>62</v>
      </c>
      <c r="H645">
        <v>3</v>
      </c>
      <c r="I645">
        <v>3.3</v>
      </c>
      <c r="J645" s="347">
        <v>2</v>
      </c>
      <c r="K645" s="348">
        <v>43</v>
      </c>
      <c r="L645" s="349">
        <v>53</v>
      </c>
    </row>
    <row r="646" spans="2:12" ht="14.5" x14ac:dyDescent="0.35">
      <c r="B646" s="352">
        <v>44707</v>
      </c>
      <c r="C646" s="5" t="s">
        <v>5</v>
      </c>
      <c r="D646" s="95" t="s">
        <v>146</v>
      </c>
      <c r="E646" s="5" t="s">
        <v>26</v>
      </c>
      <c r="F646" s="5" t="s">
        <v>1</v>
      </c>
      <c r="G646">
        <v>62.3</v>
      </c>
      <c r="H646">
        <v>3</v>
      </c>
      <c r="I646">
        <v>2.7</v>
      </c>
      <c r="J646" s="347">
        <v>2</v>
      </c>
      <c r="K646" s="348">
        <v>50</v>
      </c>
      <c r="L646" s="349">
        <v>59</v>
      </c>
    </row>
    <row r="647" spans="2:12" ht="14.5" x14ac:dyDescent="0.35">
      <c r="B647" s="352">
        <v>44708</v>
      </c>
      <c r="C647" s="5" t="s">
        <v>5</v>
      </c>
      <c r="D647" s="95" t="s">
        <v>146</v>
      </c>
      <c r="E647" s="5" t="s">
        <v>26</v>
      </c>
      <c r="F647" s="5" t="s">
        <v>1</v>
      </c>
      <c r="G647">
        <v>62.2</v>
      </c>
      <c r="H647">
        <v>3.2</v>
      </c>
      <c r="I647">
        <v>2.7</v>
      </c>
      <c r="J647" s="347">
        <v>2</v>
      </c>
      <c r="K647" s="348">
        <v>41</v>
      </c>
      <c r="L647" s="349">
        <v>61</v>
      </c>
    </row>
    <row r="648" spans="2:12" ht="14.5" x14ac:dyDescent="0.35">
      <c r="B648" s="352">
        <v>44710</v>
      </c>
      <c r="C648" s="5" t="s">
        <v>5</v>
      </c>
      <c r="D648" s="95" t="s">
        <v>146</v>
      </c>
      <c r="E648" s="5" t="s">
        <v>26</v>
      </c>
      <c r="F648" s="5" t="s">
        <v>1</v>
      </c>
      <c r="G648">
        <v>62.1</v>
      </c>
      <c r="H648">
        <v>3.2</v>
      </c>
      <c r="I648">
        <v>2.8</v>
      </c>
      <c r="J648" s="347">
        <v>3</v>
      </c>
      <c r="K648" s="348">
        <v>45</v>
      </c>
      <c r="L648" s="349">
        <v>66</v>
      </c>
    </row>
    <row r="649" spans="2:12" ht="14.5" x14ac:dyDescent="0.35">
      <c r="B649" s="352">
        <v>44711</v>
      </c>
      <c r="C649" s="5" t="s">
        <v>5</v>
      </c>
      <c r="D649" s="95" t="s">
        <v>146</v>
      </c>
      <c r="E649" s="5" t="s">
        <v>26</v>
      </c>
      <c r="F649" s="5" t="s">
        <v>1</v>
      </c>
      <c r="G649">
        <v>62.4</v>
      </c>
      <c r="H649">
        <v>2.9</v>
      </c>
      <c r="I649">
        <v>2.6</v>
      </c>
      <c r="J649" s="347">
        <v>2</v>
      </c>
      <c r="K649" s="348">
        <v>42</v>
      </c>
      <c r="L649" s="349">
        <v>68</v>
      </c>
    </row>
    <row r="650" spans="2:12" ht="14.5" x14ac:dyDescent="0.35">
      <c r="B650" s="352">
        <v>44711</v>
      </c>
      <c r="C650" s="5" t="s">
        <v>5</v>
      </c>
      <c r="D650" s="95" t="s">
        <v>146</v>
      </c>
      <c r="E650" s="5" t="s">
        <v>26</v>
      </c>
      <c r="F650" s="5" t="s">
        <v>1</v>
      </c>
      <c r="G650">
        <v>62.2</v>
      </c>
      <c r="H650">
        <v>3.1</v>
      </c>
      <c r="I650">
        <v>2.7</v>
      </c>
      <c r="J650" s="347">
        <v>3</v>
      </c>
      <c r="K650" s="348">
        <v>37</v>
      </c>
      <c r="L650" s="349">
        <v>69</v>
      </c>
    </row>
    <row r="651" spans="2:12" ht="14.5" x14ac:dyDescent="0.35">
      <c r="B651" s="352"/>
      <c r="C651" s="5"/>
      <c r="D651" s="94"/>
      <c r="E651" s="5"/>
      <c r="F651" s="5"/>
      <c r="J651" s="347"/>
      <c r="K651" s="348"/>
      <c r="L651" s="349"/>
    </row>
    <row r="652" spans="2:12" ht="14.5" x14ac:dyDescent="0.35">
      <c r="B652" s="352"/>
      <c r="C652" s="5"/>
      <c r="D652" s="94"/>
      <c r="E652" s="5"/>
      <c r="F652" s="5"/>
      <c r="J652" s="347"/>
      <c r="K652" s="348"/>
      <c r="L652" s="349"/>
    </row>
    <row r="653" spans="2:12" ht="14.5" x14ac:dyDescent="0.35">
      <c r="B653" s="352"/>
      <c r="C653" s="5"/>
      <c r="D653" s="94"/>
      <c r="E653" s="5"/>
      <c r="F653" s="5"/>
      <c r="J653" s="347"/>
      <c r="K653" s="348"/>
      <c r="L653" s="349"/>
    </row>
    <row r="654" spans="2:12" ht="14.5" x14ac:dyDescent="0.35">
      <c r="B654" s="352"/>
      <c r="C654" s="5"/>
      <c r="D654" s="94"/>
      <c r="E654" s="5"/>
      <c r="F654" s="5"/>
      <c r="J654" s="347"/>
      <c r="K654" s="348"/>
      <c r="L654" s="349"/>
    </row>
    <row r="655" spans="2:12" ht="14.5" x14ac:dyDescent="0.35">
      <c r="B655" s="352"/>
      <c r="C655" s="5"/>
      <c r="D655" s="94"/>
      <c r="E655" s="5"/>
      <c r="F655" s="5"/>
      <c r="J655" s="347"/>
      <c r="K655" s="348"/>
      <c r="L655" s="349"/>
    </row>
    <row r="656" spans="2:12" ht="14.5" x14ac:dyDescent="0.35">
      <c r="B656" s="352"/>
      <c r="C656" s="5"/>
      <c r="D656" s="94"/>
      <c r="E656" s="5"/>
      <c r="F656" s="5"/>
      <c r="J656" s="347"/>
      <c r="K656" s="348"/>
      <c r="L656" s="349"/>
    </row>
    <row r="657" spans="2:12" ht="14.5" x14ac:dyDescent="0.35">
      <c r="B657" s="352"/>
      <c r="C657" s="5"/>
      <c r="D657" s="94"/>
      <c r="E657" s="5"/>
      <c r="F657" s="5"/>
      <c r="J657" s="347"/>
      <c r="K657" s="348"/>
      <c r="L657" s="349"/>
    </row>
    <row r="658" spans="2:12" ht="14.5" x14ac:dyDescent="0.35">
      <c r="B658" s="352"/>
      <c r="C658" s="5"/>
      <c r="D658" s="94"/>
      <c r="E658" s="5"/>
      <c r="F658" s="5"/>
      <c r="J658" s="347"/>
      <c r="K658" s="348"/>
      <c r="L658" s="349"/>
    </row>
    <row r="659" spans="2:12" ht="14.5" x14ac:dyDescent="0.35">
      <c r="B659" s="352"/>
      <c r="C659" s="5"/>
      <c r="D659" s="94"/>
      <c r="E659" s="5"/>
      <c r="F659" s="5"/>
      <c r="J659" s="347"/>
      <c r="K659" s="348"/>
      <c r="L659" s="349"/>
    </row>
    <row r="660" spans="2:12" ht="14.5" x14ac:dyDescent="0.35">
      <c r="B660" s="352"/>
      <c r="C660" s="5"/>
      <c r="D660" s="94"/>
      <c r="E660" s="5"/>
      <c r="F660" s="5"/>
      <c r="J660" s="347"/>
      <c r="K660" s="348"/>
      <c r="L660" s="349"/>
    </row>
    <row r="661" spans="2:12" ht="14.5" x14ac:dyDescent="0.35">
      <c r="B661" s="352"/>
      <c r="C661" s="5"/>
      <c r="D661" s="94"/>
      <c r="E661" s="5"/>
      <c r="F661" s="5"/>
      <c r="J661" s="347"/>
      <c r="K661" s="348"/>
      <c r="L661" s="349"/>
    </row>
    <row r="662" spans="2:12" ht="14.5" x14ac:dyDescent="0.35">
      <c r="B662" s="352"/>
      <c r="C662" s="5"/>
      <c r="D662" s="94"/>
      <c r="E662" s="5"/>
      <c r="F662" s="5"/>
      <c r="J662" s="347"/>
      <c r="K662" s="348"/>
      <c r="L662" s="349"/>
    </row>
    <row r="663" spans="2:12" ht="14.5" x14ac:dyDescent="0.35">
      <c r="B663" s="352"/>
      <c r="C663" s="5"/>
      <c r="D663" s="94"/>
      <c r="E663" s="5"/>
      <c r="F663" s="5"/>
      <c r="J663" s="347"/>
      <c r="K663" s="348"/>
      <c r="L663" s="349"/>
    </row>
    <row r="664" spans="2:12" ht="14.5" x14ac:dyDescent="0.35">
      <c r="B664" s="352"/>
      <c r="C664" s="5"/>
      <c r="D664" s="94"/>
      <c r="E664" s="5"/>
      <c r="F664" s="5"/>
      <c r="J664" s="347"/>
      <c r="K664" s="348"/>
      <c r="L664" s="349"/>
    </row>
    <row r="665" spans="2:12" ht="14.5" x14ac:dyDescent="0.35">
      <c r="B665" s="352"/>
      <c r="C665" s="5"/>
      <c r="D665" s="94"/>
      <c r="E665" s="5"/>
      <c r="F665" s="5"/>
      <c r="J665" s="347"/>
      <c r="K665" s="348"/>
      <c r="L665" s="349"/>
    </row>
    <row r="666" spans="2:12" ht="14.5" x14ac:dyDescent="0.35">
      <c r="B666" s="352"/>
      <c r="C666" s="5"/>
      <c r="D666" s="94"/>
      <c r="E666" s="5"/>
      <c r="F666" s="5"/>
      <c r="J666" s="347"/>
      <c r="K666" s="348"/>
      <c r="L666" s="349"/>
    </row>
    <row r="667" spans="2:12" ht="14.5" x14ac:dyDescent="0.35">
      <c r="B667" s="352"/>
      <c r="C667" s="5"/>
      <c r="D667" s="94"/>
      <c r="E667" s="5"/>
      <c r="F667" s="5"/>
      <c r="J667" s="347"/>
      <c r="K667" s="348"/>
      <c r="L667" s="349"/>
    </row>
    <row r="668" spans="2:12" ht="14.5" x14ac:dyDescent="0.35">
      <c r="B668" s="352"/>
      <c r="C668" s="5"/>
      <c r="D668" s="94"/>
      <c r="E668" s="5"/>
      <c r="F668" s="5"/>
      <c r="J668" s="347"/>
      <c r="K668" s="348"/>
      <c r="L668" s="349"/>
    </row>
    <row r="669" spans="2:12" ht="14.5" x14ac:dyDescent="0.35">
      <c r="B669" s="352"/>
      <c r="C669" s="5"/>
      <c r="D669" s="94"/>
      <c r="E669" s="5"/>
      <c r="F669" s="5"/>
      <c r="J669" s="347"/>
      <c r="K669" s="348"/>
      <c r="L669" s="349"/>
    </row>
    <row r="670" spans="2:12" ht="14.5" x14ac:dyDescent="0.35">
      <c r="B670" s="352"/>
      <c r="C670" s="5"/>
      <c r="D670" s="94"/>
      <c r="E670" s="5"/>
      <c r="F670" s="5"/>
      <c r="J670" s="347"/>
      <c r="K670" s="348"/>
      <c r="L670" s="349"/>
    </row>
    <row r="671" spans="2:12" x14ac:dyDescent="0.25">
      <c r="B671" s="4"/>
      <c r="C671" s="5"/>
      <c r="D671" s="346"/>
      <c r="E671" s="5"/>
      <c r="F671" s="5"/>
      <c r="J671" s="44"/>
      <c r="K671" s="44"/>
      <c r="L671" s="42"/>
    </row>
    <row r="672" spans="2:12" x14ac:dyDescent="0.25">
      <c r="B672" s="4"/>
      <c r="C672" s="5"/>
      <c r="D672" s="346"/>
      <c r="E672" s="5"/>
      <c r="F672" s="5"/>
      <c r="J672" s="44"/>
      <c r="K672" s="44"/>
      <c r="L672" s="42"/>
    </row>
    <row r="673" spans="2:12" x14ac:dyDescent="0.25">
      <c r="B673" s="4"/>
      <c r="C673" s="5"/>
      <c r="D673" s="346"/>
      <c r="E673" s="5"/>
      <c r="F673" s="5"/>
      <c r="J673" s="43"/>
      <c r="K673" s="43"/>
      <c r="L673" s="42"/>
    </row>
    <row r="674" spans="2:12" x14ac:dyDescent="0.25">
      <c r="B674" s="4"/>
      <c r="C674" s="5"/>
      <c r="D674" s="346"/>
      <c r="E674" s="5"/>
      <c r="F674" s="5"/>
      <c r="J674" s="44"/>
      <c r="K674" s="44"/>
      <c r="L674" s="42"/>
    </row>
    <row r="675" spans="2:12" x14ac:dyDescent="0.25">
      <c r="B675" s="4"/>
      <c r="C675" s="5"/>
      <c r="D675" s="346"/>
      <c r="E675" s="5"/>
      <c r="F675" s="5"/>
      <c r="J675" s="44"/>
      <c r="K675" s="44"/>
      <c r="L675" s="42"/>
    </row>
    <row r="676" spans="2:12" x14ac:dyDescent="0.25">
      <c r="B676" s="4"/>
      <c r="C676" s="5"/>
      <c r="D676" s="346"/>
      <c r="E676" s="5"/>
      <c r="F676" s="5"/>
      <c r="J676" s="44"/>
      <c r="K676" s="44"/>
      <c r="L676" s="42"/>
    </row>
    <row r="677" spans="2:12" x14ac:dyDescent="0.25">
      <c r="B677" s="4"/>
      <c r="C677" s="5"/>
      <c r="D677" s="346"/>
      <c r="E677" s="5"/>
      <c r="F677" s="5"/>
      <c r="J677" s="44"/>
      <c r="K677" s="44"/>
      <c r="L677" s="42"/>
    </row>
    <row r="678" spans="2:12" x14ac:dyDescent="0.25">
      <c r="B678" s="4"/>
      <c r="C678" s="5"/>
      <c r="D678" s="346"/>
      <c r="E678" s="5"/>
      <c r="F678" s="5"/>
      <c r="J678" s="44"/>
      <c r="K678" s="44"/>
      <c r="L678" s="42"/>
    </row>
    <row r="679" spans="2:12" x14ac:dyDescent="0.25">
      <c r="B679" s="4"/>
      <c r="C679" s="5"/>
      <c r="D679" s="346"/>
      <c r="E679" s="5"/>
      <c r="F679" s="5"/>
      <c r="J679" s="44"/>
      <c r="K679" s="44"/>
      <c r="L679" s="42"/>
    </row>
    <row r="680" spans="2:12" x14ac:dyDescent="0.25">
      <c r="B680" s="4"/>
      <c r="C680" s="5"/>
      <c r="D680" s="346"/>
      <c r="E680" s="5"/>
      <c r="F680" s="5"/>
      <c r="J680" s="44"/>
      <c r="K680" s="44"/>
      <c r="L680" s="42"/>
    </row>
    <row r="681" spans="2:12" x14ac:dyDescent="0.25">
      <c r="B681" s="4"/>
      <c r="C681" s="5"/>
      <c r="D681" s="346"/>
      <c r="E681" s="5"/>
      <c r="F681" s="5"/>
      <c r="J681" s="43"/>
      <c r="L681" s="42"/>
    </row>
    <row r="682" spans="2:12" x14ac:dyDescent="0.25">
      <c r="B682" s="4"/>
      <c r="C682" s="5"/>
      <c r="D682" s="346"/>
      <c r="E682" s="5"/>
      <c r="F682" s="5"/>
      <c r="J682" s="43"/>
      <c r="L682" s="42"/>
    </row>
    <row r="683" spans="2:12" x14ac:dyDescent="0.25">
      <c r="B683" s="4"/>
      <c r="C683" s="5"/>
      <c r="D683" s="346"/>
      <c r="E683" s="5"/>
      <c r="F683" s="5"/>
      <c r="J683" s="43"/>
      <c r="L683" s="42"/>
    </row>
    <row r="684" spans="2:12" x14ac:dyDescent="0.25">
      <c r="B684" s="4"/>
      <c r="C684" s="5"/>
      <c r="D684" s="346"/>
      <c r="E684" s="5"/>
      <c r="F684" s="5"/>
      <c r="J684" s="44"/>
      <c r="L684" s="42"/>
    </row>
    <row r="685" spans="2:12" x14ac:dyDescent="0.25">
      <c r="B685" s="4"/>
      <c r="C685" s="5"/>
      <c r="D685" s="346"/>
      <c r="E685" s="5"/>
      <c r="F685" s="5"/>
      <c r="J685" s="43"/>
      <c r="L685" s="42"/>
    </row>
    <row r="686" spans="2:12" x14ac:dyDescent="0.25">
      <c r="B686" s="4"/>
      <c r="C686" s="5"/>
      <c r="D686" s="346"/>
      <c r="E686" s="5"/>
      <c r="F686" s="5"/>
      <c r="J686" s="43"/>
      <c r="L686" s="42"/>
    </row>
    <row r="687" spans="2:12" x14ac:dyDescent="0.25">
      <c r="B687" s="4"/>
      <c r="C687" s="5"/>
      <c r="D687" s="346"/>
      <c r="E687" s="5"/>
      <c r="F687" s="5"/>
      <c r="J687" s="43"/>
      <c r="L687" s="42"/>
    </row>
    <row r="688" spans="2:12" x14ac:dyDescent="0.25">
      <c r="B688" s="4"/>
      <c r="C688" s="5"/>
      <c r="D688" s="346"/>
      <c r="E688" s="5"/>
      <c r="F688" s="5"/>
      <c r="J688" s="43"/>
      <c r="L688" s="42"/>
    </row>
    <row r="689" spans="2:12" x14ac:dyDescent="0.25">
      <c r="B689" s="4"/>
      <c r="C689" s="5"/>
      <c r="D689" s="346"/>
      <c r="E689" s="5"/>
      <c r="F689" s="5"/>
      <c r="J689" s="43"/>
      <c r="L689" s="42"/>
    </row>
    <row r="690" spans="2:12" x14ac:dyDescent="0.25">
      <c r="B690" s="4"/>
      <c r="C690" s="5"/>
      <c r="D690" s="346"/>
      <c r="E690" s="5"/>
      <c r="F690" s="5"/>
      <c r="J690" s="43"/>
      <c r="L690" s="42"/>
    </row>
    <row r="691" spans="2:12" x14ac:dyDescent="0.25">
      <c r="B691" s="4"/>
      <c r="C691" s="5"/>
      <c r="D691" s="346"/>
      <c r="E691" s="5"/>
      <c r="F691" s="5"/>
      <c r="J691" s="43"/>
      <c r="L691" s="42"/>
    </row>
    <row r="692" spans="2:12" x14ac:dyDescent="0.25">
      <c r="B692" s="4"/>
      <c r="C692" s="5"/>
      <c r="D692" s="346"/>
      <c r="E692" s="5"/>
      <c r="F692" s="5"/>
      <c r="J692" s="43"/>
      <c r="L692" s="42"/>
    </row>
    <row r="693" spans="2:12" x14ac:dyDescent="0.25">
      <c r="B693" s="4"/>
      <c r="C693" s="5"/>
      <c r="D693" s="346"/>
      <c r="E693" s="5"/>
      <c r="F693" s="5"/>
      <c r="J693" s="43"/>
      <c r="L693" s="42"/>
    </row>
    <row r="694" spans="2:12" x14ac:dyDescent="0.25">
      <c r="B694" s="4"/>
      <c r="C694" s="5"/>
      <c r="D694" s="346"/>
      <c r="E694" s="5"/>
      <c r="F694" s="5"/>
      <c r="J694" s="43"/>
      <c r="L694" s="42"/>
    </row>
    <row r="695" spans="2:12" x14ac:dyDescent="0.25">
      <c r="B695" s="4"/>
      <c r="C695" s="5"/>
      <c r="D695" s="346"/>
      <c r="E695" s="5"/>
      <c r="F695" s="5"/>
      <c r="L695" s="42"/>
    </row>
    <row r="696" spans="2:12" x14ac:dyDescent="0.25">
      <c r="B696" s="4"/>
      <c r="C696" s="5"/>
      <c r="D696" s="346"/>
      <c r="E696" s="5"/>
      <c r="F696" s="5"/>
      <c r="L696" s="42"/>
    </row>
    <row r="697" spans="2:12" x14ac:dyDescent="0.25">
      <c r="B697" s="4"/>
      <c r="C697" s="5"/>
      <c r="D697" s="346"/>
      <c r="E697" s="5"/>
      <c r="F697" s="5"/>
      <c r="L697" s="42"/>
    </row>
    <row r="698" spans="2:12" x14ac:dyDescent="0.25">
      <c r="B698" s="4"/>
      <c r="C698" s="5"/>
      <c r="D698" s="346"/>
      <c r="E698" s="5"/>
      <c r="F698" s="5"/>
      <c r="L698" s="42"/>
    </row>
    <row r="699" spans="2:12" x14ac:dyDescent="0.25">
      <c r="B699" s="4"/>
      <c r="C699" s="5"/>
      <c r="D699" s="346"/>
      <c r="E699" s="5"/>
      <c r="F699" s="5"/>
      <c r="L699" s="42"/>
    </row>
    <row r="700" spans="2:12" x14ac:dyDescent="0.25">
      <c r="B700" s="4"/>
      <c r="C700" s="5"/>
      <c r="D700" s="346"/>
      <c r="E700" s="5"/>
      <c r="F700" s="5"/>
      <c r="L700" s="42"/>
    </row>
    <row r="701" spans="2:12" x14ac:dyDescent="0.25">
      <c r="B701" s="4"/>
      <c r="C701" s="5"/>
      <c r="D701" s="346"/>
      <c r="E701" s="5"/>
      <c r="F701" s="5"/>
      <c r="L701" s="42"/>
    </row>
    <row r="702" spans="2:12" x14ac:dyDescent="0.25">
      <c r="B702" s="4"/>
      <c r="C702" s="5"/>
      <c r="D702" s="346"/>
      <c r="E702" s="5"/>
      <c r="F702" s="5"/>
      <c r="L702" s="42"/>
    </row>
    <row r="703" spans="2:12" x14ac:dyDescent="0.25">
      <c r="B703" s="4"/>
      <c r="C703" s="5"/>
      <c r="D703" s="346"/>
      <c r="E703" s="5"/>
      <c r="F703" s="5"/>
      <c r="L703" s="42"/>
    </row>
    <row r="704" spans="2:12" x14ac:dyDescent="0.25">
      <c r="B704" s="4"/>
      <c r="C704" s="5"/>
      <c r="D704" s="346"/>
      <c r="E704" s="5"/>
      <c r="F704" s="5"/>
      <c r="L704" s="42"/>
    </row>
    <row r="705" spans="2:12" x14ac:dyDescent="0.25">
      <c r="B705" s="4"/>
      <c r="C705" s="5"/>
      <c r="D705" s="346"/>
      <c r="E705" s="5"/>
      <c r="F705" s="5"/>
      <c r="L705" s="42"/>
    </row>
    <row r="706" spans="2:12" x14ac:dyDescent="0.25">
      <c r="B706" s="4"/>
      <c r="C706" s="5"/>
      <c r="D706" s="346"/>
      <c r="E706" s="5"/>
      <c r="F706" s="5"/>
      <c r="L706" s="42"/>
    </row>
    <row r="707" spans="2:12" x14ac:dyDescent="0.25">
      <c r="B707" s="4"/>
      <c r="C707" s="5"/>
      <c r="D707" s="346"/>
      <c r="E707" s="5"/>
      <c r="F707" s="5"/>
      <c r="L707" s="42"/>
    </row>
    <row r="708" spans="2:12" x14ac:dyDescent="0.25">
      <c r="B708" s="4"/>
      <c r="C708" s="5"/>
      <c r="D708" s="346"/>
      <c r="E708" s="5"/>
      <c r="F708" s="5"/>
      <c r="L708" s="42"/>
    </row>
    <row r="709" spans="2:12" x14ac:dyDescent="0.25">
      <c r="B709" s="4"/>
      <c r="C709" s="5"/>
      <c r="D709" s="346"/>
      <c r="E709" s="5"/>
      <c r="F709" s="5"/>
      <c r="L709" s="42"/>
    </row>
    <row r="710" spans="2:12" x14ac:dyDescent="0.25">
      <c r="B710" s="4"/>
      <c r="C710" s="5"/>
      <c r="D710" s="346"/>
      <c r="E710" s="5"/>
      <c r="F710" s="5"/>
      <c r="L710" s="42"/>
    </row>
    <row r="711" spans="2:12" x14ac:dyDescent="0.25">
      <c r="B711" s="4"/>
      <c r="C711" s="5"/>
      <c r="D711" s="346"/>
      <c r="E711" s="5"/>
      <c r="F711" s="5"/>
      <c r="L711" s="42"/>
    </row>
    <row r="712" spans="2:12" x14ac:dyDescent="0.25">
      <c r="B712" s="4"/>
      <c r="C712" s="5"/>
      <c r="D712" s="346"/>
      <c r="E712" s="5"/>
      <c r="F712" s="5"/>
      <c r="L712" s="42"/>
    </row>
    <row r="713" spans="2:12" x14ac:dyDescent="0.25">
      <c r="B713" s="4"/>
      <c r="C713" s="5"/>
      <c r="D713" s="346"/>
      <c r="E713" s="5"/>
      <c r="F713" s="5"/>
      <c r="L713" s="42"/>
    </row>
    <row r="714" spans="2:12" x14ac:dyDescent="0.25">
      <c r="B714" s="4"/>
      <c r="C714" s="5"/>
      <c r="D714" s="346"/>
      <c r="E714" s="5"/>
      <c r="F714" s="5"/>
      <c r="L714" s="42"/>
    </row>
    <row r="715" spans="2:12" x14ac:dyDescent="0.25">
      <c r="B715" s="4"/>
      <c r="C715" s="5"/>
      <c r="D715" s="346"/>
      <c r="E715" s="5"/>
      <c r="F715" s="5"/>
      <c r="L715" s="42"/>
    </row>
    <row r="716" spans="2:12" x14ac:dyDescent="0.25">
      <c r="B716" s="4"/>
      <c r="C716" s="5"/>
      <c r="D716" s="346"/>
      <c r="E716" s="5"/>
      <c r="F716" s="5"/>
      <c r="L716" s="42"/>
    </row>
    <row r="717" spans="2:12" x14ac:dyDescent="0.25">
      <c r="B717" s="4"/>
      <c r="C717" s="5"/>
      <c r="D717" s="346"/>
      <c r="E717" s="5"/>
      <c r="F717" s="5"/>
      <c r="L717" s="42"/>
    </row>
    <row r="718" spans="2:12" x14ac:dyDescent="0.25">
      <c r="B718" s="4"/>
      <c r="C718" s="5"/>
      <c r="D718" s="346"/>
      <c r="E718" s="5"/>
      <c r="F718" s="5"/>
      <c r="L718" s="42"/>
    </row>
    <row r="719" spans="2:12" x14ac:dyDescent="0.25">
      <c r="B719" s="4"/>
      <c r="C719" s="5"/>
      <c r="D719" s="346"/>
      <c r="E719" s="5"/>
      <c r="F719" s="5"/>
      <c r="L719" s="42"/>
    </row>
    <row r="720" spans="2:12" x14ac:dyDescent="0.25">
      <c r="B720" s="4"/>
      <c r="C720" s="5"/>
      <c r="D720" s="346"/>
      <c r="E720" s="5"/>
      <c r="F720" s="5"/>
      <c r="L720" s="42"/>
    </row>
    <row r="721" spans="2:12" x14ac:dyDescent="0.25">
      <c r="B721" s="4"/>
      <c r="C721" s="5"/>
      <c r="D721" s="346"/>
      <c r="E721" s="5"/>
      <c r="F721" s="5"/>
      <c r="L721" s="42"/>
    </row>
    <row r="722" spans="2:12" x14ac:dyDescent="0.25">
      <c r="B722" s="4"/>
      <c r="C722" s="5"/>
      <c r="D722" s="346"/>
      <c r="E722" s="5"/>
      <c r="F722" s="5"/>
      <c r="L722" s="42"/>
    </row>
    <row r="723" spans="2:12" x14ac:dyDescent="0.25">
      <c r="B723" s="4"/>
      <c r="C723" s="5"/>
      <c r="D723" s="346"/>
      <c r="E723" s="5"/>
      <c r="F723" s="5"/>
      <c r="L723" s="42"/>
    </row>
    <row r="724" spans="2:12" x14ac:dyDescent="0.25">
      <c r="B724" s="4"/>
      <c r="C724" s="5"/>
      <c r="D724" s="346"/>
      <c r="E724" s="5"/>
      <c r="F724" s="5"/>
      <c r="L724" s="42"/>
    </row>
    <row r="725" spans="2:12" x14ac:dyDescent="0.25">
      <c r="B725" s="4"/>
      <c r="C725" s="5"/>
      <c r="D725" s="346"/>
      <c r="E725" s="5"/>
      <c r="F725" s="5"/>
      <c r="L725" s="42"/>
    </row>
    <row r="726" spans="2:12" x14ac:dyDescent="0.25">
      <c r="B726" s="4"/>
      <c r="C726" s="5"/>
      <c r="D726" s="346"/>
      <c r="E726" s="5"/>
      <c r="F726" s="5"/>
      <c r="L726" s="42"/>
    </row>
    <row r="727" spans="2:12" x14ac:dyDescent="0.25">
      <c r="B727" s="4"/>
      <c r="C727" s="5"/>
      <c r="D727" s="346"/>
      <c r="E727" s="5"/>
      <c r="F727" s="5"/>
      <c r="L727" s="42"/>
    </row>
    <row r="728" spans="2:12" x14ac:dyDescent="0.25">
      <c r="B728" s="4"/>
      <c r="C728" s="5"/>
      <c r="D728" s="346"/>
      <c r="E728" s="5"/>
      <c r="F728" s="5"/>
      <c r="L728" s="42"/>
    </row>
    <row r="729" spans="2:12" x14ac:dyDescent="0.25">
      <c r="B729" s="4"/>
      <c r="C729" s="5"/>
      <c r="D729" s="346"/>
      <c r="E729" s="5"/>
      <c r="F729" s="5"/>
      <c r="L729" s="42"/>
    </row>
    <row r="730" spans="2:12" x14ac:dyDescent="0.25">
      <c r="B730" s="4"/>
      <c r="C730" s="5"/>
      <c r="D730" s="346"/>
      <c r="E730" s="5"/>
      <c r="F730" s="5"/>
      <c r="L730" s="42"/>
    </row>
    <row r="731" spans="2:12" x14ac:dyDescent="0.25">
      <c r="B731" s="4"/>
      <c r="C731" s="5"/>
      <c r="D731" s="346"/>
      <c r="E731" s="5"/>
      <c r="F731" s="5"/>
      <c r="L731" s="42"/>
    </row>
    <row r="732" spans="2:12" x14ac:dyDescent="0.25">
      <c r="B732" s="4"/>
      <c r="C732" s="5"/>
      <c r="D732" s="346"/>
      <c r="E732" s="5"/>
      <c r="F732" s="5"/>
      <c r="L732" s="42"/>
    </row>
    <row r="733" spans="2:12" x14ac:dyDescent="0.25">
      <c r="B733" s="4"/>
      <c r="C733" s="5"/>
      <c r="D733" s="346"/>
      <c r="E733" s="5"/>
      <c r="F733" s="5"/>
      <c r="L733" s="42"/>
    </row>
    <row r="734" spans="2:12" x14ac:dyDescent="0.25">
      <c r="B734" s="4"/>
      <c r="C734" s="5"/>
      <c r="D734" s="346"/>
      <c r="E734" s="5"/>
      <c r="F734" s="5"/>
      <c r="L734" s="42"/>
    </row>
    <row r="735" spans="2:12" x14ac:dyDescent="0.25">
      <c r="B735" s="4"/>
      <c r="C735" s="5"/>
      <c r="D735" s="346"/>
      <c r="E735" s="5"/>
      <c r="F735" s="5"/>
      <c r="L735" s="42"/>
    </row>
    <row r="736" spans="2:12" x14ac:dyDescent="0.25">
      <c r="B736" s="4"/>
      <c r="C736" s="5"/>
      <c r="D736" s="346"/>
      <c r="E736" s="5"/>
      <c r="F736" s="5"/>
      <c r="L736" s="42"/>
    </row>
    <row r="737" spans="2:12" x14ac:dyDescent="0.25">
      <c r="B737" s="4"/>
      <c r="C737" s="5"/>
      <c r="D737" s="346"/>
      <c r="E737" s="5"/>
      <c r="F737" s="5"/>
      <c r="L737" s="42"/>
    </row>
    <row r="738" spans="2:12" x14ac:dyDescent="0.25">
      <c r="B738" s="4"/>
      <c r="C738" s="5"/>
      <c r="D738" s="346"/>
      <c r="E738" s="5"/>
      <c r="F738" s="5"/>
      <c r="L738" s="42"/>
    </row>
    <row r="739" spans="2:12" x14ac:dyDescent="0.25">
      <c r="B739" s="4"/>
      <c r="C739" s="5"/>
      <c r="D739" s="346"/>
      <c r="E739" s="5"/>
      <c r="F739" s="5"/>
      <c r="L739" s="42"/>
    </row>
    <row r="740" spans="2:12" x14ac:dyDescent="0.25">
      <c r="B740" s="4"/>
      <c r="C740" s="5"/>
      <c r="D740" s="346"/>
      <c r="E740" s="5"/>
      <c r="F740" s="5"/>
      <c r="L740" s="42"/>
    </row>
    <row r="741" spans="2:12" x14ac:dyDescent="0.25">
      <c r="B741" s="4"/>
      <c r="C741" s="5"/>
      <c r="D741" s="346"/>
      <c r="E741" s="5"/>
      <c r="F741" s="5"/>
      <c r="L741" s="42"/>
    </row>
    <row r="742" spans="2:12" x14ac:dyDescent="0.25">
      <c r="B742" s="4"/>
      <c r="C742" s="5"/>
      <c r="D742" s="346"/>
      <c r="E742" s="5"/>
      <c r="F742" s="5"/>
      <c r="L742" s="42"/>
    </row>
    <row r="743" spans="2:12" x14ac:dyDescent="0.25">
      <c r="B743" s="4"/>
      <c r="C743" s="5"/>
      <c r="D743" s="346"/>
      <c r="E743" s="5"/>
      <c r="F743" s="5"/>
      <c r="L743" s="42"/>
    </row>
    <row r="744" spans="2:12" x14ac:dyDescent="0.25">
      <c r="B744" s="4"/>
      <c r="C744" s="5"/>
      <c r="D744" s="346"/>
      <c r="E744" s="5"/>
      <c r="F744" s="5"/>
      <c r="L744" s="42"/>
    </row>
    <row r="745" spans="2:12" x14ac:dyDescent="0.25">
      <c r="B745" s="4"/>
      <c r="C745" s="5"/>
      <c r="D745" s="346"/>
      <c r="E745" s="5"/>
      <c r="F745" s="5"/>
      <c r="L745" s="42"/>
    </row>
    <row r="746" spans="2:12" x14ac:dyDescent="0.25">
      <c r="B746" s="4"/>
      <c r="C746" s="5"/>
      <c r="D746" s="346"/>
      <c r="E746" s="5"/>
      <c r="F746" s="5"/>
      <c r="L746" s="42"/>
    </row>
    <row r="747" spans="2:12" x14ac:dyDescent="0.25">
      <c r="B747" s="4"/>
      <c r="C747" s="5"/>
      <c r="D747" s="346"/>
      <c r="E747" s="5"/>
      <c r="F747" s="5"/>
      <c r="L747" s="42"/>
    </row>
    <row r="748" spans="2:12" x14ac:dyDescent="0.25">
      <c r="B748" s="4"/>
      <c r="C748" s="5"/>
      <c r="D748" s="346"/>
      <c r="E748" s="5"/>
      <c r="F748" s="5"/>
      <c r="L748" s="42"/>
    </row>
    <row r="749" spans="2:12" x14ac:dyDescent="0.25">
      <c r="B749" s="4"/>
      <c r="C749" s="5"/>
      <c r="D749" s="346"/>
      <c r="E749" s="5"/>
      <c r="F749" s="5"/>
      <c r="L749" s="42"/>
    </row>
    <row r="750" spans="2:12" x14ac:dyDescent="0.25">
      <c r="B750" s="4"/>
      <c r="C750" s="5"/>
      <c r="D750" s="346"/>
      <c r="E750" s="5"/>
      <c r="F750" s="5"/>
      <c r="L750" s="42"/>
    </row>
    <row r="751" spans="2:12" x14ac:dyDescent="0.25">
      <c r="B751" s="4"/>
      <c r="C751" s="5"/>
      <c r="D751" s="346"/>
      <c r="E751" s="5"/>
      <c r="F751" s="5"/>
      <c r="L751" s="42"/>
    </row>
    <row r="752" spans="2:12" x14ac:dyDescent="0.25">
      <c r="B752" s="4"/>
      <c r="C752" s="5"/>
      <c r="D752" s="346"/>
      <c r="E752" s="5"/>
      <c r="F752" s="5"/>
      <c r="L752" s="42"/>
    </row>
    <row r="753" spans="2:12" x14ac:dyDescent="0.25">
      <c r="B753" s="4"/>
      <c r="C753" s="5"/>
      <c r="D753" s="346"/>
      <c r="E753" s="5"/>
      <c r="F753" s="5"/>
      <c r="L753" s="42"/>
    </row>
    <row r="754" spans="2:12" x14ac:dyDescent="0.25">
      <c r="B754" s="4"/>
      <c r="C754" s="5"/>
      <c r="D754" s="346"/>
      <c r="E754" s="5"/>
      <c r="F754" s="5"/>
      <c r="L754" s="42"/>
    </row>
    <row r="755" spans="2:12" x14ac:dyDescent="0.25">
      <c r="B755" s="4"/>
      <c r="C755" s="5"/>
      <c r="D755" s="346"/>
      <c r="E755" s="5"/>
      <c r="F755" s="5"/>
      <c r="L755" s="42"/>
    </row>
    <row r="756" spans="2:12" x14ac:dyDescent="0.25">
      <c r="B756" s="4"/>
      <c r="C756" s="5"/>
      <c r="D756" s="346"/>
      <c r="E756" s="5"/>
      <c r="F756" s="5"/>
      <c r="L756" s="42"/>
    </row>
    <row r="757" spans="2:12" x14ac:dyDescent="0.25">
      <c r="F757" s="5"/>
    </row>
    <row r="758" spans="2:12" x14ac:dyDescent="0.25">
      <c r="F758" s="5"/>
    </row>
    <row r="759" spans="2:12" x14ac:dyDescent="0.25">
      <c r="F759" s="5"/>
    </row>
    <row r="760" spans="2:12" x14ac:dyDescent="0.25">
      <c r="F760" s="5"/>
    </row>
    <row r="761" spans="2:12" x14ac:dyDescent="0.25">
      <c r="F761" s="5"/>
    </row>
    <row r="762" spans="2:12" x14ac:dyDescent="0.25">
      <c r="F762" s="5"/>
    </row>
    <row r="763" spans="2:12" x14ac:dyDescent="0.25">
      <c r="F763" s="5"/>
    </row>
    <row r="764" spans="2:12" x14ac:dyDescent="0.25">
      <c r="F764" s="5"/>
    </row>
    <row r="765" spans="2:12" x14ac:dyDescent="0.25">
      <c r="F765" s="5"/>
    </row>
    <row r="766" spans="2:12" x14ac:dyDescent="0.25">
      <c r="F766" s="5"/>
    </row>
    <row r="767" spans="2:12" x14ac:dyDescent="0.25">
      <c r="F767" s="5"/>
    </row>
    <row r="768" spans="2:12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</sheetData>
  <phoneticPr fontId="11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356" t="s">
        <v>38</v>
      </c>
      <c r="C1" s="356"/>
      <c r="D1" s="356"/>
      <c r="E1" s="356"/>
      <c r="F1" s="356"/>
      <c r="G1" s="356"/>
      <c r="H1" s="356"/>
      <c r="I1" s="356"/>
      <c r="J1" s="356"/>
      <c r="K1" s="356"/>
    </row>
    <row r="2" spans="1:11" x14ac:dyDescent="0.25">
      <c r="B2" s="356" t="s">
        <v>39</v>
      </c>
      <c r="C2" s="356"/>
      <c r="D2" s="356"/>
      <c r="E2" s="356"/>
      <c r="F2" s="356"/>
      <c r="G2" s="356"/>
      <c r="H2" s="356"/>
      <c r="I2" s="356"/>
      <c r="J2" s="356"/>
      <c r="K2" s="356"/>
    </row>
    <row r="3" spans="1:11" x14ac:dyDescent="0.25">
      <c r="B3" s="356" t="s">
        <v>40</v>
      </c>
      <c r="C3" s="356"/>
      <c r="D3" s="356"/>
      <c r="E3" s="356"/>
      <c r="F3" s="356"/>
      <c r="G3" s="356"/>
      <c r="H3" s="356"/>
      <c r="I3" s="356"/>
      <c r="J3" s="356"/>
      <c r="K3" s="356"/>
    </row>
    <row r="4" spans="1:11" x14ac:dyDescent="0.25">
      <c r="B4" s="356" t="s">
        <v>38</v>
      </c>
      <c r="C4" s="356"/>
      <c r="D4" s="356"/>
      <c r="E4" s="356"/>
      <c r="F4" s="356"/>
      <c r="G4" s="356"/>
      <c r="H4" s="356"/>
      <c r="I4" s="356"/>
      <c r="J4" s="356"/>
      <c r="K4" s="356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1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topLeftCell="I4" workbookViewId="0">
      <selection activeCell="J20" sqref="J20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</v>
      </c>
      <c r="C6">
        <v>3.5</v>
      </c>
      <c r="D6">
        <v>3</v>
      </c>
      <c r="E6">
        <v>10</v>
      </c>
      <c r="F6">
        <v>10</v>
      </c>
      <c r="I6" t="s">
        <v>90</v>
      </c>
      <c r="J6">
        <v>61.72</v>
      </c>
      <c r="K6">
        <v>4.33</v>
      </c>
      <c r="L6">
        <v>2.4700000000000002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3.3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62.4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3.3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2.5</v>
      </c>
      <c r="D9">
        <v>2.2999999999999998</v>
      </c>
      <c r="E9">
        <v>5</v>
      </c>
      <c r="F9">
        <v>10</v>
      </c>
      <c r="I9" t="s">
        <v>93</v>
      </c>
      <c r="J9">
        <v>62.62</v>
      </c>
      <c r="K9">
        <v>2.96</v>
      </c>
      <c r="L9">
        <v>2.52</v>
      </c>
      <c r="M9">
        <v>6.54</v>
      </c>
      <c r="N9">
        <v>10</v>
      </c>
    </row>
    <row r="10" spans="1:14" ht="13" thickBot="1" x14ac:dyDescent="0.3">
      <c r="A10" t="s">
        <v>66</v>
      </c>
      <c r="B10">
        <v>61.5</v>
      </c>
      <c r="C10">
        <v>5</v>
      </c>
      <c r="D10">
        <v>2.5</v>
      </c>
      <c r="E10">
        <v>10</v>
      </c>
      <c r="F10">
        <v>10</v>
      </c>
      <c r="I10" t="s">
        <v>94</v>
      </c>
      <c r="J10">
        <v>62.43</v>
      </c>
      <c r="K10">
        <v>3.52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60.5</v>
      </c>
      <c r="C11">
        <v>5.5</v>
      </c>
      <c r="D11">
        <v>2.5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60.94</v>
      </c>
      <c r="K14">
        <v>5.15</v>
      </c>
      <c r="L14">
        <v>2.75</v>
      </c>
      <c r="M14">
        <v>6.82</v>
      </c>
      <c r="N14">
        <v>40</v>
      </c>
    </row>
    <row r="15" spans="1:14" ht="13" thickBot="1" x14ac:dyDescent="0.3">
      <c r="A15" t="s">
        <v>73</v>
      </c>
      <c r="B15">
        <v>62.8</v>
      </c>
      <c r="C15">
        <v>3</v>
      </c>
      <c r="D15">
        <v>2.75</v>
      </c>
      <c r="E15">
        <v>10</v>
      </c>
      <c r="F15">
        <v>10</v>
      </c>
      <c r="I15" t="s">
        <v>99</v>
      </c>
      <c r="J15">
        <v>60.53</v>
      </c>
      <c r="K15">
        <v>5.83</v>
      </c>
      <c r="L15">
        <v>2.77</v>
      </c>
      <c r="M15">
        <v>7</v>
      </c>
      <c r="N15">
        <v>40</v>
      </c>
    </row>
    <row r="16" spans="1:14" ht="13" thickBot="1" x14ac:dyDescent="0.3">
      <c r="A16" t="s">
        <v>76</v>
      </c>
      <c r="B16">
        <v>61</v>
      </c>
      <c r="C16">
        <v>3.9</v>
      </c>
      <c r="D16">
        <v>3.6</v>
      </c>
      <c r="E16">
        <v>7</v>
      </c>
      <c r="F16">
        <v>40</v>
      </c>
      <c r="I16" t="s">
        <v>100</v>
      </c>
      <c r="J16">
        <v>61.75</v>
      </c>
      <c r="K16">
        <v>4.08</v>
      </c>
      <c r="L16">
        <v>2.57</v>
      </c>
      <c r="M16">
        <v>7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3.7</v>
      </c>
      <c r="D17">
        <v>2.5</v>
      </c>
      <c r="E17">
        <v>7</v>
      </c>
      <c r="F17">
        <v>40</v>
      </c>
      <c r="I17" t="s">
        <v>101</v>
      </c>
      <c r="J17">
        <v>62.07</v>
      </c>
      <c r="K17">
        <v>3.66</v>
      </c>
      <c r="L17">
        <v>2.6</v>
      </c>
      <c r="M17">
        <v>7</v>
      </c>
      <c r="N17">
        <v>40</v>
      </c>
    </row>
    <row r="18" spans="1:14" ht="13" thickBot="1" x14ac:dyDescent="0.3">
      <c r="A18" t="s">
        <v>78</v>
      </c>
      <c r="B18">
        <v>61.5</v>
      </c>
      <c r="C18">
        <v>3.8</v>
      </c>
      <c r="D18">
        <v>2.6</v>
      </c>
      <c r="E18">
        <v>7</v>
      </c>
      <c r="F18">
        <v>40</v>
      </c>
      <c r="I18" t="s">
        <v>102</v>
      </c>
      <c r="J18">
        <v>61.36</v>
      </c>
      <c r="K18">
        <v>4.2300000000000004</v>
      </c>
      <c r="L18">
        <v>2.64</v>
      </c>
      <c r="M18">
        <v>7</v>
      </c>
      <c r="N18">
        <v>40</v>
      </c>
    </row>
    <row r="19" spans="1:14" ht="13" thickBot="1" x14ac:dyDescent="0.3">
      <c r="A19" t="s">
        <v>77</v>
      </c>
      <c r="B19">
        <v>62.8</v>
      </c>
      <c r="C19">
        <v>2.8</v>
      </c>
      <c r="D19">
        <v>2.4</v>
      </c>
      <c r="E19">
        <v>7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60.8</v>
      </c>
      <c r="C20">
        <v>5.5</v>
      </c>
      <c r="D20">
        <v>2.7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59.6</v>
      </c>
      <c r="C21">
        <v>7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62.8</v>
      </c>
      <c r="C22">
        <v>2.7</v>
      </c>
      <c r="D22">
        <v>2.5</v>
      </c>
      <c r="E22">
        <v>5</v>
      </c>
      <c r="F22">
        <v>10</v>
      </c>
    </row>
    <row r="23" spans="1:14" x14ac:dyDescent="0.25">
      <c r="A23" t="s">
        <v>154</v>
      </c>
      <c r="B23">
        <v>62.5</v>
      </c>
      <c r="C23">
        <v>3</v>
      </c>
      <c r="D23">
        <v>2.6</v>
      </c>
      <c r="E23">
        <v>7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62.2</v>
      </c>
      <c r="C25">
        <v>3.25</v>
      </c>
      <c r="D25">
        <v>3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356" t="s">
        <v>87</v>
      </c>
      <c r="C14" s="356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356">
        <f>'Dir Quality Report'!$R$2</f>
        <v>44682</v>
      </c>
      <c r="C2" s="356"/>
      <c r="D2" s="356"/>
      <c r="E2" s="356"/>
      <c r="F2" s="356"/>
      <c r="R2" s="356">
        <f>'Dir Quality Report'!$R$2</f>
        <v>44682</v>
      </c>
      <c r="S2" s="356"/>
      <c r="T2" s="356"/>
      <c r="U2" s="356"/>
      <c r="V2" s="356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356" t="s">
        <v>108</v>
      </c>
      <c r="E6" s="356"/>
      <c r="F6" s="356"/>
      <c r="G6" t="s">
        <v>116</v>
      </c>
      <c r="H6">
        <f t="array" ref="H6:L6">Norm!J6:N6</f>
        <v>61.72</v>
      </c>
      <c r="I6">
        <v>4.33</v>
      </c>
      <c r="J6">
        <v>2.4700000000000002</v>
      </c>
      <c r="K6">
        <v>10</v>
      </c>
      <c r="L6">
        <v>10</v>
      </c>
      <c r="M6">
        <v>5.25</v>
      </c>
      <c r="N6">
        <v>1.0588235294117649</v>
      </c>
      <c r="T6" s="356" t="s">
        <v>108</v>
      </c>
      <c r="U6" s="356"/>
      <c r="V6" s="356"/>
      <c r="W6" t="s">
        <v>116</v>
      </c>
      <c r="X6">
        <f t="array" ref="X6:AB6">Norm!J9:N9</f>
        <v>62.62</v>
      </c>
      <c r="Y6">
        <v>2.96</v>
      </c>
      <c r="Z6">
        <v>2.52</v>
      </c>
      <c r="AA6">
        <v>6.54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356" t="s">
        <v>117</v>
      </c>
      <c r="E7" s="356"/>
      <c r="F7" s="356"/>
      <c r="G7" t="s">
        <v>116</v>
      </c>
      <c r="H7">
        <f>MonthlyAvg!E22</f>
        <v>62.261830985915495</v>
      </c>
      <c r="I7">
        <f>MonthlyAvg!F22</f>
        <v>4.4314084507042244</v>
      </c>
      <c r="J7">
        <f>MonthlyAvg!G22</f>
        <v>2.7695774647887319</v>
      </c>
      <c r="K7">
        <f>MonthlyAvg!H22</f>
        <v>13.314084507042256</v>
      </c>
      <c r="L7">
        <f>MonthlyAvg!I22</f>
        <v>27.053521126760572</v>
      </c>
      <c r="M7">
        <f>MonthlyAvg!J22</f>
        <v>7.2009859154929563</v>
      </c>
      <c r="N7">
        <f>MonthlyAvg!K22</f>
        <v>0.62498808123827987</v>
      </c>
      <c r="U7" t="s">
        <v>118</v>
      </c>
      <c r="W7" t="s">
        <v>116</v>
      </c>
      <c r="X7">
        <f>MonthlyAvg!E40</f>
        <v>62.527941176470556</v>
      </c>
      <c r="Y7">
        <f>MonthlyAvg!F40</f>
        <v>2.8132352941176468</v>
      </c>
      <c r="Z7">
        <f>MonthlyAvg!G40</f>
        <v>2.7544117647058819</v>
      </c>
      <c r="AA7">
        <f>MonthlyAvg!H40</f>
        <v>6.1764705882352944</v>
      </c>
      <c r="AB7">
        <f>MonthlyAvg!I40</f>
        <v>15.632352941176471</v>
      </c>
      <c r="AC7">
        <f>MonthlyAvg!J40</f>
        <v>5.5676470588235283</v>
      </c>
      <c r="AD7">
        <f>MonthlyAvg!K40</f>
        <v>0.97909043387349703</v>
      </c>
    </row>
    <row r="8" spans="2:32" ht="13" thickBot="1" x14ac:dyDescent="0.3">
      <c r="H8">
        <f>SUMPRODUCT($G$11:$G$18,H11:H18)/SUM($G$11:$G$18)</f>
        <v>62.261830985915473</v>
      </c>
      <c r="I8">
        <f>SUMPRODUCT($G$11:$G$18,I11:I18)/SUM($G$11:$G$18)</f>
        <v>4.4314084507042244</v>
      </c>
      <c r="J8">
        <f>SUMPRODUCT($G$11:$G$18,J11:J18)/SUM($G$11:$G$18)</f>
        <v>2.7695774647887323</v>
      </c>
      <c r="K8">
        <f>SUMPRODUCT($G$11:$G$18,K11:K18)/SUM($G$11:$G$18)</f>
        <v>13.314084507042251</v>
      </c>
      <c r="L8">
        <f>SUMPRODUCT($G$11:$G$18,L11:L18)/SUM($G$11:$G$18)</f>
        <v>27.053521126760561</v>
      </c>
      <c r="M8">
        <f>I8+J8</f>
        <v>7.2009859154929572</v>
      </c>
      <c r="N8">
        <f>J8/I8</f>
        <v>0.62498808123827998</v>
      </c>
    </row>
    <row r="9" spans="2:32" ht="34.5" customHeight="1" thickBot="1" x14ac:dyDescent="0.3">
      <c r="C9" t="s">
        <v>46</v>
      </c>
      <c r="D9" t="s">
        <v>119</v>
      </c>
      <c r="E9" s="356" t="s">
        <v>120</v>
      </c>
      <c r="F9" s="356"/>
      <c r="G9" t="s">
        <v>121</v>
      </c>
      <c r="H9" s="356" t="s">
        <v>122</v>
      </c>
      <c r="I9" s="356"/>
      <c r="J9" s="356"/>
      <c r="K9" s="356"/>
      <c r="L9" s="356"/>
      <c r="M9" s="356"/>
      <c r="N9" s="356"/>
      <c r="S9" t="s">
        <v>46</v>
      </c>
      <c r="T9" t="s">
        <v>119</v>
      </c>
      <c r="U9" s="356" t="s">
        <v>120</v>
      </c>
      <c r="V9" s="356"/>
      <c r="W9" t="s">
        <v>121</v>
      </c>
      <c r="X9" s="356" t="s">
        <v>122</v>
      </c>
      <c r="Y9" s="356"/>
      <c r="Z9" s="356"/>
      <c r="AA9" s="356"/>
      <c r="AB9" s="356"/>
      <c r="AC9" s="356"/>
      <c r="AD9" s="356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356" t="s">
        <v>3</v>
      </c>
      <c r="D11" t="s">
        <v>27</v>
      </c>
      <c r="E11" s="356" t="s">
        <v>116</v>
      </c>
      <c r="F11">
        <f>MonthlyAvg!L14</f>
        <v>23</v>
      </c>
      <c r="G11">
        <f>(F11/F19)*100</f>
        <v>32.394366197183103</v>
      </c>
      <c r="H11">
        <f>MonthlyAvg!E14</f>
        <v>62.399565217391299</v>
      </c>
      <c r="I11">
        <f>MonthlyAvg!F14</f>
        <v>4.3113043478260868</v>
      </c>
      <c r="J11">
        <f>MonthlyAvg!G14</f>
        <v>2.6991304347826088</v>
      </c>
      <c r="K11">
        <f>MonthlyAvg!H14</f>
        <v>13.052173913043477</v>
      </c>
      <c r="L11">
        <f>MonthlyAvg!I14</f>
        <v>28.326086956521745</v>
      </c>
      <c r="M11">
        <f>MonthlyAvg!J14</f>
        <v>7.0104347826086961</v>
      </c>
      <c r="N11">
        <f>MonthlyAvg!K14</f>
        <v>0.62605889471561116</v>
      </c>
      <c r="S11" s="356" t="s">
        <v>5</v>
      </c>
      <c r="T11" t="s">
        <v>27</v>
      </c>
      <c r="U11" s="356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356"/>
      <c r="D12" t="s">
        <v>2</v>
      </c>
      <c r="E12" s="356"/>
      <c r="F12">
        <f>MonthlyAvg!L15</f>
        <v>26</v>
      </c>
      <c r="G12">
        <f>(F12/F19)*100</f>
        <v>36.619718309859159</v>
      </c>
      <c r="H12">
        <f>MonthlyAvg!E15</f>
        <v>61.728846153846135</v>
      </c>
      <c r="I12">
        <f>MonthlyAvg!F15</f>
        <v>5.2434615384615375</v>
      </c>
      <c r="J12">
        <f>MonthlyAvg!G15</f>
        <v>2.7253846153846149</v>
      </c>
      <c r="K12">
        <f>MonthlyAvg!H15</f>
        <v>13.21153846153846</v>
      </c>
      <c r="L12">
        <f>MonthlyAvg!I15</f>
        <v>27.011538461538461</v>
      </c>
      <c r="M12">
        <f>MonthlyAvg!J15</f>
        <v>7.9688461538461528</v>
      </c>
      <c r="N12">
        <f>MonthlyAvg!K15</f>
        <v>0.51976820949167457</v>
      </c>
      <c r="S12" s="356"/>
      <c r="T12" t="s">
        <v>2</v>
      </c>
      <c r="U12" s="356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356"/>
      <c r="D13" t="s">
        <v>11</v>
      </c>
      <c r="E13" s="356"/>
      <c r="F13">
        <f>MonthlyAvg!L16</f>
        <v>17</v>
      </c>
      <c r="G13">
        <f>(F13/F19)*100</f>
        <v>23.943661971830984</v>
      </c>
      <c r="H13">
        <f>MonthlyAvg!E16</f>
        <v>62.687058823529405</v>
      </c>
      <c r="I13">
        <f>MonthlyAvg!F16</f>
        <v>3.7076470588235297</v>
      </c>
      <c r="J13">
        <f>MonthlyAvg!G16</f>
        <v>2.8841176470588237</v>
      </c>
      <c r="K13">
        <f>MonthlyAvg!H16</f>
        <v>14.841176470588234</v>
      </c>
      <c r="L13">
        <f>MonthlyAvg!I16</f>
        <v>27.147058823529409</v>
      </c>
      <c r="M13">
        <f>MonthlyAvg!J16</f>
        <v>6.591764705882353</v>
      </c>
      <c r="N13">
        <f>MonthlyAvg!K16</f>
        <v>0.77788354751705535</v>
      </c>
      <c r="S13" s="356"/>
      <c r="T13" t="s">
        <v>11</v>
      </c>
      <c r="U13" s="356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5.5676470588235292</v>
      </c>
    </row>
    <row r="14" spans="2:32" x14ac:dyDescent="0.25">
      <c r="C14" s="356"/>
      <c r="D14" t="s">
        <v>10</v>
      </c>
      <c r="E14" s="356"/>
      <c r="F14">
        <f>MonthlyAvg!L18</f>
        <v>0</v>
      </c>
      <c r="G14">
        <f>(F14/F19)*100</f>
        <v>0</v>
      </c>
      <c r="H14">
        <f>MonthlyAvg!E18</f>
        <v>0</v>
      </c>
      <c r="I14">
        <f>MonthlyAvg!F18</f>
        <v>0</v>
      </c>
      <c r="J14">
        <f>MonthlyAvg!G18</f>
        <v>0</v>
      </c>
      <c r="K14">
        <f>MonthlyAvg!H18</f>
        <v>0</v>
      </c>
      <c r="L14">
        <f>MonthlyAvg!I18</f>
        <v>0</v>
      </c>
      <c r="M14">
        <f>MonthlyAvg!J18</f>
        <v>0</v>
      </c>
      <c r="N14">
        <f>MonthlyAvg!K18</f>
        <v>0</v>
      </c>
      <c r="S14" s="356"/>
      <c r="T14" t="s">
        <v>222</v>
      </c>
      <c r="U14" s="356"/>
      <c r="V14">
        <f>MonthlyAvg!L36</f>
        <v>20</v>
      </c>
      <c r="W14">
        <f>(V14/V19)*100</f>
        <v>29.411764705882355</v>
      </c>
      <c r="X14">
        <f>MonthlyAvg!E36</f>
        <v>61.355000000000004</v>
      </c>
      <c r="Y14">
        <f>MonthlyAvg!F36</f>
        <v>3.4649999999999999</v>
      </c>
      <c r="Z14">
        <f>MonthlyAvg!G36</f>
        <v>3.7</v>
      </c>
      <c r="AA14">
        <f>MonthlyAvg!H36</f>
        <v>12.8</v>
      </c>
      <c r="AB14">
        <f>MonthlyAvg!I36</f>
        <v>16.7</v>
      </c>
      <c r="AC14">
        <f>MonthlyAvg!J36</f>
        <v>7.165</v>
      </c>
      <c r="AD14">
        <f>MonthlyAvg!K36</f>
        <v>1.067821067821068</v>
      </c>
    </row>
    <row r="15" spans="2:32" x14ac:dyDescent="0.25">
      <c r="C15" s="356"/>
      <c r="D15" t="s">
        <v>146</v>
      </c>
      <c r="E15" s="356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356"/>
      <c r="T15" t="s">
        <v>146</v>
      </c>
      <c r="U15" s="356"/>
      <c r="V15">
        <f>MonthlyAvg!L35</f>
        <v>14</v>
      </c>
      <c r="W15">
        <f>(V15/V19)*100</f>
        <v>20.588235294117645</v>
      </c>
      <c r="X15">
        <f>MonthlyAvg!E35</f>
        <v>62.6357142857143</v>
      </c>
      <c r="Y15">
        <f>MonthlyAvg!F35</f>
        <v>2.8500000000000005</v>
      </c>
      <c r="Z15">
        <f>MonthlyAvg!G35</f>
        <v>2.5785714285714287</v>
      </c>
      <c r="AA15">
        <f>MonthlyAvg!H35</f>
        <v>4.2857142857142856</v>
      </c>
      <c r="AB15">
        <f>MonthlyAvg!I35</f>
        <v>16.5</v>
      </c>
      <c r="AC15">
        <f>MonthlyAvg!J35</f>
        <v>5.4285714285714288</v>
      </c>
      <c r="AD15">
        <f>MonthlyAvg!K35</f>
        <v>0.90476190476190466</v>
      </c>
    </row>
    <row r="16" spans="2:32" x14ac:dyDescent="0.25">
      <c r="C16" s="356"/>
      <c r="D16" t="s">
        <v>106</v>
      </c>
      <c r="E16" s="356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356"/>
      <c r="T16" t="s">
        <v>106</v>
      </c>
      <c r="U16" s="356"/>
      <c r="V16">
        <f>MonthlyAvg!L37</f>
        <v>34</v>
      </c>
      <c r="W16">
        <f>(V16/V19)*100</f>
        <v>50</v>
      </c>
      <c r="X16">
        <f>MonthlyAvg!E37</f>
        <v>63.173529411764697</v>
      </c>
      <c r="Y16">
        <f>MonthlyAvg!F37</f>
        <v>2.414705882352941</v>
      </c>
      <c r="Z16">
        <f>MonthlyAvg!G37</f>
        <v>2.270588235294118</v>
      </c>
      <c r="AA16">
        <f>MonthlyAvg!H37</f>
        <v>3.0588235294117645</v>
      </c>
      <c r="AB16">
        <f>MonthlyAvg!I37</f>
        <v>14.647058823529411</v>
      </c>
      <c r="AC16">
        <f>MonthlyAvg!J37</f>
        <v>4.6852941176470591</v>
      </c>
      <c r="AD16">
        <f>MonthlyAvg!K37</f>
        <v>0.94031668696711346</v>
      </c>
    </row>
    <row r="17" spans="3:32" x14ac:dyDescent="0.25">
      <c r="C17" s="356"/>
      <c r="D17" t="s">
        <v>9</v>
      </c>
      <c r="E17" s="356"/>
      <c r="F17">
        <f>MonthlyAvg!L20</f>
        <v>3</v>
      </c>
      <c r="G17">
        <f>(F17/F19)*100</f>
        <v>4.225352112676056</v>
      </c>
      <c r="H17">
        <f>MonthlyAvg!E20</f>
        <v>62.523333333333333</v>
      </c>
      <c r="I17">
        <f>MonthlyAvg!F20</f>
        <v>3.4933333333333336</v>
      </c>
      <c r="J17">
        <f>MonthlyAvg!G20</f>
        <v>3.3766666666666669</v>
      </c>
      <c r="K17">
        <f>MonthlyAvg!H20</f>
        <v>11.666666666666666</v>
      </c>
      <c r="L17">
        <f>MonthlyAvg!I20</f>
        <v>28.466666666666669</v>
      </c>
      <c r="M17">
        <f>MonthlyAvg!J20</f>
        <v>6.870000000000001</v>
      </c>
      <c r="N17">
        <f>MonthlyAvg!K20</f>
        <v>0.96660305343511455</v>
      </c>
      <c r="S17" s="356"/>
      <c r="T17" t="s">
        <v>9</v>
      </c>
      <c r="U17" s="356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356"/>
      <c r="D18" t="s">
        <v>112</v>
      </c>
      <c r="E18" s="356"/>
      <c r="F18">
        <f>MonthlyAvg!L21</f>
        <v>2</v>
      </c>
      <c r="G18">
        <f>(F18/F19)*100</f>
        <v>2.8169014084507045</v>
      </c>
      <c r="H18">
        <f>MonthlyAvg!E21</f>
        <v>63.6</v>
      </c>
      <c r="I18">
        <f>MonthlyAvg!F21</f>
        <v>2.8149999999999999</v>
      </c>
      <c r="J18">
        <f>MonthlyAvg!G21</f>
        <v>2.27</v>
      </c>
      <c r="K18">
        <f>MonthlyAvg!H21</f>
        <v>7.1499999999999995</v>
      </c>
      <c r="L18">
        <f>MonthlyAvg!I21</f>
        <v>10.050000000000001</v>
      </c>
      <c r="M18">
        <f>MonthlyAvg!J21</f>
        <v>5.085</v>
      </c>
      <c r="N18">
        <f>MonthlyAvg!K21</f>
        <v>0.80639431616341029</v>
      </c>
      <c r="S18" s="356"/>
      <c r="T18" t="s">
        <v>112</v>
      </c>
      <c r="U18" s="356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356" t="s">
        <v>123</v>
      </c>
      <c r="D19" s="356"/>
      <c r="E19" s="356"/>
      <c r="F19">
        <f>MonthlyAvg!L22</f>
        <v>71</v>
      </c>
      <c r="G19">
        <f>SUM(G11:G18)</f>
        <v>100.00000000000001</v>
      </c>
      <c r="H19" s="356"/>
      <c r="I19" s="356"/>
      <c r="J19" s="356"/>
      <c r="K19" s="356"/>
      <c r="L19" s="356"/>
      <c r="M19" s="356"/>
      <c r="N19" s="356"/>
      <c r="S19" s="356" t="s">
        <v>123</v>
      </c>
      <c r="T19" s="356"/>
      <c r="U19" s="356"/>
      <c r="V19">
        <f>MonthlyAvg!L40</f>
        <v>68</v>
      </c>
      <c r="W19">
        <f>SUM(W11:W18)</f>
        <v>100</v>
      </c>
      <c r="X19" s="356"/>
      <c r="Y19" s="356"/>
      <c r="Z19" s="356"/>
      <c r="AA19" s="356"/>
      <c r="AB19" s="356"/>
      <c r="AC19" s="356"/>
      <c r="AD19" s="356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356" t="s">
        <v>108</v>
      </c>
      <c r="E23" s="356"/>
      <c r="F23" s="356"/>
      <c r="G23" t="s">
        <v>124</v>
      </c>
      <c r="H23">
        <f t="array" ref="H23:L23">Norm!J14:N14</f>
        <v>60.94</v>
      </c>
      <c r="I23">
        <v>5.15</v>
      </c>
      <c r="J23">
        <v>2.75</v>
      </c>
      <c r="K23">
        <v>6.82</v>
      </c>
      <c r="L23">
        <v>40</v>
      </c>
      <c r="M23">
        <v>6.1999999999999993</v>
      </c>
      <c r="N23">
        <v>0.87878787878787878</v>
      </c>
      <c r="T23" s="356" t="s">
        <v>108</v>
      </c>
      <c r="U23" s="356"/>
      <c r="V23" s="356"/>
      <c r="W23" t="s">
        <v>124</v>
      </c>
      <c r="X23">
        <f t="array" ref="X23:AB23">Norm!J17:N17</f>
        <v>62.07</v>
      </c>
      <c r="Y23">
        <v>3.66</v>
      </c>
      <c r="Z23">
        <v>2.6</v>
      </c>
      <c r="AA23">
        <v>7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356" t="s">
        <v>117</v>
      </c>
      <c r="E24" s="356"/>
      <c r="F24" s="356"/>
      <c r="G24" t="s">
        <v>124</v>
      </c>
      <c r="H24">
        <f>MonthlyAvg!E76</f>
        <v>61.690721649484544</v>
      </c>
      <c r="I24">
        <f>MonthlyAvg!F76</f>
        <v>5.190309278350516</v>
      </c>
      <c r="J24">
        <f>MonthlyAvg!G76</f>
        <v>2.9569072164948449</v>
      </c>
      <c r="K24">
        <f>MonthlyAvg!H76</f>
        <v>4.8000000000000007</v>
      </c>
      <c r="L24">
        <f>MonthlyAvg!I76</f>
        <v>40.169333333333313</v>
      </c>
      <c r="M24">
        <f>MonthlyAvg!J76</f>
        <v>8.1472164948453614</v>
      </c>
      <c r="N24">
        <f>MonthlyAvg!K76</f>
        <v>0.56969769197155662</v>
      </c>
      <c r="U24" t="s">
        <v>118</v>
      </c>
      <c r="W24" t="s">
        <v>124</v>
      </c>
      <c r="X24">
        <f>MonthlyAvg!E94</f>
        <v>61.820869565217414</v>
      </c>
      <c r="Y24">
        <f>MonthlyAvg!F94</f>
        <v>3.5547826086956524</v>
      </c>
      <c r="Z24">
        <f>MonthlyAvg!G94</f>
        <v>2.8573913043478263</v>
      </c>
      <c r="AA24">
        <f>MonthlyAvg!H94</f>
        <v>3.7543859649122808</v>
      </c>
      <c r="AB24">
        <f>MonthlyAvg!I94</f>
        <v>41.078947368421055</v>
      </c>
      <c r="AC24">
        <f>MonthlyAvg!J94</f>
        <v>6.4121739130434783</v>
      </c>
      <c r="AD24">
        <f>MonthlyAvg!K94</f>
        <v>0.80381604696673192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356" t="s">
        <v>120</v>
      </c>
      <c r="F26" s="356"/>
      <c r="G26" t="s">
        <v>121</v>
      </c>
      <c r="H26" s="356" t="s">
        <v>122</v>
      </c>
      <c r="I26" s="356"/>
      <c r="J26" s="356"/>
      <c r="K26" s="356"/>
      <c r="L26" s="356"/>
      <c r="M26" s="356"/>
      <c r="N26" s="356"/>
      <c r="S26" t="s">
        <v>46</v>
      </c>
      <c r="T26" t="s">
        <v>119</v>
      </c>
      <c r="U26" s="356" t="s">
        <v>120</v>
      </c>
      <c r="V26" s="356"/>
      <c r="W26" t="s">
        <v>121</v>
      </c>
      <c r="X26" s="356" t="s">
        <v>122</v>
      </c>
      <c r="Y26" s="356"/>
      <c r="Z26" s="356"/>
      <c r="AA26" s="356"/>
      <c r="AB26" s="356"/>
      <c r="AC26" s="356"/>
      <c r="AD26" s="356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356" t="s">
        <v>3</v>
      </c>
      <c r="D28" t="s">
        <v>27</v>
      </c>
      <c r="E28" s="356" t="s">
        <v>124</v>
      </c>
      <c r="F28">
        <f>MonthlyAvg!L68</f>
        <v>16</v>
      </c>
      <c r="G28">
        <f>(F28/F36)*100</f>
        <v>16.494845360824741</v>
      </c>
      <c r="H28">
        <f>MonthlyAvg!E68</f>
        <v>61.80187500000001</v>
      </c>
      <c r="I28">
        <f>MonthlyAvg!F68</f>
        <v>5.0418750000000001</v>
      </c>
      <c r="J28">
        <f>MonthlyAvg!G68</f>
        <v>2.9387500000000002</v>
      </c>
      <c r="K28">
        <f>MonthlyAvg!H68</f>
        <v>5.0874999999999995</v>
      </c>
      <c r="L28">
        <f>MonthlyAvg!I68</f>
        <v>38.612499999999997</v>
      </c>
      <c r="M28">
        <f>MonthlyAvg!J68</f>
        <v>7.9806249999999999</v>
      </c>
      <c r="N28">
        <f>MonthlyAvg!K68</f>
        <v>0.58286847650923523</v>
      </c>
      <c r="S28" s="356" t="s">
        <v>5</v>
      </c>
      <c r="T28" t="s">
        <v>27</v>
      </c>
      <c r="U28" s="356" t="s">
        <v>124</v>
      </c>
      <c r="V28">
        <f>MonthlyAvg!L86</f>
        <v>11</v>
      </c>
      <c r="W28">
        <f>(V28/V36)*100</f>
        <v>9.5652173913043477</v>
      </c>
      <c r="X28">
        <f>MonthlyAvg!E86</f>
        <v>60.445454545454531</v>
      </c>
      <c r="Y28">
        <f>MonthlyAvg!F86</f>
        <v>5.2999999999999989</v>
      </c>
      <c r="Z28">
        <f>MonthlyAvg!G86</f>
        <v>3.0909090909090908</v>
      </c>
      <c r="AA28">
        <f>MonthlyAvg!H86</f>
        <v>7.3636363636363633</v>
      </c>
      <c r="AB28">
        <f>MonthlyAvg!I86</f>
        <v>44.545454545454547</v>
      </c>
      <c r="AC28">
        <f>MonthlyAvg!J86</f>
        <v>8.3909090909090907</v>
      </c>
      <c r="AD28">
        <f>MonthlyAvg!K86</f>
        <v>0.58319039451114929</v>
      </c>
    </row>
    <row r="29" spans="3:32" x14ac:dyDescent="0.25">
      <c r="C29" s="356"/>
      <c r="D29" t="s">
        <v>2</v>
      </c>
      <c r="E29" s="356"/>
      <c r="F29">
        <f>MonthlyAvg!L69</f>
        <v>25</v>
      </c>
      <c r="G29">
        <f>(F29/F36)*100</f>
        <v>25.773195876288657</v>
      </c>
      <c r="H29">
        <f>MonthlyAvg!E69</f>
        <v>61.181200000000011</v>
      </c>
      <c r="I29">
        <f>MonthlyAvg!F69</f>
        <v>5.9724000000000004</v>
      </c>
      <c r="J29">
        <f>MonthlyAvg!G69</f>
        <v>2.9643999999999995</v>
      </c>
      <c r="K29">
        <f>MonthlyAvg!H69</f>
        <v>5.2549999999999999</v>
      </c>
      <c r="L29">
        <f>MonthlyAvg!I69</f>
        <v>42.910000000000004</v>
      </c>
      <c r="M29">
        <f>MonthlyAvg!J69</f>
        <v>8.9367999999999999</v>
      </c>
      <c r="N29">
        <f>MonthlyAvg!K69</f>
        <v>0.49634987609671144</v>
      </c>
      <c r="S29" s="356"/>
      <c r="T29" t="s">
        <v>2</v>
      </c>
      <c r="U29" s="356"/>
      <c r="V29">
        <f>MonthlyAvg!L87</f>
        <v>17</v>
      </c>
      <c r="W29">
        <f>(V29/V36)*100</f>
        <v>14.782608695652174</v>
      </c>
      <c r="X29">
        <f>MonthlyAvg!E87</f>
        <v>60.141176470588242</v>
      </c>
      <c r="Y29">
        <f>MonthlyAvg!F87</f>
        <v>5.4294117647058826</v>
      </c>
      <c r="Z29">
        <f>MonthlyAvg!G87</f>
        <v>3.3647058823529412</v>
      </c>
      <c r="AA29">
        <f>MonthlyAvg!H87</f>
        <v>3.75</v>
      </c>
      <c r="AB29">
        <f>MonthlyAvg!I87</f>
        <v>43.1875</v>
      </c>
      <c r="AC29">
        <f>MonthlyAvg!J87</f>
        <v>8.7941176470588243</v>
      </c>
      <c r="AD29">
        <f>MonthlyAvg!K87</f>
        <v>0.61971830985915488</v>
      </c>
    </row>
    <row r="30" spans="3:32" x14ac:dyDescent="0.25">
      <c r="C30" s="356"/>
      <c r="D30" t="s">
        <v>11</v>
      </c>
      <c r="E30" s="356"/>
      <c r="F30">
        <f>MonthlyAvg!L70</f>
        <v>40</v>
      </c>
      <c r="G30">
        <f>(F30/F36)*100</f>
        <v>41.237113402061851</v>
      </c>
      <c r="H30">
        <f>MonthlyAvg!E70</f>
        <v>61.983500000000028</v>
      </c>
      <c r="I30">
        <f>MonthlyAvg!F70</f>
        <v>4.8312499999999989</v>
      </c>
      <c r="J30">
        <f>MonthlyAvg!G70</f>
        <v>2.8647499999999999</v>
      </c>
      <c r="K30">
        <f>MonthlyAvg!H70</f>
        <v>4.9137931034482758</v>
      </c>
      <c r="L30">
        <f>MonthlyAvg!I70</f>
        <v>39.096551724137932</v>
      </c>
      <c r="M30">
        <f>MonthlyAvg!J70</f>
        <v>7.6959999999999988</v>
      </c>
      <c r="N30">
        <f>MonthlyAvg!K70</f>
        <v>0.59296248382923689</v>
      </c>
      <c r="P30">
        <f>SUMPRODUCT(G28:G35,M28:M35)/SUM(G28:G35)</f>
        <v>8.1472164948453614</v>
      </c>
      <c r="S30" s="356"/>
      <c r="T30" t="s">
        <v>11</v>
      </c>
      <c r="U30" s="356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6.5500000000000007</v>
      </c>
    </row>
    <row r="31" spans="3:32" x14ac:dyDescent="0.25">
      <c r="C31" s="356"/>
      <c r="D31" t="s">
        <v>10</v>
      </c>
      <c r="E31" s="356"/>
      <c r="F31">
        <f>MonthlyAvg!L72</f>
        <v>0</v>
      </c>
      <c r="G31">
        <f>(F31/F36)*100</f>
        <v>0</v>
      </c>
      <c r="H31">
        <f>MonthlyAvg!E72</f>
        <v>0</v>
      </c>
      <c r="I31">
        <f>MonthlyAvg!F72</f>
        <v>0</v>
      </c>
      <c r="J31">
        <f>MonthlyAvg!G72</f>
        <v>0</v>
      </c>
      <c r="K31">
        <f>MonthlyAvg!H72</f>
        <v>0</v>
      </c>
      <c r="L31">
        <f>MonthlyAvg!I72</f>
        <v>0</v>
      </c>
      <c r="M31">
        <f>MonthlyAvg!J72</f>
        <v>0</v>
      </c>
      <c r="N31">
        <f>MonthlyAvg!K72</f>
        <v>0</v>
      </c>
      <c r="S31" s="356"/>
      <c r="T31" t="s">
        <v>222</v>
      </c>
      <c r="U31" s="356"/>
      <c r="V31">
        <f>MonthlyAvg!L90</f>
        <v>14</v>
      </c>
      <c r="W31">
        <f>(V31/V36)*100</f>
        <v>12.173913043478262</v>
      </c>
      <c r="X31">
        <f>MonthlyAvg!E90</f>
        <v>60.26428571428572</v>
      </c>
      <c r="Y31">
        <f>MonthlyAvg!F90</f>
        <v>4.4214285714285708</v>
      </c>
      <c r="Z31">
        <f>MonthlyAvg!G90</f>
        <v>4.1785714285714288</v>
      </c>
      <c r="AA31">
        <f>MonthlyAvg!H90</f>
        <v>3.2142857142857144</v>
      </c>
      <c r="AB31">
        <f>MonthlyAvg!I90</f>
        <v>43.142857142857146</v>
      </c>
      <c r="AC31">
        <f>MonthlyAvg!J90</f>
        <v>8.6</v>
      </c>
      <c r="AD31">
        <f>MonthlyAvg!K90</f>
        <v>0.94507269789983861</v>
      </c>
    </row>
    <row r="32" spans="3:32" x14ac:dyDescent="0.25">
      <c r="C32" s="356"/>
      <c r="D32" t="s">
        <v>146</v>
      </c>
      <c r="E32" s="356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356"/>
      <c r="T32" t="s">
        <v>146</v>
      </c>
      <c r="U32" s="356"/>
      <c r="V32">
        <f>MonthlyAvg!L89</f>
        <v>21</v>
      </c>
      <c r="X32">
        <f>MonthlyAvg!E89</f>
        <v>62.247619047619047</v>
      </c>
      <c r="Y32">
        <f>MonthlyAvg!F89</f>
        <v>3.0142857142857147</v>
      </c>
      <c r="Z32">
        <f>MonthlyAvg!G89</f>
        <v>2.7809523809523813</v>
      </c>
      <c r="AA32">
        <f>MonthlyAvg!H89</f>
        <v>3.3333333333333335</v>
      </c>
      <c r="AB32">
        <f>MonthlyAvg!I89</f>
        <v>41.523809523809526</v>
      </c>
      <c r="AC32">
        <f>MonthlyAvg!J89</f>
        <v>5.795238095238096</v>
      </c>
      <c r="AD32">
        <f>MonthlyAvg!K89</f>
        <v>0.92259083728278035</v>
      </c>
    </row>
    <row r="33" spans="2:30" x14ac:dyDescent="0.25">
      <c r="C33" s="356"/>
      <c r="D33" t="s">
        <v>106</v>
      </c>
      <c r="E33" s="356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356"/>
      <c r="T33" t="s">
        <v>106</v>
      </c>
      <c r="U33" s="356"/>
      <c r="V33">
        <f>MonthlyAvg!L91</f>
        <v>52</v>
      </c>
      <c r="W33">
        <f>(V33/V36)*100</f>
        <v>45.217391304347828</v>
      </c>
      <c r="X33">
        <f>MonthlyAvg!E91</f>
        <v>62.907692307692351</v>
      </c>
      <c r="Y33">
        <f>MonthlyAvg!F91</f>
        <v>2.5576923076923075</v>
      </c>
      <c r="Z33">
        <f>MonthlyAvg!G91</f>
        <v>2.3173076923076925</v>
      </c>
      <c r="AA33">
        <f>MonthlyAvg!H91</f>
        <v>3.3076923076923075</v>
      </c>
      <c r="AB33">
        <f>MonthlyAvg!I91</f>
        <v>38.96153846153846</v>
      </c>
      <c r="AC33">
        <f>MonthlyAvg!J91</f>
        <v>4.875</v>
      </c>
      <c r="AD33">
        <f>MonthlyAvg!K91</f>
        <v>0.90601503759398516</v>
      </c>
    </row>
    <row r="34" spans="2:30" x14ac:dyDescent="0.25">
      <c r="C34" s="356"/>
      <c r="D34" t="s">
        <v>9</v>
      </c>
      <c r="E34" s="356"/>
      <c r="F34">
        <f>MonthlyAvg!L74</f>
        <v>16</v>
      </c>
      <c r="G34">
        <f>(F34/F36)*100</f>
        <v>16.494845360824741</v>
      </c>
      <c r="H34">
        <f>MonthlyAvg!E74</f>
        <v>61.643750000000004</v>
      </c>
      <c r="I34">
        <f>MonthlyAvg!F74</f>
        <v>5.0143750000000002</v>
      </c>
      <c r="J34">
        <f>MonthlyAvg!G74</f>
        <v>3.1937500000000005</v>
      </c>
      <c r="K34">
        <f>MonthlyAvg!H74</f>
        <v>3.1</v>
      </c>
      <c r="L34">
        <f>MonthlyAvg!I74</f>
        <v>40.289999999999992</v>
      </c>
      <c r="M34">
        <f>MonthlyAvg!J74</f>
        <v>8.2081250000000008</v>
      </c>
      <c r="N34">
        <f>MonthlyAvg!K74</f>
        <v>0.63691885828243811</v>
      </c>
      <c r="S34" s="356"/>
      <c r="T34" t="s">
        <v>9</v>
      </c>
      <c r="U34" s="356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356"/>
      <c r="D35" t="s">
        <v>112</v>
      </c>
      <c r="E35" s="356"/>
      <c r="F35">
        <f>MonthlyAvg!L75</f>
        <v>0</v>
      </c>
      <c r="G35">
        <f>(F35/F36)*100</f>
        <v>0</v>
      </c>
      <c r="H35">
        <f>MonthlyAvg!E75</f>
        <v>0</v>
      </c>
      <c r="I35">
        <f>MonthlyAvg!F75</f>
        <v>0</v>
      </c>
      <c r="J35">
        <f>MonthlyAvg!G75</f>
        <v>0</v>
      </c>
      <c r="K35">
        <f>MonthlyAvg!H75</f>
        <v>0</v>
      </c>
      <c r="L35">
        <f>MonthlyAvg!I75</f>
        <v>0</v>
      </c>
      <c r="M35">
        <f>MonthlyAvg!J75</f>
        <v>0</v>
      </c>
      <c r="N35">
        <f>MonthlyAvg!K75</f>
        <v>0</v>
      </c>
      <c r="S35" s="356"/>
      <c r="T35" t="s">
        <v>112</v>
      </c>
      <c r="U35" s="356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356" t="s">
        <v>123</v>
      </c>
      <c r="D36" s="356"/>
      <c r="E36" s="356"/>
      <c r="F36">
        <f>MonthlyAvg!L76</f>
        <v>97</v>
      </c>
      <c r="G36">
        <f>SUM(G28:G35)</f>
        <v>99.999999999999986</v>
      </c>
      <c r="H36" s="356"/>
      <c r="I36" s="356"/>
      <c r="J36" s="356"/>
      <c r="K36" s="356"/>
      <c r="L36" s="356"/>
      <c r="M36" s="356"/>
      <c r="N36" s="356"/>
      <c r="S36" s="356" t="s">
        <v>123</v>
      </c>
      <c r="T36" s="356"/>
      <c r="U36" s="356"/>
      <c r="V36">
        <f>MonthlyAvg!L94</f>
        <v>115</v>
      </c>
      <c r="W36">
        <f>SUM(W28:W35)</f>
        <v>81.739130434782609</v>
      </c>
      <c r="X36" s="356"/>
      <c r="Y36" s="356"/>
      <c r="Z36" s="356"/>
      <c r="AA36" s="356"/>
      <c r="AB36" s="356"/>
      <c r="AC36" s="356"/>
      <c r="AD36" s="356"/>
    </row>
    <row r="37" spans="2:30" ht="13" thickBot="1" x14ac:dyDescent="0.3"/>
    <row r="39" spans="2:30" ht="13" thickBot="1" x14ac:dyDescent="0.3"/>
    <row r="40" spans="2:30" ht="13" thickBot="1" x14ac:dyDescent="0.3">
      <c r="B40" s="356">
        <f>'Dir Quality Report'!$R$2</f>
        <v>44682</v>
      </c>
      <c r="C40" s="356"/>
      <c r="D40" s="356"/>
      <c r="E40" s="356"/>
      <c r="F40" s="356"/>
      <c r="R40" s="356">
        <f>'Dir Quality Report'!$R$2</f>
        <v>44682</v>
      </c>
      <c r="S40" s="356"/>
      <c r="T40" s="356"/>
      <c r="U40" s="356"/>
      <c r="V40" s="356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356" t="s">
        <v>108</v>
      </c>
      <c r="E43" s="356"/>
      <c r="F43" s="356"/>
      <c r="G43" t="s">
        <v>116</v>
      </c>
      <c r="H43">
        <f t="array" ref="H43:L43">Norm!J8:N8</f>
        <v>62.5</v>
      </c>
      <c r="I43">
        <v>3.3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356" t="s">
        <v>108</v>
      </c>
      <c r="V43" s="356"/>
      <c r="W43" t="s">
        <v>116</v>
      </c>
      <c r="X43">
        <f t="array" ref="X43:AB43">Norm!J10:N10</f>
        <v>62.43</v>
      </c>
      <c r="Y43">
        <v>3.52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356" t="s">
        <v>125</v>
      </c>
      <c r="E44" s="356"/>
      <c r="F44" s="356"/>
      <c r="G44" t="s">
        <v>116</v>
      </c>
      <c r="H44">
        <f>MonthlyAvg!E31</f>
        <v>61.852307692307704</v>
      </c>
      <c r="I44">
        <f>MonthlyAvg!F31</f>
        <v>3.3553846153846156</v>
      </c>
      <c r="J44">
        <f>MonthlyAvg!G31</f>
        <v>2.3846153846153846</v>
      </c>
      <c r="K44">
        <f>MonthlyAvg!H31</f>
        <v>20.046153846153842</v>
      </c>
      <c r="L44">
        <f>MonthlyAvg!I31</f>
        <v>15.950769230769234</v>
      </c>
      <c r="M44">
        <f>MonthlyAvg!J31</f>
        <v>5.74</v>
      </c>
      <c r="N44">
        <f>MonthlyAvg!K31</f>
        <v>0.71068317285648774</v>
      </c>
      <c r="U44" s="356" t="s">
        <v>126</v>
      </c>
      <c r="V44" s="356"/>
      <c r="W44" t="s">
        <v>116</v>
      </c>
      <c r="X44">
        <f>MonthlyAvg!E49</f>
        <v>63.692978723404238</v>
      </c>
      <c r="Y44">
        <f>MonthlyAvg!F49</f>
        <v>3.0102127659574474</v>
      </c>
      <c r="Z44">
        <f>MonthlyAvg!G49</f>
        <v>1.3674468085106382</v>
      </c>
      <c r="AA44">
        <f>MonthlyAvg!H49</f>
        <v>2.9962961486672124</v>
      </c>
      <c r="AB44">
        <f>MonthlyAvg!I49</f>
        <v>14.345646379642456</v>
      </c>
      <c r="AC44">
        <f>MonthlyAvg!J49</f>
        <v>4.3776595744680851</v>
      </c>
      <c r="AD44">
        <f>MonthlyAvg!K49</f>
        <v>0.4542691546508339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356" t="s">
        <v>120</v>
      </c>
      <c r="F46" s="356"/>
      <c r="G46" t="s">
        <v>121</v>
      </c>
      <c r="H46" s="356" t="s">
        <v>122</v>
      </c>
      <c r="I46" s="356"/>
      <c r="J46" s="356"/>
      <c r="K46" s="356"/>
      <c r="L46" s="356"/>
      <c r="M46" s="356"/>
      <c r="N46" s="356"/>
      <c r="S46" t="s">
        <v>46</v>
      </c>
      <c r="T46" t="s">
        <v>119</v>
      </c>
      <c r="U46" s="356" t="s">
        <v>120</v>
      </c>
      <c r="V46" s="356"/>
      <c r="W46" t="s">
        <v>121</v>
      </c>
      <c r="X46" s="356" t="s">
        <v>122</v>
      </c>
      <c r="Y46" s="356"/>
      <c r="Z46" s="356"/>
      <c r="AA46" s="356"/>
      <c r="AB46" s="356"/>
      <c r="AC46" s="356"/>
      <c r="AD46" s="356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356" t="s">
        <v>4</v>
      </c>
      <c r="D48" t="s">
        <v>27</v>
      </c>
      <c r="E48" s="356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356" t="s">
        <v>30</v>
      </c>
      <c r="T48" t="s">
        <v>27</v>
      </c>
      <c r="U48" s="356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356"/>
      <c r="D49" t="s">
        <v>2</v>
      </c>
      <c r="E49" s="356"/>
      <c r="F49">
        <f>MonthlyAvg!L24</f>
        <v>0</v>
      </c>
      <c r="G49">
        <f t="shared" ref="G49:G55" si="0">(F49/$F$56)*100</f>
        <v>0</v>
      </c>
      <c r="H49">
        <f>MonthlyAvg!E24</f>
        <v>0</v>
      </c>
      <c r="I49">
        <f>MonthlyAvg!F24</f>
        <v>0</v>
      </c>
      <c r="J49">
        <f>MonthlyAvg!G24</f>
        <v>0</v>
      </c>
      <c r="K49">
        <f>MonthlyAvg!H24</f>
        <v>0</v>
      </c>
      <c r="L49">
        <f>MonthlyAvg!I24</f>
        <v>0</v>
      </c>
      <c r="M49">
        <f>MonthlyAvg!J24</f>
        <v>0</v>
      </c>
      <c r="N49">
        <f>MonthlyAvg!K24</f>
        <v>0</v>
      </c>
      <c r="S49" s="356"/>
      <c r="T49" t="s">
        <v>2</v>
      </c>
      <c r="U49" s="356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356"/>
      <c r="D50" t="s">
        <v>11</v>
      </c>
      <c r="E50" s="356"/>
      <c r="F50">
        <f>MonthlyAvg!L25</f>
        <v>63</v>
      </c>
      <c r="G50">
        <f t="shared" si="0"/>
        <v>96.92307692307692</v>
      </c>
      <c r="H50">
        <f>MonthlyAvg!E25</f>
        <v>61.819047619047623</v>
      </c>
      <c r="I50">
        <f>MonthlyAvg!F25</f>
        <v>3.3952380952380952</v>
      </c>
      <c r="J50">
        <f>MonthlyAvg!G25</f>
        <v>2.3904761904761904</v>
      </c>
      <c r="K50">
        <f>MonthlyAvg!H25</f>
        <v>20.25238095238095</v>
      </c>
      <c r="L50">
        <f>MonthlyAvg!I25</f>
        <v>16.111111111111114</v>
      </c>
      <c r="M50">
        <f>MonthlyAvg!J25</f>
        <v>5.7857142857142856</v>
      </c>
      <c r="N50">
        <f>MonthlyAvg!K25</f>
        <v>0.70406732117812065</v>
      </c>
      <c r="P50">
        <f>SUMPRODUCT(G48:G55,M48:M55)/SUM(G48:G55)</f>
        <v>5.74</v>
      </c>
      <c r="S50" s="356"/>
      <c r="T50" t="s">
        <v>11</v>
      </c>
      <c r="U50" s="356"/>
      <c r="V50">
        <f>MonthlyAvg!L43</f>
        <v>8</v>
      </c>
      <c r="W50">
        <f>(V50/V56)*100</f>
        <v>17.021276595744681</v>
      </c>
      <c r="X50">
        <f>MonthlyAvg!E43</f>
        <v>64.171250000000001</v>
      </c>
      <c r="Y50">
        <f>MonthlyAvg!F43</f>
        <v>2.38375</v>
      </c>
      <c r="Z50">
        <f>MonthlyAvg!G43</f>
        <v>1.3149999999999999</v>
      </c>
      <c r="AA50">
        <f>MonthlyAvg!H43</f>
        <v>3.3741674366674368</v>
      </c>
      <c r="AB50">
        <f>MonthlyAvg!I43</f>
        <v>11.723541012026619</v>
      </c>
      <c r="AC50">
        <f>MonthlyAvg!J43</f>
        <v>3.69875</v>
      </c>
      <c r="AD50">
        <f>MonthlyAvg!K43</f>
        <v>0.55165180912427891</v>
      </c>
      <c r="AF50">
        <f>SUMPRODUCT(W48:W55,AC48:AC55)/SUM(W48:W55)</f>
        <v>4.377659574468086</v>
      </c>
    </row>
    <row r="51" spans="3:32" x14ac:dyDescent="0.25">
      <c r="C51" s="356"/>
      <c r="D51" t="s">
        <v>10</v>
      </c>
      <c r="E51" s="356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356"/>
      <c r="T51" t="s">
        <v>10</v>
      </c>
      <c r="U51" s="356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356"/>
      <c r="D52" t="s">
        <v>146</v>
      </c>
      <c r="E52" s="356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356"/>
      <c r="T52" t="s">
        <v>146</v>
      </c>
      <c r="U52" s="356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356"/>
      <c r="D53" t="s">
        <v>106</v>
      </c>
      <c r="E53" s="356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356"/>
      <c r="T53" t="s">
        <v>106</v>
      </c>
      <c r="U53" s="356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356"/>
      <c r="D54" t="s">
        <v>9</v>
      </c>
      <c r="E54" s="356"/>
      <c r="F54">
        <f>MonthlyAvg!L29</f>
        <v>2</v>
      </c>
      <c r="G54">
        <f t="shared" si="0"/>
        <v>3.0769230769230771</v>
      </c>
      <c r="H54">
        <f>MonthlyAvg!E29</f>
        <v>62.9</v>
      </c>
      <c r="I54">
        <f>MonthlyAvg!F29</f>
        <v>2.1</v>
      </c>
      <c r="J54">
        <f>MonthlyAvg!G29</f>
        <v>2.2000000000000002</v>
      </c>
      <c r="K54">
        <f>MonthlyAvg!H29</f>
        <v>13.55</v>
      </c>
      <c r="L54">
        <f>MonthlyAvg!I29</f>
        <v>10.899999999999999</v>
      </c>
      <c r="M54">
        <f>MonthlyAvg!J29</f>
        <v>4.3000000000000007</v>
      </c>
      <c r="N54">
        <f>MonthlyAvg!K29</f>
        <v>1.0476190476190477</v>
      </c>
      <c r="S54" s="356"/>
      <c r="T54" t="s">
        <v>9</v>
      </c>
      <c r="U54" s="356"/>
      <c r="V54">
        <f>MonthlyAvg!L47</f>
        <v>39</v>
      </c>
      <c r="W54">
        <f>(V54/V56)*100</f>
        <v>82.978723404255319</v>
      </c>
      <c r="X54">
        <f>MonthlyAvg!E47</f>
        <v>63.594871794871793</v>
      </c>
      <c r="Y54">
        <f>MonthlyAvg!F47</f>
        <v>3.1387179487179488</v>
      </c>
      <c r="Z54">
        <f>MonthlyAvg!G47</f>
        <v>1.3782051282051284</v>
      </c>
      <c r="AA54">
        <f>MonthlyAvg!H47</f>
        <v>2.9187840895902437</v>
      </c>
      <c r="AB54">
        <f>MonthlyAvg!I47</f>
        <v>14.883514147358527</v>
      </c>
      <c r="AC54">
        <f>MonthlyAvg!J47</f>
        <v>4.516923076923077</v>
      </c>
      <c r="AD54">
        <f>MonthlyAvg!K47</f>
        <v>0.43909811289927297</v>
      </c>
    </row>
    <row r="55" spans="3:32" x14ac:dyDescent="0.25">
      <c r="C55" s="356"/>
      <c r="D55" t="s">
        <v>112</v>
      </c>
      <c r="E55" s="356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356"/>
      <c r="T55" t="s">
        <v>112</v>
      </c>
      <c r="U55" s="356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356" t="s">
        <v>123</v>
      </c>
      <c r="D56" s="356"/>
      <c r="E56" s="356"/>
      <c r="F56">
        <f>MonthlyAvg!L31</f>
        <v>65</v>
      </c>
      <c r="G56">
        <f>SUM(G48:G55)</f>
        <v>100</v>
      </c>
      <c r="H56" s="356"/>
      <c r="I56" s="356"/>
      <c r="J56" s="356"/>
      <c r="K56" s="356"/>
      <c r="L56" s="356"/>
      <c r="M56" s="356"/>
      <c r="N56" s="356"/>
      <c r="S56" s="356" t="s">
        <v>123</v>
      </c>
      <c r="T56" s="356"/>
      <c r="U56" s="356"/>
      <c r="V56">
        <f>MonthlyAvg!L49</f>
        <v>47</v>
      </c>
      <c r="W56">
        <f>SUM(W48:W55)</f>
        <v>100</v>
      </c>
      <c r="X56" s="356"/>
      <c r="Y56" s="356"/>
      <c r="Z56" s="356"/>
      <c r="AA56" s="356"/>
      <c r="AB56" s="356"/>
      <c r="AC56" s="356"/>
      <c r="AD56" s="356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356" t="s">
        <v>108</v>
      </c>
      <c r="E60" s="356"/>
      <c r="F60" s="356"/>
      <c r="G60" t="s">
        <v>124</v>
      </c>
      <c r="H60">
        <f t="array" ref="H60:L60">Norm!J16:N16</f>
        <v>61.75</v>
      </c>
      <c r="I60">
        <v>4.08</v>
      </c>
      <c r="J60">
        <v>2.57</v>
      </c>
      <c r="K60">
        <v>7</v>
      </c>
      <c r="L60">
        <v>40</v>
      </c>
      <c r="M60">
        <v>5.9</v>
      </c>
      <c r="N60">
        <v>0.96666666666666667</v>
      </c>
      <c r="U60" s="356" t="s">
        <v>108</v>
      </c>
      <c r="V60" s="356"/>
      <c r="W60" t="s">
        <v>124</v>
      </c>
      <c r="X60">
        <f t="array" ref="X60:AB60">Norm!J18:N18</f>
        <v>61.36</v>
      </c>
      <c r="Y60">
        <v>4.2300000000000004</v>
      </c>
      <c r="Z60">
        <v>2.64</v>
      </c>
      <c r="AA60">
        <v>7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356" t="s">
        <v>125</v>
      </c>
      <c r="E61" s="356"/>
      <c r="F61" s="356"/>
      <c r="G61" t="s">
        <v>124</v>
      </c>
      <c r="H61">
        <f>MonthlyAvg!E85</f>
        <v>61.486842105263172</v>
      </c>
      <c r="I61">
        <f>MonthlyAvg!F85</f>
        <v>4.1539473684210542</v>
      </c>
      <c r="J61">
        <f>MonthlyAvg!G85</f>
        <v>2.9394736842105251</v>
      </c>
      <c r="K61">
        <f>MonthlyAvg!H85</f>
        <v>9.1842105263157894</v>
      </c>
      <c r="L61">
        <f>MonthlyAvg!I85</f>
        <v>42.267105263157895</v>
      </c>
      <c r="M61">
        <f>MonthlyAvg!J85</f>
        <v>7.0934210526315793</v>
      </c>
      <c r="N61">
        <f>MonthlyAvg!K85</f>
        <v>0.7076338295850485</v>
      </c>
      <c r="U61" s="356" t="s">
        <v>126</v>
      </c>
      <c r="V61" s="356"/>
      <c r="W61" t="s">
        <v>124</v>
      </c>
      <c r="X61">
        <f>MonthlyAvg!E103</f>
        <v>62.481662790697669</v>
      </c>
      <c r="Y61">
        <f>MonthlyAvg!F103</f>
        <v>4.2549999999999999</v>
      </c>
      <c r="Z61">
        <f>MonthlyAvg!G103</f>
        <v>1.9937209302325583</v>
      </c>
      <c r="AA61">
        <f>MonthlyAvg!H103</f>
        <v>6.9686047508987761</v>
      </c>
      <c r="AB61">
        <f>MonthlyAvg!I103</f>
        <v>44.486686339082887</v>
      </c>
      <c r="AC61">
        <f>MonthlyAvg!J103</f>
        <v>6.2487209302325581</v>
      </c>
      <c r="AD61">
        <f>MonthlyAvg!K103</f>
        <v>0.46855956057169407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356" t="s">
        <v>120</v>
      </c>
      <c r="F63" s="356"/>
      <c r="G63" t="s">
        <v>121</v>
      </c>
      <c r="H63" s="356" t="s">
        <v>122</v>
      </c>
      <c r="I63" s="356"/>
      <c r="J63" s="356"/>
      <c r="K63" s="356"/>
      <c r="L63" s="356"/>
      <c r="M63" s="356"/>
      <c r="N63" s="356"/>
      <c r="S63" t="s">
        <v>46</v>
      </c>
      <c r="T63" t="s">
        <v>119</v>
      </c>
      <c r="U63" s="356" t="s">
        <v>120</v>
      </c>
      <c r="V63" s="356"/>
      <c r="W63" t="s">
        <v>121</v>
      </c>
      <c r="X63" s="356" t="s">
        <v>122</v>
      </c>
      <c r="Y63" s="356"/>
      <c r="Z63" s="356"/>
      <c r="AA63" s="356"/>
      <c r="AB63" s="356"/>
      <c r="AC63" s="356"/>
      <c r="AD63" s="356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356" t="s">
        <v>4</v>
      </c>
      <c r="D65" t="s">
        <v>27</v>
      </c>
      <c r="E65" s="356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356" t="s">
        <v>30</v>
      </c>
      <c r="T65" t="s">
        <v>27</v>
      </c>
      <c r="U65" s="356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356"/>
      <c r="D66" t="s">
        <v>2</v>
      </c>
      <c r="E66" s="356"/>
      <c r="F66">
        <f>MonthlyAvg!L78</f>
        <v>1</v>
      </c>
      <c r="G66">
        <f t="shared" ref="G66:G72" si="1">(F66/$F$73)*100</f>
        <v>1.3157894736842104</v>
      </c>
      <c r="H66">
        <f>MonthlyAvg!E78</f>
        <v>58.5</v>
      </c>
      <c r="I66">
        <f>MonthlyAvg!F78</f>
        <v>7.6</v>
      </c>
      <c r="J66">
        <f>MonthlyAvg!G78</f>
        <v>2.4</v>
      </c>
      <c r="K66">
        <f>MonthlyAvg!H78</f>
        <v>3.6</v>
      </c>
      <c r="L66">
        <f>MonthlyAvg!I78</f>
        <v>56.2</v>
      </c>
      <c r="M66">
        <f>MonthlyAvg!J78</f>
        <v>10</v>
      </c>
      <c r="N66">
        <f>MonthlyAvg!K78</f>
        <v>0.31578947368421051</v>
      </c>
      <c r="S66" s="356"/>
      <c r="T66" t="s">
        <v>2</v>
      </c>
      <c r="U66" s="356"/>
      <c r="V66">
        <f>MonthlyAvg!L96</f>
        <v>10</v>
      </c>
      <c r="W66">
        <f>(V66/V73)*100</f>
        <v>11.627906976744185</v>
      </c>
      <c r="X66">
        <f>MonthlyAvg!E96</f>
        <v>61.2408</v>
      </c>
      <c r="Y66">
        <f>MonthlyAvg!F96</f>
        <v>6.4019999999999992</v>
      </c>
      <c r="Z66">
        <f>MonthlyAvg!G96</f>
        <v>1.95</v>
      </c>
      <c r="AA66">
        <f>MonthlyAvg!H96</f>
        <v>7.8059638905172282</v>
      </c>
      <c r="AB66">
        <f>MonthlyAvg!I96</f>
        <v>42.40259354053866</v>
      </c>
      <c r="AC66">
        <f>MonthlyAvg!J96</f>
        <v>8.3519999999999985</v>
      </c>
      <c r="AD66">
        <f>MonthlyAvg!K96</f>
        <v>0.30459231490159328</v>
      </c>
    </row>
    <row r="67" spans="2:32" x14ac:dyDescent="0.25">
      <c r="C67" s="356"/>
      <c r="D67" t="s">
        <v>11</v>
      </c>
      <c r="E67" s="356"/>
      <c r="F67">
        <f>MonthlyAvg!L79</f>
        <v>69</v>
      </c>
      <c r="G67">
        <f t="shared" si="1"/>
        <v>90.789473684210535</v>
      </c>
      <c r="H67">
        <f>MonthlyAvg!E79</f>
        <v>61.598550724637683</v>
      </c>
      <c r="I67">
        <f>MonthlyAvg!F79</f>
        <v>4.0956521739130443</v>
      </c>
      <c r="J67">
        <f>MonthlyAvg!G79</f>
        <v>2.908695652173912</v>
      </c>
      <c r="K67">
        <f>MonthlyAvg!H79</f>
        <v>9.2884057971014489</v>
      </c>
      <c r="L67">
        <f>MonthlyAvg!I79</f>
        <v>42.018840579710144</v>
      </c>
      <c r="M67">
        <f>MonthlyAvg!J79</f>
        <v>7.0043478260869563</v>
      </c>
      <c r="N67">
        <f>MonthlyAvg!K79</f>
        <v>0.71019108280254739</v>
      </c>
      <c r="P67">
        <f>SUMPRODUCT(G65:G72,M65:M72)/SUM(G65:G72)</f>
        <v>7.0934210526315793</v>
      </c>
      <c r="S67" s="356"/>
      <c r="T67" t="s">
        <v>11</v>
      </c>
      <c r="U67" s="356"/>
      <c r="V67">
        <f>MonthlyAvg!L97</f>
        <v>14</v>
      </c>
      <c r="W67">
        <f>(V67/V73)*100</f>
        <v>16.279069767441861</v>
      </c>
      <c r="X67">
        <f>MonthlyAvg!E97</f>
        <v>63.085642857142872</v>
      </c>
      <c r="Y67">
        <f>MonthlyAvg!F97</f>
        <v>3.5171428571428569</v>
      </c>
      <c r="Z67">
        <f>MonthlyAvg!G97</f>
        <v>1.8800000000000003</v>
      </c>
      <c r="AA67">
        <f>MonthlyAvg!H97</f>
        <v>7.8998215020864775</v>
      </c>
      <c r="AB67">
        <f>MonthlyAvg!I97</f>
        <v>41.472684428360239</v>
      </c>
      <c r="AC67">
        <f>MonthlyAvg!J97</f>
        <v>5.3971428571428568</v>
      </c>
      <c r="AD67">
        <f>MonthlyAvg!K97</f>
        <v>0.5345247766043868</v>
      </c>
      <c r="AF67">
        <f>SUMPRODUCT(W65:W72,AC65:AC72)/SUM(W65:W72)</f>
        <v>6.2487209302325573</v>
      </c>
    </row>
    <row r="68" spans="2:32" x14ac:dyDescent="0.25">
      <c r="C68" s="356"/>
      <c r="D68" t="s">
        <v>10</v>
      </c>
      <c r="E68" s="356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356"/>
      <c r="T68" t="s">
        <v>10</v>
      </c>
      <c r="U68" s="356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356"/>
      <c r="D69" t="s">
        <v>146</v>
      </c>
      <c r="E69" s="356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356"/>
      <c r="T69" t="s">
        <v>146</v>
      </c>
      <c r="U69" s="356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356"/>
      <c r="D70" t="s">
        <v>106</v>
      </c>
      <c r="E70" s="356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356"/>
      <c r="T70" t="s">
        <v>106</v>
      </c>
      <c r="U70" s="356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356"/>
      <c r="D71" t="s">
        <v>9</v>
      </c>
      <c r="E71" s="356"/>
      <c r="F71">
        <f>MonthlyAvg!L83</f>
        <v>6</v>
      </c>
      <c r="G71">
        <f t="shared" si="1"/>
        <v>7.8947368421052628</v>
      </c>
      <c r="H71">
        <f>MonthlyAvg!E83</f>
        <v>60.699999999999996</v>
      </c>
      <c r="I71">
        <f>MonthlyAvg!F83</f>
        <v>4.25</v>
      </c>
      <c r="J71">
        <f>MonthlyAvg!G83</f>
        <v>3.3833333333333329</v>
      </c>
      <c r="K71">
        <f>MonthlyAvg!H83</f>
        <v>8.9166666666666661</v>
      </c>
      <c r="L71">
        <f>MonthlyAvg!I83</f>
        <v>42.800000000000004</v>
      </c>
      <c r="M71">
        <f>MonthlyAvg!J83</f>
        <v>7.6333333333333329</v>
      </c>
      <c r="N71">
        <f>MonthlyAvg!K83</f>
        <v>0.79607843137254886</v>
      </c>
      <c r="S71" s="356"/>
      <c r="T71" t="s">
        <v>9</v>
      </c>
      <c r="U71" s="356"/>
      <c r="V71">
        <f>MonthlyAvg!L101</f>
        <v>62</v>
      </c>
      <c r="W71">
        <f>(V71/V73)*100</f>
        <v>72.093023255813947</v>
      </c>
      <c r="X71">
        <f>MonthlyAvg!E101</f>
        <v>62.5454193548387</v>
      </c>
      <c r="Y71">
        <f>MonthlyAvg!F101</f>
        <v>4.0753225806451621</v>
      </c>
      <c r="Z71">
        <f>MonthlyAvg!G101</f>
        <v>2.0264516129032253</v>
      </c>
      <c r="AA71">
        <f>MonthlyAvg!H101</f>
        <v>6.6232720748856728</v>
      </c>
      <c r="AB71">
        <f>MonthlyAvg!I101</f>
        <v>45.503411415462864</v>
      </c>
      <c r="AC71">
        <f>MonthlyAvg!J101</f>
        <v>6.1017741935483869</v>
      </c>
      <c r="AD71">
        <f>MonthlyAvg!K101</f>
        <v>0.49724937665729979</v>
      </c>
    </row>
    <row r="72" spans="2:32" x14ac:dyDescent="0.25">
      <c r="C72" s="356"/>
      <c r="D72" t="s">
        <v>112</v>
      </c>
      <c r="E72" s="356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356"/>
      <c r="T72" t="s">
        <v>112</v>
      </c>
      <c r="U72" s="356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356" t="s">
        <v>123</v>
      </c>
      <c r="D73" s="356"/>
      <c r="E73" s="356"/>
      <c r="F73">
        <f>MonthlyAvg!L85</f>
        <v>76</v>
      </c>
      <c r="G73">
        <f>SUM(G65:G72)</f>
        <v>100</v>
      </c>
      <c r="H73" s="356"/>
      <c r="I73" s="356"/>
      <c r="J73" s="356"/>
      <c r="K73" s="356"/>
      <c r="L73" s="356"/>
      <c r="M73" s="356"/>
      <c r="N73" s="356"/>
      <c r="S73" s="356" t="s">
        <v>123</v>
      </c>
      <c r="T73" s="356"/>
      <c r="U73" s="356"/>
      <c r="V73">
        <f>MonthlyAvg!L103</f>
        <v>86</v>
      </c>
      <c r="W73">
        <f>SUM(W65:W72)</f>
        <v>100</v>
      </c>
      <c r="X73" s="356"/>
      <c r="Y73" s="356"/>
      <c r="Z73" s="356"/>
      <c r="AA73" s="356"/>
      <c r="AB73" s="356"/>
      <c r="AC73" s="356"/>
      <c r="AD73" s="356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356">
        <f>'Dir Quality Report'!$R$2</f>
        <v>44682</v>
      </c>
      <c r="C76" s="356"/>
      <c r="D76" s="356"/>
      <c r="E76" s="356"/>
      <c r="F76" s="356"/>
      <c r="R76" s="356">
        <f>'Dir Quality Report'!$R$2</f>
        <v>44682</v>
      </c>
      <c r="S76" s="356"/>
      <c r="T76" s="356"/>
      <c r="U76" s="356"/>
      <c r="V76" s="356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356" t="s">
        <v>108</v>
      </c>
      <c r="E79" s="356"/>
      <c r="F79" s="356"/>
      <c r="G79" s="356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356" t="s">
        <v>127</v>
      </c>
      <c r="E80" s="356"/>
      <c r="F80" s="356"/>
      <c r="G80" s="356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356" t="s">
        <v>120</v>
      </c>
      <c r="F82" s="356"/>
      <c r="G82" t="s">
        <v>121</v>
      </c>
      <c r="H82" s="356" t="s">
        <v>122</v>
      </c>
      <c r="I82" s="356"/>
      <c r="J82" s="356"/>
      <c r="K82" s="356"/>
      <c r="L82" s="356"/>
      <c r="M82" s="356"/>
      <c r="N82" s="356"/>
      <c r="S82" t="s">
        <v>46</v>
      </c>
      <c r="T82" t="s">
        <v>119</v>
      </c>
      <c r="U82" t="s">
        <v>120</v>
      </c>
      <c r="W82" t="s">
        <v>121</v>
      </c>
      <c r="X82" s="356" t="s">
        <v>122</v>
      </c>
      <c r="Y82" s="356"/>
      <c r="Z82" s="356"/>
      <c r="AA82" s="356"/>
      <c r="AB82" s="356"/>
      <c r="AC82" s="356"/>
      <c r="AD82" s="356"/>
    </row>
    <row r="83" spans="3:30" ht="13" thickBot="1" x14ac:dyDescent="0.3">
      <c r="C83" s="356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356"/>
      <c r="D84" t="s">
        <v>27</v>
      </c>
      <c r="E84" s="356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356" t="s">
        <v>151</v>
      </c>
      <c r="T84" t="s">
        <v>27</v>
      </c>
      <c r="U84" s="356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356"/>
      <c r="D85" t="s">
        <v>2</v>
      </c>
      <c r="E85" s="356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356"/>
      <c r="T85" t="s">
        <v>2</v>
      </c>
      <c r="U85" s="356"/>
      <c r="V85">
        <f>[1]Mornflsh!$E28</f>
        <v>41</v>
      </c>
      <c r="W85">
        <f>(V85/V92)*100</f>
        <v>97.61904761904762</v>
      </c>
      <c r="X85">
        <f t="array" ref="X85:AB85">MonthlyAvg!E87:I87</f>
        <v>60.141176470588242</v>
      </c>
      <c r="Y85">
        <v>5.4294117647058826</v>
      </c>
      <c r="Z85">
        <v>3.3647058823529412</v>
      </c>
      <c r="AA85">
        <v>3.75</v>
      </c>
      <c r="AB85">
        <v>43.1875</v>
      </c>
      <c r="AC85">
        <f t="shared" si="2"/>
        <v>8.7941176470588243</v>
      </c>
      <c r="AD85">
        <f>+Z85/Y85</f>
        <v>0.61971830985915488</v>
      </c>
    </row>
    <row r="86" spans="3:30" ht="18" customHeight="1" x14ac:dyDescent="0.25">
      <c r="C86" s="356"/>
      <c r="D86" t="s">
        <v>104</v>
      </c>
      <c r="E86" s="356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356"/>
      <c r="T86" t="s">
        <v>11</v>
      </c>
      <c r="U86" s="356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356"/>
      <c r="D87" t="s">
        <v>10</v>
      </c>
      <c r="E87" s="356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356"/>
      <c r="T87" t="s">
        <v>10</v>
      </c>
      <c r="U87" s="356"/>
      <c r="V87">
        <f>[1]Mornflsh!$E30</f>
        <v>0</v>
      </c>
      <c r="W87">
        <f>(V87/V92)*100</f>
        <v>0</v>
      </c>
      <c r="X87">
        <f t="array" ref="X87:AB87">MonthlyAvg!E90:I90</f>
        <v>60.26428571428572</v>
      </c>
      <c r="Y87">
        <v>4.4214285714285708</v>
      </c>
      <c r="Z87">
        <v>4.1785714285714288</v>
      </c>
      <c r="AA87">
        <v>3.2142857142857144</v>
      </c>
      <c r="AB87">
        <v>43.142857142857146</v>
      </c>
      <c r="AC87">
        <f t="shared" si="2"/>
        <v>8.6</v>
      </c>
      <c r="AD87">
        <f>+Z87/Y87</f>
        <v>0.94507269789983861</v>
      </c>
    </row>
    <row r="88" spans="3:30" ht="15" customHeight="1" x14ac:dyDescent="0.25">
      <c r="C88" s="356"/>
      <c r="D88" t="s">
        <v>146</v>
      </c>
      <c r="E88" s="356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356"/>
      <c r="T88" t="s">
        <v>146</v>
      </c>
      <c r="U88" s="356"/>
      <c r="V88">
        <f>[1]Mornflsh!$E31</f>
        <v>0</v>
      </c>
      <c r="W88">
        <f>(V88/V92)*100</f>
        <v>0</v>
      </c>
      <c r="X88">
        <f t="array" ref="X88:AB88">MonthlyAvg!E89:I89</f>
        <v>62.247619047619047</v>
      </c>
      <c r="Y88">
        <v>3.0142857142857147</v>
      </c>
      <c r="Z88">
        <v>2.7809523809523813</v>
      </c>
      <c r="AA88">
        <v>3.3333333333333335</v>
      </c>
      <c r="AB88">
        <v>41.523809523809526</v>
      </c>
      <c r="AC88">
        <f t="shared" si="2"/>
        <v>5.795238095238096</v>
      </c>
      <c r="AD88">
        <f>+Z88/Y88</f>
        <v>0.92259083728278035</v>
      </c>
    </row>
    <row r="89" spans="3:30" ht="13.5" customHeight="1" x14ac:dyDescent="0.25">
      <c r="C89" s="356"/>
      <c r="D89" t="s">
        <v>106</v>
      </c>
      <c r="E89" s="356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356"/>
      <c r="T89" t="s">
        <v>106</v>
      </c>
      <c r="U89" s="356"/>
      <c r="W89">
        <f>(V89/V92)*100</f>
        <v>0</v>
      </c>
    </row>
    <row r="90" spans="3:30" ht="17.25" customHeight="1" x14ac:dyDescent="0.25">
      <c r="C90" s="356"/>
      <c r="D90" t="s">
        <v>9</v>
      </c>
      <c r="E90" s="356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356"/>
      <c r="T90" t="s">
        <v>9</v>
      </c>
      <c r="U90" s="356"/>
      <c r="W90">
        <f>(V90/V92)*100</f>
        <v>0</v>
      </c>
      <c r="AC90">
        <f t="shared" si="2"/>
        <v>0</v>
      </c>
    </row>
    <row r="91" spans="3:30" ht="15" customHeight="1" x14ac:dyDescent="0.25">
      <c r="C91" s="356"/>
      <c r="D91" t="s">
        <v>112</v>
      </c>
      <c r="E91" s="356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356"/>
      <c r="T91" t="s">
        <v>112</v>
      </c>
      <c r="U91" s="356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356" t="s">
        <v>123</v>
      </c>
      <c r="D92" s="356"/>
      <c r="E92" s="356"/>
      <c r="F92">
        <f>MonthlyAvg!L58</f>
        <v>0</v>
      </c>
      <c r="G92" t="e">
        <f>SUM(G84:G91)</f>
        <v>#DIV/0!</v>
      </c>
      <c r="H92" s="356"/>
      <c r="I92" s="356"/>
      <c r="J92" s="356"/>
      <c r="K92" s="356"/>
      <c r="L92" s="356"/>
      <c r="M92" s="356"/>
      <c r="N92" s="356"/>
      <c r="S92" s="356" t="s">
        <v>123</v>
      </c>
      <c r="T92" s="356"/>
      <c r="U92" s="356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356" t="s">
        <v>108</v>
      </c>
      <c r="E95" s="356"/>
      <c r="F95" s="356"/>
      <c r="G95" s="356" t="s">
        <v>124</v>
      </c>
      <c r="H95">
        <f t="array" ref="H95:L95">Norm!J15:N15</f>
        <v>60.53</v>
      </c>
      <c r="I95">
        <v>5.83</v>
      </c>
      <c r="J95">
        <v>2.77</v>
      </c>
      <c r="K95">
        <v>7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356" t="s">
        <v>127</v>
      </c>
      <c r="E96" s="356"/>
      <c r="F96" s="356"/>
      <c r="G96" s="356"/>
      <c r="H96">
        <f>MonthlyAvg!E112</f>
        <v>60.318260869565208</v>
      </c>
      <c r="I96">
        <f>MonthlyAvg!F112</f>
        <v>6.2230434782608706</v>
      </c>
      <c r="J96">
        <f>MonthlyAvg!G112</f>
        <v>3.4926086956521738</v>
      </c>
      <c r="K96">
        <f>MonthlyAvg!H112</f>
        <v>7.4217391304347817</v>
      </c>
      <c r="L96">
        <f>MonthlyAvg!I112</f>
        <v>50.052173913043461</v>
      </c>
      <c r="M96">
        <f>MonthlyAvg!J112</f>
        <v>9.7156521739130444</v>
      </c>
      <c r="N96">
        <f>MonthlyAvg!K112</f>
        <v>0.56123803535247663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356" t="s">
        <v>120</v>
      </c>
      <c r="F98" s="356"/>
      <c r="G98" t="s">
        <v>121</v>
      </c>
      <c r="H98" s="356" t="s">
        <v>122</v>
      </c>
      <c r="I98" s="356"/>
      <c r="J98" s="356"/>
      <c r="K98" s="356"/>
      <c r="L98" s="356"/>
      <c r="M98" s="356"/>
      <c r="N98" s="356"/>
      <c r="S98" t="s">
        <v>46</v>
      </c>
      <c r="T98" t="s">
        <v>119</v>
      </c>
      <c r="U98" t="s">
        <v>120</v>
      </c>
      <c r="W98" t="s">
        <v>121</v>
      </c>
      <c r="X98" s="356" t="s">
        <v>122</v>
      </c>
      <c r="Y98" s="356"/>
      <c r="Z98" s="356"/>
      <c r="AA98" s="356"/>
      <c r="AB98" s="356"/>
      <c r="AC98" s="356"/>
      <c r="AD98" s="356"/>
    </row>
    <row r="99" spans="2:30" ht="13" thickBot="1" x14ac:dyDescent="0.3">
      <c r="C99" s="356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356"/>
      <c r="D100" t="s">
        <v>27</v>
      </c>
      <c r="E100" s="356" t="s">
        <v>124</v>
      </c>
      <c r="F100">
        <f>MonthlyAvg!L104</f>
        <v>23</v>
      </c>
      <c r="G100">
        <f>(F100/F108)*100</f>
        <v>100</v>
      </c>
      <c r="H100">
        <f>MonthlyAvg!E104</f>
        <v>60.318260869565208</v>
      </c>
      <c r="I100">
        <f>MonthlyAvg!F104</f>
        <v>6.2230434782608706</v>
      </c>
      <c r="J100">
        <f>MonthlyAvg!G104</f>
        <v>3.4926086956521738</v>
      </c>
      <c r="K100">
        <f>MonthlyAvg!H104</f>
        <v>7.4217391304347817</v>
      </c>
      <c r="L100">
        <f>MonthlyAvg!I104</f>
        <v>50.052173913043461</v>
      </c>
      <c r="M100">
        <f>+I100+J100</f>
        <v>9.7156521739130444</v>
      </c>
      <c r="N100">
        <f>+J100/I100</f>
        <v>0.56123803535247663</v>
      </c>
      <c r="S100" s="356" t="s">
        <v>152</v>
      </c>
      <c r="T100" t="s">
        <v>27</v>
      </c>
      <c r="U100" s="356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60.445454545454531</v>
      </c>
      <c r="Y100">
        <v>5.2999999999999989</v>
      </c>
      <c r="Z100">
        <v>3.0909090909090908</v>
      </c>
      <c r="AA100">
        <v>7.3636363636363633</v>
      </c>
      <c r="AB100">
        <v>44.545454545454547</v>
      </c>
      <c r="AC100">
        <f t="shared" ref="AC100:AC107" si="3">+Y100+Z100</f>
        <v>8.3909090909090907</v>
      </c>
      <c r="AD100">
        <f>+Z100/Y100</f>
        <v>0.58319039451114929</v>
      </c>
    </row>
    <row r="101" spans="2:30" ht="16.5" customHeight="1" x14ac:dyDescent="0.25">
      <c r="C101" s="356"/>
      <c r="D101" t="s">
        <v>2</v>
      </c>
      <c r="E101" s="356"/>
      <c r="F101">
        <f>MonthlyAvg!L105</f>
        <v>0</v>
      </c>
      <c r="G101">
        <f>(F101/F108)*100</f>
        <v>0</v>
      </c>
      <c r="H101">
        <f>MonthlyAvg!E105</f>
        <v>0</v>
      </c>
      <c r="S101" s="356"/>
      <c r="T101" t="s">
        <v>2</v>
      </c>
      <c r="U101" s="356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356"/>
      <c r="D102" t="s">
        <v>104</v>
      </c>
      <c r="E102" s="356"/>
      <c r="F102">
        <f>MonthlyAvg!L106</f>
        <v>0</v>
      </c>
      <c r="G102">
        <f>(F102/F108)*100</f>
        <v>0</v>
      </c>
      <c r="H102">
        <f>MonthlyAvg!E106</f>
        <v>0</v>
      </c>
      <c r="S102" s="356"/>
      <c r="T102" t="s">
        <v>11</v>
      </c>
      <c r="U102" s="356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356"/>
      <c r="D103" t="s">
        <v>10</v>
      </c>
      <c r="E103" s="356"/>
      <c r="F103">
        <f>MonthlyAvg!L108</f>
        <v>0</v>
      </c>
      <c r="G103">
        <f>(F103/F108)*100</f>
        <v>0</v>
      </c>
      <c r="H103">
        <f>MonthlyAvg!E108</f>
        <v>0</v>
      </c>
      <c r="S103" s="356"/>
      <c r="T103" t="s">
        <v>10</v>
      </c>
      <c r="U103" s="356"/>
      <c r="AC103">
        <f t="shared" si="3"/>
        <v>0</v>
      </c>
    </row>
    <row r="104" spans="2:30" ht="15" customHeight="1" x14ac:dyDescent="0.25">
      <c r="C104" s="356"/>
      <c r="D104" t="s">
        <v>146</v>
      </c>
      <c r="E104" s="356"/>
      <c r="F104">
        <f>MonthlyAvg!L107</f>
        <v>0</v>
      </c>
      <c r="H104">
        <f>MonthlyAvg!E107</f>
        <v>0</v>
      </c>
      <c r="S104" s="356"/>
      <c r="T104" t="s">
        <v>146</v>
      </c>
      <c r="U104" s="356"/>
      <c r="AC104">
        <f t="shared" si="3"/>
        <v>0</v>
      </c>
    </row>
    <row r="105" spans="2:30" ht="15" customHeight="1" x14ac:dyDescent="0.25">
      <c r="C105" s="356"/>
      <c r="D105" t="s">
        <v>106</v>
      </c>
      <c r="E105" s="356"/>
      <c r="F105">
        <f>MonthlyAvg!L109</f>
        <v>0</v>
      </c>
      <c r="G105">
        <f>(F105/F108)*100</f>
        <v>0</v>
      </c>
      <c r="H105">
        <f>MonthlyAvg!E109</f>
        <v>0</v>
      </c>
      <c r="S105" s="356"/>
      <c r="T105" t="s">
        <v>106</v>
      </c>
      <c r="U105" s="356"/>
      <c r="V105">
        <f>[1]Mornflsh!$E32</f>
        <v>21</v>
      </c>
      <c r="W105">
        <f>(V105/V108)*100</f>
        <v>30</v>
      </c>
      <c r="X105">
        <f t="array" ref="X105:AB105">MonthlyAvg!E91:I91</f>
        <v>62.907692307692351</v>
      </c>
      <c r="Y105">
        <v>2.5576923076923075</v>
      </c>
      <c r="Z105">
        <v>2.3173076923076925</v>
      </c>
      <c r="AA105">
        <v>3.3076923076923075</v>
      </c>
      <c r="AB105">
        <v>38.96153846153846</v>
      </c>
      <c r="AC105">
        <f t="shared" si="3"/>
        <v>4.875</v>
      </c>
      <c r="AD105">
        <f>+Z105/Y105</f>
        <v>0.90601503759398516</v>
      </c>
    </row>
    <row r="106" spans="2:30" ht="15" customHeight="1" x14ac:dyDescent="0.25">
      <c r="C106" s="356"/>
      <c r="D106" t="s">
        <v>9</v>
      </c>
      <c r="E106" s="356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356"/>
      <c r="T106" t="s">
        <v>9</v>
      </c>
      <c r="U106" s="356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356"/>
      <c r="D107" t="s">
        <v>112</v>
      </c>
      <c r="E107" s="356"/>
      <c r="F107">
        <f>MonthlyAvg!L111</f>
        <v>0</v>
      </c>
      <c r="G107">
        <f>(F107/F108)*100</f>
        <v>0</v>
      </c>
      <c r="H107">
        <f>MonthlyAvg!E111</f>
        <v>0</v>
      </c>
      <c r="S107" s="356"/>
      <c r="T107" t="s">
        <v>112</v>
      </c>
      <c r="U107" s="356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356" t="s">
        <v>123</v>
      </c>
      <c r="D108" s="356"/>
      <c r="E108" s="356"/>
      <c r="F108">
        <f>MonthlyAvg!L112</f>
        <v>23</v>
      </c>
      <c r="G108">
        <f>SUM(G100:G107)</f>
        <v>100</v>
      </c>
      <c r="H108" s="356"/>
      <c r="I108" s="356"/>
      <c r="J108" s="356"/>
      <c r="K108" s="356"/>
      <c r="L108" s="356"/>
      <c r="M108" s="356"/>
      <c r="N108" s="356"/>
      <c r="S108" s="356" t="s">
        <v>123</v>
      </c>
      <c r="T108" s="356"/>
      <c r="U108" s="356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356">
        <f>'Dir Quality Report'!$R$2</f>
        <v>44682</v>
      </c>
      <c r="C112" s="356"/>
      <c r="D112" s="356"/>
      <c r="E112" s="356"/>
      <c r="F112" s="356"/>
    </row>
    <row r="114" spans="3:14" ht="13" thickBot="1" x14ac:dyDescent="0.3"/>
    <row r="115" spans="3:14" x14ac:dyDescent="0.25">
      <c r="C115" t="s">
        <v>46</v>
      </c>
      <c r="D115" t="s">
        <v>119</v>
      </c>
      <c r="E115" s="356" t="s">
        <v>120</v>
      </c>
      <c r="F115" s="356"/>
      <c r="G115" t="s">
        <v>121</v>
      </c>
      <c r="H115" s="356" t="s">
        <v>122</v>
      </c>
      <c r="I115" s="356"/>
      <c r="J115" s="356"/>
      <c r="K115" s="356"/>
      <c r="L115" s="356"/>
      <c r="M115" s="356"/>
      <c r="N115" s="356"/>
    </row>
    <row r="116" spans="3:14" x14ac:dyDescent="0.25">
      <c r="C116" s="356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356"/>
      <c r="D117" t="s">
        <v>27</v>
      </c>
      <c r="E117" s="356" t="s">
        <v>116</v>
      </c>
      <c r="F117">
        <f>MonthlyAvg!L59</f>
        <v>23</v>
      </c>
      <c r="G117">
        <f>(F117/$F$125)*100</f>
        <v>9.1633466135458175</v>
      </c>
      <c r="H117">
        <f>MonthlyAvg!E59</f>
        <v>62.399565217391299</v>
      </c>
      <c r="I117">
        <f>MonthlyAvg!F59</f>
        <v>4.3113043478260868</v>
      </c>
      <c r="J117">
        <f>MonthlyAvg!G59</f>
        <v>2.6991304347826088</v>
      </c>
      <c r="K117">
        <f>MonthlyAvg!H59</f>
        <v>13.052173913043477</v>
      </c>
      <c r="L117">
        <f>MonthlyAvg!I59</f>
        <v>28.326086956521745</v>
      </c>
      <c r="M117">
        <f>MonthlyAvg!J59</f>
        <v>7.0104347826086961</v>
      </c>
      <c r="N117">
        <f>MonthlyAvg!K59</f>
        <v>0.62605889471561116</v>
      </c>
    </row>
    <row r="118" spans="3:14" x14ac:dyDescent="0.25">
      <c r="C118" s="356"/>
      <c r="D118" t="s">
        <v>2</v>
      </c>
      <c r="E118" s="356"/>
      <c r="F118">
        <f>MonthlyAvg!L60</f>
        <v>26</v>
      </c>
      <c r="G118">
        <f t="shared" ref="G118:G124" si="4">(F118/$F$125)*100</f>
        <v>10.358565737051793</v>
      </c>
      <c r="H118">
        <f>MonthlyAvg!E60</f>
        <v>61.728846153846135</v>
      </c>
      <c r="I118">
        <f>MonthlyAvg!F60</f>
        <v>5.2434615384615375</v>
      </c>
      <c r="J118">
        <f>MonthlyAvg!G60</f>
        <v>2.7253846153846149</v>
      </c>
      <c r="K118">
        <f>MonthlyAvg!H60</f>
        <v>13.21153846153846</v>
      </c>
      <c r="L118">
        <f>MonthlyAvg!I60</f>
        <v>27.011538461538461</v>
      </c>
      <c r="M118">
        <f>MonthlyAvg!J60</f>
        <v>7.9688461538461528</v>
      </c>
      <c r="N118">
        <f>MonthlyAvg!K60</f>
        <v>0.51976820949167457</v>
      </c>
    </row>
    <row r="119" spans="3:14" x14ac:dyDescent="0.25">
      <c r="C119" s="356"/>
      <c r="D119" t="s">
        <v>104</v>
      </c>
      <c r="E119" s="356"/>
      <c r="F119">
        <f>MonthlyAvg!L61</f>
        <v>88</v>
      </c>
      <c r="G119">
        <f t="shared" si="4"/>
        <v>35.059760956175303</v>
      </c>
      <c r="H119">
        <f>MonthlyAvg!E61</f>
        <v>62.200568181818156</v>
      </c>
      <c r="I119">
        <f>MonthlyAvg!F61</f>
        <v>3.3636363636363642</v>
      </c>
      <c r="J119">
        <f>MonthlyAvg!G61</f>
        <v>2.3880681818181815</v>
      </c>
      <c r="K119">
        <f>MonthlyAvg!H61</f>
        <v>17.672651585151591</v>
      </c>
      <c r="L119">
        <f>MonthlyAvg!I61</f>
        <v>17.844185546547877</v>
      </c>
      <c r="M119">
        <f>MonthlyAvg!J61</f>
        <v>5.7517045454545457</v>
      </c>
      <c r="N119">
        <f>MonthlyAvg!K61</f>
        <v>0.70996621621621603</v>
      </c>
    </row>
    <row r="120" spans="3:14" x14ac:dyDescent="0.25">
      <c r="C120" s="356"/>
      <c r="D120" t="s">
        <v>10</v>
      </c>
      <c r="E120" s="356"/>
      <c r="F120">
        <f>MonthlyAvg!L63</f>
        <v>20</v>
      </c>
      <c r="G120">
        <f t="shared" si="4"/>
        <v>7.9681274900398407</v>
      </c>
      <c r="H120">
        <f>MonthlyAvg!E63</f>
        <v>61.355000000000004</v>
      </c>
      <c r="I120">
        <f>MonthlyAvg!F63</f>
        <v>3.4649999999999999</v>
      </c>
      <c r="J120">
        <f>MonthlyAvg!G63</f>
        <v>3.7</v>
      </c>
      <c r="K120">
        <f>MonthlyAvg!H63</f>
        <v>12.8</v>
      </c>
      <c r="L120">
        <f>MonthlyAvg!I63</f>
        <v>16.7</v>
      </c>
      <c r="M120">
        <f>MonthlyAvg!J63</f>
        <v>7.165</v>
      </c>
      <c r="N120">
        <f>MonthlyAvg!K63</f>
        <v>1.067821067821068</v>
      </c>
    </row>
    <row r="121" spans="3:14" x14ac:dyDescent="0.25">
      <c r="C121" s="356"/>
      <c r="D121" t="s">
        <v>146</v>
      </c>
      <c r="E121" s="356"/>
      <c r="F121">
        <f>MonthlyAvg!L62</f>
        <v>14</v>
      </c>
      <c r="G121">
        <f t="shared" si="4"/>
        <v>5.5776892430278879</v>
      </c>
      <c r="H121">
        <f>MonthlyAvg!E62</f>
        <v>62.6357142857143</v>
      </c>
      <c r="I121">
        <f>MonthlyAvg!F62</f>
        <v>2.8500000000000005</v>
      </c>
      <c r="J121">
        <f>MonthlyAvg!G62</f>
        <v>2.5785714285714287</v>
      </c>
      <c r="K121">
        <f>MonthlyAvg!H62</f>
        <v>4.2857142857142856</v>
      </c>
      <c r="L121">
        <f>MonthlyAvg!I62</f>
        <v>16.5</v>
      </c>
      <c r="M121">
        <f>MonthlyAvg!J62</f>
        <v>5.4285714285714288</v>
      </c>
      <c r="N121">
        <f>MonthlyAvg!K62</f>
        <v>0.90476190476190466</v>
      </c>
    </row>
    <row r="122" spans="3:14" x14ac:dyDescent="0.25">
      <c r="C122" s="356"/>
      <c r="D122" t="s">
        <v>106</v>
      </c>
      <c r="E122" s="356"/>
      <c r="F122">
        <f>MonthlyAvg!L64</f>
        <v>34</v>
      </c>
      <c r="G122">
        <f t="shared" si="4"/>
        <v>13.545816733067728</v>
      </c>
      <c r="H122">
        <f>MonthlyAvg!E64</f>
        <v>63.173529411764697</v>
      </c>
      <c r="I122">
        <f>MonthlyAvg!F64</f>
        <v>2.414705882352941</v>
      </c>
      <c r="J122">
        <f>MonthlyAvg!G64</f>
        <v>2.270588235294118</v>
      </c>
      <c r="K122">
        <f>MonthlyAvg!H64</f>
        <v>3.0588235294117645</v>
      </c>
      <c r="L122">
        <f>MonthlyAvg!I64</f>
        <v>14.647058823529411</v>
      </c>
      <c r="M122">
        <f>MonthlyAvg!J64</f>
        <v>4.6852941176470591</v>
      </c>
      <c r="N122">
        <f>MonthlyAvg!K64</f>
        <v>0.94031668696711346</v>
      </c>
    </row>
    <row r="123" spans="3:14" x14ac:dyDescent="0.25">
      <c r="C123" s="356"/>
      <c r="D123" t="s">
        <v>9</v>
      </c>
      <c r="E123" s="356"/>
      <c r="F123">
        <f>MonthlyAvg!L65</f>
        <v>44</v>
      </c>
      <c r="G123">
        <f t="shared" si="4"/>
        <v>17.529880478087652</v>
      </c>
      <c r="H123">
        <f>MonthlyAvg!E65</f>
        <v>63.490227272727246</v>
      </c>
      <c r="I123">
        <f>MonthlyAvg!F65</f>
        <v>3.1156818181818182</v>
      </c>
      <c r="J123">
        <f>MonthlyAvg!G65</f>
        <v>1.5518181818181818</v>
      </c>
      <c r="K123">
        <f>MonthlyAvg!H65</f>
        <v>3.9984677157731698</v>
      </c>
      <c r="L123">
        <f>MonthlyAvg!I65</f>
        <v>15.62856935788597</v>
      </c>
      <c r="M123">
        <f>MonthlyAvg!J65</f>
        <v>4.6675000000000004</v>
      </c>
      <c r="N123">
        <f>MonthlyAvg!K65</f>
        <v>0.49806696330877526</v>
      </c>
    </row>
    <row r="124" spans="3:14" x14ac:dyDescent="0.25">
      <c r="C124" s="356"/>
      <c r="D124" t="s">
        <v>112</v>
      </c>
      <c r="E124" s="356"/>
      <c r="F124">
        <f>MonthlyAvg!L66</f>
        <v>2</v>
      </c>
      <c r="G124">
        <f t="shared" si="4"/>
        <v>0.79681274900398402</v>
      </c>
      <c r="H124">
        <f>MonthlyAvg!E66</f>
        <v>63.6</v>
      </c>
      <c r="I124">
        <f>MonthlyAvg!F66</f>
        <v>2.8149999999999999</v>
      </c>
      <c r="J124">
        <f>MonthlyAvg!G66</f>
        <v>2.27</v>
      </c>
      <c r="K124">
        <f>MonthlyAvg!H66</f>
        <v>7.1499999999999995</v>
      </c>
      <c r="L124">
        <f>MonthlyAvg!I66</f>
        <v>10.050000000000001</v>
      </c>
      <c r="M124">
        <f>MonthlyAvg!J66</f>
        <v>5.085</v>
      </c>
      <c r="N124">
        <f>MonthlyAvg!K66</f>
        <v>0.80639431616341029</v>
      </c>
    </row>
    <row r="125" spans="3:14" ht="13" thickBot="1" x14ac:dyDescent="0.3">
      <c r="C125" s="356" t="s">
        <v>123</v>
      </c>
      <c r="D125" s="356"/>
      <c r="E125" s="356"/>
      <c r="F125">
        <f>MonthlyAvg!L67</f>
        <v>251</v>
      </c>
      <c r="G125">
        <f>SUM(G117:G124)</f>
        <v>100</v>
      </c>
      <c r="H125" s="356"/>
      <c r="I125" s="356"/>
      <c r="J125" s="356"/>
      <c r="K125" s="356"/>
      <c r="L125" s="356"/>
      <c r="M125" s="356"/>
      <c r="N125" s="356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356" t="s">
        <v>120</v>
      </c>
      <c r="F129" s="356"/>
      <c r="G129" t="s">
        <v>121</v>
      </c>
      <c r="H129" s="356" t="s">
        <v>122</v>
      </c>
      <c r="I129" s="356"/>
      <c r="J129" s="356"/>
      <c r="K129" s="356"/>
      <c r="L129" s="356"/>
      <c r="M129" s="356"/>
      <c r="N129" s="356"/>
    </row>
    <row r="130" spans="3:14" x14ac:dyDescent="0.25">
      <c r="C130" s="356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356"/>
      <c r="D131" t="s">
        <v>27</v>
      </c>
      <c r="E131" s="356" t="s">
        <v>124</v>
      </c>
      <c r="F131">
        <f>MonthlyAvg!L113</f>
        <v>50</v>
      </c>
      <c r="G131">
        <f>(F131/$F$139)*100</f>
        <v>12.594458438287154</v>
      </c>
      <c r="H131">
        <f>MonthlyAvg!E113</f>
        <v>60.821000000000005</v>
      </c>
      <c r="I131">
        <f>MonthlyAvg!F113</f>
        <v>5.6420000000000003</v>
      </c>
      <c r="J131">
        <f>MonthlyAvg!G113</f>
        <v>3.2269999999999999</v>
      </c>
      <c r="K131">
        <f>MonthlyAvg!H113</f>
        <v>6.6620000000000008</v>
      </c>
      <c r="L131">
        <f>MonthlyAvg!I113</f>
        <v>45.18</v>
      </c>
      <c r="M131">
        <f>MonthlyAvg!J113</f>
        <v>8.8689999999999998</v>
      </c>
      <c r="N131">
        <f>MonthlyAvg!K113</f>
        <v>0.57196029776674928</v>
      </c>
    </row>
    <row r="132" spans="3:14" x14ac:dyDescent="0.25">
      <c r="C132" s="356"/>
      <c r="D132" t="s">
        <v>2</v>
      </c>
      <c r="E132" s="356"/>
      <c r="F132">
        <f>MonthlyAvg!L114</f>
        <v>53</v>
      </c>
      <c r="G132">
        <f t="shared" ref="G132:G138" si="5">(F132/$F$139)*100</f>
        <v>13.350125944584383</v>
      </c>
      <c r="H132">
        <f>MonthlyAvg!E114</f>
        <v>60.80826415094338</v>
      </c>
      <c r="I132">
        <f>MonthlyAvg!F114</f>
        <v>5.9099999999999984</v>
      </c>
      <c r="J132">
        <f>MonthlyAvg!G114</f>
        <v>2.8907547169811312</v>
      </c>
      <c r="K132">
        <f>MonthlyAvg!H114</f>
        <v>5.2502050830887725</v>
      </c>
      <c r="L132">
        <f>MonthlyAvg!I114</f>
        <v>43.179275221391208</v>
      </c>
      <c r="M132">
        <f>MonthlyAvg!J114</f>
        <v>8.80075471698113</v>
      </c>
      <c r="N132">
        <f>MonthlyAvg!K114</f>
        <v>0.48912939373623215</v>
      </c>
    </row>
    <row r="133" spans="3:14" x14ac:dyDescent="0.25">
      <c r="C133" s="356"/>
      <c r="D133" t="s">
        <v>104</v>
      </c>
      <c r="E133" s="356"/>
      <c r="F133">
        <f>MonthlyAvg!L115</f>
        <v>123</v>
      </c>
      <c r="G133">
        <f t="shared" si="5"/>
        <v>30.982367758186395</v>
      </c>
      <c r="H133">
        <f>MonthlyAvg!E115</f>
        <v>61.893000000000029</v>
      </c>
      <c r="I133">
        <f>MonthlyAvg!F115</f>
        <v>4.2690243902439029</v>
      </c>
      <c r="J133">
        <f>MonthlyAvg!G115</f>
        <v>2.7773170731707313</v>
      </c>
      <c r="K133">
        <f>MonthlyAvg!H115</f>
        <v>7.9821205449036663</v>
      </c>
      <c r="L133">
        <f>MonthlyAvg!I115</f>
        <v>41.193906982116459</v>
      </c>
      <c r="M133">
        <f>MonthlyAvg!J115</f>
        <v>7.0463414634146346</v>
      </c>
      <c r="N133">
        <f>MonthlyAvg!K115</f>
        <v>0.65057418728218008</v>
      </c>
    </row>
    <row r="134" spans="3:14" x14ac:dyDescent="0.25">
      <c r="C134" s="356"/>
      <c r="D134" t="s">
        <v>10</v>
      </c>
      <c r="E134" s="356"/>
      <c r="F134">
        <f>MonthlyAvg!L117</f>
        <v>14</v>
      </c>
      <c r="G134">
        <f t="shared" si="5"/>
        <v>3.5264483627204033</v>
      </c>
      <c r="H134">
        <f>MonthlyAvg!E117</f>
        <v>60.26428571428572</v>
      </c>
      <c r="I134">
        <f>MonthlyAvg!F117</f>
        <v>4.4214285714285708</v>
      </c>
      <c r="J134">
        <f>MonthlyAvg!G117</f>
        <v>4.1785714285714288</v>
      </c>
      <c r="K134">
        <f>MonthlyAvg!H117</f>
        <v>3.2142857142857144</v>
      </c>
      <c r="L134">
        <f>MonthlyAvg!I117</f>
        <v>43.142857142857146</v>
      </c>
      <c r="M134">
        <f>MonthlyAvg!J117</f>
        <v>8.6</v>
      </c>
      <c r="N134">
        <f>MonthlyAvg!K117</f>
        <v>0.94507269789983861</v>
      </c>
    </row>
    <row r="135" spans="3:14" x14ac:dyDescent="0.25">
      <c r="C135" s="356"/>
      <c r="D135" t="s">
        <v>146</v>
      </c>
      <c r="E135" s="356"/>
      <c r="F135">
        <f>MonthlyAvg!L116</f>
        <v>21</v>
      </c>
      <c r="G135">
        <f t="shared" si="5"/>
        <v>5.2896725440806041</v>
      </c>
      <c r="H135">
        <f>MonthlyAvg!E116</f>
        <v>62.247619047619047</v>
      </c>
      <c r="I135">
        <f>MonthlyAvg!F116</f>
        <v>3.0142857142857147</v>
      </c>
      <c r="J135">
        <f>MonthlyAvg!G116</f>
        <v>2.7809523809523813</v>
      </c>
      <c r="K135">
        <f>MonthlyAvg!H116</f>
        <v>3.3333333333333335</v>
      </c>
      <c r="L135">
        <f>MonthlyAvg!I116</f>
        <v>41.523809523809526</v>
      </c>
      <c r="M135">
        <f>MonthlyAvg!J116</f>
        <v>5.795238095238096</v>
      </c>
      <c r="N135">
        <f>MonthlyAvg!K116</f>
        <v>0.92259083728278035</v>
      </c>
    </row>
    <row r="136" spans="3:14" x14ac:dyDescent="0.25">
      <c r="C136" s="356"/>
      <c r="D136" t="s">
        <v>106</v>
      </c>
      <c r="E136" s="356"/>
      <c r="F136">
        <f>MonthlyAvg!L118</f>
        <v>52</v>
      </c>
      <c r="G136">
        <f t="shared" si="5"/>
        <v>13.09823677581864</v>
      </c>
      <c r="H136">
        <f>MonthlyAvg!E118</f>
        <v>62.907692307692351</v>
      </c>
      <c r="I136">
        <f>MonthlyAvg!F118</f>
        <v>2.5576923076923075</v>
      </c>
      <c r="J136">
        <f>MonthlyAvg!G118</f>
        <v>2.3173076923076925</v>
      </c>
      <c r="K136">
        <f>MonthlyAvg!H118</f>
        <v>3.3076923076923075</v>
      </c>
      <c r="L136">
        <f>MonthlyAvg!I118</f>
        <v>38.96153846153846</v>
      </c>
      <c r="M136">
        <f>MonthlyAvg!J118</f>
        <v>4.875</v>
      </c>
      <c r="N136">
        <f>MonthlyAvg!K118</f>
        <v>0.90601503759398516</v>
      </c>
    </row>
    <row r="137" spans="3:14" x14ac:dyDescent="0.25">
      <c r="C137" s="356"/>
      <c r="D137" t="s">
        <v>9</v>
      </c>
      <c r="E137" s="356"/>
      <c r="F137">
        <f>MonthlyAvg!L119</f>
        <v>84</v>
      </c>
      <c r="G137">
        <f t="shared" si="5"/>
        <v>21.158690176322416</v>
      </c>
      <c r="H137">
        <f>MonthlyAvg!E119</f>
        <v>62.24185714285715</v>
      </c>
      <c r="I137">
        <f>MonthlyAvg!F119</f>
        <v>4.2666666666666666</v>
      </c>
      <c r="J137">
        <f>MonthlyAvg!G119</f>
        <v>2.3457142857142856</v>
      </c>
      <c r="K137">
        <f>MonthlyAvg!H119</f>
        <v>6.3479854954219448</v>
      </c>
      <c r="L137">
        <f>MonthlyAvg!I119</f>
        <v>44.627070612291007</v>
      </c>
      <c r="M137">
        <f>MonthlyAvg!J119</f>
        <v>6.6123809523809527</v>
      </c>
      <c r="N137">
        <f>MonthlyAvg!K119</f>
        <v>0.54977678571428568</v>
      </c>
    </row>
    <row r="138" spans="3:14" x14ac:dyDescent="0.25">
      <c r="C138" s="356"/>
      <c r="D138" t="s">
        <v>112</v>
      </c>
      <c r="E138" s="356"/>
      <c r="F138">
        <f>MonthlyAvg!L120</f>
        <v>0</v>
      </c>
      <c r="G138">
        <f t="shared" si="5"/>
        <v>0</v>
      </c>
      <c r="H138">
        <f>MonthlyAvg!E120</f>
        <v>0</v>
      </c>
      <c r="I138">
        <f>MonthlyAvg!F120</f>
        <v>0</v>
      </c>
      <c r="J138">
        <f>MonthlyAvg!G120</f>
        <v>0</v>
      </c>
      <c r="K138">
        <f>MonthlyAvg!H120</f>
        <v>0</v>
      </c>
      <c r="L138">
        <f>MonthlyAvg!I120</f>
        <v>0</v>
      </c>
      <c r="M138">
        <f>MonthlyAvg!J120</f>
        <v>0</v>
      </c>
      <c r="N138">
        <f>MonthlyAvg!K120</f>
        <v>0</v>
      </c>
    </row>
    <row r="139" spans="3:14" ht="13" thickBot="1" x14ac:dyDescent="0.3">
      <c r="C139" s="356" t="s">
        <v>123</v>
      </c>
      <c r="D139" s="356"/>
      <c r="E139" s="356"/>
      <c r="F139">
        <f>MonthlyAvg!L121</f>
        <v>397</v>
      </c>
      <c r="G139">
        <f>SUM(G131:G138)</f>
        <v>100</v>
      </c>
      <c r="H139" s="356"/>
      <c r="I139" s="356"/>
      <c r="J139" s="356"/>
      <c r="K139" s="356"/>
      <c r="L139" s="356"/>
      <c r="M139" s="356"/>
      <c r="N139" s="356"/>
    </row>
    <row r="140" spans="3:14" ht="13" thickBot="1" x14ac:dyDescent="0.3"/>
  </sheetData>
  <mergeCells count="107"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356">
        <f>'Dir Quality Report'!$R$2</f>
        <v>44682</v>
      </c>
      <c r="C2" s="356"/>
      <c r="D2" s="356"/>
      <c r="E2" s="356"/>
      <c r="F2" s="356" t="s">
        <v>221</v>
      </c>
      <c r="G2" s="356"/>
      <c r="H2" s="356"/>
      <c r="I2" s="356"/>
      <c r="J2" s="356"/>
      <c r="K2" s="356"/>
      <c r="L2" s="356"/>
    </row>
    <row r="3" spans="2:12" x14ac:dyDescent="0.25">
      <c r="B3" t="s">
        <v>107</v>
      </c>
      <c r="C3" t="s">
        <v>86</v>
      </c>
      <c r="D3" s="356" t="s">
        <v>120</v>
      </c>
      <c r="E3" s="356"/>
      <c r="F3" s="356" t="s">
        <v>122</v>
      </c>
      <c r="G3" s="356"/>
      <c r="H3" s="356"/>
      <c r="I3" s="356"/>
      <c r="J3" s="356"/>
      <c r="K3" s="356"/>
      <c r="L3" s="356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356" t="s">
        <v>218</v>
      </c>
      <c r="C5" s="356" t="s">
        <v>37</v>
      </c>
      <c r="D5" t="s">
        <v>116</v>
      </c>
      <c r="F5">
        <f t="array" ref="F5:J5">Norm!B10:F10</f>
        <v>61.5</v>
      </c>
      <c r="G5">
        <v>5</v>
      </c>
      <c r="H5">
        <v>2.5</v>
      </c>
      <c r="I5">
        <v>10</v>
      </c>
      <c r="J5">
        <v>10</v>
      </c>
      <c r="K5">
        <f>G5+H5</f>
        <v>7.5</v>
      </c>
      <c r="L5">
        <f>H5/G5</f>
        <v>0.5</v>
      </c>
    </row>
    <row r="6" spans="2:12" x14ac:dyDescent="0.25">
      <c r="B6" s="356"/>
      <c r="C6" s="356"/>
      <c r="D6" t="s">
        <v>124</v>
      </c>
      <c r="F6">
        <f t="array" ref="F6:J6">Norm!B20:F20</f>
        <v>60.8</v>
      </c>
      <c r="G6">
        <v>5.5</v>
      </c>
      <c r="H6">
        <v>2.7</v>
      </c>
      <c r="I6">
        <v>7</v>
      </c>
      <c r="J6">
        <v>40</v>
      </c>
      <c r="K6">
        <f>G6+H6</f>
        <v>8.1999999999999993</v>
      </c>
      <c r="L6">
        <f>H6/G6</f>
        <v>0.49090909090909096</v>
      </c>
    </row>
    <row r="7" spans="2:12" ht="15" customHeight="1" x14ac:dyDescent="0.25">
      <c r="B7" s="356"/>
      <c r="C7" s="356" t="s">
        <v>3</v>
      </c>
      <c r="D7" t="s">
        <v>116</v>
      </c>
      <c r="E7">
        <f>MonthlyAvg!L14</f>
        <v>23</v>
      </c>
      <c r="F7">
        <f t="array" ref="F7:L7">MonthlyAvg!E14:K14</f>
        <v>62.399565217391299</v>
      </c>
      <c r="G7">
        <v>4.3113043478260868</v>
      </c>
      <c r="H7">
        <v>2.6991304347826088</v>
      </c>
      <c r="I7">
        <v>13.052173913043477</v>
      </c>
      <c r="J7">
        <v>28.326086956521745</v>
      </c>
      <c r="K7">
        <v>7.0104347826086961</v>
      </c>
      <c r="L7">
        <v>0.62605889471561116</v>
      </c>
    </row>
    <row r="8" spans="2:12" ht="15" customHeight="1" x14ac:dyDescent="0.25">
      <c r="B8" s="356"/>
      <c r="C8" s="356"/>
      <c r="D8" t="s">
        <v>124</v>
      </c>
      <c r="E8">
        <f>MonthlyAvg!L68</f>
        <v>16</v>
      </c>
      <c r="F8">
        <f t="array" ref="F8:L8">MonthlyAvg!E68:K68</f>
        <v>61.80187500000001</v>
      </c>
      <c r="G8">
        <v>5.0418750000000001</v>
      </c>
      <c r="H8">
        <v>2.9387500000000002</v>
      </c>
      <c r="I8">
        <v>5.0874999999999995</v>
      </c>
      <c r="J8">
        <v>38.612499999999997</v>
      </c>
      <c r="K8">
        <v>7.9806249999999999</v>
      </c>
      <c r="L8">
        <v>0.58286847650923523</v>
      </c>
    </row>
    <row r="9" spans="2:12" ht="15" customHeight="1" x14ac:dyDescent="0.25">
      <c r="B9" s="356"/>
      <c r="C9" s="356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356"/>
      <c r="C10" s="356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356"/>
      <c r="C11" s="356" t="s">
        <v>5</v>
      </c>
      <c r="D11" t="s">
        <v>116</v>
      </c>
      <c r="E11">
        <f>MonthlyAvg!L32</f>
        <v>0</v>
      </c>
      <c r="F11">
        <f t="array" ref="F11:L11">MonthlyAvg!E32:K32</f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 ht="15" customHeight="1" x14ac:dyDescent="0.25">
      <c r="B12" s="356"/>
      <c r="C12" s="356"/>
      <c r="D12" t="s">
        <v>124</v>
      </c>
      <c r="E12">
        <f>MonthlyAvg!L86</f>
        <v>11</v>
      </c>
      <c r="F12">
        <f t="array" ref="F12:L12">MonthlyAvg!E86:K86</f>
        <v>60.445454545454531</v>
      </c>
      <c r="G12">
        <v>5.2999999999999989</v>
      </c>
      <c r="H12">
        <v>3.0909090909090908</v>
      </c>
      <c r="I12">
        <v>7.3636363636363633</v>
      </c>
      <c r="J12">
        <v>44.545454545454547</v>
      </c>
      <c r="K12">
        <v>8.3909090909090907</v>
      </c>
      <c r="L12">
        <v>0.58319039451114929</v>
      </c>
    </row>
    <row r="13" spans="2:12" ht="15" customHeight="1" x14ac:dyDescent="0.25">
      <c r="B13" s="356"/>
      <c r="C13" s="356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356"/>
      <c r="C14" s="356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356"/>
      <c r="C15" s="356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356"/>
      <c r="C16" s="356"/>
      <c r="D16" t="s">
        <v>124</v>
      </c>
      <c r="E16">
        <f>MonthlyAvg!L104</f>
        <v>23</v>
      </c>
      <c r="F16">
        <f t="array" ref="F16:L16">MonthlyAvg!E104:K104</f>
        <v>60.318260869565208</v>
      </c>
      <c r="G16">
        <v>6.2230434782608706</v>
      </c>
      <c r="H16">
        <v>3.4926086956521738</v>
      </c>
      <c r="I16">
        <v>7.4217391304347817</v>
      </c>
      <c r="J16">
        <v>50.052173913043461</v>
      </c>
      <c r="K16">
        <v>9.7156521739130444</v>
      </c>
      <c r="L16">
        <v>0.56123803535247663</v>
      </c>
    </row>
    <row r="17" spans="2:12" ht="15" customHeight="1" x14ac:dyDescent="0.25">
      <c r="B17" s="356"/>
      <c r="C17" s="356" t="s">
        <v>220</v>
      </c>
      <c r="D17" t="s">
        <v>116</v>
      </c>
      <c r="E17">
        <f>MonthlyAvg!L59</f>
        <v>23</v>
      </c>
      <c r="F17">
        <f t="array" ref="F17:L17">MonthlyAvg!E59:K59</f>
        <v>62.399565217391299</v>
      </c>
      <c r="G17">
        <v>4.3113043478260868</v>
      </c>
      <c r="H17">
        <v>2.6991304347826088</v>
      </c>
      <c r="I17">
        <v>13.052173913043477</v>
      </c>
      <c r="J17">
        <v>28.326086956521745</v>
      </c>
      <c r="K17">
        <v>7.0104347826086961</v>
      </c>
      <c r="L17">
        <v>0.62605889471561116</v>
      </c>
    </row>
    <row r="18" spans="2:12" ht="15" customHeight="1" x14ac:dyDescent="0.25">
      <c r="B18" s="356"/>
      <c r="C18" s="356"/>
      <c r="D18" t="s">
        <v>124</v>
      </c>
      <c r="E18">
        <f>MonthlyAvg!L113</f>
        <v>50</v>
      </c>
      <c r="F18">
        <f t="array" ref="F18:L18">MonthlyAvg!E113:K113</f>
        <v>60.821000000000005</v>
      </c>
      <c r="G18">
        <v>5.6420000000000003</v>
      </c>
      <c r="H18">
        <v>3.2269999999999999</v>
      </c>
      <c r="I18">
        <v>6.6620000000000008</v>
      </c>
      <c r="J18">
        <v>45.18</v>
      </c>
      <c r="K18">
        <v>8.8689999999999998</v>
      </c>
      <c r="L18">
        <v>0.57196029776674928</v>
      </c>
    </row>
    <row r="19" spans="2:12" x14ac:dyDescent="0.25">
      <c r="B19" s="356"/>
      <c r="C19" s="356"/>
      <c r="D19" s="356"/>
      <c r="E19" s="356"/>
      <c r="F19" s="356"/>
      <c r="G19" s="356"/>
      <c r="H19" s="356"/>
      <c r="I19" s="356"/>
      <c r="J19" s="356"/>
      <c r="K19" s="356"/>
      <c r="L19" s="356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356" t="s">
        <v>219</v>
      </c>
      <c r="C21" s="356" t="s">
        <v>37</v>
      </c>
      <c r="D21" t="s">
        <v>116</v>
      </c>
      <c r="F21">
        <f t="array" ref="F21:J21">Norm!B11:F11</f>
        <v>60.5</v>
      </c>
      <c r="G21">
        <v>5.5</v>
      </c>
      <c r="H21">
        <v>2.5</v>
      </c>
      <c r="I21">
        <v>10</v>
      </c>
      <c r="J21">
        <v>10</v>
      </c>
      <c r="K21">
        <f>G21+H21</f>
        <v>8</v>
      </c>
      <c r="L21">
        <f>H21/G21</f>
        <v>0.45454545454545453</v>
      </c>
    </row>
    <row r="22" spans="2:12" x14ac:dyDescent="0.25">
      <c r="B22" s="356"/>
      <c r="C22" s="356"/>
      <c r="D22" t="s">
        <v>124</v>
      </c>
      <c r="F22">
        <f t="array" ref="F22:J22">Norm!B21:F21</f>
        <v>59.6</v>
      </c>
      <c r="G22">
        <v>7</v>
      </c>
      <c r="H22">
        <v>3</v>
      </c>
      <c r="I22">
        <v>7</v>
      </c>
      <c r="J22">
        <v>40</v>
      </c>
      <c r="K22">
        <f>G22+H22</f>
        <v>10</v>
      </c>
      <c r="L22">
        <f>H22/G22</f>
        <v>0.42857142857142855</v>
      </c>
    </row>
    <row r="23" spans="2:12" ht="15" customHeight="1" x14ac:dyDescent="0.25">
      <c r="B23" s="356"/>
      <c r="C23" s="356" t="s">
        <v>3</v>
      </c>
      <c r="D23" t="s">
        <v>116</v>
      </c>
      <c r="E23">
        <f>MonthlyAvg!L15</f>
        <v>26</v>
      </c>
      <c r="F23">
        <f t="array" ref="F23:L23">MonthlyAvg!E15:K15</f>
        <v>61.728846153846135</v>
      </c>
      <c r="G23">
        <v>5.2434615384615375</v>
      </c>
      <c r="H23">
        <v>2.7253846153846149</v>
      </c>
      <c r="I23">
        <v>13.21153846153846</v>
      </c>
      <c r="J23">
        <v>27.011538461538461</v>
      </c>
      <c r="K23">
        <v>7.9688461538461528</v>
      </c>
      <c r="L23">
        <v>0.51976820949167457</v>
      </c>
    </row>
    <row r="24" spans="2:12" ht="15" customHeight="1" x14ac:dyDescent="0.25">
      <c r="B24" s="356"/>
      <c r="C24" s="356"/>
      <c r="D24" t="s">
        <v>124</v>
      </c>
      <c r="E24">
        <f>MonthlyAvg!L69</f>
        <v>25</v>
      </c>
      <c r="F24">
        <f t="array" ref="F24:L24">MonthlyAvg!E69:K69</f>
        <v>61.181200000000011</v>
      </c>
      <c r="G24">
        <v>5.9724000000000004</v>
      </c>
      <c r="H24">
        <v>2.9643999999999995</v>
      </c>
      <c r="I24">
        <v>5.2549999999999999</v>
      </c>
      <c r="J24">
        <v>42.910000000000004</v>
      </c>
      <c r="K24">
        <v>8.9367999999999999</v>
      </c>
      <c r="L24">
        <v>0.49634987609671144</v>
      </c>
    </row>
    <row r="25" spans="2:12" ht="15" customHeight="1" x14ac:dyDescent="0.25">
      <c r="B25" s="356"/>
      <c r="C25" s="356" t="s">
        <v>4</v>
      </c>
      <c r="D25" t="s">
        <v>116</v>
      </c>
      <c r="E25">
        <f>MonthlyAvg!L24</f>
        <v>0</v>
      </c>
      <c r="F25">
        <f t="array" ref="F25:L25">MonthlyAvg!E24:K24</f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2:12" ht="15" customHeight="1" x14ac:dyDescent="0.25">
      <c r="B26" s="356"/>
      <c r="C26" s="356"/>
      <c r="D26" t="s">
        <v>124</v>
      </c>
      <c r="E26">
        <f>MonthlyAvg!L78</f>
        <v>1</v>
      </c>
      <c r="F26">
        <f t="array" ref="F26:L26">MonthlyAvg!E78:K78</f>
        <v>58.5</v>
      </c>
      <c r="G26">
        <v>7.6</v>
      </c>
      <c r="H26">
        <v>2.4</v>
      </c>
      <c r="I26">
        <v>3.6</v>
      </c>
      <c r="J26">
        <v>56.2</v>
      </c>
      <c r="K26">
        <v>10</v>
      </c>
      <c r="L26">
        <v>0.31578947368421051</v>
      </c>
    </row>
    <row r="27" spans="2:12" ht="15" customHeight="1" x14ac:dyDescent="0.25">
      <c r="B27" s="356"/>
      <c r="C27" s="356" t="s">
        <v>5</v>
      </c>
      <c r="D27" t="s">
        <v>116</v>
      </c>
      <c r="E27">
        <f>MonthlyAvg!L33</f>
        <v>0</v>
      </c>
      <c r="F27">
        <f t="array" ref="F27:L27">MonthlyAvg!E33:K33</f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ht="15" customHeight="1" x14ac:dyDescent="0.25">
      <c r="B28" s="356"/>
      <c r="C28" s="356"/>
      <c r="D28" t="s">
        <v>124</v>
      </c>
      <c r="E28">
        <f>MonthlyAvg!L87</f>
        <v>17</v>
      </c>
      <c r="F28">
        <f t="array" ref="F28:L28">MonthlyAvg!E87:K87</f>
        <v>60.141176470588242</v>
      </c>
      <c r="G28">
        <v>5.4294117647058826</v>
      </c>
      <c r="H28">
        <v>3.3647058823529412</v>
      </c>
      <c r="I28">
        <v>3.75</v>
      </c>
      <c r="J28">
        <v>43.1875</v>
      </c>
      <c r="K28">
        <v>8.7941176470588243</v>
      </c>
      <c r="L28">
        <v>0.61971830985915488</v>
      </c>
    </row>
    <row r="29" spans="2:12" ht="15" customHeight="1" x14ac:dyDescent="0.25">
      <c r="B29" s="356"/>
      <c r="C29" s="356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356"/>
      <c r="C30" s="356"/>
      <c r="D30" t="s">
        <v>124</v>
      </c>
      <c r="E30">
        <f>MonthlyAvg!L96</f>
        <v>10</v>
      </c>
      <c r="F30">
        <f t="array" ref="F30:L30">MonthlyAvg!E96:K96</f>
        <v>61.2408</v>
      </c>
      <c r="G30">
        <v>6.4019999999999992</v>
      </c>
      <c r="H30">
        <v>1.95</v>
      </c>
      <c r="I30">
        <v>7.8059638905172282</v>
      </c>
      <c r="J30">
        <v>42.40259354053866</v>
      </c>
      <c r="K30">
        <v>8.3519999999999985</v>
      </c>
      <c r="L30">
        <v>0.30459231490159328</v>
      </c>
    </row>
    <row r="31" spans="2:12" ht="15.75" customHeight="1" x14ac:dyDescent="0.25">
      <c r="B31" s="356"/>
      <c r="C31" s="356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356"/>
      <c r="C32" s="356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356"/>
      <c r="C33" s="356" t="s">
        <v>220</v>
      </c>
      <c r="D33" t="s">
        <v>116</v>
      </c>
      <c r="E33">
        <f>MonthlyAvg!L60</f>
        <v>26</v>
      </c>
      <c r="F33">
        <f t="array" ref="F33:L33">MonthlyAvg!E60:K60</f>
        <v>61.728846153846135</v>
      </c>
      <c r="G33">
        <v>5.2434615384615375</v>
      </c>
      <c r="H33">
        <v>2.7253846153846149</v>
      </c>
      <c r="I33">
        <v>13.21153846153846</v>
      </c>
      <c r="J33">
        <v>27.011538461538461</v>
      </c>
      <c r="K33">
        <v>7.9688461538461528</v>
      </c>
      <c r="L33">
        <v>0.51976820949167457</v>
      </c>
    </row>
    <row r="34" spans="2:12" ht="15.75" customHeight="1" x14ac:dyDescent="0.25">
      <c r="B34" s="356"/>
      <c r="C34" s="356"/>
      <c r="D34" t="s">
        <v>124</v>
      </c>
      <c r="E34">
        <f>MonthlyAvg!L114</f>
        <v>53</v>
      </c>
      <c r="F34">
        <f t="array" ref="F34:L34">MonthlyAvg!E114:K114</f>
        <v>60.80826415094338</v>
      </c>
      <c r="G34">
        <v>5.9099999999999984</v>
      </c>
      <c r="H34">
        <v>2.8907547169811312</v>
      </c>
      <c r="I34">
        <v>5.2502050830887725</v>
      </c>
      <c r="J34">
        <v>43.179275221391208</v>
      </c>
      <c r="K34">
        <v>8.80075471698113</v>
      </c>
      <c r="L34">
        <v>0.48912939373623215</v>
      </c>
    </row>
    <row r="35" spans="2:12" ht="15" customHeight="1" x14ac:dyDescent="0.25">
      <c r="B35" s="356"/>
      <c r="C35" s="356"/>
      <c r="D35" s="356"/>
      <c r="E35" s="356"/>
      <c r="F35" s="356"/>
      <c r="G35" s="356"/>
      <c r="H35" s="356"/>
      <c r="I35" s="356"/>
      <c r="J35" s="356"/>
      <c r="K35" s="356"/>
      <c r="L35" s="356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356" t="s">
        <v>104</v>
      </c>
      <c r="C37" s="356" t="s">
        <v>37</v>
      </c>
      <c r="D37" t="s">
        <v>116</v>
      </c>
      <c r="F37">
        <f t="array" ref="F37:J37">Norm!B7:F7</f>
        <v>62.5</v>
      </c>
      <c r="G37">
        <v>3.3</v>
      </c>
      <c r="H37">
        <v>2.2000000000000002</v>
      </c>
      <c r="I37">
        <v>10</v>
      </c>
      <c r="J37">
        <v>10</v>
      </c>
      <c r="K37">
        <f>G37+H37</f>
        <v>5.5</v>
      </c>
      <c r="L37">
        <f>H37/G37</f>
        <v>0.66666666666666674</v>
      </c>
    </row>
    <row r="38" spans="2:12" ht="15.75" customHeight="1" x14ac:dyDescent="0.25">
      <c r="B38" s="356"/>
      <c r="C38" s="356"/>
      <c r="D38" t="s">
        <v>124</v>
      </c>
      <c r="F38">
        <f t="array" ref="F38:J38">Norm!B17:F17</f>
        <v>62.1</v>
      </c>
      <c r="G38">
        <v>3.7</v>
      </c>
      <c r="H38">
        <v>2.5</v>
      </c>
      <c r="I38">
        <v>7</v>
      </c>
      <c r="J38">
        <v>40</v>
      </c>
      <c r="K38">
        <f>G38+H38</f>
        <v>6.2</v>
      </c>
      <c r="L38">
        <f>H38/G38</f>
        <v>0.67567567567567566</v>
      </c>
    </row>
    <row r="39" spans="2:12" ht="16.5" customHeight="1" x14ac:dyDescent="0.25">
      <c r="B39" s="356"/>
      <c r="C39" s="356" t="s">
        <v>3</v>
      </c>
      <c r="D39" t="s">
        <v>116</v>
      </c>
      <c r="E39">
        <f>MonthlyAvg!L16</f>
        <v>17</v>
      </c>
      <c r="F39">
        <f t="array" ref="F39:L39">MonthlyAvg!E16:K16</f>
        <v>62.687058823529405</v>
      </c>
      <c r="G39">
        <v>3.7076470588235297</v>
      </c>
      <c r="H39">
        <v>2.8841176470588237</v>
      </c>
      <c r="I39">
        <v>14.841176470588234</v>
      </c>
      <c r="J39">
        <v>27.147058823529409</v>
      </c>
      <c r="K39">
        <v>6.591764705882353</v>
      </c>
      <c r="L39">
        <v>0.77788354751705535</v>
      </c>
    </row>
    <row r="40" spans="2:12" ht="15.75" customHeight="1" x14ac:dyDescent="0.25">
      <c r="B40" s="356"/>
      <c r="C40" s="356"/>
      <c r="D40" t="s">
        <v>124</v>
      </c>
      <c r="E40">
        <f>MonthlyAvg!L70</f>
        <v>40</v>
      </c>
      <c r="F40">
        <f t="array" ref="F40:L40">MonthlyAvg!E70:K70</f>
        <v>61.983500000000028</v>
      </c>
      <c r="G40">
        <v>4.8312499999999989</v>
      </c>
      <c r="H40">
        <v>2.8647499999999999</v>
      </c>
      <c r="I40">
        <v>4.9137931034482758</v>
      </c>
      <c r="J40">
        <v>39.096551724137932</v>
      </c>
      <c r="K40">
        <v>7.6959999999999988</v>
      </c>
      <c r="L40">
        <v>0.59296248382923689</v>
      </c>
    </row>
    <row r="41" spans="2:12" ht="15" customHeight="1" x14ac:dyDescent="0.25">
      <c r="B41" s="356"/>
      <c r="C41" s="356" t="s">
        <v>4</v>
      </c>
      <c r="D41" t="s">
        <v>116</v>
      </c>
      <c r="E41">
        <f>MonthlyAvg!L25</f>
        <v>63</v>
      </c>
      <c r="F41">
        <f t="array" ref="F41:L41">MonthlyAvg!E25:K25</f>
        <v>61.819047619047623</v>
      </c>
      <c r="G41">
        <v>3.3952380952380952</v>
      </c>
      <c r="H41">
        <v>2.3904761904761904</v>
      </c>
      <c r="I41">
        <v>20.25238095238095</v>
      </c>
      <c r="J41">
        <v>16.111111111111114</v>
      </c>
      <c r="K41">
        <v>5.7857142857142856</v>
      </c>
      <c r="L41">
        <v>0.70406732117812065</v>
      </c>
    </row>
    <row r="42" spans="2:12" ht="15" customHeight="1" x14ac:dyDescent="0.25">
      <c r="B42" s="356"/>
      <c r="C42" s="356"/>
      <c r="D42" t="s">
        <v>124</v>
      </c>
      <c r="E42">
        <f>MonthlyAvg!L79</f>
        <v>69</v>
      </c>
      <c r="F42">
        <f t="array" ref="F42:L42">MonthlyAvg!E79:K79</f>
        <v>61.598550724637683</v>
      </c>
      <c r="G42">
        <v>4.0956521739130443</v>
      </c>
      <c r="H42">
        <v>2.908695652173912</v>
      </c>
      <c r="I42">
        <v>9.2884057971014489</v>
      </c>
      <c r="J42">
        <v>42.018840579710144</v>
      </c>
      <c r="K42">
        <v>7.0043478260869563</v>
      </c>
      <c r="L42">
        <v>0.71019108280254739</v>
      </c>
    </row>
    <row r="43" spans="2:12" ht="15" customHeight="1" x14ac:dyDescent="0.25">
      <c r="B43" s="356"/>
      <c r="C43" s="356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356"/>
      <c r="C44" s="356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356"/>
      <c r="C45" s="356" t="s">
        <v>30</v>
      </c>
      <c r="D45" t="s">
        <v>116</v>
      </c>
      <c r="E45">
        <f>MonthlyAvg!L43</f>
        <v>8</v>
      </c>
      <c r="F45">
        <f t="array" ref="F45:L45">MonthlyAvg!E43:K43</f>
        <v>64.171250000000001</v>
      </c>
      <c r="G45">
        <v>2.38375</v>
      </c>
      <c r="H45">
        <v>1.3149999999999999</v>
      </c>
      <c r="I45">
        <v>3.3741674366674368</v>
      </c>
      <c r="J45">
        <v>11.723541012026619</v>
      </c>
      <c r="K45">
        <v>3.69875</v>
      </c>
      <c r="L45">
        <v>0.55165180912427891</v>
      </c>
    </row>
    <row r="46" spans="2:12" ht="15" customHeight="1" x14ac:dyDescent="0.25">
      <c r="B46" s="356"/>
      <c r="C46" s="356"/>
      <c r="D46" t="s">
        <v>124</v>
      </c>
      <c r="E46">
        <f>MonthlyAvg!L97</f>
        <v>14</v>
      </c>
      <c r="F46">
        <f t="array" ref="F46:L46">MonthlyAvg!E97:K97</f>
        <v>63.085642857142872</v>
      </c>
      <c r="G46">
        <v>3.5171428571428569</v>
      </c>
      <c r="H46">
        <v>1.8800000000000003</v>
      </c>
      <c r="I46">
        <v>7.8998215020864775</v>
      </c>
      <c r="J46">
        <v>41.472684428360239</v>
      </c>
      <c r="K46">
        <v>5.3971428571428568</v>
      </c>
      <c r="L46">
        <v>0.5345247766043868</v>
      </c>
    </row>
    <row r="47" spans="2:12" ht="15" customHeight="1" x14ac:dyDescent="0.25">
      <c r="B47" s="356"/>
      <c r="C47" s="356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356"/>
      <c r="C48" s="356"/>
      <c r="D48" t="s">
        <v>124</v>
      </c>
      <c r="E48">
        <f>MonthlyAvg!L106</f>
        <v>0</v>
      </c>
      <c r="F48">
        <f t="array" ref="F48:L48">MonthlyAvg!E106:K106</f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2:12" ht="15" customHeight="1" x14ac:dyDescent="0.25">
      <c r="B49" s="356"/>
      <c r="C49" s="356" t="s">
        <v>220</v>
      </c>
      <c r="D49" t="s">
        <v>116</v>
      </c>
      <c r="E49">
        <f>MonthlyAvg!L61</f>
        <v>88</v>
      </c>
      <c r="F49">
        <f t="array" ref="F49:L49">MonthlyAvg!E61:K61</f>
        <v>62.200568181818156</v>
      </c>
      <c r="G49">
        <v>3.3636363636363642</v>
      </c>
      <c r="H49">
        <v>2.3880681818181815</v>
      </c>
      <c r="I49">
        <v>17.672651585151591</v>
      </c>
      <c r="J49">
        <v>17.844185546547877</v>
      </c>
      <c r="K49">
        <v>5.7517045454545457</v>
      </c>
      <c r="L49">
        <v>0.70996621621621603</v>
      </c>
    </row>
    <row r="50" spans="2:12" ht="15" customHeight="1" x14ac:dyDescent="0.25">
      <c r="B50" s="356"/>
      <c r="C50" s="356"/>
      <c r="D50" t="s">
        <v>124</v>
      </c>
      <c r="E50">
        <f>MonthlyAvg!L115</f>
        <v>123</v>
      </c>
      <c r="F50">
        <f t="array" ref="F50:L50">MonthlyAvg!E115:K115</f>
        <v>61.893000000000029</v>
      </c>
      <c r="G50">
        <v>4.2690243902439029</v>
      </c>
      <c r="H50">
        <v>2.7773170731707313</v>
      </c>
      <c r="I50">
        <v>7.9821205449036663</v>
      </c>
      <c r="J50">
        <v>41.193906982116459</v>
      </c>
      <c r="K50">
        <v>7.0463414634146346</v>
      </c>
      <c r="L50">
        <v>0.65057418728218008</v>
      </c>
    </row>
    <row r="51" spans="2:12" ht="15.75" customHeight="1" x14ac:dyDescent="0.25"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356" t="s">
        <v>113</v>
      </c>
      <c r="C53" s="356" t="s">
        <v>37</v>
      </c>
      <c r="D53" t="s">
        <v>116</v>
      </c>
      <c r="F53">
        <f t="array" ref="F53:J53">Norm!B8:F8</f>
        <v>62.4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356"/>
      <c r="C54" s="356"/>
      <c r="D54" t="s">
        <v>124</v>
      </c>
      <c r="F54">
        <f t="array" ref="F54:J54">Norm!B18:F18</f>
        <v>61.5</v>
      </c>
      <c r="G54">
        <v>3.8</v>
      </c>
      <c r="H54">
        <v>2.6</v>
      </c>
      <c r="I54">
        <v>7</v>
      </c>
      <c r="J54">
        <v>40</v>
      </c>
      <c r="K54">
        <f>G54+H54</f>
        <v>6.4</v>
      </c>
      <c r="L54">
        <f>H54/G54</f>
        <v>0.68421052631578949</v>
      </c>
    </row>
    <row r="55" spans="2:12" ht="15" customHeight="1" x14ac:dyDescent="0.25">
      <c r="B55" s="356"/>
      <c r="C55" s="356" t="s">
        <v>3</v>
      </c>
      <c r="D55" t="s">
        <v>116</v>
      </c>
      <c r="E55">
        <f>MonthlyAvg!L20</f>
        <v>3</v>
      </c>
      <c r="F55">
        <f t="array" ref="F55:L55">MonthlyAvg!E20:K20</f>
        <v>62.523333333333333</v>
      </c>
      <c r="G55">
        <v>3.4933333333333336</v>
      </c>
      <c r="H55">
        <v>3.3766666666666669</v>
      </c>
      <c r="I55">
        <v>11.666666666666666</v>
      </c>
      <c r="J55">
        <v>28.466666666666669</v>
      </c>
      <c r="K55">
        <v>6.870000000000001</v>
      </c>
      <c r="L55">
        <v>0.96660305343511455</v>
      </c>
    </row>
    <row r="56" spans="2:12" ht="15" customHeight="1" x14ac:dyDescent="0.25">
      <c r="B56" s="356"/>
      <c r="C56" s="356"/>
      <c r="D56" t="s">
        <v>124</v>
      </c>
      <c r="E56">
        <f>MonthlyAvg!L74</f>
        <v>16</v>
      </c>
      <c r="F56">
        <f t="array" ref="F56:L56">MonthlyAvg!E74:K74</f>
        <v>61.643750000000004</v>
      </c>
      <c r="G56">
        <v>5.0143750000000002</v>
      </c>
      <c r="H56">
        <v>3.1937500000000005</v>
      </c>
      <c r="I56">
        <v>3.1</v>
      </c>
      <c r="J56">
        <v>40.289999999999992</v>
      </c>
      <c r="K56">
        <v>8.2081250000000008</v>
      </c>
      <c r="L56">
        <v>0.63691885828243811</v>
      </c>
    </row>
    <row r="57" spans="2:12" ht="15" customHeight="1" x14ac:dyDescent="0.25">
      <c r="B57" s="356"/>
      <c r="C57" s="356" t="s">
        <v>4</v>
      </c>
      <c r="D57" t="s">
        <v>116</v>
      </c>
      <c r="E57">
        <f>MonthlyAvg!L29</f>
        <v>2</v>
      </c>
      <c r="F57">
        <f t="array" ref="F57:L57">MonthlyAvg!E29:K29</f>
        <v>62.9</v>
      </c>
      <c r="G57">
        <v>2.1</v>
      </c>
      <c r="H57">
        <v>2.2000000000000002</v>
      </c>
      <c r="I57">
        <v>13.55</v>
      </c>
      <c r="J57">
        <v>10.899999999999999</v>
      </c>
      <c r="K57">
        <v>4.3000000000000007</v>
      </c>
      <c r="L57">
        <v>1.0476190476190477</v>
      </c>
    </row>
    <row r="58" spans="2:12" ht="15" customHeight="1" x14ac:dyDescent="0.25">
      <c r="B58" s="356"/>
      <c r="C58" s="356"/>
      <c r="D58" t="s">
        <v>124</v>
      </c>
      <c r="E58">
        <f>MonthlyAvg!L83</f>
        <v>6</v>
      </c>
      <c r="F58">
        <f t="array" ref="F58:L58">MonthlyAvg!E83:K83</f>
        <v>60.699999999999996</v>
      </c>
      <c r="G58">
        <v>4.25</v>
      </c>
      <c r="H58">
        <v>3.3833333333333329</v>
      </c>
      <c r="I58">
        <v>8.9166666666666661</v>
      </c>
      <c r="J58">
        <v>42.800000000000004</v>
      </c>
      <c r="K58">
        <v>7.6333333333333329</v>
      </c>
      <c r="L58">
        <v>0.79607843137254886</v>
      </c>
    </row>
    <row r="59" spans="2:12" ht="15" customHeight="1" x14ac:dyDescent="0.25">
      <c r="B59" s="356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356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356"/>
      <c r="C61" s="356" t="s">
        <v>30</v>
      </c>
      <c r="D61" t="s">
        <v>116</v>
      </c>
      <c r="E61">
        <f>MonthlyAvg!L47</f>
        <v>39</v>
      </c>
      <c r="F61">
        <f t="array" ref="F61:L61">MonthlyAvg!E47:K47</f>
        <v>63.594871794871793</v>
      </c>
      <c r="G61">
        <v>3.1387179487179488</v>
      </c>
      <c r="H61">
        <v>1.3782051282051284</v>
      </c>
      <c r="I61">
        <v>2.9187840895902437</v>
      </c>
      <c r="J61">
        <v>14.883514147358527</v>
      </c>
      <c r="K61">
        <v>4.516923076923077</v>
      </c>
      <c r="L61">
        <v>0.43909811289927297</v>
      </c>
    </row>
    <row r="62" spans="2:12" ht="15" customHeight="1" x14ac:dyDescent="0.25">
      <c r="B62" s="356"/>
      <c r="C62" s="356"/>
      <c r="D62" t="s">
        <v>124</v>
      </c>
      <c r="E62">
        <f>MonthlyAvg!L101</f>
        <v>62</v>
      </c>
      <c r="F62">
        <f t="array" ref="F62:L62">MonthlyAvg!E101:K101</f>
        <v>62.5454193548387</v>
      </c>
      <c r="G62">
        <v>4.0753225806451621</v>
      </c>
      <c r="H62">
        <v>2.0264516129032253</v>
      </c>
      <c r="I62">
        <v>6.6232720748856728</v>
      </c>
      <c r="J62">
        <v>45.503411415462864</v>
      </c>
      <c r="K62">
        <v>6.1017741935483869</v>
      </c>
      <c r="L62">
        <v>0.49724937665729979</v>
      </c>
    </row>
    <row r="63" spans="2:12" ht="15.75" customHeight="1" x14ac:dyDescent="0.25">
      <c r="B63" s="356"/>
      <c r="C63" s="356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356"/>
      <c r="C64" s="356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356"/>
      <c r="C65" s="356" t="s">
        <v>220</v>
      </c>
      <c r="D65" t="s">
        <v>116</v>
      </c>
      <c r="E65">
        <f>MonthlyAvg!L65</f>
        <v>44</v>
      </c>
      <c r="F65">
        <f t="array" ref="F65:L65">MonthlyAvg!E65:K65</f>
        <v>63.490227272727246</v>
      </c>
      <c r="G65">
        <v>3.1156818181818182</v>
      </c>
      <c r="H65">
        <v>1.5518181818181818</v>
      </c>
      <c r="I65">
        <v>3.9984677157731698</v>
      </c>
      <c r="J65">
        <v>15.62856935788597</v>
      </c>
      <c r="K65">
        <v>4.6675000000000004</v>
      </c>
      <c r="L65">
        <v>0.49806696330877526</v>
      </c>
    </row>
    <row r="66" spans="2:12" ht="15.75" customHeight="1" x14ac:dyDescent="0.25">
      <c r="B66" s="356"/>
      <c r="C66" s="356"/>
      <c r="D66" t="s">
        <v>124</v>
      </c>
      <c r="E66">
        <f>MonthlyAvg!L119</f>
        <v>84</v>
      </c>
      <c r="F66">
        <f t="array" ref="F66:L66">MonthlyAvg!E119:K119</f>
        <v>62.24185714285715</v>
      </c>
      <c r="G66">
        <v>4.2666666666666666</v>
      </c>
      <c r="H66">
        <v>2.3457142857142856</v>
      </c>
      <c r="I66">
        <v>6.3479854954219448</v>
      </c>
      <c r="J66">
        <v>44.627070612291007</v>
      </c>
      <c r="K66">
        <v>6.6123809523809527</v>
      </c>
      <c r="L66">
        <v>0.54977678571428568</v>
      </c>
    </row>
    <row r="67" spans="2:12" ht="15" customHeight="1" x14ac:dyDescent="0.25">
      <c r="C67" s="356"/>
      <c r="D67" s="356"/>
      <c r="E67" s="356"/>
      <c r="F67" s="356"/>
      <c r="G67" s="356"/>
      <c r="H67" s="356"/>
      <c r="I67" s="356"/>
      <c r="J67" s="356"/>
      <c r="K67" s="356"/>
      <c r="L67" s="356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356" t="s">
        <v>105</v>
      </c>
      <c r="C69" s="356" t="s">
        <v>37</v>
      </c>
      <c r="D69" t="s">
        <v>116</v>
      </c>
      <c r="F69">
        <f t="array" ref="F69:J69">Norm!B6:F6</f>
        <v>62</v>
      </c>
      <c r="G69">
        <v>3.5</v>
      </c>
      <c r="H69">
        <v>3</v>
      </c>
      <c r="I69">
        <v>10</v>
      </c>
      <c r="J69">
        <v>10</v>
      </c>
      <c r="K69">
        <f>G69+H69</f>
        <v>6.5</v>
      </c>
      <c r="L69">
        <f>H69/G69</f>
        <v>0.8571428571428571</v>
      </c>
    </row>
    <row r="70" spans="2:12" x14ac:dyDescent="0.25">
      <c r="B70" s="356"/>
      <c r="C70" s="356"/>
      <c r="D70" t="s">
        <v>124</v>
      </c>
      <c r="F70">
        <f t="array" ref="F70:J70">Norm!B16:F16</f>
        <v>61</v>
      </c>
      <c r="G70">
        <v>3.9</v>
      </c>
      <c r="H70">
        <v>3.6</v>
      </c>
      <c r="I70">
        <v>7</v>
      </c>
      <c r="J70">
        <v>40</v>
      </c>
      <c r="K70">
        <f>G70+H70</f>
        <v>7.5</v>
      </c>
      <c r="L70">
        <f>H70/G70</f>
        <v>0.92307692307692313</v>
      </c>
    </row>
    <row r="71" spans="2:12" ht="15" customHeight="1" x14ac:dyDescent="0.25">
      <c r="B71" s="356"/>
      <c r="C71" s="356" t="s">
        <v>3</v>
      </c>
      <c r="D71" t="s">
        <v>116</v>
      </c>
      <c r="E71">
        <f>MonthlyAvg!L18</f>
        <v>0</v>
      </c>
      <c r="F71">
        <f t="array" ref="F71:L71">MonthlyAvg!E18:K18</f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2:12" ht="15" customHeight="1" x14ac:dyDescent="0.25">
      <c r="B72" s="356"/>
      <c r="C72" s="356"/>
      <c r="D72" t="s">
        <v>124</v>
      </c>
      <c r="E72">
        <f>MonthlyAvg!L72</f>
        <v>0</v>
      </c>
      <c r="F72">
        <f t="array" ref="F72:L72">MonthlyAvg!E117:K117</f>
        <v>60.26428571428572</v>
      </c>
      <c r="G72">
        <v>4.4214285714285708</v>
      </c>
      <c r="H72">
        <v>4.1785714285714288</v>
      </c>
      <c r="I72">
        <v>3.2142857142857144</v>
      </c>
      <c r="J72">
        <v>43.142857142857146</v>
      </c>
      <c r="K72">
        <v>8.6</v>
      </c>
      <c r="L72">
        <v>0.94507269789983861</v>
      </c>
    </row>
    <row r="73" spans="2:12" ht="15" customHeight="1" x14ac:dyDescent="0.25">
      <c r="B73" s="356"/>
      <c r="C73" s="356" t="s">
        <v>4</v>
      </c>
      <c r="D73" t="s">
        <v>116</v>
      </c>
      <c r="E73">
        <f>MonthlyAvg!L27</f>
        <v>0</v>
      </c>
      <c r="F73">
        <f t="array" ref="F73:L73">MonthlyAvg!E27:K27</f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ht="15" customHeight="1" x14ac:dyDescent="0.25">
      <c r="B74" s="356"/>
      <c r="C74" s="356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356"/>
      <c r="C75" s="356" t="s">
        <v>5</v>
      </c>
      <c r="D75" t="s">
        <v>116</v>
      </c>
      <c r="E75">
        <f>MonthlyAvg!L36</f>
        <v>20</v>
      </c>
      <c r="F75">
        <f t="array" ref="F75:L75">MonthlyAvg!E36:K36</f>
        <v>61.355000000000004</v>
      </c>
      <c r="G75">
        <v>3.4649999999999999</v>
      </c>
      <c r="H75">
        <v>3.7</v>
      </c>
      <c r="I75">
        <v>12.8</v>
      </c>
      <c r="J75">
        <v>16.7</v>
      </c>
      <c r="K75">
        <v>7.165</v>
      </c>
      <c r="L75">
        <v>1.067821067821068</v>
      </c>
    </row>
    <row r="76" spans="2:12" ht="15" customHeight="1" x14ac:dyDescent="0.25">
      <c r="B76" s="356"/>
      <c r="C76" s="356"/>
      <c r="D76" t="s">
        <v>124</v>
      </c>
      <c r="E76">
        <f>MonthlyAvg!L90</f>
        <v>14</v>
      </c>
      <c r="F76">
        <f t="array" ref="F76:L76">MonthlyAvg!E90:K90</f>
        <v>60.26428571428572</v>
      </c>
      <c r="G76">
        <v>4.4214285714285708</v>
      </c>
      <c r="H76">
        <v>4.1785714285714288</v>
      </c>
      <c r="I76">
        <v>3.2142857142857144</v>
      </c>
      <c r="J76">
        <v>43.142857142857146</v>
      </c>
      <c r="K76">
        <v>8.6</v>
      </c>
      <c r="L76">
        <v>0.94507269789983861</v>
      </c>
    </row>
    <row r="77" spans="2:12" ht="15" customHeight="1" x14ac:dyDescent="0.25">
      <c r="B77" s="356"/>
      <c r="C77" s="356" t="s">
        <v>30</v>
      </c>
      <c r="D77" t="s">
        <v>116</v>
      </c>
      <c r="E77">
        <f>MonthlyAvg!L45</f>
        <v>0</v>
      </c>
      <c r="F77">
        <f t="array" ref="F77:L77">MonthlyAvg!E45:K45</f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2:12" ht="15" customHeight="1" x14ac:dyDescent="0.25">
      <c r="B78" s="356"/>
      <c r="C78" s="356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356"/>
      <c r="C79" s="356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356"/>
      <c r="C80" s="356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356"/>
      <c r="C81" s="356" t="s">
        <v>220</v>
      </c>
      <c r="D81" t="s">
        <v>116</v>
      </c>
      <c r="E81">
        <f>MonthlyAvg!L63</f>
        <v>20</v>
      </c>
      <c r="F81">
        <f t="array" ref="F81:L81">MonthlyAvg!E63:K63</f>
        <v>61.355000000000004</v>
      </c>
      <c r="G81">
        <v>3.4649999999999999</v>
      </c>
      <c r="H81">
        <v>3.7</v>
      </c>
      <c r="I81">
        <v>12.8</v>
      </c>
      <c r="J81">
        <v>16.7</v>
      </c>
      <c r="K81">
        <v>7.165</v>
      </c>
      <c r="L81">
        <v>1.067821067821068</v>
      </c>
    </row>
    <row r="82" spans="2:12" ht="15" customHeight="1" x14ac:dyDescent="0.25">
      <c r="B82" s="356"/>
      <c r="C82" s="356"/>
      <c r="D82" t="s">
        <v>124</v>
      </c>
      <c r="E82">
        <f>MonthlyAvg!L117</f>
        <v>14</v>
      </c>
      <c r="F82">
        <f t="array" ref="F82:L82">MonthlyAvg!E117:K117</f>
        <v>60.26428571428572</v>
      </c>
      <c r="G82">
        <v>4.4214285714285708</v>
      </c>
      <c r="H82">
        <v>4.1785714285714288</v>
      </c>
      <c r="I82">
        <v>3.2142857142857144</v>
      </c>
      <c r="J82">
        <v>43.142857142857146</v>
      </c>
      <c r="K82">
        <v>8.6</v>
      </c>
      <c r="L82">
        <v>0.94507269789983861</v>
      </c>
    </row>
    <row r="83" spans="2:12" x14ac:dyDescent="0.25">
      <c r="B83" s="356"/>
      <c r="C83" s="356"/>
      <c r="D83" s="356"/>
      <c r="E83" s="356"/>
      <c r="F83" s="356"/>
      <c r="G83" s="356"/>
      <c r="H83" s="356"/>
      <c r="I83" s="356"/>
      <c r="J83" s="356"/>
      <c r="K83" s="356"/>
      <c r="L83" s="356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356" t="s">
        <v>146</v>
      </c>
      <c r="C85" s="356" t="s">
        <v>37</v>
      </c>
      <c r="D85" t="s">
        <v>116</v>
      </c>
    </row>
    <row r="86" spans="2:12" x14ac:dyDescent="0.25">
      <c r="B86" s="356"/>
      <c r="C86" s="356"/>
      <c r="D86" t="s">
        <v>124</v>
      </c>
    </row>
    <row r="87" spans="2:12" ht="15" customHeight="1" x14ac:dyDescent="0.25">
      <c r="B87" s="356"/>
      <c r="C87" s="356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356"/>
      <c r="C88" s="356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356"/>
      <c r="C89" s="356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356"/>
      <c r="C90" s="356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356"/>
      <c r="C91" s="356" t="s">
        <v>5</v>
      </c>
      <c r="D91" t="s">
        <v>116</v>
      </c>
      <c r="E91">
        <f>MonthlyAvg!L35</f>
        <v>14</v>
      </c>
      <c r="F91">
        <f t="array" ref="F91:L91">MonthlyAvg!E35:K35</f>
        <v>62.6357142857143</v>
      </c>
      <c r="G91">
        <v>2.8500000000000005</v>
      </c>
      <c r="H91">
        <v>2.5785714285714287</v>
      </c>
      <c r="I91">
        <v>4.2857142857142856</v>
      </c>
      <c r="J91">
        <v>16.5</v>
      </c>
      <c r="K91">
        <v>5.4285714285714288</v>
      </c>
      <c r="L91">
        <v>0.90476190476190466</v>
      </c>
    </row>
    <row r="92" spans="2:12" ht="15" customHeight="1" x14ac:dyDescent="0.25">
      <c r="B92" s="356"/>
      <c r="C92" s="356"/>
      <c r="D92" t="s">
        <v>124</v>
      </c>
      <c r="E92">
        <f>MonthlyAvg!L89</f>
        <v>21</v>
      </c>
      <c r="F92">
        <f t="array" ref="F92:L92">MonthlyAvg!E89:K89</f>
        <v>62.247619047619047</v>
      </c>
      <c r="G92">
        <v>3.0142857142857147</v>
      </c>
      <c r="H92">
        <v>2.7809523809523813</v>
      </c>
      <c r="I92">
        <v>3.3333333333333335</v>
      </c>
      <c r="J92">
        <v>41.523809523809526</v>
      </c>
      <c r="K92">
        <v>5.795238095238096</v>
      </c>
      <c r="L92">
        <v>0.92259083728278035</v>
      </c>
    </row>
    <row r="93" spans="2:12" ht="15" customHeight="1" x14ac:dyDescent="0.25">
      <c r="B93" s="356"/>
      <c r="C93" s="356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356"/>
      <c r="C94" s="356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356"/>
      <c r="C95" s="356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356"/>
      <c r="C96" s="356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356"/>
      <c r="C97" s="356" t="s">
        <v>220</v>
      </c>
      <c r="D97" t="s">
        <v>116</v>
      </c>
      <c r="E97">
        <f>MonthlyAvg!L62</f>
        <v>14</v>
      </c>
      <c r="F97">
        <f t="array" ref="F97:L97">MonthlyAvg!E62:K62</f>
        <v>62.6357142857143</v>
      </c>
      <c r="G97">
        <v>2.8500000000000005</v>
      </c>
      <c r="H97">
        <v>2.5785714285714287</v>
      </c>
      <c r="I97">
        <v>4.2857142857142856</v>
      </c>
      <c r="J97">
        <v>16.5</v>
      </c>
      <c r="K97">
        <v>5.4285714285714288</v>
      </c>
      <c r="L97">
        <v>0.90476190476190466</v>
      </c>
    </row>
    <row r="98" spans="2:12" ht="15.75" customHeight="1" x14ac:dyDescent="0.25">
      <c r="B98" s="356"/>
      <c r="C98" s="356"/>
      <c r="D98" t="s">
        <v>124</v>
      </c>
      <c r="E98">
        <f>MonthlyAvg!L116</f>
        <v>21</v>
      </c>
      <c r="F98">
        <f t="array" ref="F98:L98">MonthlyAvg!E116:K116</f>
        <v>62.247619047619047</v>
      </c>
      <c r="G98">
        <v>3.0142857142857147</v>
      </c>
      <c r="H98">
        <v>2.7809523809523813</v>
      </c>
      <c r="I98">
        <v>3.3333333333333335</v>
      </c>
      <c r="J98">
        <v>41.523809523809526</v>
      </c>
      <c r="K98">
        <v>5.795238095238096</v>
      </c>
      <c r="L98">
        <v>0.92259083728278035</v>
      </c>
    </row>
    <row r="99" spans="2:12" ht="15" customHeight="1" x14ac:dyDescent="0.25">
      <c r="B99" s="356"/>
      <c r="C99" s="356"/>
      <c r="D99" s="356"/>
      <c r="E99" s="356"/>
      <c r="F99" s="356"/>
      <c r="G99" s="356"/>
      <c r="H99" s="356"/>
      <c r="I99" s="356"/>
      <c r="J99" s="356"/>
      <c r="K99" s="356"/>
      <c r="L99" s="356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356" t="s">
        <v>106</v>
      </c>
      <c r="C101" s="356" t="s">
        <v>37</v>
      </c>
      <c r="D101" t="s">
        <v>116</v>
      </c>
      <c r="F101">
        <f t="array" ref="F101:J101">Norm!B9:F9</f>
        <v>63</v>
      </c>
      <c r="G101">
        <v>2.5</v>
      </c>
      <c r="H101">
        <v>2.2999999999999998</v>
      </c>
      <c r="I101">
        <v>5</v>
      </c>
      <c r="J101">
        <v>10</v>
      </c>
      <c r="K101">
        <f>G101+H101</f>
        <v>4.8</v>
      </c>
      <c r="L101">
        <f>H101/G101</f>
        <v>0.91999999999999993</v>
      </c>
    </row>
    <row r="102" spans="2:12" ht="15.75" customHeight="1" x14ac:dyDescent="0.25">
      <c r="B102" s="356"/>
      <c r="C102" s="356"/>
      <c r="D102" t="s">
        <v>124</v>
      </c>
      <c r="F102">
        <f t="array" ref="F102:J102">Norm!B19:F19</f>
        <v>62.8</v>
      </c>
      <c r="G102">
        <v>2.8</v>
      </c>
      <c r="H102">
        <v>2.4</v>
      </c>
      <c r="I102">
        <v>7</v>
      </c>
      <c r="J102">
        <v>40</v>
      </c>
      <c r="K102">
        <f>G102+H102</f>
        <v>5.1999999999999993</v>
      </c>
      <c r="L102">
        <f>H102/G102</f>
        <v>0.85714285714285721</v>
      </c>
    </row>
    <row r="103" spans="2:12" ht="16.5" customHeight="1" x14ac:dyDescent="0.25">
      <c r="B103" s="356"/>
      <c r="C103" s="356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356"/>
      <c r="C104" s="356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356"/>
      <c r="C105" s="356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356"/>
      <c r="C106" s="356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356"/>
      <c r="C107" s="356" t="s">
        <v>5</v>
      </c>
      <c r="D107" t="s">
        <v>116</v>
      </c>
      <c r="E107">
        <f>MonthlyAvg!L37</f>
        <v>34</v>
      </c>
      <c r="F107">
        <f t="array" ref="F107:L107">MonthlyAvg!E37:K37</f>
        <v>63.173529411764697</v>
      </c>
      <c r="G107">
        <v>2.414705882352941</v>
      </c>
      <c r="H107">
        <v>2.270588235294118</v>
      </c>
      <c r="I107">
        <v>3.0588235294117645</v>
      </c>
      <c r="J107">
        <v>14.647058823529411</v>
      </c>
      <c r="K107">
        <v>4.6852941176470591</v>
      </c>
      <c r="L107">
        <v>0.94031668696711346</v>
      </c>
    </row>
    <row r="108" spans="2:12" ht="15" customHeight="1" x14ac:dyDescent="0.25">
      <c r="B108" s="356"/>
      <c r="C108" s="356"/>
      <c r="D108" t="s">
        <v>124</v>
      </c>
      <c r="E108">
        <f>MonthlyAvg!L91</f>
        <v>52</v>
      </c>
      <c r="F108">
        <f t="array" ref="F108:L108">MonthlyAvg!E91:K91</f>
        <v>62.907692307692351</v>
      </c>
      <c r="G108">
        <v>2.5576923076923075</v>
      </c>
      <c r="H108">
        <v>2.3173076923076925</v>
      </c>
      <c r="I108">
        <v>3.3076923076923075</v>
      </c>
      <c r="J108">
        <v>38.96153846153846</v>
      </c>
      <c r="K108">
        <v>4.875</v>
      </c>
      <c r="L108">
        <v>0.90601503759398516</v>
      </c>
    </row>
    <row r="109" spans="2:12" ht="15" customHeight="1" x14ac:dyDescent="0.25">
      <c r="B109" s="356"/>
      <c r="C109" s="356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356"/>
      <c r="C110" s="356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356"/>
      <c r="C111" s="356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356"/>
      <c r="C112" s="356"/>
      <c r="D112" t="s">
        <v>124</v>
      </c>
      <c r="E112">
        <f>MonthlyAvg!L109</f>
        <v>0</v>
      </c>
      <c r="F112">
        <f t="array" ref="F112:L112">MonthlyAvg!E109:K109</f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2:12" ht="15" customHeight="1" x14ac:dyDescent="0.25">
      <c r="B113" s="356"/>
      <c r="C113" s="356" t="s">
        <v>220</v>
      </c>
      <c r="D113" t="s">
        <v>116</v>
      </c>
      <c r="E113">
        <f>MonthlyAvg!L64</f>
        <v>34</v>
      </c>
      <c r="F113">
        <f t="array" ref="F113:L113">MonthlyAvg!E64:K64</f>
        <v>63.173529411764697</v>
      </c>
      <c r="G113">
        <v>2.414705882352941</v>
      </c>
      <c r="H113">
        <v>2.270588235294118</v>
      </c>
      <c r="I113">
        <v>3.0588235294117645</v>
      </c>
      <c r="J113">
        <v>14.647058823529411</v>
      </c>
      <c r="K113">
        <v>4.6852941176470591</v>
      </c>
      <c r="L113">
        <v>0.94031668696711346</v>
      </c>
    </row>
    <row r="114" spans="2:12" ht="15" customHeight="1" x14ac:dyDescent="0.25">
      <c r="B114" s="356"/>
      <c r="C114" s="356"/>
      <c r="D114" t="s">
        <v>124</v>
      </c>
      <c r="E114">
        <f>MonthlyAvg!L118</f>
        <v>52</v>
      </c>
      <c r="F114">
        <f t="array" ref="F114:L114">MonthlyAvg!E118:K118</f>
        <v>62.907692307692351</v>
      </c>
      <c r="G114">
        <v>2.5576923076923075</v>
      </c>
      <c r="H114">
        <v>2.3173076923076925</v>
      </c>
      <c r="I114">
        <v>3.3076923076923075</v>
      </c>
      <c r="J114">
        <v>38.96153846153846</v>
      </c>
      <c r="K114">
        <v>4.875</v>
      </c>
      <c r="L114">
        <v>0.90601503759398516</v>
      </c>
    </row>
    <row r="115" spans="2:12" ht="15.75" customHeight="1" x14ac:dyDescent="0.25">
      <c r="B115" s="356"/>
      <c r="C115" s="356"/>
      <c r="D115" s="356"/>
      <c r="E115" s="356"/>
      <c r="F115" s="356"/>
      <c r="G115" s="356"/>
      <c r="H115" s="356"/>
      <c r="I115" s="356"/>
      <c r="J115" s="356"/>
      <c r="K115" s="356"/>
      <c r="L115" s="356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356" t="s">
        <v>112</v>
      </c>
      <c r="C117" s="356" t="s">
        <v>37</v>
      </c>
      <c r="D117" t="s">
        <v>116</v>
      </c>
      <c r="F117">
        <f t="array" ref="F117:J117">Norm!B15:F15</f>
        <v>62.8</v>
      </c>
      <c r="G117">
        <v>3</v>
      </c>
      <c r="H117">
        <v>2.75</v>
      </c>
      <c r="I117">
        <v>10</v>
      </c>
      <c r="J117">
        <v>10</v>
      </c>
    </row>
    <row r="118" spans="2:12" ht="15" customHeight="1" x14ac:dyDescent="0.25">
      <c r="B118" s="356"/>
      <c r="C118" s="356"/>
      <c r="D118" t="s">
        <v>124</v>
      </c>
      <c r="F118">
        <f t="array" ref="F118:J118">Norm!B25:F25</f>
        <v>62.2</v>
      </c>
      <c r="G118">
        <v>3.25</v>
      </c>
      <c r="H118">
        <v>3</v>
      </c>
      <c r="I118">
        <v>5</v>
      </c>
      <c r="J118">
        <v>40</v>
      </c>
    </row>
    <row r="119" spans="2:12" ht="15" customHeight="1" x14ac:dyDescent="0.25">
      <c r="B119" s="356"/>
      <c r="C119" s="356" t="s">
        <v>3</v>
      </c>
      <c r="D119" t="s">
        <v>116</v>
      </c>
      <c r="E119">
        <f>MonthlyAvg!L21</f>
        <v>2</v>
      </c>
      <c r="F119">
        <f t="array" ref="F119:L119">MonthlyAvg!E21:K21</f>
        <v>63.6</v>
      </c>
      <c r="G119">
        <v>2.8149999999999999</v>
      </c>
      <c r="H119">
        <v>2.27</v>
      </c>
      <c r="I119">
        <v>7.1499999999999995</v>
      </c>
      <c r="J119">
        <v>10.050000000000001</v>
      </c>
      <c r="K119">
        <v>5.085</v>
      </c>
      <c r="L119">
        <v>0.80639431616341029</v>
      </c>
    </row>
    <row r="120" spans="2:12" ht="15" customHeight="1" x14ac:dyDescent="0.25">
      <c r="B120" s="356"/>
      <c r="C120" s="356"/>
      <c r="D120" t="s">
        <v>124</v>
      </c>
      <c r="E120">
        <f>MonthlyAvg!L75</f>
        <v>0</v>
      </c>
      <c r="F120">
        <f t="array" ref="F120:L120">MonthlyAvg!E75:K75</f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2:12" ht="15" customHeight="1" x14ac:dyDescent="0.25">
      <c r="B121" s="356"/>
      <c r="C121" s="356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356"/>
      <c r="C122" s="356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356"/>
      <c r="C123" s="356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356"/>
      <c r="C124" s="356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356"/>
      <c r="C125" s="356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356"/>
      <c r="C126" s="356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356"/>
      <c r="C127" s="356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356"/>
      <c r="C128" s="356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356"/>
      <c r="C129" s="356" t="s">
        <v>220</v>
      </c>
      <c r="D129" t="s">
        <v>116</v>
      </c>
      <c r="E129">
        <f>MonthlyAvg!L66</f>
        <v>2</v>
      </c>
      <c r="F129">
        <f t="array" ref="F129:L129">MonthlyAvg!E66:K66</f>
        <v>63.6</v>
      </c>
      <c r="G129">
        <v>2.8149999999999999</v>
      </c>
      <c r="H129">
        <v>2.27</v>
      </c>
      <c r="I129">
        <v>7.1499999999999995</v>
      </c>
      <c r="J129">
        <v>10.050000000000001</v>
      </c>
      <c r="K129">
        <v>5.085</v>
      </c>
      <c r="L129">
        <v>0.80639431616341029</v>
      </c>
    </row>
    <row r="130" spans="2:12" ht="15.75" customHeight="1" x14ac:dyDescent="0.25">
      <c r="B130" s="356"/>
      <c r="C130" s="356"/>
      <c r="D130" t="s">
        <v>124</v>
      </c>
      <c r="E130">
        <f>MonthlyAvg!L120</f>
        <v>0</v>
      </c>
      <c r="F130">
        <f t="array" ref="F130:L130">MonthlyAvg!E120:K120</f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</sheetData>
  <mergeCells count="74"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abSelected="1" topLeftCell="A4" workbookViewId="0">
      <selection activeCell="E14" sqref="E14:I14"/>
    </sheetView>
  </sheetViews>
  <sheetFormatPr defaultRowHeight="12.5" x14ac:dyDescent="0.25"/>
  <cols>
    <col min="1" max="1" width="8.7265625" style="135"/>
    <col min="2" max="2" width="6.453125" bestFit="1" customWidth="1"/>
    <col min="3" max="3" width="5.54296875" bestFit="1" customWidth="1"/>
    <col min="4" max="4" width="12.36328125" hidden="1" customWidth="1"/>
    <col min="5" max="6" width="5.36328125" bestFit="1" customWidth="1"/>
    <col min="7" max="7" width="7.08984375" bestFit="1" customWidth="1"/>
    <col min="8" max="9" width="5.36328125" bestFit="1" customWidth="1"/>
    <col min="10" max="10" width="25.453125" bestFit="1" customWidth="1"/>
    <col min="11" max="11" width="23.1796875" bestFit="1" customWidth="1"/>
  </cols>
  <sheetData>
    <row r="11" spans="1:12" x14ac:dyDescent="0.25">
      <c r="C11" s="356"/>
      <c r="D11" s="356"/>
      <c r="E11" s="356"/>
      <c r="F11" s="356"/>
      <c r="G11" s="356"/>
      <c r="H11" s="356"/>
      <c r="I11" s="356"/>
      <c r="J11" s="356"/>
    </row>
    <row r="13" spans="1:12" x14ac:dyDescent="0.25">
      <c r="A13" s="136" t="s">
        <v>8</v>
      </c>
      <c r="B13" s="134" t="s">
        <v>16</v>
      </c>
      <c r="C13" s="134" t="s">
        <v>7</v>
      </c>
      <c r="D13" s="134" t="s">
        <v>17</v>
      </c>
      <c r="E13" s="134" t="s">
        <v>18</v>
      </c>
      <c r="F13" s="134" t="s">
        <v>19</v>
      </c>
      <c r="G13" s="134" t="s">
        <v>20</v>
      </c>
      <c r="H13" s="134" t="s">
        <v>21</v>
      </c>
      <c r="I13" s="134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s="136" t="s">
        <v>0</v>
      </c>
      <c r="B14" s="134" t="s">
        <v>3</v>
      </c>
      <c r="C14" s="134" t="s">
        <v>27</v>
      </c>
      <c r="D14" s="134"/>
      <c r="E14" s="134">
        <v>62.399565217391299</v>
      </c>
      <c r="F14" s="134">
        <v>4.3113043478260868</v>
      </c>
      <c r="G14" s="134">
        <v>2.6991304347826088</v>
      </c>
      <c r="H14" s="134">
        <v>13.052173913043477</v>
      </c>
      <c r="I14" s="134">
        <v>28.326086956521745</v>
      </c>
      <c r="J14">
        <v>7.0104347826086961</v>
      </c>
      <c r="K14">
        <v>0.62605889471561116</v>
      </c>
      <c r="L14">
        <v>23</v>
      </c>
    </row>
    <row r="15" spans="1:12" x14ac:dyDescent="0.25">
      <c r="A15" s="136" t="s">
        <v>0</v>
      </c>
      <c r="B15" s="134" t="s">
        <v>3</v>
      </c>
      <c r="C15" s="134" t="s">
        <v>2</v>
      </c>
      <c r="D15" s="134"/>
      <c r="E15" s="134">
        <v>61.728846153846135</v>
      </c>
      <c r="F15" s="134">
        <v>5.2434615384615375</v>
      </c>
      <c r="G15" s="134">
        <v>2.7253846153846149</v>
      </c>
      <c r="H15" s="134">
        <v>13.21153846153846</v>
      </c>
      <c r="I15" s="134">
        <v>27.011538461538461</v>
      </c>
      <c r="J15">
        <v>7.9688461538461528</v>
      </c>
      <c r="K15">
        <v>0.51976820949167457</v>
      </c>
      <c r="L15">
        <v>26</v>
      </c>
    </row>
    <row r="16" spans="1:12" x14ac:dyDescent="0.25">
      <c r="A16" t="s">
        <v>0</v>
      </c>
      <c r="B16" t="s">
        <v>3</v>
      </c>
      <c r="C16" t="s">
        <v>11</v>
      </c>
      <c r="E16">
        <v>62.687058823529405</v>
      </c>
      <c r="F16">
        <v>3.7076470588235297</v>
      </c>
      <c r="G16">
        <v>2.8841176470588237</v>
      </c>
      <c r="H16">
        <v>14.841176470588234</v>
      </c>
      <c r="I16">
        <v>27.147058823529409</v>
      </c>
      <c r="J16">
        <v>6.591764705882353</v>
      </c>
      <c r="K16">
        <v>0.77788354751705535</v>
      </c>
      <c r="L16">
        <v>17</v>
      </c>
    </row>
    <row r="17" spans="1:12" x14ac:dyDescent="0.25">
      <c r="A17" t="s">
        <v>0</v>
      </c>
      <c r="B17" t="s">
        <v>3</v>
      </c>
      <c r="C17" t="s">
        <v>146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25">
      <c r="A20" s="136" t="s">
        <v>0</v>
      </c>
      <c r="B20" s="134" t="s">
        <v>3</v>
      </c>
      <c r="C20" s="134" t="s">
        <v>9</v>
      </c>
      <c r="D20" s="134"/>
      <c r="E20" s="134">
        <v>62.523333333333333</v>
      </c>
      <c r="F20" s="134">
        <v>3.4933333333333336</v>
      </c>
      <c r="G20" s="134">
        <v>3.3766666666666669</v>
      </c>
      <c r="H20" s="134">
        <v>11.666666666666666</v>
      </c>
      <c r="I20" s="134">
        <v>28.466666666666669</v>
      </c>
      <c r="J20">
        <v>6.870000000000001</v>
      </c>
      <c r="K20">
        <v>0.96660305343511455</v>
      </c>
      <c r="L20">
        <v>3</v>
      </c>
    </row>
    <row r="21" spans="1:12" x14ac:dyDescent="0.25">
      <c r="A21" s="136" t="s">
        <v>0</v>
      </c>
      <c r="B21" s="134" t="s">
        <v>3</v>
      </c>
      <c r="C21" s="134" t="s">
        <v>44</v>
      </c>
      <c r="D21" s="134"/>
      <c r="E21" s="134">
        <v>63.6</v>
      </c>
      <c r="F21" s="134">
        <v>2.8149999999999999</v>
      </c>
      <c r="G21" s="134">
        <v>2.27</v>
      </c>
      <c r="H21" s="134">
        <v>7.1499999999999995</v>
      </c>
      <c r="I21" s="134">
        <v>10.050000000000001</v>
      </c>
      <c r="J21">
        <v>5.085</v>
      </c>
      <c r="K21">
        <v>0.80639431616341029</v>
      </c>
      <c r="L21">
        <v>2</v>
      </c>
    </row>
    <row r="22" spans="1:12" x14ac:dyDescent="0.25">
      <c r="A22" t="s">
        <v>0</v>
      </c>
      <c r="B22" t="s">
        <v>3</v>
      </c>
      <c r="C22" t="s">
        <v>48</v>
      </c>
      <c r="E22">
        <v>62.261830985915495</v>
      </c>
      <c r="F22">
        <v>4.4314084507042244</v>
      </c>
      <c r="G22">
        <v>2.7695774647887319</v>
      </c>
      <c r="H22">
        <v>13.314084507042256</v>
      </c>
      <c r="I22">
        <v>27.053521126760572</v>
      </c>
      <c r="J22">
        <v>7.2009859154929563</v>
      </c>
      <c r="K22">
        <v>0.62498808123827987</v>
      </c>
      <c r="L22">
        <v>71</v>
      </c>
    </row>
    <row r="23" spans="1:12" x14ac:dyDescent="0.25">
      <c r="A23" t="s">
        <v>0</v>
      </c>
      <c r="B23" t="s">
        <v>4</v>
      </c>
      <c r="C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25">
      <c r="A25" t="s">
        <v>0</v>
      </c>
      <c r="B25" t="s">
        <v>4</v>
      </c>
      <c r="C25" t="s">
        <v>11</v>
      </c>
      <c r="E25">
        <v>61.819047619047623</v>
      </c>
      <c r="F25">
        <v>3.3952380952380952</v>
      </c>
      <c r="G25">
        <v>2.3904761904761904</v>
      </c>
      <c r="H25">
        <v>20.25238095238095</v>
      </c>
      <c r="I25">
        <v>16.111111111111114</v>
      </c>
      <c r="J25">
        <v>5.7857142857142856</v>
      </c>
      <c r="K25">
        <v>0.70406732117812065</v>
      </c>
      <c r="L25">
        <v>63</v>
      </c>
    </row>
    <row r="26" spans="1:12" x14ac:dyDescent="0.25">
      <c r="A26" t="s">
        <v>0</v>
      </c>
      <c r="B26" t="s">
        <v>4</v>
      </c>
      <c r="C26" t="s">
        <v>146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25">
      <c r="A28" t="s">
        <v>0</v>
      </c>
      <c r="B28" t="s">
        <v>4</v>
      </c>
      <c r="C28" t="s">
        <v>31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s="136" t="s">
        <v>0</v>
      </c>
      <c r="B29" s="134" t="s">
        <v>4</v>
      </c>
      <c r="C29" s="134" t="s">
        <v>9</v>
      </c>
      <c r="D29" s="134"/>
      <c r="E29" s="134">
        <v>62.9</v>
      </c>
      <c r="F29" s="134">
        <v>2.1</v>
      </c>
      <c r="G29" s="134">
        <v>2.2000000000000002</v>
      </c>
      <c r="H29" s="134">
        <v>13.55</v>
      </c>
      <c r="I29" s="134">
        <v>10.899999999999999</v>
      </c>
      <c r="J29">
        <v>4.3000000000000007</v>
      </c>
      <c r="K29">
        <v>1.0476190476190477</v>
      </c>
      <c r="L29">
        <v>2</v>
      </c>
    </row>
    <row r="30" spans="1:12" x14ac:dyDescent="0.25">
      <c r="A30" t="s">
        <v>0</v>
      </c>
      <c r="B30" t="s">
        <v>4</v>
      </c>
      <c r="C30" t="s">
        <v>44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>
        <v>61.852307692307704</v>
      </c>
      <c r="F31">
        <v>3.3553846153846156</v>
      </c>
      <c r="G31">
        <v>2.3846153846153846</v>
      </c>
      <c r="H31">
        <v>20.046153846153842</v>
      </c>
      <c r="I31">
        <v>15.950769230769234</v>
      </c>
      <c r="J31">
        <v>5.74</v>
      </c>
      <c r="K31">
        <v>0.71068317285648774</v>
      </c>
      <c r="L31">
        <v>65</v>
      </c>
    </row>
    <row r="32" spans="1:12" x14ac:dyDescent="0.25">
      <c r="A32" t="s">
        <v>0</v>
      </c>
      <c r="B32" t="s">
        <v>5</v>
      </c>
      <c r="C32" t="s"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>
        <v>62.6357142857143</v>
      </c>
      <c r="F35">
        <v>2.8500000000000005</v>
      </c>
      <c r="G35">
        <v>2.5785714285714287</v>
      </c>
      <c r="H35">
        <v>4.2857142857142856</v>
      </c>
      <c r="I35">
        <v>16.5</v>
      </c>
      <c r="J35">
        <v>5.4285714285714288</v>
      </c>
      <c r="K35">
        <v>0.90476190476190466</v>
      </c>
      <c r="L35">
        <v>14</v>
      </c>
    </row>
    <row r="36" spans="1:12" x14ac:dyDescent="0.25">
      <c r="A36" t="s">
        <v>0</v>
      </c>
      <c r="B36" t="s">
        <v>5</v>
      </c>
      <c r="C36" t="s">
        <v>10</v>
      </c>
      <c r="E36">
        <v>61.355000000000004</v>
      </c>
      <c r="F36">
        <v>3.4649999999999999</v>
      </c>
      <c r="G36">
        <v>3.7</v>
      </c>
      <c r="H36">
        <v>12.8</v>
      </c>
      <c r="I36">
        <v>16.7</v>
      </c>
      <c r="J36">
        <v>7.165</v>
      </c>
      <c r="K36">
        <v>1.067821067821068</v>
      </c>
      <c r="L36">
        <v>20</v>
      </c>
    </row>
    <row r="37" spans="1:12" x14ac:dyDescent="0.25">
      <c r="A37" t="s">
        <v>0</v>
      </c>
      <c r="B37" t="s">
        <v>5</v>
      </c>
      <c r="C37" t="s">
        <v>31</v>
      </c>
      <c r="E37">
        <v>63.173529411764697</v>
      </c>
      <c r="F37">
        <v>2.414705882352941</v>
      </c>
      <c r="G37">
        <v>2.270588235294118</v>
      </c>
      <c r="H37">
        <v>3.0588235294117645</v>
      </c>
      <c r="I37">
        <v>14.647058823529411</v>
      </c>
      <c r="J37">
        <v>4.6852941176470591</v>
      </c>
      <c r="K37">
        <v>0.94031668696711346</v>
      </c>
      <c r="L37">
        <v>34</v>
      </c>
    </row>
    <row r="38" spans="1:12" x14ac:dyDescent="0.25">
      <c r="A38" t="s">
        <v>0</v>
      </c>
      <c r="B38" t="s">
        <v>5</v>
      </c>
      <c r="C38" t="s">
        <v>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62.527941176470556</v>
      </c>
      <c r="F40">
        <v>2.8132352941176468</v>
      </c>
      <c r="G40">
        <v>2.7544117647058819</v>
      </c>
      <c r="H40">
        <v>6.1764705882352944</v>
      </c>
      <c r="I40">
        <v>15.632352941176471</v>
      </c>
      <c r="J40">
        <v>5.5676470588235283</v>
      </c>
      <c r="K40">
        <v>0.97909043387349703</v>
      </c>
      <c r="L40">
        <v>68</v>
      </c>
    </row>
    <row r="41" spans="1:12" x14ac:dyDescent="0.25">
      <c r="A41" t="s">
        <v>0</v>
      </c>
      <c r="B41" t="s">
        <v>30</v>
      </c>
      <c r="C41" t="s">
        <v>27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64.171250000000001</v>
      </c>
      <c r="F43">
        <v>2.38375</v>
      </c>
      <c r="G43">
        <v>1.3149999999999999</v>
      </c>
      <c r="H43">
        <v>3.3741674366674368</v>
      </c>
      <c r="I43">
        <v>11.723541012026619</v>
      </c>
      <c r="J43">
        <v>3.69875</v>
      </c>
      <c r="K43">
        <v>0.55165180912427891</v>
      </c>
      <c r="L43">
        <v>8</v>
      </c>
    </row>
    <row r="44" spans="1:12" x14ac:dyDescent="0.25">
      <c r="A44" t="s">
        <v>0</v>
      </c>
      <c r="B44" t="s">
        <v>30</v>
      </c>
      <c r="C44" t="s">
        <v>146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 s="136" t="s">
        <v>0</v>
      </c>
      <c r="B47" s="134" t="s">
        <v>30</v>
      </c>
      <c r="C47" s="134" t="s">
        <v>9</v>
      </c>
      <c r="D47" s="134"/>
      <c r="E47" s="134">
        <v>63.594871794871793</v>
      </c>
      <c r="F47" s="134">
        <v>3.1387179487179488</v>
      </c>
      <c r="G47" s="134">
        <v>1.3782051282051284</v>
      </c>
      <c r="H47" s="134">
        <v>2.9187840895902437</v>
      </c>
      <c r="I47" s="134">
        <v>14.883514147358527</v>
      </c>
      <c r="J47">
        <v>4.516923076923077</v>
      </c>
      <c r="K47">
        <v>0.43909811289927297</v>
      </c>
      <c r="L47">
        <v>39</v>
      </c>
    </row>
    <row r="48" spans="1:12" x14ac:dyDescent="0.25">
      <c r="A48" t="s">
        <v>0</v>
      </c>
      <c r="B48" t="s">
        <v>30</v>
      </c>
      <c r="C48" t="s">
        <v>44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63.692978723404238</v>
      </c>
      <c r="F49">
        <v>3.0102127659574474</v>
      </c>
      <c r="G49">
        <v>1.3674468085106382</v>
      </c>
      <c r="H49">
        <v>2.9962961486672124</v>
      </c>
      <c r="I49">
        <v>14.345646379642456</v>
      </c>
      <c r="J49">
        <v>4.3776595744680851</v>
      </c>
      <c r="K49">
        <v>0.4542691546508339</v>
      </c>
      <c r="L49">
        <v>47</v>
      </c>
    </row>
    <row r="50" spans="1:12" x14ac:dyDescent="0.25">
      <c r="A50" t="s">
        <v>0</v>
      </c>
      <c r="B50" t="s">
        <v>60</v>
      </c>
      <c r="C50" t="s">
        <v>27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 t="s">
        <v>0</v>
      </c>
      <c r="B55" t="s">
        <v>60</v>
      </c>
      <c r="C55" t="s">
        <v>31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0</v>
      </c>
      <c r="B56" t="s">
        <v>60</v>
      </c>
      <c r="C56" t="s">
        <v>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0</v>
      </c>
      <c r="B57" t="s">
        <v>60</v>
      </c>
      <c r="C57" t="s">
        <v>44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>
        <v>62.399565217391299</v>
      </c>
      <c r="F59">
        <v>4.3113043478260868</v>
      </c>
      <c r="G59">
        <v>2.6991304347826088</v>
      </c>
      <c r="H59">
        <v>13.052173913043477</v>
      </c>
      <c r="I59">
        <v>28.326086956521745</v>
      </c>
      <c r="J59">
        <v>7.0104347826086961</v>
      </c>
      <c r="K59">
        <v>0.62605889471561116</v>
      </c>
      <c r="L59">
        <v>23</v>
      </c>
    </row>
    <row r="60" spans="1:12" x14ac:dyDescent="0.25">
      <c r="A60" t="s">
        <v>0</v>
      </c>
      <c r="B60" t="s">
        <v>48</v>
      </c>
      <c r="C60" t="s">
        <v>2</v>
      </c>
      <c r="E60">
        <v>61.728846153846135</v>
      </c>
      <c r="F60">
        <v>5.2434615384615375</v>
      </c>
      <c r="G60">
        <v>2.7253846153846149</v>
      </c>
      <c r="H60">
        <v>13.21153846153846</v>
      </c>
      <c r="I60">
        <v>27.011538461538461</v>
      </c>
      <c r="J60">
        <v>7.9688461538461528</v>
      </c>
      <c r="K60">
        <v>0.51976820949167457</v>
      </c>
      <c r="L60">
        <v>26</v>
      </c>
    </row>
    <row r="61" spans="1:12" x14ac:dyDescent="0.25">
      <c r="A61" t="s">
        <v>0</v>
      </c>
      <c r="B61" t="s">
        <v>48</v>
      </c>
      <c r="C61" t="s">
        <v>11</v>
      </c>
      <c r="E61">
        <v>62.200568181818156</v>
      </c>
      <c r="F61">
        <v>3.3636363636363642</v>
      </c>
      <c r="G61">
        <v>2.3880681818181815</v>
      </c>
      <c r="H61">
        <v>17.672651585151591</v>
      </c>
      <c r="I61">
        <v>17.844185546547877</v>
      </c>
      <c r="J61">
        <v>5.7517045454545457</v>
      </c>
      <c r="K61">
        <v>0.70996621621621603</v>
      </c>
      <c r="L61">
        <v>88</v>
      </c>
    </row>
    <row r="62" spans="1:12" x14ac:dyDescent="0.25">
      <c r="A62" t="s">
        <v>0</v>
      </c>
      <c r="B62" t="s">
        <v>48</v>
      </c>
      <c r="C62" t="s">
        <v>146</v>
      </c>
      <c r="E62">
        <v>62.6357142857143</v>
      </c>
      <c r="F62">
        <v>2.8500000000000005</v>
      </c>
      <c r="G62">
        <v>2.5785714285714287</v>
      </c>
      <c r="H62">
        <v>4.2857142857142856</v>
      </c>
      <c r="I62">
        <v>16.5</v>
      </c>
      <c r="J62">
        <v>5.4285714285714288</v>
      </c>
      <c r="K62">
        <v>0.90476190476190466</v>
      </c>
      <c r="L62">
        <v>14</v>
      </c>
    </row>
    <row r="63" spans="1:12" x14ac:dyDescent="0.25">
      <c r="A63" t="s">
        <v>0</v>
      </c>
      <c r="B63" t="s">
        <v>48</v>
      </c>
      <c r="C63" t="s">
        <v>10</v>
      </c>
      <c r="E63">
        <v>61.355000000000004</v>
      </c>
      <c r="F63">
        <v>3.4649999999999999</v>
      </c>
      <c r="G63">
        <v>3.7</v>
      </c>
      <c r="H63">
        <v>12.8</v>
      </c>
      <c r="I63">
        <v>16.7</v>
      </c>
      <c r="J63">
        <v>7.165</v>
      </c>
      <c r="K63">
        <v>1.067821067821068</v>
      </c>
      <c r="L63">
        <v>20</v>
      </c>
    </row>
    <row r="64" spans="1:12" x14ac:dyDescent="0.25">
      <c r="A64" t="s">
        <v>0</v>
      </c>
      <c r="B64" t="s">
        <v>48</v>
      </c>
      <c r="C64" t="s">
        <v>31</v>
      </c>
      <c r="E64">
        <v>63.173529411764697</v>
      </c>
      <c r="F64">
        <v>2.414705882352941</v>
      </c>
      <c r="G64">
        <v>2.270588235294118</v>
      </c>
      <c r="H64">
        <v>3.0588235294117645</v>
      </c>
      <c r="I64">
        <v>14.647058823529411</v>
      </c>
      <c r="J64">
        <v>4.6852941176470591</v>
      </c>
      <c r="K64">
        <v>0.94031668696711346</v>
      </c>
      <c r="L64">
        <v>34</v>
      </c>
    </row>
    <row r="65" spans="1:12" x14ac:dyDescent="0.25">
      <c r="A65" t="s">
        <v>0</v>
      </c>
      <c r="B65" t="s">
        <v>48</v>
      </c>
      <c r="C65" t="s">
        <v>9</v>
      </c>
      <c r="E65">
        <v>63.490227272727246</v>
      </c>
      <c r="F65">
        <v>3.1156818181818182</v>
      </c>
      <c r="G65">
        <v>1.5518181818181818</v>
      </c>
      <c r="H65">
        <v>3.9984677157731698</v>
      </c>
      <c r="I65">
        <v>15.62856935788597</v>
      </c>
      <c r="J65">
        <v>4.6675000000000004</v>
      </c>
      <c r="K65">
        <v>0.49806696330877526</v>
      </c>
      <c r="L65">
        <v>44</v>
      </c>
    </row>
    <row r="66" spans="1:12" x14ac:dyDescent="0.25">
      <c r="A66" t="s">
        <v>0</v>
      </c>
      <c r="B66" t="s">
        <v>48</v>
      </c>
      <c r="C66" t="s">
        <v>44</v>
      </c>
      <c r="E66">
        <v>63.6</v>
      </c>
      <c r="F66">
        <v>2.8149999999999999</v>
      </c>
      <c r="G66">
        <v>2.27</v>
      </c>
      <c r="H66">
        <v>7.1499999999999995</v>
      </c>
      <c r="I66">
        <v>10.050000000000001</v>
      </c>
      <c r="J66">
        <v>5.085</v>
      </c>
      <c r="K66">
        <v>0.80639431616341029</v>
      </c>
      <c r="L66">
        <v>2</v>
      </c>
    </row>
    <row r="67" spans="1:12" x14ac:dyDescent="0.25">
      <c r="A67" t="s">
        <v>0</v>
      </c>
      <c r="B67" t="s">
        <v>48</v>
      </c>
      <c r="C67" t="s">
        <v>48</v>
      </c>
      <c r="E67">
        <v>62.49585657370524</v>
      </c>
      <c r="F67">
        <v>3.448247011952192</v>
      </c>
      <c r="G67">
        <v>2.4032270916334664</v>
      </c>
      <c r="H67">
        <v>11.191736729033302</v>
      </c>
      <c r="I67">
        <v>18.704563266307549</v>
      </c>
      <c r="J67">
        <v>5.8514741035856588</v>
      </c>
      <c r="K67">
        <v>0.69694168755993569</v>
      </c>
      <c r="L67">
        <v>251</v>
      </c>
    </row>
    <row r="68" spans="1:12" x14ac:dyDescent="0.25">
      <c r="A68" s="136" t="s">
        <v>1</v>
      </c>
      <c r="B68" s="134" t="s">
        <v>3</v>
      </c>
      <c r="C68" s="134" t="s">
        <v>27</v>
      </c>
      <c r="D68" s="134"/>
      <c r="E68" s="134">
        <v>61.80187500000001</v>
      </c>
      <c r="F68" s="134">
        <v>5.0418750000000001</v>
      </c>
      <c r="G68" s="134">
        <v>2.9387500000000002</v>
      </c>
      <c r="H68" s="134">
        <v>5.0874999999999995</v>
      </c>
      <c r="I68" s="134">
        <v>38.612499999999997</v>
      </c>
      <c r="J68">
        <v>7.9806249999999999</v>
      </c>
      <c r="K68">
        <v>0.58286847650923523</v>
      </c>
      <c r="L68">
        <v>16</v>
      </c>
    </row>
    <row r="69" spans="1:12" x14ac:dyDescent="0.25">
      <c r="A69" s="136" t="s">
        <v>1</v>
      </c>
      <c r="B69" s="134" t="s">
        <v>3</v>
      </c>
      <c r="C69" s="134" t="s">
        <v>2</v>
      </c>
      <c r="D69" s="134"/>
      <c r="E69" s="134">
        <v>61.181200000000011</v>
      </c>
      <c r="F69" s="134">
        <v>5.9724000000000004</v>
      </c>
      <c r="G69" s="134">
        <v>2.9643999999999995</v>
      </c>
      <c r="H69" s="134">
        <v>5.2549999999999999</v>
      </c>
      <c r="I69" s="134">
        <v>42.910000000000004</v>
      </c>
      <c r="J69">
        <v>8.9367999999999999</v>
      </c>
      <c r="K69">
        <v>0.49634987609671144</v>
      </c>
      <c r="L69">
        <v>25</v>
      </c>
    </row>
    <row r="70" spans="1:12" x14ac:dyDescent="0.25">
      <c r="A70" t="s">
        <v>1</v>
      </c>
      <c r="B70" t="s">
        <v>3</v>
      </c>
      <c r="C70" t="s">
        <v>11</v>
      </c>
      <c r="E70">
        <v>61.983500000000028</v>
      </c>
      <c r="F70">
        <v>4.8312499999999989</v>
      </c>
      <c r="G70">
        <v>2.8647499999999999</v>
      </c>
      <c r="H70">
        <v>4.9137931034482758</v>
      </c>
      <c r="I70">
        <v>39.096551724137932</v>
      </c>
      <c r="J70">
        <v>7.6959999999999988</v>
      </c>
      <c r="K70">
        <v>0.59296248382923689</v>
      </c>
      <c r="L70">
        <v>40</v>
      </c>
    </row>
    <row r="71" spans="1:12" x14ac:dyDescent="0.25">
      <c r="A71" t="s">
        <v>1</v>
      </c>
      <c r="B71" t="s">
        <v>3</v>
      </c>
      <c r="C71" t="s">
        <v>146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 t="s">
        <v>1</v>
      </c>
      <c r="B73" t="s">
        <v>3</v>
      </c>
      <c r="C73" t="s">
        <v>31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s="136" t="s">
        <v>1</v>
      </c>
      <c r="B74" s="134" t="s">
        <v>3</v>
      </c>
      <c r="C74" s="134" t="s">
        <v>9</v>
      </c>
      <c r="D74" s="134"/>
      <c r="E74" s="134">
        <v>61.643750000000004</v>
      </c>
      <c r="F74" s="134">
        <v>5.0143750000000002</v>
      </c>
      <c r="G74" s="134">
        <v>3.1937500000000005</v>
      </c>
      <c r="H74" s="134">
        <v>3.1</v>
      </c>
      <c r="I74" s="134">
        <v>40.289999999999992</v>
      </c>
      <c r="J74">
        <v>8.2081250000000008</v>
      </c>
      <c r="K74">
        <v>0.63691885828243811</v>
      </c>
      <c r="L74">
        <v>16</v>
      </c>
    </row>
    <row r="75" spans="1:12" x14ac:dyDescent="0.25">
      <c r="A75" t="s">
        <v>1</v>
      </c>
      <c r="B75" t="s">
        <v>3</v>
      </c>
      <c r="C75" t="s">
        <v>44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25">
      <c r="A76" t="s">
        <v>1</v>
      </c>
      <c r="B76" t="s">
        <v>3</v>
      </c>
      <c r="C76" t="s">
        <v>48</v>
      </c>
      <c r="E76">
        <v>61.690721649484544</v>
      </c>
      <c r="F76">
        <v>5.190309278350516</v>
      </c>
      <c r="G76">
        <v>2.9569072164948449</v>
      </c>
      <c r="H76">
        <v>4.8000000000000007</v>
      </c>
      <c r="I76">
        <v>40.169333333333313</v>
      </c>
      <c r="J76">
        <v>8.1472164948453614</v>
      </c>
      <c r="K76">
        <v>0.56969769197155662</v>
      </c>
      <c r="L76">
        <v>97</v>
      </c>
    </row>
    <row r="77" spans="1:12" x14ac:dyDescent="0.25">
      <c r="A77" t="s">
        <v>1</v>
      </c>
      <c r="B77" t="s">
        <v>4</v>
      </c>
      <c r="C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s="136" t="s">
        <v>1</v>
      </c>
      <c r="B78" s="134" t="s">
        <v>4</v>
      </c>
      <c r="C78" s="134" t="s">
        <v>2</v>
      </c>
      <c r="D78" s="134"/>
      <c r="E78" s="134">
        <v>58.5</v>
      </c>
      <c r="F78" s="134">
        <v>7.6</v>
      </c>
      <c r="G78" s="134">
        <v>2.4</v>
      </c>
      <c r="H78" s="134">
        <v>3.6</v>
      </c>
      <c r="I78" s="134">
        <v>56.2</v>
      </c>
      <c r="J78">
        <v>10</v>
      </c>
      <c r="K78">
        <v>0.31578947368421051</v>
      </c>
      <c r="L78">
        <v>1</v>
      </c>
    </row>
    <row r="79" spans="1:12" x14ac:dyDescent="0.25">
      <c r="A79" t="s">
        <v>1</v>
      </c>
      <c r="B79" t="s">
        <v>4</v>
      </c>
      <c r="C79" t="s">
        <v>11</v>
      </c>
      <c r="E79">
        <v>61.598550724637683</v>
      </c>
      <c r="F79">
        <v>4.0956521739130443</v>
      </c>
      <c r="G79">
        <v>2.908695652173912</v>
      </c>
      <c r="H79">
        <v>9.2884057971014489</v>
      </c>
      <c r="I79">
        <v>42.018840579710144</v>
      </c>
      <c r="J79">
        <v>7.0043478260869563</v>
      </c>
      <c r="K79">
        <v>0.71019108280254739</v>
      </c>
      <c r="L79">
        <v>69</v>
      </c>
    </row>
    <row r="80" spans="1:12" x14ac:dyDescent="0.25">
      <c r="A80" t="s">
        <v>1</v>
      </c>
      <c r="B80" t="s">
        <v>4</v>
      </c>
      <c r="C80" t="s">
        <v>146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s="136" t="s">
        <v>1</v>
      </c>
      <c r="B83" s="134" t="s">
        <v>4</v>
      </c>
      <c r="C83" s="134" t="s">
        <v>9</v>
      </c>
      <c r="D83" s="134"/>
      <c r="E83" s="134">
        <v>60.699999999999996</v>
      </c>
      <c r="F83" s="134">
        <v>4.25</v>
      </c>
      <c r="G83" s="134">
        <v>3.3833333333333329</v>
      </c>
      <c r="H83" s="134">
        <v>8.9166666666666661</v>
      </c>
      <c r="I83" s="134">
        <v>42.800000000000004</v>
      </c>
      <c r="J83">
        <v>7.6333333333333329</v>
      </c>
      <c r="K83">
        <v>0.79607843137254886</v>
      </c>
      <c r="L83">
        <v>6</v>
      </c>
    </row>
    <row r="84" spans="1:12" x14ac:dyDescent="0.25">
      <c r="A84" t="s">
        <v>1</v>
      </c>
      <c r="B84" t="s">
        <v>4</v>
      </c>
      <c r="C84" t="s">
        <v>44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>
        <v>61.486842105263172</v>
      </c>
      <c r="F85">
        <v>4.1539473684210542</v>
      </c>
      <c r="G85">
        <v>2.9394736842105251</v>
      </c>
      <c r="H85">
        <v>9.1842105263157894</v>
      </c>
      <c r="I85">
        <v>42.267105263157895</v>
      </c>
      <c r="J85">
        <v>7.0934210526315793</v>
      </c>
      <c r="K85">
        <v>0.7076338295850485</v>
      </c>
      <c r="L85">
        <v>76</v>
      </c>
    </row>
    <row r="86" spans="1:12" x14ac:dyDescent="0.25">
      <c r="A86" s="136" t="s">
        <v>1</v>
      </c>
      <c r="B86" s="134" t="s">
        <v>5</v>
      </c>
      <c r="C86" s="134" t="s">
        <v>27</v>
      </c>
      <c r="D86" s="134"/>
      <c r="E86" s="134">
        <v>60.445454545454531</v>
      </c>
      <c r="F86" s="134">
        <v>5.2999999999999989</v>
      </c>
      <c r="G86" s="134">
        <v>3.0909090909090908</v>
      </c>
      <c r="H86" s="134">
        <v>7.3636363636363633</v>
      </c>
      <c r="I86" s="134">
        <v>44.545454545454547</v>
      </c>
      <c r="J86">
        <v>8.3909090909090907</v>
      </c>
      <c r="K86">
        <v>0.58319039451114929</v>
      </c>
      <c r="L86">
        <v>11</v>
      </c>
    </row>
    <row r="87" spans="1:12" x14ac:dyDescent="0.25">
      <c r="A87" s="136" t="s">
        <v>1</v>
      </c>
      <c r="B87" s="134" t="s">
        <v>5</v>
      </c>
      <c r="C87" s="134" t="s">
        <v>2</v>
      </c>
      <c r="D87" s="134"/>
      <c r="E87" s="134">
        <v>60.141176470588242</v>
      </c>
      <c r="F87" s="134">
        <v>5.4294117647058826</v>
      </c>
      <c r="G87" s="134">
        <v>3.3647058823529412</v>
      </c>
      <c r="H87" s="134">
        <v>3.75</v>
      </c>
      <c r="I87" s="134">
        <v>43.1875</v>
      </c>
      <c r="J87">
        <v>8.7941176470588243</v>
      </c>
      <c r="K87">
        <v>0.61971830985915488</v>
      </c>
      <c r="L87">
        <v>17</v>
      </c>
    </row>
    <row r="88" spans="1:12" x14ac:dyDescent="0.25">
      <c r="A88" t="s">
        <v>1</v>
      </c>
      <c r="B88" t="s">
        <v>5</v>
      </c>
      <c r="C88" t="s">
        <v>11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>
        <v>62.247619047619047</v>
      </c>
      <c r="F89">
        <v>3.0142857142857147</v>
      </c>
      <c r="G89">
        <v>2.7809523809523813</v>
      </c>
      <c r="H89">
        <v>3.3333333333333335</v>
      </c>
      <c r="I89">
        <v>41.523809523809526</v>
      </c>
      <c r="J89">
        <v>5.795238095238096</v>
      </c>
      <c r="K89">
        <v>0.92259083728278035</v>
      </c>
      <c r="L89">
        <v>21</v>
      </c>
    </row>
    <row r="90" spans="1:12" x14ac:dyDescent="0.25">
      <c r="A90" t="s">
        <v>1</v>
      </c>
      <c r="B90" t="s">
        <v>5</v>
      </c>
      <c r="C90" t="s">
        <v>10</v>
      </c>
      <c r="E90">
        <v>60.26428571428572</v>
      </c>
      <c r="F90">
        <v>4.4214285714285708</v>
      </c>
      <c r="G90">
        <v>4.1785714285714288</v>
      </c>
      <c r="H90">
        <v>3.2142857142857144</v>
      </c>
      <c r="I90">
        <v>43.142857142857146</v>
      </c>
      <c r="J90">
        <v>8.6</v>
      </c>
      <c r="K90">
        <v>0.94507269789983861</v>
      </c>
      <c r="L90">
        <v>14</v>
      </c>
    </row>
    <row r="91" spans="1:12" x14ac:dyDescent="0.25">
      <c r="A91" t="s">
        <v>1</v>
      </c>
      <c r="B91" t="s">
        <v>5</v>
      </c>
      <c r="C91" t="s">
        <v>31</v>
      </c>
      <c r="E91">
        <v>62.907692307692351</v>
      </c>
      <c r="F91">
        <v>2.5576923076923075</v>
      </c>
      <c r="G91">
        <v>2.3173076923076925</v>
      </c>
      <c r="H91">
        <v>3.3076923076923075</v>
      </c>
      <c r="I91">
        <v>38.96153846153846</v>
      </c>
      <c r="J91">
        <v>4.875</v>
      </c>
      <c r="K91">
        <v>0.90601503759398516</v>
      </c>
      <c r="L91">
        <v>52</v>
      </c>
    </row>
    <row r="92" spans="1:12" x14ac:dyDescent="0.25">
      <c r="A92" t="s">
        <v>1</v>
      </c>
      <c r="B92" t="s">
        <v>5</v>
      </c>
      <c r="C92" t="s">
        <v>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>
        <v>61.820869565217414</v>
      </c>
      <c r="F94">
        <v>3.5547826086956524</v>
      </c>
      <c r="G94">
        <v>2.8573913043478263</v>
      </c>
      <c r="H94">
        <v>3.7543859649122808</v>
      </c>
      <c r="I94">
        <v>41.078947368421055</v>
      </c>
      <c r="J94">
        <v>6.4121739130434783</v>
      </c>
      <c r="K94">
        <v>0.80381604696673192</v>
      </c>
      <c r="L94">
        <v>115</v>
      </c>
    </row>
    <row r="95" spans="1:12" x14ac:dyDescent="0.25">
      <c r="A95" t="s">
        <v>1</v>
      </c>
      <c r="B95" t="s">
        <v>30</v>
      </c>
      <c r="C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s="136" t="s">
        <v>1</v>
      </c>
      <c r="B96" s="134" t="s">
        <v>30</v>
      </c>
      <c r="C96" s="134" t="s">
        <v>2</v>
      </c>
      <c r="D96" s="134"/>
      <c r="E96" s="134">
        <v>61.2408</v>
      </c>
      <c r="F96" s="134">
        <v>6.4019999999999992</v>
      </c>
      <c r="G96" s="134">
        <v>1.95</v>
      </c>
      <c r="H96" s="134">
        <v>7.8059638905172282</v>
      </c>
      <c r="I96" s="134">
        <v>42.40259354053866</v>
      </c>
      <c r="J96">
        <v>8.3519999999999985</v>
      </c>
      <c r="K96">
        <v>0.30459231490159328</v>
      </c>
      <c r="L96">
        <v>10</v>
      </c>
    </row>
    <row r="97" spans="1:12" x14ac:dyDescent="0.25">
      <c r="A97" t="s">
        <v>1</v>
      </c>
      <c r="B97" t="s">
        <v>30</v>
      </c>
      <c r="C97" t="s">
        <v>11</v>
      </c>
      <c r="E97">
        <v>63.085642857142872</v>
      </c>
      <c r="F97">
        <v>3.5171428571428569</v>
      </c>
      <c r="G97">
        <v>1.8800000000000003</v>
      </c>
      <c r="H97">
        <v>7.8998215020864775</v>
      </c>
      <c r="I97">
        <v>41.472684428360239</v>
      </c>
      <c r="J97">
        <v>5.3971428571428568</v>
      </c>
      <c r="K97">
        <v>0.5345247766043868</v>
      </c>
      <c r="L97">
        <v>14</v>
      </c>
    </row>
    <row r="98" spans="1:12" x14ac:dyDescent="0.25">
      <c r="A98" t="s">
        <v>1</v>
      </c>
      <c r="B98" t="s">
        <v>30</v>
      </c>
      <c r="C98" t="s">
        <v>146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s="136" t="s">
        <v>1</v>
      </c>
      <c r="B101" s="134" t="s">
        <v>30</v>
      </c>
      <c r="C101" s="134" t="s">
        <v>9</v>
      </c>
      <c r="D101" s="134"/>
      <c r="E101" s="134">
        <v>62.5454193548387</v>
      </c>
      <c r="F101" s="134">
        <v>4.0753225806451621</v>
      </c>
      <c r="G101" s="134">
        <v>2.0264516129032253</v>
      </c>
      <c r="H101" s="134">
        <v>6.6232720748856728</v>
      </c>
      <c r="I101" s="134">
        <v>45.503411415462864</v>
      </c>
      <c r="J101">
        <v>6.1017741935483869</v>
      </c>
      <c r="K101">
        <v>0.49724937665729979</v>
      </c>
      <c r="L101">
        <v>62</v>
      </c>
    </row>
    <row r="102" spans="1:12" x14ac:dyDescent="0.25">
      <c r="A102" t="s">
        <v>1</v>
      </c>
      <c r="B102" t="s">
        <v>30</v>
      </c>
      <c r="C102" t="s">
        <v>44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>
        <v>62.481662790697669</v>
      </c>
      <c r="F103">
        <v>4.2549999999999999</v>
      </c>
      <c r="G103">
        <v>1.9937209302325583</v>
      </c>
      <c r="H103">
        <v>6.9686047508987761</v>
      </c>
      <c r="I103">
        <v>44.486686339082887</v>
      </c>
      <c r="J103">
        <v>6.2487209302325581</v>
      </c>
      <c r="K103">
        <v>0.46855956057169407</v>
      </c>
      <c r="L103">
        <v>86</v>
      </c>
    </row>
    <row r="104" spans="1:12" x14ac:dyDescent="0.25">
      <c r="A104" s="136" t="s">
        <v>1</v>
      </c>
      <c r="B104" s="134" t="s">
        <v>60</v>
      </c>
      <c r="C104" s="134" t="s">
        <v>27</v>
      </c>
      <c r="D104" s="134"/>
      <c r="E104" s="134">
        <v>60.318260869565208</v>
      </c>
      <c r="F104" s="134">
        <v>6.2230434782608706</v>
      </c>
      <c r="G104" s="134">
        <v>3.4926086956521738</v>
      </c>
      <c r="H104" s="134">
        <v>7.4217391304347817</v>
      </c>
      <c r="I104" s="134">
        <v>50.052173913043461</v>
      </c>
      <c r="J104">
        <v>9.7156521739130444</v>
      </c>
      <c r="K104">
        <v>0.56123803535247663</v>
      </c>
      <c r="L104">
        <v>23</v>
      </c>
    </row>
    <row r="105" spans="1:12" x14ac:dyDescent="0.25">
      <c r="A105" t="s">
        <v>1</v>
      </c>
      <c r="B105" t="s">
        <v>60</v>
      </c>
      <c r="C105" t="s">
        <v>2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25">
      <c r="A107" t="s">
        <v>1</v>
      </c>
      <c r="B107" t="s">
        <v>60</v>
      </c>
      <c r="C107" t="s">
        <v>146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</v>
      </c>
      <c r="B108" t="s">
        <v>60</v>
      </c>
      <c r="C108" t="s">
        <v>10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</v>
      </c>
      <c r="B110" t="s">
        <v>60</v>
      </c>
      <c r="C110" t="s">
        <v>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</v>
      </c>
      <c r="B111" t="s">
        <v>60</v>
      </c>
      <c r="C111" t="s">
        <v>44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60.318260869565208</v>
      </c>
      <c r="F112">
        <v>6.2230434782608706</v>
      </c>
      <c r="G112">
        <v>3.4926086956521738</v>
      </c>
      <c r="H112">
        <v>7.4217391304347817</v>
      </c>
      <c r="I112">
        <v>50.052173913043461</v>
      </c>
      <c r="J112">
        <v>9.7156521739130444</v>
      </c>
      <c r="K112">
        <v>0.56123803535247663</v>
      </c>
      <c r="L112">
        <v>23</v>
      </c>
    </row>
    <row r="113" spans="1:12" x14ac:dyDescent="0.25">
      <c r="A113" t="s">
        <v>1</v>
      </c>
      <c r="B113" t="s">
        <v>48</v>
      </c>
      <c r="C113" t="s">
        <v>27</v>
      </c>
      <c r="E113">
        <v>60.821000000000005</v>
      </c>
      <c r="F113">
        <v>5.6420000000000003</v>
      </c>
      <c r="G113">
        <v>3.2269999999999999</v>
      </c>
      <c r="H113">
        <v>6.6620000000000008</v>
      </c>
      <c r="I113">
        <v>45.18</v>
      </c>
      <c r="J113">
        <v>8.8689999999999998</v>
      </c>
      <c r="K113">
        <v>0.57196029776674928</v>
      </c>
      <c r="L113">
        <v>50</v>
      </c>
    </row>
    <row r="114" spans="1:12" x14ac:dyDescent="0.25">
      <c r="A114" t="s">
        <v>1</v>
      </c>
      <c r="B114" t="s">
        <v>48</v>
      </c>
      <c r="C114" t="s">
        <v>2</v>
      </c>
      <c r="E114">
        <v>60.80826415094338</v>
      </c>
      <c r="F114">
        <v>5.9099999999999984</v>
      </c>
      <c r="G114">
        <v>2.8907547169811312</v>
      </c>
      <c r="H114">
        <v>5.2502050830887725</v>
      </c>
      <c r="I114">
        <v>43.179275221391208</v>
      </c>
      <c r="J114">
        <v>8.80075471698113</v>
      </c>
      <c r="K114">
        <v>0.48912939373623215</v>
      </c>
      <c r="L114">
        <v>53</v>
      </c>
    </row>
    <row r="115" spans="1:12" x14ac:dyDescent="0.25">
      <c r="A115" t="s">
        <v>1</v>
      </c>
      <c r="B115" t="s">
        <v>48</v>
      </c>
      <c r="C115" t="s">
        <v>11</v>
      </c>
      <c r="E115">
        <v>61.893000000000029</v>
      </c>
      <c r="F115">
        <v>4.2690243902439029</v>
      </c>
      <c r="G115">
        <v>2.7773170731707313</v>
      </c>
      <c r="H115">
        <v>7.9821205449036663</v>
      </c>
      <c r="I115">
        <v>41.193906982116459</v>
      </c>
      <c r="J115">
        <v>7.0463414634146346</v>
      </c>
      <c r="K115">
        <v>0.65057418728218008</v>
      </c>
      <c r="L115">
        <v>123</v>
      </c>
    </row>
    <row r="116" spans="1:12" x14ac:dyDescent="0.25">
      <c r="A116" t="s">
        <v>1</v>
      </c>
      <c r="B116" t="s">
        <v>48</v>
      </c>
      <c r="C116" t="s">
        <v>146</v>
      </c>
      <c r="E116">
        <v>62.247619047619047</v>
      </c>
      <c r="F116">
        <v>3.0142857142857147</v>
      </c>
      <c r="G116">
        <v>2.7809523809523813</v>
      </c>
      <c r="H116">
        <v>3.3333333333333335</v>
      </c>
      <c r="I116">
        <v>41.523809523809526</v>
      </c>
      <c r="J116">
        <v>5.795238095238096</v>
      </c>
      <c r="K116">
        <v>0.92259083728278035</v>
      </c>
      <c r="L116">
        <v>21</v>
      </c>
    </row>
    <row r="117" spans="1:12" x14ac:dyDescent="0.25">
      <c r="A117" t="s">
        <v>1</v>
      </c>
      <c r="B117" t="s">
        <v>48</v>
      </c>
      <c r="C117" t="s">
        <v>10</v>
      </c>
      <c r="E117">
        <v>60.26428571428572</v>
      </c>
      <c r="F117">
        <v>4.4214285714285708</v>
      </c>
      <c r="G117">
        <v>4.1785714285714288</v>
      </c>
      <c r="H117">
        <v>3.2142857142857144</v>
      </c>
      <c r="I117">
        <v>43.142857142857146</v>
      </c>
      <c r="J117">
        <v>8.6</v>
      </c>
      <c r="K117">
        <v>0.94507269789983861</v>
      </c>
      <c r="L117">
        <v>14</v>
      </c>
    </row>
    <row r="118" spans="1:12" x14ac:dyDescent="0.25">
      <c r="A118" t="s">
        <v>1</v>
      </c>
      <c r="B118" t="s">
        <v>48</v>
      </c>
      <c r="C118" t="s">
        <v>31</v>
      </c>
      <c r="E118">
        <v>62.907692307692351</v>
      </c>
      <c r="F118">
        <v>2.5576923076923075</v>
      </c>
      <c r="G118">
        <v>2.3173076923076925</v>
      </c>
      <c r="H118">
        <v>3.3076923076923075</v>
      </c>
      <c r="I118">
        <v>38.96153846153846</v>
      </c>
      <c r="J118">
        <v>4.875</v>
      </c>
      <c r="K118">
        <v>0.90601503759398516</v>
      </c>
      <c r="L118">
        <v>52</v>
      </c>
    </row>
    <row r="119" spans="1:12" x14ac:dyDescent="0.25">
      <c r="A119" t="s">
        <v>1</v>
      </c>
      <c r="B119" t="s">
        <v>48</v>
      </c>
      <c r="C119" t="s">
        <v>9</v>
      </c>
      <c r="E119">
        <v>62.24185714285715</v>
      </c>
      <c r="F119">
        <v>4.2666666666666666</v>
      </c>
      <c r="G119">
        <v>2.3457142857142856</v>
      </c>
      <c r="H119">
        <v>6.3479854954219448</v>
      </c>
      <c r="I119">
        <v>44.627070612291007</v>
      </c>
      <c r="J119">
        <v>6.6123809523809527</v>
      </c>
      <c r="K119">
        <v>0.54977678571428568</v>
      </c>
      <c r="L119">
        <v>84</v>
      </c>
    </row>
    <row r="120" spans="1:12" x14ac:dyDescent="0.25">
      <c r="A120" t="s">
        <v>1</v>
      </c>
      <c r="B120" t="s">
        <v>48</v>
      </c>
      <c r="C120" t="s">
        <v>44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61.781216624685193</v>
      </c>
      <c r="F121">
        <v>4.3753652392947089</v>
      </c>
      <c r="G121">
        <v>2.7471284634760704</v>
      </c>
      <c r="H121">
        <v>6.0320855844312664</v>
      </c>
      <c r="I121">
        <v>42.47340915818485</v>
      </c>
      <c r="J121">
        <v>7.1224937027707789</v>
      </c>
      <c r="K121">
        <v>0.62786266133953572</v>
      </c>
      <c r="L121">
        <v>397</v>
      </c>
    </row>
  </sheetData>
  <autoFilter ref="A13:L121"/>
  <mergeCells count="1">
    <mergeCell ref="C11:J11"/>
  </mergeCells>
  <pageMargins left="0.2" right="0.2" top="0.75" bottom="0.75" header="0.3" footer="0.3"/>
  <pageSetup paperSize="9" scale="4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C1:AF96"/>
  <sheetViews>
    <sheetView topLeftCell="O68" zoomScale="70" zoomScaleNormal="70" workbookViewId="0">
      <selection activeCell="P60" sqref="P60:AF92"/>
    </sheetView>
  </sheetViews>
  <sheetFormatPr defaultColWidth="9.1796875" defaultRowHeight="14" x14ac:dyDescent="0.3"/>
  <cols>
    <col min="1" max="1" width="9.1796875" style="35"/>
    <col min="2" max="2" width="7.7265625" style="35" customWidth="1"/>
    <col min="3" max="3" width="3.453125" style="35" customWidth="1"/>
    <col min="4" max="4" width="13.1796875" style="39" customWidth="1"/>
    <col min="5" max="5" width="10.1796875" style="35" customWidth="1"/>
    <col min="6" max="6" width="10.54296875" style="35" customWidth="1"/>
    <col min="7" max="9" width="10.26953125" style="35" customWidth="1"/>
    <col min="10" max="10" width="12.81640625" style="35" customWidth="1"/>
    <col min="11" max="11" width="18.6328125" style="35" bestFit="1" customWidth="1"/>
    <col min="12" max="12" width="11.26953125" style="35" customWidth="1"/>
    <col min="13" max="13" width="14.1796875" style="35" customWidth="1"/>
    <col min="14" max="14" width="3.7265625" style="35" customWidth="1"/>
    <col min="15" max="15" width="13.1796875" style="35" customWidth="1"/>
    <col min="16" max="16" width="22.26953125" style="35" customWidth="1"/>
    <col min="17" max="17" width="10.7265625" style="41" customWidth="1"/>
    <col min="18" max="18" width="16.26953125" style="41" bestFit="1" customWidth="1"/>
    <col min="19" max="19" width="10.7265625" style="35" customWidth="1"/>
    <col min="20" max="21" width="10.7265625" style="41" customWidth="1"/>
    <col min="22" max="22" width="12.453125" style="41" customWidth="1"/>
    <col min="23" max="23" width="13" style="41" customWidth="1"/>
    <col min="24" max="24" width="4.26953125" style="35" customWidth="1"/>
    <col min="25" max="25" width="21.26953125" style="35" customWidth="1"/>
    <col min="26" max="28" width="10.7265625" style="41" customWidth="1"/>
    <col min="29" max="29" width="13.7265625" style="41" customWidth="1"/>
    <col min="30" max="30" width="10.7265625" style="41" customWidth="1"/>
    <col min="31" max="31" width="11" style="41" customWidth="1"/>
    <col min="32" max="32" width="14" style="35" customWidth="1"/>
    <col min="33" max="16384" width="9.1796875" style="35"/>
  </cols>
  <sheetData>
    <row r="1" spans="3:18" ht="14.5" thickBot="1" x14ac:dyDescent="0.35"/>
    <row r="2" spans="3:18" ht="20" customHeight="1" x14ac:dyDescent="0.3">
      <c r="L2" s="364">
        <f ca="1">NOW()</f>
        <v>44718.608666435182</v>
      </c>
      <c r="M2" s="364"/>
      <c r="R2" s="93">
        <v>44682</v>
      </c>
    </row>
    <row r="3" spans="3:18" ht="20" customHeight="1" x14ac:dyDescent="0.4">
      <c r="C3" s="365" t="s">
        <v>217</v>
      </c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</row>
    <row r="4" spans="3:18" ht="20" customHeight="1" thickBot="1" x14ac:dyDescent="0.4">
      <c r="C4" s="97"/>
      <c r="D4" s="98"/>
      <c r="E4" s="361">
        <f>$R$2</f>
        <v>44682</v>
      </c>
      <c r="F4" s="362"/>
      <c r="G4" s="362"/>
      <c r="H4" s="362"/>
      <c r="I4" s="362"/>
      <c r="J4" s="362"/>
      <c r="K4" s="363"/>
      <c r="L4" s="97"/>
      <c r="M4" s="97"/>
      <c r="N4" s="36"/>
      <c r="P4" s="357"/>
      <c r="Q4" s="357"/>
      <c r="R4" s="357"/>
    </row>
    <row r="5" spans="3:18" ht="20" customHeight="1" x14ac:dyDescent="0.35">
      <c r="C5" s="100"/>
      <c r="D5" s="101" t="s">
        <v>129</v>
      </c>
      <c r="E5" s="102" t="s">
        <v>130</v>
      </c>
      <c r="F5" s="102" t="s">
        <v>131</v>
      </c>
      <c r="G5" s="102" t="s">
        <v>132</v>
      </c>
      <c r="H5" s="102" t="s">
        <v>171</v>
      </c>
      <c r="I5" s="102" t="s">
        <v>172</v>
      </c>
      <c r="J5" s="102" t="s">
        <v>143</v>
      </c>
      <c r="K5" s="102" t="s">
        <v>133</v>
      </c>
      <c r="L5" s="102" t="s">
        <v>134</v>
      </c>
      <c r="M5" s="103" t="s">
        <v>111</v>
      </c>
      <c r="N5" s="96"/>
    </row>
    <row r="6" spans="3:18" ht="20" customHeight="1" x14ac:dyDescent="0.35">
      <c r="C6" s="104"/>
      <c r="D6" s="38" t="s">
        <v>108</v>
      </c>
      <c r="E6" s="37">
        <f t="array" ref="E6:I6">Norm!J6:N6</f>
        <v>61.72</v>
      </c>
      <c r="F6" s="37">
        <v>4.33</v>
      </c>
      <c r="G6" s="37">
        <v>2.4700000000000002</v>
      </c>
      <c r="H6" s="37">
        <v>10</v>
      </c>
      <c r="I6" s="37">
        <v>10</v>
      </c>
      <c r="J6" s="37">
        <v>0.65</v>
      </c>
      <c r="K6" s="37">
        <v>0.65</v>
      </c>
      <c r="L6" s="37">
        <f>F6+G6</f>
        <v>6.8000000000000007</v>
      </c>
      <c r="M6" s="105">
        <f>G6/F6</f>
        <v>0.57043879907621253</v>
      </c>
      <c r="N6" s="96"/>
    </row>
    <row r="7" spans="3:18" ht="20" customHeight="1" thickBot="1" x14ac:dyDescent="0.4">
      <c r="C7" s="106"/>
      <c r="D7" s="107">
        <f>$E$4</f>
        <v>44682</v>
      </c>
      <c r="E7" s="108">
        <f t="array" ref="E7:I7">MonthlyAvg!E22:I22</f>
        <v>62.261830985915495</v>
      </c>
      <c r="F7" s="108">
        <v>4.4314084507042244</v>
      </c>
      <c r="G7" s="108">
        <v>2.7695774647887319</v>
      </c>
      <c r="H7" s="108">
        <v>13.314084507042256</v>
      </c>
      <c r="I7" s="108">
        <v>27.053521126760572</v>
      </c>
      <c r="J7" s="108">
        <f>MonthlySD!F22</f>
        <v>1.0126856736627898</v>
      </c>
      <c r="K7" s="108">
        <f>MonthlySD!G22</f>
        <v>0.27958866020187745</v>
      </c>
      <c r="L7" s="108">
        <f>F7+G7</f>
        <v>7.2009859154929563</v>
      </c>
      <c r="M7" s="109">
        <f>G7/F7</f>
        <v>0.62498808123827987</v>
      </c>
      <c r="N7" s="96"/>
    </row>
    <row r="8" spans="3:18" ht="20" customHeight="1" thickBot="1" x14ac:dyDescent="0.35">
      <c r="C8" s="110"/>
      <c r="D8" s="366" t="str">
        <f>CONCATENATE(MonthlyAvg!L22, "  Rakes Analysis Report")</f>
        <v>71  Rakes Analysis Report</v>
      </c>
      <c r="E8" s="367"/>
      <c r="F8" s="367"/>
      <c r="G8" s="367"/>
      <c r="H8" s="367"/>
      <c r="I8" s="367"/>
      <c r="J8" s="367"/>
      <c r="K8" s="367"/>
      <c r="L8" s="367"/>
      <c r="M8" s="368"/>
      <c r="N8" s="36"/>
    </row>
    <row r="9" spans="3:18" ht="20" customHeight="1" x14ac:dyDescent="0.35">
      <c r="C9" s="100"/>
      <c r="D9" s="101" t="s">
        <v>135</v>
      </c>
      <c r="E9" s="102" t="s">
        <v>130</v>
      </c>
      <c r="F9" s="102" t="s">
        <v>131</v>
      </c>
      <c r="G9" s="102" t="s">
        <v>132</v>
      </c>
      <c r="H9" s="102" t="s">
        <v>171</v>
      </c>
      <c r="I9" s="102" t="s">
        <v>172</v>
      </c>
      <c r="J9" s="102" t="s">
        <v>143</v>
      </c>
      <c r="K9" s="102" t="s">
        <v>133</v>
      </c>
      <c r="L9" s="102" t="s">
        <v>134</v>
      </c>
      <c r="M9" s="103" t="s">
        <v>111</v>
      </c>
      <c r="N9" s="96"/>
    </row>
    <row r="10" spans="3:18" ht="20" customHeight="1" x14ac:dyDescent="0.35">
      <c r="C10" s="104"/>
      <c r="D10" s="38" t="s">
        <v>108</v>
      </c>
      <c r="E10" s="37">
        <f t="array" ref="E10:I10">Norm!J14:N14</f>
        <v>60.94</v>
      </c>
      <c r="F10" s="37">
        <v>5.15</v>
      </c>
      <c r="G10" s="37">
        <v>2.75</v>
      </c>
      <c r="H10" s="37">
        <v>6.82</v>
      </c>
      <c r="I10" s="37">
        <v>40</v>
      </c>
      <c r="J10" s="37">
        <v>0.65</v>
      </c>
      <c r="K10" s="37">
        <v>0.65</v>
      </c>
      <c r="L10" s="37">
        <f>F10+G10</f>
        <v>7.9</v>
      </c>
      <c r="M10" s="105">
        <f>G10/F10</f>
        <v>0.53398058252427183</v>
      </c>
      <c r="N10" s="96"/>
    </row>
    <row r="11" spans="3:18" ht="20" customHeight="1" thickBot="1" x14ac:dyDescent="0.4">
      <c r="C11" s="106"/>
      <c r="D11" s="107">
        <f>$E$4</f>
        <v>44682</v>
      </c>
      <c r="E11" s="108">
        <f t="array" ref="E11:I11">MonthlyAvg!E76:I76</f>
        <v>61.690721649484544</v>
      </c>
      <c r="F11" s="108">
        <v>5.190309278350516</v>
      </c>
      <c r="G11" s="108">
        <v>2.9569072164948449</v>
      </c>
      <c r="H11" s="108">
        <v>4.8000000000000007</v>
      </c>
      <c r="I11" s="108">
        <v>40.169333333333313</v>
      </c>
      <c r="J11" s="108">
        <f>MonthlySD!F76</f>
        <v>0.60003030063810403</v>
      </c>
      <c r="K11" s="108">
        <f>MonthlySD!G76</f>
        <v>0.2645922996830149</v>
      </c>
      <c r="L11" s="108">
        <f>F11+G11</f>
        <v>8.1472164948453614</v>
      </c>
      <c r="M11" s="109">
        <f>G11/F11</f>
        <v>0.56969769197155662</v>
      </c>
      <c r="N11" s="96"/>
    </row>
    <row r="12" spans="3:18" ht="20" customHeight="1" thickBot="1" x14ac:dyDescent="0.35">
      <c r="C12" s="110"/>
      <c r="D12" s="366" t="str">
        <f>CONCATENATE(MonthlyAvg!L76, "  Rakes Analysis Report")</f>
        <v>97  Rakes Analysis Report</v>
      </c>
      <c r="E12" s="367"/>
      <c r="F12" s="367"/>
      <c r="G12" s="367"/>
      <c r="H12" s="367"/>
      <c r="I12" s="367"/>
      <c r="J12" s="367"/>
      <c r="K12" s="367"/>
      <c r="L12" s="367"/>
      <c r="M12" s="368"/>
      <c r="N12" s="36"/>
    </row>
    <row r="13" spans="3:18" ht="20" customHeight="1" x14ac:dyDescent="0.35">
      <c r="C13" s="100"/>
      <c r="D13" s="101" t="s">
        <v>136</v>
      </c>
      <c r="E13" s="102" t="s">
        <v>130</v>
      </c>
      <c r="F13" s="102" t="s">
        <v>131</v>
      </c>
      <c r="G13" s="102" t="s">
        <v>132</v>
      </c>
      <c r="H13" s="102" t="s">
        <v>171</v>
      </c>
      <c r="I13" s="102" t="s">
        <v>172</v>
      </c>
      <c r="J13" s="102" t="s">
        <v>143</v>
      </c>
      <c r="K13" s="102" t="s">
        <v>133</v>
      </c>
      <c r="L13" s="102" t="s">
        <v>134</v>
      </c>
      <c r="M13" s="103" t="s">
        <v>111</v>
      </c>
      <c r="N13" s="96"/>
    </row>
    <row r="14" spans="3:18" ht="20" customHeight="1" x14ac:dyDescent="0.35">
      <c r="C14" s="104"/>
      <c r="D14" s="38" t="s">
        <v>108</v>
      </c>
      <c r="E14" s="37">
        <f t="array" ref="E14:I14">Norm!J8:N8</f>
        <v>62.5</v>
      </c>
      <c r="F14" s="37">
        <v>3.3</v>
      </c>
      <c r="G14" s="37">
        <v>2.2000000000000002</v>
      </c>
      <c r="H14" s="37">
        <v>10</v>
      </c>
      <c r="I14" s="37">
        <v>10</v>
      </c>
      <c r="J14" s="37">
        <v>0.5</v>
      </c>
      <c r="K14" s="37">
        <v>0.5</v>
      </c>
      <c r="L14" s="37">
        <f>F14+G14</f>
        <v>5.5</v>
      </c>
      <c r="M14" s="105">
        <f>G14/F14</f>
        <v>0.66666666666666674</v>
      </c>
      <c r="N14" s="96"/>
    </row>
    <row r="15" spans="3:18" ht="20" customHeight="1" thickBot="1" x14ac:dyDescent="0.4">
      <c r="C15" s="106"/>
      <c r="D15" s="107">
        <f>$E$4</f>
        <v>44682</v>
      </c>
      <c r="E15" s="108">
        <f t="array" ref="E15:I15">MonthlyAvg!E31:I31</f>
        <v>61.852307692307704</v>
      </c>
      <c r="F15" s="108">
        <v>3.3553846153846156</v>
      </c>
      <c r="G15" s="108">
        <v>2.3846153846153846</v>
      </c>
      <c r="H15" s="108">
        <v>20.046153846153842</v>
      </c>
      <c r="I15" s="108">
        <v>15.950769230769234</v>
      </c>
      <c r="J15" s="108">
        <f>MonthlySD!F31</f>
        <v>1.4705473863104896</v>
      </c>
      <c r="K15" s="108">
        <f>MonthlySD!G31</f>
        <v>0.82295784544812234</v>
      </c>
      <c r="L15" s="108">
        <f>F15+G15</f>
        <v>5.74</v>
      </c>
      <c r="M15" s="109">
        <f>G15/F15</f>
        <v>0.71068317285648774</v>
      </c>
      <c r="N15" s="96"/>
    </row>
    <row r="16" spans="3:18" ht="20" customHeight="1" thickBot="1" x14ac:dyDescent="0.35">
      <c r="C16" s="110"/>
      <c r="D16" s="366" t="str">
        <f>CONCATENATE(MonthlyAvg!L31, "  Rakes Analysis Report")</f>
        <v>65  Rakes Analysis Report</v>
      </c>
      <c r="E16" s="367"/>
      <c r="F16" s="367"/>
      <c r="G16" s="367"/>
      <c r="H16" s="367"/>
      <c r="I16" s="367"/>
      <c r="J16" s="367"/>
      <c r="K16" s="367"/>
      <c r="L16" s="367"/>
      <c r="M16" s="368"/>
      <c r="N16" s="36"/>
    </row>
    <row r="17" spans="3:14" ht="20" customHeight="1" x14ac:dyDescent="0.35">
      <c r="C17" s="100"/>
      <c r="D17" s="101" t="s">
        <v>137</v>
      </c>
      <c r="E17" s="102" t="s">
        <v>130</v>
      </c>
      <c r="F17" s="102" t="s">
        <v>131</v>
      </c>
      <c r="G17" s="102" t="s">
        <v>132</v>
      </c>
      <c r="H17" s="102" t="s">
        <v>171</v>
      </c>
      <c r="I17" s="102" t="s">
        <v>172</v>
      </c>
      <c r="J17" s="102" t="s">
        <v>143</v>
      </c>
      <c r="K17" s="102" t="s">
        <v>133</v>
      </c>
      <c r="L17" s="102" t="s">
        <v>134</v>
      </c>
      <c r="M17" s="103" t="s">
        <v>111</v>
      </c>
      <c r="N17" s="96"/>
    </row>
    <row r="18" spans="3:14" ht="20" customHeight="1" x14ac:dyDescent="0.35">
      <c r="C18" s="104"/>
      <c r="D18" s="38" t="s">
        <v>108</v>
      </c>
      <c r="E18" s="37">
        <f t="array" ref="E18:I18">Norm!J16:N16</f>
        <v>61.75</v>
      </c>
      <c r="F18" s="37">
        <v>4.08</v>
      </c>
      <c r="G18" s="37">
        <v>2.57</v>
      </c>
      <c r="H18" s="37">
        <v>7</v>
      </c>
      <c r="I18" s="37">
        <v>40</v>
      </c>
      <c r="J18" s="37">
        <v>0.5</v>
      </c>
      <c r="K18" s="37">
        <v>0.5</v>
      </c>
      <c r="L18" s="37">
        <f>F18+G18</f>
        <v>6.65</v>
      </c>
      <c r="M18" s="105">
        <f>G18/F18</f>
        <v>0.62990196078431371</v>
      </c>
      <c r="N18" s="96"/>
    </row>
    <row r="19" spans="3:14" ht="20" customHeight="1" thickBot="1" x14ac:dyDescent="0.4">
      <c r="C19" s="106"/>
      <c r="D19" s="107">
        <f>$E$4</f>
        <v>44682</v>
      </c>
      <c r="E19" s="108">
        <f t="array" ref="E19:I19">MonthlyAvg!E85:I85</f>
        <v>61.486842105263172</v>
      </c>
      <c r="F19" s="108">
        <v>4.1539473684210542</v>
      </c>
      <c r="G19" s="108">
        <v>2.9394736842105251</v>
      </c>
      <c r="H19" s="108">
        <v>9.1842105263157894</v>
      </c>
      <c r="I19" s="108">
        <v>42.267105263157895</v>
      </c>
      <c r="J19" s="108">
        <f>MonthlySD!F85</f>
        <v>1.2406923647140067</v>
      </c>
      <c r="K19" s="108">
        <f>MonthlySD!G85</f>
        <v>0.59756817125600836</v>
      </c>
      <c r="L19" s="108">
        <f>F19+G19</f>
        <v>7.0934210526315793</v>
      </c>
      <c r="M19" s="109">
        <f>G19/F19</f>
        <v>0.7076338295850485</v>
      </c>
      <c r="N19" s="96"/>
    </row>
    <row r="20" spans="3:14" ht="20" customHeight="1" thickBot="1" x14ac:dyDescent="0.35">
      <c r="C20" s="110"/>
      <c r="D20" s="366" t="str">
        <f>CONCATENATE(MonthlyAvg!L85, "  Rakes Analysis Report")</f>
        <v>76  Rakes Analysis Report</v>
      </c>
      <c r="E20" s="367"/>
      <c r="F20" s="367"/>
      <c r="G20" s="367"/>
      <c r="H20" s="367"/>
      <c r="I20" s="367"/>
      <c r="J20" s="367"/>
      <c r="K20" s="367"/>
      <c r="L20" s="367"/>
      <c r="M20" s="368"/>
      <c r="N20" s="36"/>
    </row>
    <row r="21" spans="3:14" ht="20" customHeight="1" x14ac:dyDescent="0.35">
      <c r="C21" s="100"/>
      <c r="D21" s="101" t="s">
        <v>142</v>
      </c>
      <c r="E21" s="102" t="s">
        <v>130</v>
      </c>
      <c r="F21" s="102" t="s">
        <v>131</v>
      </c>
      <c r="G21" s="102" t="s">
        <v>132</v>
      </c>
      <c r="H21" s="102" t="s">
        <v>171</v>
      </c>
      <c r="I21" s="102" t="s">
        <v>172</v>
      </c>
      <c r="J21" s="102" t="s">
        <v>143</v>
      </c>
      <c r="K21" s="102" t="s">
        <v>133</v>
      </c>
      <c r="L21" s="102" t="s">
        <v>134</v>
      </c>
      <c r="M21" s="103" t="s">
        <v>111</v>
      </c>
      <c r="N21" s="96"/>
    </row>
    <row r="22" spans="3:14" ht="20" customHeight="1" x14ac:dyDescent="0.35">
      <c r="C22" s="104"/>
      <c r="D22" s="38" t="s">
        <v>108</v>
      </c>
      <c r="E22" s="37">
        <f t="array" ref="E22:I22">Norm!J9:N9</f>
        <v>62.62</v>
      </c>
      <c r="F22" s="37">
        <v>2.96</v>
      </c>
      <c r="G22" s="37">
        <v>2.52</v>
      </c>
      <c r="H22" s="37">
        <v>6.54</v>
      </c>
      <c r="I22" s="37">
        <v>10</v>
      </c>
      <c r="J22" s="37">
        <v>0.5</v>
      </c>
      <c r="K22" s="37">
        <v>0.5</v>
      </c>
      <c r="L22" s="37">
        <f>F22+G22</f>
        <v>5.48</v>
      </c>
      <c r="M22" s="105">
        <f>G22/F22</f>
        <v>0.85135135135135132</v>
      </c>
      <c r="N22" s="96"/>
    </row>
    <row r="23" spans="3:14" ht="20" customHeight="1" thickBot="1" x14ac:dyDescent="0.4">
      <c r="C23" s="106"/>
      <c r="D23" s="107">
        <f>$E$4</f>
        <v>44682</v>
      </c>
      <c r="E23" s="108">
        <f t="array" ref="E23:I23">MonthlyAvg!E40:I40</f>
        <v>62.527941176470556</v>
      </c>
      <c r="F23" s="108">
        <v>2.8132352941176468</v>
      </c>
      <c r="G23" s="108">
        <v>2.7544117647058819</v>
      </c>
      <c r="H23" s="108">
        <v>6.1764705882352944</v>
      </c>
      <c r="I23" s="108">
        <v>15.632352941176471</v>
      </c>
      <c r="J23" s="108">
        <f>MonthlySD!F40</f>
        <v>0.73238608441598552</v>
      </c>
      <c r="K23" s="108">
        <f>MonthlySD!G40</f>
        <v>0.79258387635224903</v>
      </c>
      <c r="L23" s="108">
        <f>F23+G23</f>
        <v>5.5676470588235283</v>
      </c>
      <c r="M23" s="109">
        <f>G23/F23</f>
        <v>0.97909043387349703</v>
      </c>
      <c r="N23" s="96"/>
    </row>
    <row r="24" spans="3:14" ht="20" customHeight="1" thickBot="1" x14ac:dyDescent="0.35">
      <c r="C24" s="110"/>
      <c r="D24" s="366" t="str">
        <f>CONCATENATE(MonthlyAvg!L40, "  Rakes Analysis Report")</f>
        <v>68  Rakes Analysis Report</v>
      </c>
      <c r="E24" s="367"/>
      <c r="F24" s="367"/>
      <c r="G24" s="367"/>
      <c r="H24" s="367"/>
      <c r="I24" s="367"/>
      <c r="J24" s="367"/>
      <c r="K24" s="367"/>
      <c r="L24" s="367"/>
      <c r="M24" s="368"/>
      <c r="N24" s="36"/>
    </row>
    <row r="25" spans="3:14" ht="20" customHeight="1" x14ac:dyDescent="0.35">
      <c r="C25" s="100"/>
      <c r="D25" s="101" t="s">
        <v>201</v>
      </c>
      <c r="E25" s="102" t="s">
        <v>130</v>
      </c>
      <c r="F25" s="102" t="s">
        <v>131</v>
      </c>
      <c r="G25" s="102" t="s">
        <v>132</v>
      </c>
      <c r="H25" s="102" t="s">
        <v>171</v>
      </c>
      <c r="I25" s="102" t="s">
        <v>172</v>
      </c>
      <c r="J25" s="102" t="s">
        <v>143</v>
      </c>
      <c r="K25" s="102" t="s">
        <v>133</v>
      </c>
      <c r="L25" s="102" t="s">
        <v>134</v>
      </c>
      <c r="M25" s="103" t="s">
        <v>111</v>
      </c>
      <c r="N25" s="96"/>
    </row>
    <row r="26" spans="3:14" ht="20" customHeight="1" x14ac:dyDescent="0.35">
      <c r="C26" s="104"/>
      <c r="D26" s="38" t="s">
        <v>108</v>
      </c>
      <c r="E26" s="37">
        <f t="array" ref="E26:I26">Norm!J17:N17</f>
        <v>62.07</v>
      </c>
      <c r="F26" s="37">
        <v>3.66</v>
      </c>
      <c r="G26" s="37">
        <v>2.6</v>
      </c>
      <c r="H26" s="37">
        <v>7</v>
      </c>
      <c r="I26" s="37">
        <v>40</v>
      </c>
      <c r="J26" s="37">
        <v>0.5</v>
      </c>
      <c r="K26" s="37">
        <v>0.5</v>
      </c>
      <c r="L26" s="37">
        <f>F26+G26</f>
        <v>6.26</v>
      </c>
      <c r="M26" s="105">
        <f>G26/F26</f>
        <v>0.7103825136612022</v>
      </c>
      <c r="N26" s="96"/>
    </row>
    <row r="27" spans="3:14" ht="20" customHeight="1" thickBot="1" x14ac:dyDescent="0.4">
      <c r="C27" s="106"/>
      <c r="D27" s="107">
        <f>$E$4</f>
        <v>44682</v>
      </c>
      <c r="E27" s="108">
        <f t="array" ref="E27:I27">MonthlyAvg!E94:J94</f>
        <v>61.820869565217414</v>
      </c>
      <c r="F27" s="108">
        <v>3.5547826086956524</v>
      </c>
      <c r="G27" s="108">
        <v>2.8573913043478263</v>
      </c>
      <c r="H27" s="108">
        <v>3.7543859649122808</v>
      </c>
      <c r="I27" s="108">
        <v>41.078947368421055</v>
      </c>
      <c r="J27" s="108">
        <f>MonthlySD!F126</f>
        <v>1.0597169433391171</v>
      </c>
      <c r="K27" s="108">
        <f>MonthlySD!G94</f>
        <v>0.78024522343661262</v>
      </c>
      <c r="L27" s="108">
        <f>F27+G27</f>
        <v>6.4121739130434783</v>
      </c>
      <c r="M27" s="109">
        <f>G27/F27</f>
        <v>0.80381604696673192</v>
      </c>
      <c r="N27" s="96"/>
    </row>
    <row r="28" spans="3:14" ht="20" customHeight="1" thickBot="1" x14ac:dyDescent="0.35">
      <c r="C28" s="110"/>
      <c r="D28" s="366" t="str">
        <f>CONCATENATE(MonthlyAvg!L94, "  Rakes Analysis Report")</f>
        <v>115  Rakes Analysis Report</v>
      </c>
      <c r="E28" s="367"/>
      <c r="F28" s="367"/>
      <c r="G28" s="367"/>
      <c r="H28" s="367"/>
      <c r="I28" s="367"/>
      <c r="J28" s="367"/>
      <c r="K28" s="367"/>
      <c r="L28" s="367"/>
      <c r="M28" s="368"/>
      <c r="N28" s="36"/>
    </row>
    <row r="29" spans="3:14" ht="20" customHeight="1" x14ac:dyDescent="0.35">
      <c r="C29" s="100"/>
      <c r="D29" s="101" t="s">
        <v>138</v>
      </c>
      <c r="E29" s="102" t="s">
        <v>130</v>
      </c>
      <c r="F29" s="102" t="s">
        <v>131</v>
      </c>
      <c r="G29" s="102" t="s">
        <v>132</v>
      </c>
      <c r="H29" s="102" t="s">
        <v>171</v>
      </c>
      <c r="I29" s="102" t="s">
        <v>172</v>
      </c>
      <c r="J29" s="102" t="s">
        <v>143</v>
      </c>
      <c r="K29" s="102" t="s">
        <v>133</v>
      </c>
      <c r="L29" s="102" t="s">
        <v>134</v>
      </c>
      <c r="M29" s="103" t="s">
        <v>111</v>
      </c>
      <c r="N29" s="96"/>
    </row>
    <row r="30" spans="3:14" ht="20" customHeight="1" x14ac:dyDescent="0.35">
      <c r="C30" s="104"/>
      <c r="D30" s="38" t="s">
        <v>108</v>
      </c>
      <c r="E30" s="37">
        <f t="array" ref="E30:I30">Norm!J10:N10</f>
        <v>62.43</v>
      </c>
      <c r="F30" s="37">
        <v>3.52</v>
      </c>
      <c r="G30" s="37">
        <v>2.2000000000000002</v>
      </c>
      <c r="H30" s="37">
        <v>10</v>
      </c>
      <c r="I30" s="37">
        <v>10</v>
      </c>
      <c r="J30" s="37">
        <v>0.5</v>
      </c>
      <c r="K30" s="37">
        <v>0.5</v>
      </c>
      <c r="L30" s="37">
        <f>F30+G30</f>
        <v>5.7200000000000006</v>
      </c>
      <c r="M30" s="105">
        <f>G30/F30</f>
        <v>0.625</v>
      </c>
      <c r="N30" s="96"/>
    </row>
    <row r="31" spans="3:14" ht="20" customHeight="1" thickBot="1" x14ac:dyDescent="0.4">
      <c r="C31" s="106"/>
      <c r="D31" s="107">
        <f>$E$4</f>
        <v>44682</v>
      </c>
      <c r="E31" s="108">
        <f t="array" ref="E31:I31">MonthlyAvg!E49:I49</f>
        <v>63.692978723404238</v>
      </c>
      <c r="F31" s="108">
        <v>3.0102127659574474</v>
      </c>
      <c r="G31" s="108">
        <v>1.3674468085106382</v>
      </c>
      <c r="H31" s="108">
        <v>2.9962961486672124</v>
      </c>
      <c r="I31" s="108">
        <v>14.345646379642456</v>
      </c>
      <c r="J31" s="108">
        <f>MonthlySD!F49</f>
        <v>1.5647356900874618</v>
      </c>
      <c r="K31" s="108">
        <f>MonthlySD!G49</f>
        <v>0.33307831749818062</v>
      </c>
      <c r="L31" s="108">
        <f>F31+G31</f>
        <v>4.3776595744680851</v>
      </c>
      <c r="M31" s="109">
        <f>+G31/F31</f>
        <v>0.4542691546508339</v>
      </c>
      <c r="N31" s="96"/>
    </row>
    <row r="32" spans="3:14" ht="20" customHeight="1" thickBot="1" x14ac:dyDescent="0.35">
      <c r="C32" s="110"/>
      <c r="D32" s="366" t="str">
        <f>CONCATENATE(MonthlyAvg!L49, "  Rakes Analysis Report")</f>
        <v>47  Rakes Analysis Report</v>
      </c>
      <c r="E32" s="367"/>
      <c r="F32" s="367"/>
      <c r="G32" s="367"/>
      <c r="H32" s="367"/>
      <c r="I32" s="367"/>
      <c r="J32" s="367"/>
      <c r="K32" s="367"/>
      <c r="L32" s="367"/>
      <c r="M32" s="368"/>
      <c r="N32" s="36"/>
    </row>
    <row r="33" spans="3:23" ht="20" customHeight="1" x14ac:dyDescent="0.35">
      <c r="C33" s="100"/>
      <c r="D33" s="101" t="s">
        <v>139</v>
      </c>
      <c r="E33" s="102" t="s">
        <v>130</v>
      </c>
      <c r="F33" s="102" t="s">
        <v>131</v>
      </c>
      <c r="G33" s="102" t="s">
        <v>132</v>
      </c>
      <c r="H33" s="102" t="s">
        <v>171</v>
      </c>
      <c r="I33" s="102" t="s">
        <v>172</v>
      </c>
      <c r="J33" s="102" t="s">
        <v>143</v>
      </c>
      <c r="K33" s="102" t="s">
        <v>133</v>
      </c>
      <c r="L33" s="102" t="s">
        <v>134</v>
      </c>
      <c r="M33" s="103" t="s">
        <v>111</v>
      </c>
      <c r="N33" s="96"/>
    </row>
    <row r="34" spans="3:23" ht="20" customHeight="1" x14ac:dyDescent="0.35">
      <c r="C34" s="104"/>
      <c r="D34" s="38" t="s">
        <v>108</v>
      </c>
      <c r="E34" s="37">
        <f t="array" ref="E34:I34">Norm!J18:N18</f>
        <v>61.36</v>
      </c>
      <c r="F34" s="37">
        <v>4.2300000000000004</v>
      </c>
      <c r="G34" s="37">
        <v>2.64</v>
      </c>
      <c r="H34" s="37">
        <v>7</v>
      </c>
      <c r="I34" s="37">
        <v>40</v>
      </c>
      <c r="J34" s="37">
        <v>0.5</v>
      </c>
      <c r="K34" s="37">
        <v>0.5</v>
      </c>
      <c r="L34" s="37">
        <f>F34+G34</f>
        <v>6.870000000000001</v>
      </c>
      <c r="M34" s="105">
        <f>G34/F34</f>
        <v>0.62411347517730498</v>
      </c>
      <c r="N34" s="96"/>
    </row>
    <row r="35" spans="3:23" ht="20" customHeight="1" thickBot="1" x14ac:dyDescent="0.4">
      <c r="C35" s="106"/>
      <c r="D35" s="107">
        <f>$E$4</f>
        <v>44682</v>
      </c>
      <c r="E35" s="108">
        <f t="array" ref="E35:I35">MonthlyAvg!E103:I103</f>
        <v>62.481662790697669</v>
      </c>
      <c r="F35" s="108">
        <v>4.2549999999999999</v>
      </c>
      <c r="G35" s="108">
        <v>1.9937209302325583</v>
      </c>
      <c r="H35" s="108">
        <v>6.9686047508987761</v>
      </c>
      <c r="I35" s="108">
        <v>44.486686339082887</v>
      </c>
      <c r="J35" s="108">
        <f>MonthlySD!F103</f>
        <v>1.2851063128372375</v>
      </c>
      <c r="K35" s="108">
        <f>MonthlySD!G103</f>
        <v>0.51403604019134097</v>
      </c>
      <c r="L35" s="108">
        <f>F35+G35</f>
        <v>6.2487209302325581</v>
      </c>
      <c r="M35" s="109">
        <f>G35/F35</f>
        <v>0.46855956057169407</v>
      </c>
      <c r="N35" s="96"/>
    </row>
    <row r="36" spans="3:23" ht="20" customHeight="1" thickBot="1" x14ac:dyDescent="0.35">
      <c r="C36" s="110"/>
      <c r="D36" s="366" t="str">
        <f>CONCATENATE(MonthlyAvg!L103, "  Rakes Analysis Report")</f>
        <v>86  Rakes Analysis Report</v>
      </c>
      <c r="E36" s="367"/>
      <c r="F36" s="367"/>
      <c r="G36" s="367"/>
      <c r="H36" s="367"/>
      <c r="I36" s="367"/>
      <c r="J36" s="367"/>
      <c r="K36" s="367"/>
      <c r="L36" s="367"/>
      <c r="M36" s="368"/>
      <c r="N36" s="36"/>
    </row>
    <row r="37" spans="3:23" ht="20" customHeight="1" x14ac:dyDescent="0.35">
      <c r="C37" s="100"/>
      <c r="D37" s="101" t="s">
        <v>140</v>
      </c>
      <c r="E37" s="102" t="s">
        <v>130</v>
      </c>
      <c r="F37" s="102" t="s">
        <v>131</v>
      </c>
      <c r="G37" s="102" t="s">
        <v>132</v>
      </c>
      <c r="H37" s="102" t="s">
        <v>171</v>
      </c>
      <c r="I37" s="102" t="s">
        <v>172</v>
      </c>
      <c r="J37" s="102" t="s">
        <v>143</v>
      </c>
      <c r="K37" s="102" t="s">
        <v>133</v>
      </c>
      <c r="L37" s="102" t="s">
        <v>134</v>
      </c>
      <c r="M37" s="103" t="s">
        <v>111</v>
      </c>
      <c r="N37" s="96"/>
    </row>
    <row r="38" spans="3:23" ht="20" customHeight="1" x14ac:dyDescent="0.35">
      <c r="C38" s="104"/>
      <c r="D38" s="38" t="s">
        <v>108</v>
      </c>
      <c r="E38" s="37">
        <f t="array" ref="E38:I38">Norm!J7:N7</f>
        <v>0</v>
      </c>
      <c r="F38" s="37">
        <v>0</v>
      </c>
      <c r="G38" s="37">
        <v>0</v>
      </c>
      <c r="H38" s="37">
        <v>0</v>
      </c>
      <c r="I38" s="37">
        <v>0</v>
      </c>
      <c r="J38" s="37">
        <v>0.5</v>
      </c>
      <c r="K38" s="37">
        <v>0.5</v>
      </c>
      <c r="L38" s="37">
        <f>F38+G38</f>
        <v>0</v>
      </c>
      <c r="M38" s="105" t="e">
        <f>G38/F38</f>
        <v>#DIV/0!</v>
      </c>
      <c r="N38" s="96"/>
    </row>
    <row r="39" spans="3:23" ht="20" customHeight="1" thickBot="1" x14ac:dyDescent="0.4">
      <c r="C39" s="106"/>
      <c r="D39" s="107">
        <f>$E$4</f>
        <v>44682</v>
      </c>
      <c r="E39" s="108">
        <f t="array" ref="E39:I39">MonthlyAvg!E58:I58</f>
        <v>0</v>
      </c>
      <c r="F39" s="108">
        <v>0</v>
      </c>
      <c r="G39" s="108">
        <v>0</v>
      </c>
      <c r="H39" s="108">
        <v>0</v>
      </c>
      <c r="I39" s="108">
        <v>0</v>
      </c>
      <c r="J39" s="108" t="str">
        <f>MonthlySD!F58</f>
        <v xml:space="preserve"> </v>
      </c>
      <c r="K39" s="108" t="str">
        <f>MonthlySD!G58</f>
        <v xml:space="preserve"> </v>
      </c>
      <c r="L39" s="108">
        <f>F39+G39</f>
        <v>0</v>
      </c>
      <c r="M39" s="109" t="e">
        <f>G39/F39</f>
        <v>#DIV/0!</v>
      </c>
      <c r="N39" s="96"/>
    </row>
    <row r="40" spans="3:23" ht="20" customHeight="1" thickBot="1" x14ac:dyDescent="0.35">
      <c r="C40" s="110"/>
      <c r="D40" s="366" t="str">
        <f>CONCATENATE(MonthlyAvg!L58, "  Rakes Analysis Report")</f>
        <v>0  Rakes Analysis Report</v>
      </c>
      <c r="E40" s="367"/>
      <c r="F40" s="367"/>
      <c r="G40" s="367"/>
      <c r="H40" s="367"/>
      <c r="I40" s="367"/>
      <c r="J40" s="367"/>
      <c r="K40" s="367"/>
      <c r="L40" s="367"/>
      <c r="M40" s="368"/>
      <c r="N40" s="36"/>
    </row>
    <row r="41" spans="3:23" ht="20" customHeight="1" x14ac:dyDescent="0.35">
      <c r="C41" s="100"/>
      <c r="D41" s="101" t="s">
        <v>141</v>
      </c>
      <c r="E41" s="102" t="s">
        <v>130</v>
      </c>
      <c r="F41" s="102" t="s">
        <v>131</v>
      </c>
      <c r="G41" s="102" t="s">
        <v>132</v>
      </c>
      <c r="H41" s="102" t="s">
        <v>171</v>
      </c>
      <c r="I41" s="102" t="s">
        <v>172</v>
      </c>
      <c r="J41" s="102" t="s">
        <v>143</v>
      </c>
      <c r="K41" s="102" t="s">
        <v>133</v>
      </c>
      <c r="L41" s="102" t="s">
        <v>134</v>
      </c>
      <c r="M41" s="103" t="s">
        <v>111</v>
      </c>
      <c r="N41" s="96"/>
    </row>
    <row r="42" spans="3:23" ht="20" customHeight="1" x14ac:dyDescent="0.35">
      <c r="C42" s="104"/>
      <c r="D42" s="38" t="s">
        <v>108</v>
      </c>
      <c r="E42" s="37">
        <f t="array" ref="E42:I42">Norm!J15:N15</f>
        <v>60.53</v>
      </c>
      <c r="F42" s="37">
        <v>5.83</v>
      </c>
      <c r="G42" s="37">
        <v>2.77</v>
      </c>
      <c r="H42" s="37">
        <v>7</v>
      </c>
      <c r="I42" s="37">
        <v>40</v>
      </c>
      <c r="J42" s="37">
        <v>0.5</v>
      </c>
      <c r="K42" s="37">
        <v>0.5</v>
      </c>
      <c r="L42" s="37">
        <f>F42+G42</f>
        <v>8.6</v>
      </c>
      <c r="M42" s="105">
        <f>G42/F42</f>
        <v>0.47512864493996571</v>
      </c>
      <c r="N42" s="96"/>
    </row>
    <row r="43" spans="3:23" ht="20" customHeight="1" thickBot="1" x14ac:dyDescent="0.4">
      <c r="C43" s="106"/>
      <c r="D43" s="107">
        <f>$E$4</f>
        <v>44682</v>
      </c>
      <c r="E43" s="108">
        <f t="array" ref="E43:I43">MonthlyAvg!E112:I112</f>
        <v>60.318260869565208</v>
      </c>
      <c r="F43" s="108">
        <v>6.2230434782608706</v>
      </c>
      <c r="G43" s="108">
        <v>3.4926086956521738</v>
      </c>
      <c r="H43" s="108">
        <v>7.4217391304347817</v>
      </c>
      <c r="I43" s="108">
        <v>50.052173913043461</v>
      </c>
      <c r="J43" s="108">
        <f>MonthlySD!E112</f>
        <v>1.4178365471055898</v>
      </c>
      <c r="K43" s="108">
        <f>MonthlySD!F112</f>
        <v>1.9031300408981928</v>
      </c>
      <c r="L43" s="108">
        <f>G43+F43</f>
        <v>9.7156521739130444</v>
      </c>
      <c r="M43" s="109">
        <f>G43/F43</f>
        <v>0.56123803535247663</v>
      </c>
      <c r="N43" s="96"/>
    </row>
    <row r="44" spans="3:23" ht="20" customHeight="1" x14ac:dyDescent="0.3">
      <c r="C44" s="99"/>
      <c r="D44" s="369" t="str">
        <f>CONCATENATE(MonthlyAvg!L112, "  Rakes Analysis Report")</f>
        <v>23  Rakes Analysis Report</v>
      </c>
      <c r="E44" s="370"/>
      <c r="F44" s="370"/>
      <c r="G44" s="370"/>
      <c r="H44" s="370"/>
      <c r="I44" s="370"/>
      <c r="J44" s="370"/>
      <c r="K44" s="370"/>
      <c r="L44" s="370"/>
      <c r="M44" s="371"/>
      <c r="N44" s="36"/>
    </row>
    <row r="45" spans="3:23" ht="12.5" hidden="1" customHeight="1" x14ac:dyDescent="0.3">
      <c r="D45" s="39" t="s">
        <v>148</v>
      </c>
      <c r="F45" s="35">
        <f>MonthlyAvg!L121+MonthlyAvg!L67</f>
        <v>648</v>
      </c>
      <c r="L45" s="357"/>
      <c r="M45" s="357"/>
    </row>
    <row r="46" spans="3:23" ht="14.5" thickBot="1" x14ac:dyDescent="0.35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</row>
    <row r="47" spans="3:23" x14ac:dyDescent="0.3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P47" s="100"/>
      <c r="Q47" s="112"/>
      <c r="R47" s="112"/>
      <c r="S47" s="113"/>
      <c r="T47" s="112"/>
      <c r="U47" s="112"/>
      <c r="V47" s="112"/>
      <c r="W47" s="114"/>
    </row>
    <row r="48" spans="3:23" x14ac:dyDescent="0.3">
      <c r="P48" s="104"/>
      <c r="Q48" s="111"/>
      <c r="R48" s="111"/>
      <c r="S48" s="36"/>
      <c r="T48" s="111"/>
      <c r="U48" s="111"/>
      <c r="V48" s="111"/>
      <c r="W48" s="115"/>
    </row>
    <row r="49" spans="16:32" ht="16" thickBot="1" x14ac:dyDescent="0.4">
      <c r="P49" s="116"/>
      <c r="Q49" s="117"/>
      <c r="R49" s="117"/>
      <c r="S49" s="118"/>
      <c r="T49" s="117"/>
      <c r="U49" s="117"/>
      <c r="V49" s="117"/>
      <c r="W49" s="119"/>
    </row>
    <row r="50" spans="16:32" x14ac:dyDescent="0.3">
      <c r="P50" s="357"/>
      <c r="Q50" s="357"/>
      <c r="R50" s="357"/>
      <c r="S50" s="357"/>
      <c r="T50" s="357"/>
      <c r="U50" s="357"/>
      <c r="V50" s="357"/>
      <c r="W50" s="357"/>
    </row>
    <row r="60" spans="16:32" ht="19" thickBot="1" x14ac:dyDescent="0.5">
      <c r="P60" s="358" t="s">
        <v>225</v>
      </c>
      <c r="Q60" s="358"/>
      <c r="R60" s="358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60">
        <f ca="1">NOW()</f>
        <v>44718.608666435182</v>
      </c>
      <c r="AF60" s="360"/>
    </row>
    <row r="61" spans="16:32" ht="18.5" x14ac:dyDescent="0.45">
      <c r="P61" s="120" t="s">
        <v>155</v>
      </c>
      <c r="Q61" s="121" t="s">
        <v>130</v>
      </c>
      <c r="R61" s="121" t="s">
        <v>131</v>
      </c>
      <c r="S61" s="122" t="s">
        <v>132</v>
      </c>
      <c r="T61" s="121" t="s">
        <v>171</v>
      </c>
      <c r="U61" s="121" t="s">
        <v>172</v>
      </c>
      <c r="V61" s="121" t="s">
        <v>134</v>
      </c>
      <c r="W61" s="123" t="s">
        <v>111</v>
      </c>
      <c r="X61" s="124"/>
      <c r="Y61" s="120" t="s">
        <v>161</v>
      </c>
      <c r="Z61" s="121" t="s">
        <v>130</v>
      </c>
      <c r="AA61" s="121" t="s">
        <v>131</v>
      </c>
      <c r="AB61" s="122" t="s">
        <v>132</v>
      </c>
      <c r="AC61" s="121" t="s">
        <v>171</v>
      </c>
      <c r="AD61" s="121" t="s">
        <v>172</v>
      </c>
      <c r="AE61" s="121" t="s">
        <v>134</v>
      </c>
      <c r="AF61" s="123" t="s">
        <v>111</v>
      </c>
    </row>
    <row r="62" spans="16:32" ht="18.5" x14ac:dyDescent="0.45">
      <c r="P62" s="125" t="s">
        <v>108</v>
      </c>
      <c r="Q62" s="126">
        <f t="array" ref="Q62:S62">Norm!B10:D10</f>
        <v>61.5</v>
      </c>
      <c r="R62" s="126">
        <v>5</v>
      </c>
      <c r="S62" s="127">
        <v>2.5</v>
      </c>
      <c r="T62" s="126">
        <f>Norm!E10</f>
        <v>10</v>
      </c>
      <c r="U62" s="126">
        <f>Norm!F10</f>
        <v>10</v>
      </c>
      <c r="V62" s="126">
        <f>R62+S62</f>
        <v>7.5</v>
      </c>
      <c r="W62" s="128">
        <f>S62/R62</f>
        <v>0.5</v>
      </c>
      <c r="X62" s="124"/>
      <c r="Y62" s="125" t="s">
        <v>108</v>
      </c>
      <c r="Z62" s="126">
        <f t="array" ref="Z62:AB62">Norm!B22:D22</f>
        <v>62.8</v>
      </c>
      <c r="AA62" s="126">
        <v>2.7</v>
      </c>
      <c r="AB62" s="127">
        <v>2.5</v>
      </c>
      <c r="AC62" s="126">
        <f>Norm!E22</f>
        <v>5</v>
      </c>
      <c r="AD62" s="126">
        <f>Norm!F22</f>
        <v>10</v>
      </c>
      <c r="AE62" s="126">
        <f>AA62+AB62</f>
        <v>5.2</v>
      </c>
      <c r="AF62" s="128">
        <f>AB62/AA62</f>
        <v>0.92592592592592582</v>
      </c>
    </row>
    <row r="63" spans="16:32" ht="19" thickBot="1" x14ac:dyDescent="0.5">
      <c r="P63" s="129">
        <f>$E$4</f>
        <v>44682</v>
      </c>
      <c r="Q63" s="130">
        <f t="array" ref="Q63:S63">MonthlyAvg!E59:G59</f>
        <v>62.399565217391299</v>
      </c>
      <c r="R63" s="130">
        <v>4.3113043478260868</v>
      </c>
      <c r="S63" s="131">
        <v>2.6991304347826088</v>
      </c>
      <c r="T63" s="130">
        <f>MonthlyAvg!H59</f>
        <v>13.052173913043477</v>
      </c>
      <c r="U63" s="130">
        <f>MonthlyAvg!I59</f>
        <v>28.326086956521745</v>
      </c>
      <c r="V63" s="130">
        <f>R63+S63</f>
        <v>7.0104347826086961</v>
      </c>
      <c r="W63" s="132">
        <f>S63/R63</f>
        <v>0.62605889471561116</v>
      </c>
      <c r="X63" s="124"/>
      <c r="Y63" s="129">
        <f>$E$4</f>
        <v>44682</v>
      </c>
      <c r="Z63" s="130">
        <f t="array" ref="Z63:AB63">MonthlyAvg!E62:G62</f>
        <v>62.6357142857143</v>
      </c>
      <c r="AA63" s="130">
        <v>2.8500000000000005</v>
      </c>
      <c r="AB63" s="131">
        <v>2.5785714285714287</v>
      </c>
      <c r="AC63" s="130">
        <f>MonthlyAvg!H62</f>
        <v>4.2857142857142856</v>
      </c>
      <c r="AD63" s="130">
        <f>MonthlyAvg!I62</f>
        <v>16.5</v>
      </c>
      <c r="AE63" s="130">
        <f>AA63+AB63</f>
        <v>5.4285714285714288</v>
      </c>
      <c r="AF63" s="132">
        <f>AB63/AA63</f>
        <v>0.90476190476190466</v>
      </c>
    </row>
    <row r="64" spans="16:32" ht="19" thickBot="1" x14ac:dyDescent="0.5">
      <c r="P64" s="358" t="str">
        <f>+CONCATENATE("BSL-",MonthlyAvg!L14,"; DSP-",MonthlyAvg!L23,"; RSP-",MonthlyAvg!L32, "; ISP-",MonthlyAvg!L41, "; BSP-",MonthlyAvg!L50, ";   TOTAL-",MonthlyAvg!L59)</f>
        <v>BSL-23; DSP-0; RSP-0; ISP-0; BSP-0;   TOTAL-23</v>
      </c>
      <c r="Q64" s="358"/>
      <c r="R64" s="358"/>
      <c r="S64" s="358"/>
      <c r="T64" s="358"/>
      <c r="U64" s="358"/>
      <c r="V64" s="358"/>
      <c r="W64" s="358"/>
      <c r="X64" s="124"/>
      <c r="Y64" s="358" t="str">
        <f>+CONCATENATE("BSL-",MonthlyAvg!L17,"; DSP-",MonthlyAvg!L26,"; RSP-",MonthlyAvg!L35, "; ISP-",MonthlyAvg!L44, "; BSP-",MonthlyAvg!L53, ";   TOTAL-",MonthlyAvg!L62)</f>
        <v>BSL-0; DSP-0; RSP-14; ISP-0; BSP-0;   TOTAL-14</v>
      </c>
      <c r="Z64" s="358"/>
      <c r="AA64" s="358"/>
      <c r="AB64" s="358"/>
      <c r="AC64" s="358"/>
      <c r="AD64" s="358"/>
      <c r="AE64" s="358"/>
      <c r="AF64" s="358"/>
    </row>
    <row r="65" spans="16:32" ht="18.5" x14ac:dyDescent="0.45">
      <c r="P65" s="120" t="s">
        <v>156</v>
      </c>
      <c r="Q65" s="121" t="s">
        <v>130</v>
      </c>
      <c r="R65" s="121" t="s">
        <v>131</v>
      </c>
      <c r="S65" s="122" t="s">
        <v>132</v>
      </c>
      <c r="T65" s="121" t="s">
        <v>171</v>
      </c>
      <c r="U65" s="121" t="s">
        <v>172</v>
      </c>
      <c r="V65" s="121" t="s">
        <v>134</v>
      </c>
      <c r="W65" s="123" t="s">
        <v>111</v>
      </c>
      <c r="X65" s="124"/>
      <c r="Y65" s="120" t="s">
        <v>164</v>
      </c>
      <c r="Z65" s="121" t="s">
        <v>130</v>
      </c>
      <c r="AA65" s="121" t="s">
        <v>131</v>
      </c>
      <c r="AB65" s="122" t="s">
        <v>132</v>
      </c>
      <c r="AC65" s="121" t="s">
        <v>171</v>
      </c>
      <c r="AD65" s="121" t="s">
        <v>172</v>
      </c>
      <c r="AE65" s="121" t="s">
        <v>134</v>
      </c>
      <c r="AF65" s="123" t="s">
        <v>111</v>
      </c>
    </row>
    <row r="66" spans="16:32" ht="18.5" x14ac:dyDescent="0.45">
      <c r="P66" s="125" t="s">
        <v>108</v>
      </c>
      <c r="Q66" s="126">
        <f t="array" ref="Q66:S66">Norm!B20:D20</f>
        <v>60.8</v>
      </c>
      <c r="R66" s="126">
        <v>5.5</v>
      </c>
      <c r="S66" s="127">
        <v>2.7</v>
      </c>
      <c r="T66" s="126">
        <f>Norm!E20</f>
        <v>7</v>
      </c>
      <c r="U66" s="126">
        <f>Norm!F20</f>
        <v>40</v>
      </c>
      <c r="V66" s="126">
        <f>R66+S66</f>
        <v>8.1999999999999993</v>
      </c>
      <c r="W66" s="128">
        <f>S66/R66</f>
        <v>0.49090909090909096</v>
      </c>
      <c r="X66" s="124"/>
      <c r="Y66" s="125" t="s">
        <v>108</v>
      </c>
      <c r="Z66" s="126">
        <f t="array" ref="Z66:AB66">Norm!B23:D23</f>
        <v>62.5</v>
      </c>
      <c r="AA66" s="126">
        <v>3</v>
      </c>
      <c r="AB66" s="127">
        <v>2.6</v>
      </c>
      <c r="AC66" s="126">
        <f>Norm!E23</f>
        <v>7</v>
      </c>
      <c r="AD66" s="126">
        <f>Norm!F23</f>
        <v>40</v>
      </c>
      <c r="AE66" s="126">
        <f>AA66+AB66</f>
        <v>5.6</v>
      </c>
      <c r="AF66" s="128">
        <f>AB66/AA66</f>
        <v>0.8666666666666667</v>
      </c>
    </row>
    <row r="67" spans="16:32" ht="19" thickBot="1" x14ac:dyDescent="0.5">
      <c r="P67" s="129">
        <f>$E$4</f>
        <v>44682</v>
      </c>
      <c r="Q67" s="130">
        <f t="array" ref="Q67:S67">MonthlyAvg!E113:G113</f>
        <v>60.821000000000005</v>
      </c>
      <c r="R67" s="130">
        <v>5.6420000000000003</v>
      </c>
      <c r="S67" s="131">
        <v>3.2269999999999999</v>
      </c>
      <c r="T67" s="130">
        <f>MonthlyAvg!H113</f>
        <v>6.6620000000000008</v>
      </c>
      <c r="U67" s="130">
        <f>MonthlyAvg!I113</f>
        <v>45.18</v>
      </c>
      <c r="V67" s="130">
        <f>S67+R67</f>
        <v>8.8689999999999998</v>
      </c>
      <c r="W67" s="132">
        <f>S67/R67</f>
        <v>0.57196029776674928</v>
      </c>
      <c r="X67" s="124"/>
      <c r="Y67" s="129">
        <f>$E$4</f>
        <v>44682</v>
      </c>
      <c r="Z67" s="130">
        <f t="array" ref="Z67:AB67">MonthlyAvg!E116:G116</f>
        <v>62.247619047619047</v>
      </c>
      <c r="AA67" s="130">
        <v>3.0142857142857147</v>
      </c>
      <c r="AB67" s="131">
        <v>2.7809523809523813</v>
      </c>
      <c r="AC67" s="130">
        <f>MonthlyAvg!H116</f>
        <v>3.3333333333333335</v>
      </c>
      <c r="AD67" s="130">
        <f>MonthlyAvg!I116</f>
        <v>41.523809523809526</v>
      </c>
      <c r="AE67" s="130">
        <f>AB67+AA67</f>
        <v>5.795238095238096</v>
      </c>
      <c r="AF67" s="132">
        <f>AB67/AA67</f>
        <v>0.92259083728278035</v>
      </c>
    </row>
    <row r="68" spans="16:32" ht="19" thickBot="1" x14ac:dyDescent="0.5">
      <c r="P68" s="358" t="str">
        <f>+CONCATENATE("BSL-",MonthlyAvg!L68,"; DSP-",MonthlyAvg!L77,"; RSP-",MonthlyAvg!L86, "; ISP-",MonthlyAvg!L95, "; BSP-",MonthlyAvg!L104, ";   TOTAL-",MonthlyAvg!L113)</f>
        <v>BSL-16; DSP-0; RSP-11; ISP-0; BSP-23;   TOTAL-50</v>
      </c>
      <c r="Q68" s="358"/>
      <c r="R68" s="358"/>
      <c r="S68" s="358"/>
      <c r="T68" s="358"/>
      <c r="U68" s="358"/>
      <c r="V68" s="358"/>
      <c r="W68" s="358"/>
      <c r="X68" s="124"/>
      <c r="Y68" s="358" t="str">
        <f>+CONCATENATE("BSL-",MonthlyAvg!L71,"; DSP-",MonthlyAvg!L80,"; RSP-",MonthlyAvg!L89, "; ISP-",MonthlyAvg!L98, "; BSP-",MonthlyAvg!L107, ";   TOTAL-",MonthlyAvg!L116)</f>
        <v>BSL-0; DSP-0; RSP-21; ISP-0; BSP-0;   TOTAL-21</v>
      </c>
      <c r="Z68" s="358"/>
      <c r="AA68" s="358"/>
      <c r="AB68" s="358"/>
      <c r="AC68" s="358"/>
      <c r="AD68" s="358"/>
      <c r="AE68" s="358"/>
      <c r="AF68" s="358"/>
    </row>
    <row r="69" spans="16:32" ht="18.5" x14ac:dyDescent="0.45">
      <c r="P69" s="120" t="s">
        <v>157</v>
      </c>
      <c r="Q69" s="121" t="s">
        <v>130</v>
      </c>
      <c r="R69" s="121" t="s">
        <v>131</v>
      </c>
      <c r="S69" s="122" t="s">
        <v>132</v>
      </c>
      <c r="T69" s="121" t="s">
        <v>171</v>
      </c>
      <c r="U69" s="121" t="s">
        <v>172</v>
      </c>
      <c r="V69" s="121" t="s">
        <v>134</v>
      </c>
      <c r="W69" s="123" t="s">
        <v>111</v>
      </c>
      <c r="X69" s="124"/>
      <c r="Y69" s="120" t="s">
        <v>165</v>
      </c>
      <c r="Z69" s="121" t="s">
        <v>130</v>
      </c>
      <c r="AA69" s="121" t="s">
        <v>131</v>
      </c>
      <c r="AB69" s="122" t="s">
        <v>132</v>
      </c>
      <c r="AC69" s="121" t="s">
        <v>171</v>
      </c>
      <c r="AD69" s="121" t="s">
        <v>172</v>
      </c>
      <c r="AE69" s="121" t="s">
        <v>134</v>
      </c>
      <c r="AF69" s="123" t="s">
        <v>111</v>
      </c>
    </row>
    <row r="70" spans="16:32" ht="18.5" x14ac:dyDescent="0.45">
      <c r="P70" s="125" t="s">
        <v>108</v>
      </c>
      <c r="Q70" s="126">
        <f t="array" ref="Q70:S70">Norm!B11:D11</f>
        <v>60.5</v>
      </c>
      <c r="R70" s="126">
        <v>5.5</v>
      </c>
      <c r="S70" s="127">
        <v>2.5</v>
      </c>
      <c r="T70" s="126">
        <f>Norm!E11</f>
        <v>10</v>
      </c>
      <c r="U70" s="126">
        <f>Norm!F11</f>
        <v>10</v>
      </c>
      <c r="V70" s="126">
        <f>R70+S70</f>
        <v>8</v>
      </c>
      <c r="W70" s="128">
        <f>S70/R70</f>
        <v>0.45454545454545453</v>
      </c>
      <c r="X70" s="124"/>
      <c r="Y70" s="125" t="s">
        <v>108</v>
      </c>
      <c r="Z70" s="126">
        <f t="array" ref="Z70:AB70">Norm!B9:D9</f>
        <v>63</v>
      </c>
      <c r="AA70" s="126">
        <v>2.5</v>
      </c>
      <c r="AB70" s="127">
        <v>2.2999999999999998</v>
      </c>
      <c r="AC70" s="126">
        <f>Norm!E9</f>
        <v>5</v>
      </c>
      <c r="AD70" s="126">
        <f>Norm!F9</f>
        <v>10</v>
      </c>
      <c r="AE70" s="126">
        <f>AA70+AB70</f>
        <v>4.8</v>
      </c>
      <c r="AF70" s="128">
        <f>AB70/AA70</f>
        <v>0.91999999999999993</v>
      </c>
    </row>
    <row r="71" spans="16:32" ht="19" thickBot="1" x14ac:dyDescent="0.5">
      <c r="P71" s="129">
        <f>$E$4</f>
        <v>44682</v>
      </c>
      <c r="Q71" s="130">
        <f t="array" ref="Q71:S71">MonthlyAvg!E60:G60</f>
        <v>61.728846153846135</v>
      </c>
      <c r="R71" s="130">
        <v>5.2434615384615375</v>
      </c>
      <c r="S71" s="131">
        <v>2.7253846153846149</v>
      </c>
      <c r="T71" s="130">
        <f>MonthlyAvg!H60</f>
        <v>13.21153846153846</v>
      </c>
      <c r="U71" s="130">
        <f>MonthlyAvg!I60</f>
        <v>27.011538461538461</v>
      </c>
      <c r="V71" s="130">
        <f>R71+S71</f>
        <v>7.9688461538461528</v>
      </c>
      <c r="W71" s="132">
        <f>S71/R71</f>
        <v>0.51976820949167457</v>
      </c>
      <c r="X71" s="124"/>
      <c r="Y71" s="129">
        <f>$E$4</f>
        <v>44682</v>
      </c>
      <c r="Z71" s="130">
        <f t="array" ref="Z71:AB71">MonthlyAvg!E64:G64</f>
        <v>63.173529411764697</v>
      </c>
      <c r="AA71" s="130">
        <v>2.414705882352941</v>
      </c>
      <c r="AB71" s="131">
        <v>2.270588235294118</v>
      </c>
      <c r="AC71" s="130">
        <f>MonthlyAvg!H64</f>
        <v>3.0588235294117645</v>
      </c>
      <c r="AD71" s="130">
        <f>MonthlyAvg!I64</f>
        <v>14.647058823529411</v>
      </c>
      <c r="AE71" s="130">
        <f>AA71+AB71</f>
        <v>4.6852941176470591</v>
      </c>
      <c r="AF71" s="132">
        <f>AB71/AA71</f>
        <v>0.94031668696711346</v>
      </c>
    </row>
    <row r="72" spans="16:32" ht="19" thickBot="1" x14ac:dyDescent="0.5">
      <c r="P72" s="358" t="str">
        <f>+CONCATENATE("BSL-",MonthlyAvg!L15,"; DSP-",MonthlyAvg!L24,"; RSP-",MonthlyAvg!L33, "; ISP-",MonthlyAvg!L42, "; BSP-",MonthlyAvg!L51, ";   TOTAL-",MonthlyAvg!L60)</f>
        <v>BSL-26; DSP-0; RSP-0; ISP-0; BSP-0;   TOTAL-26</v>
      </c>
      <c r="Q72" s="358"/>
      <c r="R72" s="358"/>
      <c r="S72" s="358"/>
      <c r="T72" s="358"/>
      <c r="U72" s="358"/>
      <c r="V72" s="358"/>
      <c r="W72" s="358"/>
      <c r="X72" s="124"/>
      <c r="Y72" s="358" t="str">
        <f>+CONCATENATE("BSL-",MonthlyAvg!L19,"; DSP-",MonthlyAvg!L28,"; RSP-",MonthlyAvg!L37, "; ISP-",MonthlyAvg!L46, "; BSP-",MonthlyAvg!L55, ";   TOTAL-",MonthlyAvg!L64)</f>
        <v>BSL-0; DSP-0; RSP-34; ISP-0; BSP-0;   TOTAL-34</v>
      </c>
      <c r="Z72" s="358"/>
      <c r="AA72" s="358"/>
      <c r="AB72" s="358"/>
      <c r="AC72" s="358"/>
      <c r="AD72" s="358"/>
      <c r="AE72" s="358"/>
      <c r="AF72" s="358"/>
    </row>
    <row r="73" spans="16:32" ht="18.5" x14ac:dyDescent="0.45">
      <c r="P73" s="120" t="s">
        <v>158</v>
      </c>
      <c r="Q73" s="121" t="s">
        <v>130</v>
      </c>
      <c r="R73" s="121" t="s">
        <v>131</v>
      </c>
      <c r="S73" s="122" t="s">
        <v>132</v>
      </c>
      <c r="T73" s="121" t="s">
        <v>171</v>
      </c>
      <c r="U73" s="121" t="s">
        <v>172</v>
      </c>
      <c r="V73" s="121" t="s">
        <v>134</v>
      </c>
      <c r="W73" s="123" t="s">
        <v>111</v>
      </c>
      <c r="X73" s="124"/>
      <c r="Y73" s="120" t="s">
        <v>166</v>
      </c>
      <c r="Z73" s="121" t="s">
        <v>130</v>
      </c>
      <c r="AA73" s="121" t="s">
        <v>131</v>
      </c>
      <c r="AB73" s="122" t="s">
        <v>132</v>
      </c>
      <c r="AC73" s="121" t="s">
        <v>171</v>
      </c>
      <c r="AD73" s="121" t="s">
        <v>172</v>
      </c>
      <c r="AE73" s="121" t="s">
        <v>134</v>
      </c>
      <c r="AF73" s="123" t="s">
        <v>111</v>
      </c>
    </row>
    <row r="74" spans="16:32" ht="18.5" x14ac:dyDescent="0.45">
      <c r="P74" s="125" t="s">
        <v>108</v>
      </c>
      <c r="Q74" s="126">
        <f t="array" ref="Q74:S74">Norm!B21:D21</f>
        <v>59.6</v>
      </c>
      <c r="R74" s="126">
        <v>7</v>
      </c>
      <c r="S74" s="127">
        <v>3</v>
      </c>
      <c r="T74" s="126">
        <f>Norm!E21</f>
        <v>7</v>
      </c>
      <c r="U74" s="126">
        <f>Norm!F21</f>
        <v>40</v>
      </c>
      <c r="V74" s="126">
        <f>R74+S74</f>
        <v>10</v>
      </c>
      <c r="W74" s="128">
        <f>S74/R74</f>
        <v>0.42857142857142855</v>
      </c>
      <c r="X74" s="124"/>
      <c r="Y74" s="125" t="s">
        <v>108</v>
      </c>
      <c r="Z74" s="126">
        <f t="array" ref="Z74:AB74">Norm!B19:D19</f>
        <v>62.8</v>
      </c>
      <c r="AA74" s="126">
        <v>2.8</v>
      </c>
      <c r="AB74" s="127">
        <v>2.4</v>
      </c>
      <c r="AC74" s="126">
        <f>Norm!E19</f>
        <v>7</v>
      </c>
      <c r="AD74" s="126">
        <f>Norm!F19</f>
        <v>40</v>
      </c>
      <c r="AE74" s="126">
        <f>AA74+AB74</f>
        <v>5.1999999999999993</v>
      </c>
      <c r="AF74" s="128">
        <f>AB74/AA74</f>
        <v>0.85714285714285721</v>
      </c>
    </row>
    <row r="75" spans="16:32" ht="19" thickBot="1" x14ac:dyDescent="0.5">
      <c r="P75" s="129">
        <f>$E$4</f>
        <v>44682</v>
      </c>
      <c r="Q75" s="130">
        <f t="array" ref="Q75:S75">MonthlyAvg!E114:G114</f>
        <v>60.80826415094338</v>
      </c>
      <c r="R75" s="130">
        <v>5.9099999999999984</v>
      </c>
      <c r="S75" s="131">
        <v>2.8907547169811312</v>
      </c>
      <c r="T75" s="130">
        <f>MonthlyAvg!H114</f>
        <v>5.2502050830887725</v>
      </c>
      <c r="U75" s="130">
        <f>MonthlyAvg!I114</f>
        <v>43.179275221391208</v>
      </c>
      <c r="V75" s="130">
        <f>S75+R75</f>
        <v>8.80075471698113</v>
      </c>
      <c r="W75" s="132">
        <f>S75/R75</f>
        <v>0.48912939373623215</v>
      </c>
      <c r="X75" s="124"/>
      <c r="Y75" s="129">
        <f>$E$4</f>
        <v>44682</v>
      </c>
      <c r="Z75" s="130">
        <f t="array" ref="Z75:AB75">MonthlyAvg!E118:G118</f>
        <v>62.907692307692351</v>
      </c>
      <c r="AA75" s="130">
        <v>2.5576923076923075</v>
      </c>
      <c r="AB75" s="131">
        <v>2.3173076923076925</v>
      </c>
      <c r="AC75" s="130">
        <f>MonthlyAvg!H118</f>
        <v>3.3076923076923075</v>
      </c>
      <c r="AD75" s="130">
        <f>MonthlyAvg!I118</f>
        <v>38.96153846153846</v>
      </c>
      <c r="AE75" s="130">
        <f>AB75+AA75</f>
        <v>4.875</v>
      </c>
      <c r="AF75" s="132">
        <f>AB75/AA75</f>
        <v>0.90601503759398516</v>
      </c>
    </row>
    <row r="76" spans="16:32" ht="19" thickBot="1" x14ac:dyDescent="0.5">
      <c r="P76" s="358" t="str">
        <f>+CONCATENATE("BSL-",MonthlyAvg!L69,"; DSP-",MonthlyAvg!L78,"; RSP-",MonthlyAvg!L87, "; ISP-",MonthlyAvg!L96, "; BSP-",MonthlyAvg!L105, ";   TOTAL-",MonthlyAvg!L114)</f>
        <v>BSL-25; DSP-1; RSP-17; ISP-10; BSP-0;   TOTAL-53</v>
      </c>
      <c r="Q76" s="358"/>
      <c r="R76" s="358"/>
      <c r="S76" s="358"/>
      <c r="T76" s="358"/>
      <c r="U76" s="358"/>
      <c r="V76" s="358"/>
      <c r="W76" s="358"/>
      <c r="X76" s="124"/>
      <c r="Y76" s="358" t="str">
        <f>+CONCATENATE("BSL-",MonthlyAvg!L73,"; DSP-",MonthlyAvg!L82,"; RSP-",MonthlyAvg!L91, "; ISP-",MonthlyAvg!L100, "; BSP-",MonthlyAvg!L109, ";   TOTAL-",MonthlyAvg!L118)</f>
        <v>BSL-0; DSP-0; RSP-52; ISP-0; BSP-0;   TOTAL-52</v>
      </c>
      <c r="Z76" s="358"/>
      <c r="AA76" s="358"/>
      <c r="AB76" s="358"/>
      <c r="AC76" s="358"/>
      <c r="AD76" s="358"/>
      <c r="AE76" s="358"/>
      <c r="AF76" s="358"/>
    </row>
    <row r="77" spans="16:32" ht="18.5" x14ac:dyDescent="0.45">
      <c r="P77" s="120" t="s">
        <v>159</v>
      </c>
      <c r="Q77" s="121" t="s">
        <v>130</v>
      </c>
      <c r="R77" s="121" t="s">
        <v>131</v>
      </c>
      <c r="S77" s="122" t="s">
        <v>132</v>
      </c>
      <c r="T77" s="121" t="s">
        <v>171</v>
      </c>
      <c r="U77" s="121" t="s">
        <v>172</v>
      </c>
      <c r="V77" s="121" t="s">
        <v>134</v>
      </c>
      <c r="W77" s="123" t="s">
        <v>111</v>
      </c>
      <c r="X77" s="124"/>
      <c r="Y77" s="120" t="s">
        <v>167</v>
      </c>
      <c r="Z77" s="121" t="s">
        <v>130</v>
      </c>
      <c r="AA77" s="121" t="s">
        <v>131</v>
      </c>
      <c r="AB77" s="122" t="s">
        <v>132</v>
      </c>
      <c r="AC77" s="121" t="s">
        <v>171</v>
      </c>
      <c r="AD77" s="121" t="s">
        <v>172</v>
      </c>
      <c r="AE77" s="121" t="s">
        <v>134</v>
      </c>
      <c r="AF77" s="123" t="s">
        <v>111</v>
      </c>
    </row>
    <row r="78" spans="16:32" ht="18.5" x14ac:dyDescent="0.45">
      <c r="P78" s="125" t="s">
        <v>108</v>
      </c>
      <c r="Q78" s="126">
        <f t="array" ref="Q78:S78">Norm!B7:D7</f>
        <v>62.5</v>
      </c>
      <c r="R78" s="126">
        <v>3.3</v>
      </c>
      <c r="S78" s="127">
        <v>2.2000000000000002</v>
      </c>
      <c r="T78" s="126">
        <f>Norm!E7</f>
        <v>10</v>
      </c>
      <c r="U78" s="126">
        <f>Norm!F7</f>
        <v>10</v>
      </c>
      <c r="V78" s="126">
        <f>R78+S78</f>
        <v>5.5</v>
      </c>
      <c r="W78" s="128">
        <f>S78/R78</f>
        <v>0.66666666666666674</v>
      </c>
      <c r="X78" s="124"/>
      <c r="Y78" s="125" t="s">
        <v>108</v>
      </c>
      <c r="Z78" s="126">
        <f t="array" ref="Z78:AB78">Norm!B8:D8</f>
        <v>62.4</v>
      </c>
      <c r="AA78" s="126">
        <v>3.6</v>
      </c>
      <c r="AB78" s="127">
        <v>2.2000000000000002</v>
      </c>
      <c r="AC78" s="126">
        <f>Norm!E8</f>
        <v>10</v>
      </c>
      <c r="AD78" s="126">
        <f>Norm!F8</f>
        <v>10</v>
      </c>
      <c r="AE78" s="126">
        <f>AA78+AB78</f>
        <v>5.8000000000000007</v>
      </c>
      <c r="AF78" s="128">
        <f>AB78/AA78</f>
        <v>0.61111111111111116</v>
      </c>
    </row>
    <row r="79" spans="16:32" ht="19" thickBot="1" x14ac:dyDescent="0.5">
      <c r="P79" s="129">
        <f>$E$4</f>
        <v>44682</v>
      </c>
      <c r="Q79" s="130">
        <f t="array" ref="Q79:S79">MonthlyAvg!E61:G61</f>
        <v>62.200568181818156</v>
      </c>
      <c r="R79" s="130">
        <v>3.3636363636363642</v>
      </c>
      <c r="S79" s="131">
        <v>2.3880681818181815</v>
      </c>
      <c r="T79" s="130">
        <f>MonthlyAvg!H61</f>
        <v>17.672651585151591</v>
      </c>
      <c r="U79" s="130">
        <f>MonthlyAvg!I61</f>
        <v>17.844185546547877</v>
      </c>
      <c r="V79" s="130">
        <f>R79+S79</f>
        <v>5.7517045454545457</v>
      </c>
      <c r="W79" s="132">
        <f>S79/R79</f>
        <v>0.70996621621621603</v>
      </c>
      <c r="X79" s="124"/>
      <c r="Y79" s="129">
        <f>$E$4</f>
        <v>44682</v>
      </c>
      <c r="Z79" s="130">
        <f t="array" ref="Z79:AB79">MonthlyAvg!E65:G65</f>
        <v>63.490227272727246</v>
      </c>
      <c r="AA79" s="130">
        <v>3.1156818181818182</v>
      </c>
      <c r="AB79" s="131">
        <v>1.5518181818181818</v>
      </c>
      <c r="AC79" s="130">
        <f>MonthlyAvg!H65</f>
        <v>3.9984677157731698</v>
      </c>
      <c r="AD79" s="130">
        <f>MonthlyAvg!I65</f>
        <v>15.62856935788597</v>
      </c>
      <c r="AE79" s="130">
        <f>AA79+AB79</f>
        <v>4.6675000000000004</v>
      </c>
      <c r="AF79" s="132">
        <f>AB79/AA79</f>
        <v>0.49806696330877526</v>
      </c>
    </row>
    <row r="80" spans="16:32" ht="19" thickBot="1" x14ac:dyDescent="0.5">
      <c r="P80" s="358" t="str">
        <f>+CONCATENATE("BSL-",MonthlyAvg!L16,"; DSP-",MonthlyAvg!L25,"; RSP-",MonthlyAvg!L34, "; ISP-",MonthlyAvg!L43, "; BSP-",MonthlyAvg!L52, ";   TOTAL-",MonthlyAvg!L61)</f>
        <v>BSL-17; DSP-63; RSP-0; ISP-8; BSP-0;   TOTAL-88</v>
      </c>
      <c r="Q80" s="358"/>
      <c r="R80" s="358"/>
      <c r="S80" s="358"/>
      <c r="T80" s="358"/>
      <c r="U80" s="358"/>
      <c r="V80" s="358"/>
      <c r="W80" s="358"/>
      <c r="X80" s="124"/>
      <c r="Y80" s="358" t="str">
        <f>+CONCATENATE("BSL-",MonthlyAvg!L20,"; DSP-",MonthlyAvg!L29,"; RSP-",MonthlyAvg!L38, "; ISP-",MonthlyAvg!L47, "; BSP-",MonthlyAvg!L56, ";   TOTAL-",MonthlyAvg!L65)</f>
        <v>BSL-3; DSP-2; RSP-0; ISP-39; BSP-0;   TOTAL-44</v>
      </c>
      <c r="Z80" s="358"/>
      <c r="AA80" s="358"/>
      <c r="AB80" s="358"/>
      <c r="AC80" s="358"/>
      <c r="AD80" s="358"/>
      <c r="AE80" s="358"/>
      <c r="AF80" s="358"/>
    </row>
    <row r="81" spans="16:32" ht="18.5" x14ac:dyDescent="0.45">
      <c r="P81" s="120" t="s">
        <v>160</v>
      </c>
      <c r="Q81" s="121" t="s">
        <v>130</v>
      </c>
      <c r="R81" s="121" t="s">
        <v>131</v>
      </c>
      <c r="S81" s="122" t="s">
        <v>132</v>
      </c>
      <c r="T81" s="121" t="s">
        <v>171</v>
      </c>
      <c r="U81" s="121" t="s">
        <v>172</v>
      </c>
      <c r="V81" s="121" t="s">
        <v>134</v>
      </c>
      <c r="W81" s="123" t="s">
        <v>111</v>
      </c>
      <c r="X81" s="124"/>
      <c r="Y81" s="120" t="s">
        <v>168</v>
      </c>
      <c r="Z81" s="121" t="s">
        <v>130</v>
      </c>
      <c r="AA81" s="121" t="s">
        <v>131</v>
      </c>
      <c r="AB81" s="122" t="s">
        <v>132</v>
      </c>
      <c r="AC81" s="121" t="s">
        <v>171</v>
      </c>
      <c r="AD81" s="121" t="s">
        <v>172</v>
      </c>
      <c r="AE81" s="121" t="s">
        <v>134</v>
      </c>
      <c r="AF81" s="123" t="s">
        <v>111</v>
      </c>
    </row>
    <row r="82" spans="16:32" ht="18.5" x14ac:dyDescent="0.45">
      <c r="P82" s="125" t="s">
        <v>108</v>
      </c>
      <c r="Q82" s="126">
        <f t="array" ref="Q82:S82">Norm!B17:D17</f>
        <v>62.1</v>
      </c>
      <c r="R82" s="126">
        <v>3.7</v>
      </c>
      <c r="S82" s="127">
        <v>2.5</v>
      </c>
      <c r="T82" s="126">
        <f>Norm!E17</f>
        <v>7</v>
      </c>
      <c r="U82" s="126">
        <f>Norm!F17</f>
        <v>40</v>
      </c>
      <c r="V82" s="126">
        <f>R82+S82</f>
        <v>6.2</v>
      </c>
      <c r="W82" s="128">
        <f>S82/R82</f>
        <v>0.67567567567567566</v>
      </c>
      <c r="X82" s="124"/>
      <c r="Y82" s="125" t="s">
        <v>108</v>
      </c>
      <c r="Z82" s="126">
        <f t="array" ref="Z82:AB82">Norm!B18:D18</f>
        <v>61.5</v>
      </c>
      <c r="AA82" s="126">
        <v>3.8</v>
      </c>
      <c r="AB82" s="127">
        <v>2.6</v>
      </c>
      <c r="AC82" s="126">
        <f>Norm!E18</f>
        <v>7</v>
      </c>
      <c r="AD82" s="126">
        <f>Norm!F18</f>
        <v>40</v>
      </c>
      <c r="AE82" s="126">
        <f>AA82+AB82</f>
        <v>6.4</v>
      </c>
      <c r="AF82" s="128">
        <f>AB82/AA82</f>
        <v>0.68421052631578949</v>
      </c>
    </row>
    <row r="83" spans="16:32" ht="19" thickBot="1" x14ac:dyDescent="0.5">
      <c r="P83" s="129">
        <f>$E$4</f>
        <v>44682</v>
      </c>
      <c r="Q83" s="130">
        <f t="array" ref="Q83:S83">MonthlyAvg!E115:G115</f>
        <v>61.893000000000029</v>
      </c>
      <c r="R83" s="130">
        <v>4.2690243902439029</v>
      </c>
      <c r="S83" s="131">
        <v>2.7773170731707313</v>
      </c>
      <c r="T83" s="130">
        <f>MonthlyAvg!H115</f>
        <v>7.9821205449036663</v>
      </c>
      <c r="U83" s="130">
        <f>MonthlyAvg!I115</f>
        <v>41.193906982116459</v>
      </c>
      <c r="V83" s="130">
        <f>S83+R83</f>
        <v>7.0463414634146346</v>
      </c>
      <c r="W83" s="132">
        <f>S83/R83</f>
        <v>0.65057418728218008</v>
      </c>
      <c r="X83" s="124"/>
      <c r="Y83" s="129">
        <f>$E$4</f>
        <v>44682</v>
      </c>
      <c r="Z83" s="130">
        <f t="array" ref="Z83:AB83">MonthlyAvg!E119:G119</f>
        <v>62.24185714285715</v>
      </c>
      <c r="AA83" s="130">
        <v>4.2666666666666666</v>
      </c>
      <c r="AB83" s="131">
        <v>2.3457142857142856</v>
      </c>
      <c r="AC83" s="130">
        <f>MonthlyAvg!H119</f>
        <v>6.3479854954219448</v>
      </c>
      <c r="AD83" s="130">
        <f>MonthlyAvg!I119</f>
        <v>44.627070612291007</v>
      </c>
      <c r="AE83" s="130">
        <f>AB83+AA83</f>
        <v>6.6123809523809527</v>
      </c>
      <c r="AF83" s="132">
        <f>AB83/AA83</f>
        <v>0.54977678571428568</v>
      </c>
    </row>
    <row r="84" spans="16:32" ht="19" thickBot="1" x14ac:dyDescent="0.5">
      <c r="P84" s="358" t="str">
        <f>+CONCATENATE("BSL-",MonthlyAvg!L70,"; DSP-",MonthlyAvg!L79,"; RSP-",MonthlyAvg!L88, "; ISP-",MonthlyAvg!L97, "; BSP-",MonthlyAvg!L106, ";   TOTAL-",MonthlyAvg!L115)</f>
        <v>BSL-40; DSP-69; RSP-0; ISP-14; BSP-0;   TOTAL-123</v>
      </c>
      <c r="Q84" s="358"/>
      <c r="R84" s="358"/>
      <c r="S84" s="358"/>
      <c r="T84" s="358"/>
      <c r="U84" s="358"/>
      <c r="V84" s="358"/>
      <c r="W84" s="358"/>
      <c r="X84" s="124"/>
      <c r="Y84" s="359" t="str">
        <f>+CONCATENATE("BSL-",MonthlyAvg!L74,"; DSP-",MonthlyAvg!L83,"; RSP-",MonthlyAvg!L92, "; ISP-",MonthlyAvg!L101, "; BSP-",MonthlyAvg!L110, ";   TOTAL-",MonthlyAvg!L119)</f>
        <v>BSL-16; DSP-6; RSP-0; ISP-62; BSP-0;   TOTAL-84</v>
      </c>
      <c r="Z84" s="359"/>
      <c r="AA84" s="359"/>
      <c r="AB84" s="359"/>
      <c r="AC84" s="359"/>
      <c r="AD84" s="359"/>
      <c r="AE84" s="359"/>
      <c r="AF84" s="359"/>
    </row>
    <row r="85" spans="16:32" ht="18.5" x14ac:dyDescent="0.45">
      <c r="P85" s="120" t="s">
        <v>162</v>
      </c>
      <c r="Q85" s="121" t="s">
        <v>130</v>
      </c>
      <c r="R85" s="121" t="s">
        <v>131</v>
      </c>
      <c r="S85" s="122" t="s">
        <v>132</v>
      </c>
      <c r="T85" s="121" t="s">
        <v>171</v>
      </c>
      <c r="U85" s="121" t="s">
        <v>172</v>
      </c>
      <c r="V85" s="121" t="s">
        <v>134</v>
      </c>
      <c r="W85" s="123" t="s">
        <v>111</v>
      </c>
      <c r="X85" s="124"/>
      <c r="Y85" s="120" t="s">
        <v>169</v>
      </c>
      <c r="Z85" s="121" t="s">
        <v>130</v>
      </c>
      <c r="AA85" s="121" t="s">
        <v>131</v>
      </c>
      <c r="AB85" s="122" t="s">
        <v>132</v>
      </c>
      <c r="AC85" s="121" t="s">
        <v>171</v>
      </c>
      <c r="AD85" s="121" t="s">
        <v>172</v>
      </c>
      <c r="AE85" s="121" t="s">
        <v>134</v>
      </c>
      <c r="AF85" s="123" t="s">
        <v>111</v>
      </c>
    </row>
    <row r="86" spans="16:32" ht="18.5" x14ac:dyDescent="0.45">
      <c r="P86" s="125" t="s">
        <v>108</v>
      </c>
      <c r="Q86" s="126">
        <f t="array" ref="Q86:S86">Norm!B6:D6</f>
        <v>62</v>
      </c>
      <c r="R86" s="126">
        <v>3.5</v>
      </c>
      <c r="S86" s="127">
        <v>3</v>
      </c>
      <c r="T86" s="126">
        <f>Norm!E6</f>
        <v>10</v>
      </c>
      <c r="U86" s="126">
        <f>Norm!F6</f>
        <v>10</v>
      </c>
      <c r="V86" s="126">
        <f>R86+S86</f>
        <v>6.5</v>
      </c>
      <c r="W86" s="128">
        <f>S86/R86</f>
        <v>0.8571428571428571</v>
      </c>
      <c r="X86" s="124"/>
      <c r="Y86" s="125" t="s">
        <v>108</v>
      </c>
      <c r="Z86" s="126">
        <f t="array" ref="Z86:AB86">Norm!B15:D15</f>
        <v>62.8</v>
      </c>
      <c r="AA86" s="126">
        <v>3</v>
      </c>
      <c r="AB86" s="127">
        <v>2.75</v>
      </c>
      <c r="AC86" s="126">
        <f>Norm!E15</f>
        <v>10</v>
      </c>
      <c r="AD86" s="126">
        <f>Norm!F15</f>
        <v>10</v>
      </c>
      <c r="AE86" s="126">
        <f>AA86+AB86</f>
        <v>5.75</v>
      </c>
      <c r="AF86" s="128">
        <f>AB86/AA86</f>
        <v>0.91666666666666663</v>
      </c>
    </row>
    <row r="87" spans="16:32" ht="19" thickBot="1" x14ac:dyDescent="0.5">
      <c r="P87" s="129">
        <f>$E$4</f>
        <v>44682</v>
      </c>
      <c r="Q87" s="130">
        <f t="array" ref="Q87:S87">MonthlyAvg!E63:G63</f>
        <v>61.355000000000004</v>
      </c>
      <c r="R87" s="130">
        <v>3.4649999999999999</v>
      </c>
      <c r="S87" s="131">
        <v>3.7</v>
      </c>
      <c r="T87" s="130">
        <f>MonthlyAvg!H63</f>
        <v>12.8</v>
      </c>
      <c r="U87" s="130">
        <f>MonthlyAvg!I63</f>
        <v>16.7</v>
      </c>
      <c r="V87" s="130">
        <f>R87+S87</f>
        <v>7.165</v>
      </c>
      <c r="W87" s="132">
        <f>S87/R87</f>
        <v>1.067821067821068</v>
      </c>
      <c r="X87" s="124"/>
      <c r="Y87" s="129">
        <f>$E$4</f>
        <v>44682</v>
      </c>
      <c r="Z87" s="130">
        <f t="array" ref="Z87:AB87">MonthlyAvg!E66:G66</f>
        <v>63.6</v>
      </c>
      <c r="AA87" s="130">
        <v>2.8149999999999999</v>
      </c>
      <c r="AB87" s="131">
        <v>2.27</v>
      </c>
      <c r="AC87" s="130">
        <f>MonthlyAvg!H66</f>
        <v>7.1499999999999995</v>
      </c>
      <c r="AD87" s="130">
        <f>MonthlyAvg!I66</f>
        <v>10.050000000000001</v>
      </c>
      <c r="AE87" s="130">
        <f>AA87+AB87</f>
        <v>5.085</v>
      </c>
      <c r="AF87" s="132">
        <f>AB87/AA87</f>
        <v>0.80639431616341029</v>
      </c>
    </row>
    <row r="88" spans="16:32" ht="19" thickBot="1" x14ac:dyDescent="0.5">
      <c r="P88" s="358" t="str">
        <f>+CONCATENATE("BSL-",MonthlyAvg!L18,"; DSP-",MonthlyAvg!L27,"; RSP-",MonthlyAvg!L36, "; ISP-",MonthlyAvg!L45, "; BSP-",MonthlyAvg!L54, ";   TOTAL-",MonthlyAvg!L63)</f>
        <v>BSL-0; DSP-0; RSP-20; ISP-0; BSP-0;   TOTAL-20</v>
      </c>
      <c r="Q88" s="358"/>
      <c r="R88" s="358"/>
      <c r="S88" s="358"/>
      <c r="T88" s="358"/>
      <c r="U88" s="358"/>
      <c r="V88" s="358"/>
      <c r="W88" s="358"/>
      <c r="X88" s="124"/>
      <c r="Y88" s="120" t="str">
        <f>+CONCATENATE("BSL-",MonthlyAvg!L21,"; DSP-",MonthlyAvg!L30,"; RSP-",MonthlyAvg!L39, "; ISP-",MonthlyAvg!L48, "; BSP-",MonthlyAvg!L57, ";   TOTAL-",MonthlyAvg!L66)</f>
        <v>BSL-2; DSP-0; RSP-0; ISP-0; BSP-0;   TOTAL-2</v>
      </c>
      <c r="Z88" s="121"/>
      <c r="AA88" s="121"/>
      <c r="AB88" s="122"/>
      <c r="AC88" s="121"/>
      <c r="AD88" s="121"/>
      <c r="AE88" s="121"/>
      <c r="AF88" s="123"/>
    </row>
    <row r="89" spans="16:32" ht="18.5" x14ac:dyDescent="0.45">
      <c r="P89" s="120" t="s">
        <v>163</v>
      </c>
      <c r="Q89" s="121" t="s">
        <v>130</v>
      </c>
      <c r="R89" s="121" t="s">
        <v>131</v>
      </c>
      <c r="S89" s="122" t="s">
        <v>132</v>
      </c>
      <c r="T89" s="121" t="s">
        <v>171</v>
      </c>
      <c r="U89" s="121" t="s">
        <v>172</v>
      </c>
      <c r="V89" s="121" t="s">
        <v>134</v>
      </c>
      <c r="W89" s="123" t="s">
        <v>111</v>
      </c>
      <c r="X89" s="124"/>
      <c r="Y89" s="125" t="s">
        <v>170</v>
      </c>
      <c r="Z89" s="126" t="s">
        <v>130</v>
      </c>
      <c r="AA89" s="126" t="s">
        <v>131</v>
      </c>
      <c r="AB89" s="127" t="s">
        <v>132</v>
      </c>
      <c r="AC89" s="126" t="s">
        <v>171</v>
      </c>
      <c r="AD89" s="126" t="s">
        <v>172</v>
      </c>
      <c r="AE89" s="126" t="s">
        <v>134</v>
      </c>
      <c r="AF89" s="128" t="s">
        <v>111</v>
      </c>
    </row>
    <row r="90" spans="16:32" ht="19" thickBot="1" x14ac:dyDescent="0.5">
      <c r="P90" s="125" t="s">
        <v>108</v>
      </c>
      <c r="Q90" s="126">
        <f t="array" ref="Q90:S90">Norm!B16:D16</f>
        <v>61</v>
      </c>
      <c r="R90" s="126">
        <v>3.9</v>
      </c>
      <c r="S90" s="127">
        <v>3.6</v>
      </c>
      <c r="T90" s="126">
        <f>Norm!E16</f>
        <v>7</v>
      </c>
      <c r="U90" s="126">
        <f>Norm!F16</f>
        <v>40</v>
      </c>
      <c r="V90" s="126">
        <f>R90+S90</f>
        <v>7.5</v>
      </c>
      <c r="W90" s="128">
        <f>S90/R90</f>
        <v>0.92307692307692313</v>
      </c>
      <c r="X90" s="124"/>
      <c r="Y90" s="129" t="s">
        <v>108</v>
      </c>
      <c r="Z90" s="130">
        <f t="array" ref="Z90:AB90">Norm!B25:D25</f>
        <v>62.2</v>
      </c>
      <c r="AA90" s="130">
        <v>3.25</v>
      </c>
      <c r="AB90" s="131">
        <v>3</v>
      </c>
      <c r="AC90" s="130">
        <f>Norm!E25</f>
        <v>5</v>
      </c>
      <c r="AD90" s="130">
        <f>Norm!F25</f>
        <v>40</v>
      </c>
      <c r="AE90" s="130">
        <f>AA90+AB90</f>
        <v>6.25</v>
      </c>
      <c r="AF90" s="132">
        <f>AB90/AA90</f>
        <v>0.92307692307692313</v>
      </c>
    </row>
    <row r="91" spans="16:32" ht="19" thickBot="1" x14ac:dyDescent="0.5">
      <c r="P91" s="129">
        <f>$E$4</f>
        <v>44682</v>
      </c>
      <c r="Q91" s="130">
        <f t="array" ref="Q91:S91">MonthlyAvg!E117:G117</f>
        <v>60.26428571428572</v>
      </c>
      <c r="R91" s="130">
        <v>4.4214285714285708</v>
      </c>
      <c r="S91" s="131">
        <v>4.1785714285714288</v>
      </c>
      <c r="T91" s="130">
        <f>MonthlyAvg!H117</f>
        <v>3.2142857142857144</v>
      </c>
      <c r="U91" s="130">
        <f>MonthlyAvg!I117</f>
        <v>43.142857142857146</v>
      </c>
      <c r="V91" s="130">
        <f>S91+R91</f>
        <v>8.6</v>
      </c>
      <c r="W91" s="132">
        <f>S91/R91</f>
        <v>0.94507269789983861</v>
      </c>
      <c r="X91" s="124"/>
      <c r="Y91" s="129">
        <f>$E$4</f>
        <v>44682</v>
      </c>
      <c r="Z91" s="121">
        <f t="array" ref="Z91:AB91">MonthlyAvg!E120:G120</f>
        <v>0</v>
      </c>
      <c r="AA91" s="121">
        <v>0</v>
      </c>
      <c r="AB91" s="122">
        <v>0</v>
      </c>
      <c r="AC91" s="121">
        <f>MonthlyAvg!H120</f>
        <v>0</v>
      </c>
      <c r="AD91" s="121">
        <f>MonthlyAvg!I120</f>
        <v>0</v>
      </c>
      <c r="AE91" s="121">
        <f>AB91+AA91</f>
        <v>0</v>
      </c>
      <c r="AF91" s="123" t="e">
        <f>AB91/AA91</f>
        <v>#DIV/0!</v>
      </c>
    </row>
    <row r="92" spans="16:32" ht="18.5" x14ac:dyDescent="0.45">
      <c r="P92" s="358" t="str">
        <f>+CONCATENATE("BSL-",MonthlyAvg!L72,"; DSP-",MonthlyAvg!L81,"; RSP-",MonthlyAvg!L90, "; ISP-",MonthlyAvg!L99, "; BSP-",MonthlyAvg!L108, ";   TOTAL-",MonthlyAvg!L117)</f>
        <v>BSL-0; DSP-0; RSP-14; ISP-0; BSP-0;   TOTAL-14</v>
      </c>
      <c r="Q92" s="358"/>
      <c r="R92" s="358"/>
      <c r="S92" s="358"/>
      <c r="T92" s="358"/>
      <c r="U92" s="358"/>
      <c r="V92" s="358"/>
      <c r="W92" s="358"/>
      <c r="X92" s="124"/>
      <c r="Y92" s="358" t="str">
        <f>+CONCATENATE("BSL-",MonthlyAvg!L75,"; DSP-",MonthlyAvg!L84,"; RSP-",MonthlyAvg!L93, "; ISP-",MonthlyAvg!L102, "; BSP-",MonthlyAvg!L111, ";   TOTAL-",MonthlyAvg!L120)</f>
        <v>BSL-0; DSP-0; RSP-0; ISP-0; BSP-0;   TOTAL-0</v>
      </c>
      <c r="Z92" s="358"/>
      <c r="AA92" s="358"/>
      <c r="AB92" s="358"/>
      <c r="AC92" s="358"/>
      <c r="AD92" s="358"/>
      <c r="AE92" s="358"/>
      <c r="AF92" s="358"/>
    </row>
    <row r="96" spans="16:32" x14ac:dyDescent="0.3">
      <c r="P96" s="357"/>
      <c r="Q96" s="357"/>
      <c r="R96" s="357"/>
      <c r="S96" s="357"/>
      <c r="T96" s="357"/>
      <c r="U96" s="357"/>
      <c r="V96" s="357"/>
      <c r="W96" s="357"/>
      <c r="X96" s="357"/>
      <c r="Y96" s="357"/>
      <c r="Z96" s="357"/>
      <c r="AA96" s="357"/>
      <c r="AB96" s="357"/>
      <c r="AC96" s="357"/>
      <c r="AD96" s="357"/>
      <c r="AE96" s="357"/>
      <c r="AF96" s="357"/>
    </row>
  </sheetData>
  <mergeCells count="36">
    <mergeCell ref="D44:M44"/>
    <mergeCell ref="D40:M40"/>
    <mergeCell ref="D20:M20"/>
    <mergeCell ref="D16:M16"/>
    <mergeCell ref="D12:M12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P50:W50"/>
    <mergeCell ref="Y72:AF72"/>
    <mergeCell ref="Y80:AF80"/>
    <mergeCell ref="Y68:AF68"/>
    <mergeCell ref="P80:W80"/>
    <mergeCell ref="Y76:AF76"/>
  </mergeCells>
  <conditionalFormatting sqref="R63:W63">
    <cfRule type="cellIs" dxfId="22" priority="99" stopIfTrue="1" operator="greaterThan">
      <formula>R62</formula>
    </cfRule>
  </conditionalFormatting>
  <conditionalFormatting sqref="Q63">
    <cfRule type="cellIs" dxfId="21" priority="98" stopIfTrue="1" operator="lessThan">
      <formula>Q62</formula>
    </cfRule>
  </conditionalFormatting>
  <conditionalFormatting sqref="E7">
    <cfRule type="cellIs" dxfId="20" priority="55" stopIfTrue="1" operator="lessThan">
      <formula>E6</formula>
    </cfRule>
  </conditionalFormatting>
  <conditionalFormatting sqref="F7">
    <cfRule type="cellIs" dxfId="19" priority="54" stopIfTrue="1" operator="greaterThan">
      <formula>F6</formula>
    </cfRule>
  </conditionalFormatting>
  <conditionalFormatting sqref="G7:K7">
    <cfRule type="cellIs" dxfId="18" priority="53" stopIfTrue="1" operator="greaterThan">
      <formula>G6</formula>
    </cfRule>
  </conditionalFormatting>
  <conditionalFormatting sqref="L7">
    <cfRule type="cellIs" dxfId="17" priority="25" stopIfTrue="1" operator="greaterThan">
      <formula>L6</formula>
    </cfRule>
  </conditionalFormatting>
  <conditionalFormatting sqref="M7">
    <cfRule type="cellIs" dxfId="16" priority="24" stopIfTrue="1" operator="greaterThan">
      <formula>M6</formula>
    </cfRule>
  </conditionalFormatting>
  <conditionalFormatting sqref="E11 E15 E19 E23 E27 E31 E35 E39 E43">
    <cfRule type="cellIs" dxfId="15" priority="16" stopIfTrue="1" operator="lessThan">
      <formula>E10</formula>
    </cfRule>
  </conditionalFormatting>
  <conditionalFormatting sqref="F11 F15 F19 F23 F27 F31 F35 F39 F43">
    <cfRule type="cellIs" dxfId="14" priority="15" stopIfTrue="1" operator="greaterThan">
      <formula>F10</formula>
    </cfRule>
  </conditionalFormatting>
  <conditionalFormatting sqref="G11:K11 G15:K15 G19:K19 G23:K23 G27:K27 G31:K31 G35:K35 G39:K39 G43:K43">
    <cfRule type="cellIs" dxfId="13" priority="14" stopIfTrue="1" operator="greaterThan">
      <formula>G10</formula>
    </cfRule>
  </conditionalFormatting>
  <conditionalFormatting sqref="L11 L15 L19 L23 L27 L31 L35 L39 L43">
    <cfRule type="cellIs" dxfId="12" priority="13" stopIfTrue="1" operator="greaterThan">
      <formula>L10</formula>
    </cfRule>
  </conditionalFormatting>
  <conditionalFormatting sqref="M11 M15 M19 M23 M27 M31 M35 M39 M43">
    <cfRule type="cellIs" dxfId="11" priority="12" stopIfTrue="1" operator="greaterThan">
      <formula>M10</formula>
    </cfRule>
  </conditionalFormatting>
  <conditionalFormatting sqref="R49:W49">
    <cfRule type="cellIs" dxfId="10" priority="8" stopIfTrue="1" operator="greaterThan">
      <formula>R48</formula>
    </cfRule>
  </conditionalFormatting>
  <conditionalFormatting sqref="Q49">
    <cfRule type="cellIs" dxfId="9" priority="7" stopIfTrue="1" operator="lessThan">
      <formula>Q48</formula>
    </cfRule>
  </conditionalFormatting>
  <conditionalFormatting sqref="R67:W67 R71:W71 R75:W75 R79:W79 R83:W83 R87:W87 R91:W91">
    <cfRule type="cellIs" dxfId="8" priority="6" stopIfTrue="1" operator="greaterThan">
      <formula>R66</formula>
    </cfRule>
  </conditionalFormatting>
  <conditionalFormatting sqref="Q67 Q71 Q75 Q79 Q83 Q87 Q91">
    <cfRule type="cellIs" dxfId="7" priority="5" stopIfTrue="1" operator="lessThan">
      <formula>Q66</formula>
    </cfRule>
  </conditionalFormatting>
  <conditionalFormatting sqref="AA63:AF63 AA67:AF67 AA71:AF71 AA75:AF75 AA79:AF79 AA83:AF83">
    <cfRule type="cellIs" dxfId="6" priority="4" stopIfTrue="1" operator="greaterThan">
      <formula>AA62</formula>
    </cfRule>
  </conditionalFormatting>
  <conditionalFormatting sqref="Z63 Z67 Z71 Z75 Z79 Z83">
    <cfRule type="cellIs" dxfId="5" priority="3" stopIfTrue="1" operator="lessThan">
      <formula>Z62</formula>
    </cfRule>
  </conditionalFormatting>
  <conditionalFormatting sqref="AA87:AF87 AA90:AF90">
    <cfRule type="cellIs" dxfId="4" priority="2" stopIfTrue="1" operator="greaterThan">
      <formula>AA86</formula>
    </cfRule>
  </conditionalFormatting>
  <conditionalFormatting sqref="Z87 Z90">
    <cfRule type="cellIs" dxfId="3" priority="1" stopIfTrue="1" operator="lessThan">
      <formula>Z86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" workbookViewId="0">
      <selection activeCell="E121" sqref="E121:K121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8.1260086026459799</v>
      </c>
      <c r="P13">
        <f>MIN(E14:L14)</f>
        <v>5.4451879200542661E-2</v>
      </c>
    </row>
    <row r="14" spans="1:16" x14ac:dyDescent="0.25">
      <c r="A14" t="s">
        <v>0</v>
      </c>
      <c r="B14" t="s">
        <v>3</v>
      </c>
      <c r="C14" t="s">
        <v>27</v>
      </c>
      <c r="E14">
        <v>0.47093213428137776</v>
      </c>
      <c r="F14">
        <v>0.8184425583655075</v>
      </c>
      <c r="G14">
        <v>0.24698018035090588</v>
      </c>
      <c r="H14">
        <v>3.1417814236248205</v>
      </c>
      <c r="I14">
        <v>8.1260086026459799</v>
      </c>
      <c r="J14">
        <v>0.71794199728282426</v>
      </c>
      <c r="K14">
        <v>5.4451879200542661E-2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0.56489522513880064</v>
      </c>
      <c r="F15">
        <v>0.88469177596581505</v>
      </c>
      <c r="G15">
        <v>0.19956414045074872</v>
      </c>
      <c r="H15">
        <v>2.4576943541582961</v>
      </c>
      <c r="I15">
        <v>3.4331707703610714</v>
      </c>
      <c r="J15">
        <v>0.84158102128351397</v>
      </c>
      <c r="K15">
        <v>4.7154566416187385E-2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0.28497290892912808</v>
      </c>
      <c r="F16">
        <v>0.44511977898882127</v>
      </c>
      <c r="G16">
        <v>0.21366032690726103</v>
      </c>
      <c r="H16">
        <v>2.2787219069934332</v>
      </c>
      <c r="I16">
        <v>2.5022783735674841</v>
      </c>
      <c r="J16">
        <v>0.44976709659163655</v>
      </c>
      <c r="K16">
        <v>5.5868495056710904E-2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 t="s">
        <v>173</v>
      </c>
      <c r="F18" t="s">
        <v>173</v>
      </c>
      <c r="G18" t="s">
        <v>173</v>
      </c>
      <c r="H18" t="s">
        <v>173</v>
      </c>
      <c r="I18" t="s">
        <v>173</v>
      </c>
      <c r="J18" t="e">
        <v>#DIV/0!</v>
      </c>
      <c r="K18">
        <v>0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>
        <v>0.14224392195567936</v>
      </c>
      <c r="F20">
        <v>0.18147543451754949</v>
      </c>
      <c r="G20">
        <v>0.43431939092484501</v>
      </c>
      <c r="H20">
        <v>1.3868429375143143</v>
      </c>
      <c r="I20">
        <v>2.4214320831552003</v>
      </c>
      <c r="J20">
        <v>0.28618176042508386</v>
      </c>
      <c r="K20">
        <v>2.8994198986838735E-2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>
        <v>0.14142135623731153</v>
      </c>
      <c r="F21">
        <v>7.0710678118653244E-3</v>
      </c>
      <c r="G21">
        <v>0.1838477631085022</v>
      </c>
      <c r="H21">
        <v>1.4849242404917493</v>
      </c>
      <c r="I21">
        <v>0.49497474683058401</v>
      </c>
      <c r="J21">
        <v>0.17677669529663689</v>
      </c>
      <c r="K21">
        <v>1.9491146980535758E-2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0.64253139969777795</v>
      </c>
      <c r="F22">
        <v>1.0126856736627898</v>
      </c>
      <c r="G22">
        <v>0.27958866020187745</v>
      </c>
      <c r="H22">
        <v>2.8857430721515662</v>
      </c>
      <c r="I22">
        <v>5.9536262895797707</v>
      </c>
      <c r="J22">
        <v>0.95794296718032634</v>
      </c>
      <c r="K22">
        <v>9.6933913382320602E-2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0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1.071004524380845</v>
      </c>
      <c r="F25">
        <v>1.475436356606517</v>
      </c>
      <c r="G25">
        <v>0.8346748035311542</v>
      </c>
      <c r="H25">
        <v>9.4705972346820282</v>
      </c>
      <c r="I25">
        <v>6.7852808226553032</v>
      </c>
      <c r="J25">
        <v>1.6055204304319948</v>
      </c>
      <c r="K25">
        <v>0.1284401930029449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0.84852813742385902</v>
      </c>
      <c r="F29">
        <v>0.42426406871192818</v>
      </c>
      <c r="G29">
        <v>0.28284271247461895</v>
      </c>
      <c r="H29">
        <v>8.1317279836452929</v>
      </c>
      <c r="I29">
        <v>2.4041630560342679</v>
      </c>
      <c r="J29">
        <v>0.70710678118654757</v>
      </c>
      <c r="K29">
        <v>2.5501781070309322E-2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1.0760325988770756</v>
      </c>
      <c r="F31">
        <v>1.4705473863104896</v>
      </c>
      <c r="G31">
        <v>0.82295784544812234</v>
      </c>
      <c r="H31">
        <v>9.4489760841300505</v>
      </c>
      <c r="I31">
        <v>6.7464139334566751</v>
      </c>
      <c r="J31">
        <v>1.6036871577711094</v>
      </c>
      <c r="K31">
        <v>0.13087535057191993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0.15495479666983161</v>
      </c>
      <c r="F35">
        <v>0.27665585397468373</v>
      </c>
      <c r="G35">
        <v>0.29135907380775172</v>
      </c>
      <c r="H35">
        <v>1.6837947722821902</v>
      </c>
      <c r="I35">
        <v>8.0741753567969834</v>
      </c>
      <c r="J35">
        <v>0.1815682598006407</v>
      </c>
      <c r="K35">
        <v>5.9605633142390826E-2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0.53653370914848553</v>
      </c>
      <c r="F36">
        <v>1.0348022948726421</v>
      </c>
      <c r="G36">
        <v>0.85839507527895209</v>
      </c>
      <c r="H36">
        <v>5.1052088982466559</v>
      </c>
      <c r="I36">
        <v>4.4140922652699253</v>
      </c>
      <c r="J36">
        <v>0.6080815388537435</v>
      </c>
      <c r="K36">
        <v>0.10336906199204109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0.11364171110412553</v>
      </c>
      <c r="F37">
        <v>0.14382723841402201</v>
      </c>
      <c r="G37">
        <v>0.14674118994711216</v>
      </c>
      <c r="H37">
        <v>1.4758906190600949</v>
      </c>
      <c r="I37">
        <v>3.2741628857611147</v>
      </c>
      <c r="J37">
        <v>0.14591893337008938</v>
      </c>
      <c r="K37">
        <v>9.4140997781201996E-2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0.84691637117942742</v>
      </c>
      <c r="F40">
        <v>0.73238608441598552</v>
      </c>
      <c r="G40">
        <v>0.79258387635224903</v>
      </c>
      <c r="H40">
        <v>5.2715546900196628</v>
      </c>
      <c r="I40">
        <v>4.9441791850490038</v>
      </c>
      <c r="J40">
        <v>1.1324838869362908</v>
      </c>
      <c r="K40">
        <v>0.15114084473756817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0.35093497566195581</v>
      </c>
      <c r="F43">
        <v>0.43001453463807582</v>
      </c>
      <c r="G43">
        <v>0.29495762407505294</v>
      </c>
      <c r="H43">
        <v>4.7332136843727213</v>
      </c>
      <c r="I43">
        <v>8.2005256628132983</v>
      </c>
      <c r="J43">
        <v>0.57352139080795539</v>
      </c>
      <c r="K43">
        <v>2.8026808079073984E-2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1.081290339788707</v>
      </c>
      <c r="F47">
        <v>1.6823248004303595</v>
      </c>
      <c r="G47">
        <v>0.34288920870551282</v>
      </c>
      <c r="H47">
        <v>4.5268492875370674</v>
      </c>
      <c r="I47">
        <v>4.9237113832775563</v>
      </c>
      <c r="J47">
        <v>1.6772175483381531</v>
      </c>
      <c r="K47">
        <v>6.4333921970728097E-2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1.0161370048280614</v>
      </c>
      <c r="F49">
        <v>1.5647356900874618</v>
      </c>
      <c r="G49">
        <v>0.33307831749818062</v>
      </c>
      <c r="H49">
        <v>4.5130478536454826</v>
      </c>
      <c r="I49">
        <v>5.6303874529657847</v>
      </c>
      <c r="J49">
        <v>1.5717785726975411</v>
      </c>
      <c r="K49">
        <v>7.0058063364836359E-2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0.47093213428137776</v>
      </c>
      <c r="F59">
        <v>0.8184425583655075</v>
      </c>
      <c r="G59">
        <v>0.24698018035090588</v>
      </c>
      <c r="H59">
        <v>3.1417814236248205</v>
      </c>
      <c r="I59">
        <v>8.1260086026459799</v>
      </c>
      <c r="J59">
        <v>0.71794199728282426</v>
      </c>
      <c r="K59">
        <v>5.4451879200542661E-2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0.56489522513880064</v>
      </c>
      <c r="F60">
        <v>0.88469177596581505</v>
      </c>
      <c r="G60">
        <v>0.19956414045074872</v>
      </c>
      <c r="H60">
        <v>2.4576943541582961</v>
      </c>
      <c r="I60">
        <v>3.4331707703610714</v>
      </c>
      <c r="J60">
        <v>0.84158102128351397</v>
      </c>
      <c r="K60">
        <v>4.7154566416187385E-2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1.1623443986379134</v>
      </c>
      <c r="F61">
        <v>1.3095109044133337</v>
      </c>
      <c r="G61">
        <v>0.81599647558759036</v>
      </c>
      <c r="H61">
        <v>9.5844421306691547</v>
      </c>
      <c r="I61">
        <v>7.8678491494746208</v>
      </c>
      <c r="J61">
        <v>1.5578612081591587</v>
      </c>
      <c r="K61">
        <v>0.14224393277710876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0.15495479666983161</v>
      </c>
      <c r="F62">
        <v>0.27665585397468373</v>
      </c>
      <c r="G62">
        <v>0.29135907380775172</v>
      </c>
      <c r="H62">
        <v>1.6837947722821902</v>
      </c>
      <c r="I62">
        <v>8.0741753567969834</v>
      </c>
      <c r="J62">
        <v>0.1815682598006407</v>
      </c>
      <c r="K62">
        <v>5.9605633142390826E-2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0.53653370914848553</v>
      </c>
      <c r="F63">
        <v>1.0348022948726421</v>
      </c>
      <c r="G63">
        <v>0.85839507527895209</v>
      </c>
      <c r="H63">
        <v>5.1052088982466559</v>
      </c>
      <c r="I63">
        <v>4.4140922652699253</v>
      </c>
      <c r="J63">
        <v>0.6080815388537435</v>
      </c>
      <c r="K63">
        <v>0.10336906199204109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0.11364171110412553</v>
      </c>
      <c r="F64">
        <v>0.14382723841402201</v>
      </c>
      <c r="G64">
        <v>0.14674118994711216</v>
      </c>
      <c r="H64">
        <v>1.4758906190600949</v>
      </c>
      <c r="I64">
        <v>3.2741628857611147</v>
      </c>
      <c r="J64">
        <v>0.14591893337008938</v>
      </c>
      <c r="K64">
        <v>9.4140997781201996E-2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1.0687756277604361</v>
      </c>
      <c r="F65">
        <v>1.6016407252205433</v>
      </c>
      <c r="G65">
        <v>0.62749139798522668</v>
      </c>
      <c r="H65">
        <v>5.398130237413759</v>
      </c>
      <c r="I65">
        <v>5.9053706297332234</v>
      </c>
      <c r="J65">
        <v>1.6931285545774697</v>
      </c>
      <c r="K65">
        <v>7.4904773237413083E-2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>
        <v>0.14142135623731153</v>
      </c>
      <c r="F66">
        <v>7.0710678118653244E-3</v>
      </c>
      <c r="G66">
        <v>0.1838477631085022</v>
      </c>
      <c r="H66">
        <v>1.4849242404917493</v>
      </c>
      <c r="I66">
        <v>0.49497474683058401</v>
      </c>
      <c r="J66">
        <v>0.17677669529663689</v>
      </c>
      <c r="K66">
        <v>1.9491146980535758E-2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1.0895674202850476</v>
      </c>
      <c r="F67">
        <v>1.3629089898966258</v>
      </c>
      <c r="G67">
        <v>0.81085161664949545</v>
      </c>
      <c r="H67">
        <v>8.8042848834943097</v>
      </c>
      <c r="I67">
        <v>7.8656141404401776</v>
      </c>
      <c r="J67">
        <v>1.6322778618626126</v>
      </c>
      <c r="K67">
        <v>0.22780903728593152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0.2780220315011015</v>
      </c>
      <c r="F68">
        <v>0.35749533796494021</v>
      </c>
      <c r="G68">
        <v>0.18467539088898663</v>
      </c>
      <c r="H68">
        <v>2.1437894797142123</v>
      </c>
      <c r="I68">
        <v>15.171854424119244</v>
      </c>
      <c r="J68">
        <v>0.42220798587110286</v>
      </c>
      <c r="K68">
        <v>4.00027669157157E-2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0.37629022487082148</v>
      </c>
      <c r="F69">
        <v>0.47538826237087523</v>
      </c>
      <c r="G69">
        <v>0.21338697242334176</v>
      </c>
      <c r="H69">
        <v>0.59336240811870156</v>
      </c>
      <c r="I69">
        <v>1.6748605597890356</v>
      </c>
      <c r="J69">
        <v>0.54689822331642901</v>
      </c>
      <c r="K69">
        <v>4.2594781385945885E-2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0.20860402926511543</v>
      </c>
      <c r="F70">
        <v>0.16306656655551788</v>
      </c>
      <c r="G70">
        <v>0.21022561140904716</v>
      </c>
      <c r="H70">
        <v>1.7899968351789726</v>
      </c>
      <c r="I70">
        <v>10.951369215067526</v>
      </c>
      <c r="J70">
        <v>0.28331191472587408</v>
      </c>
      <c r="K70">
        <v>6.3858941485965187E-2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0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0.31723545409259241</v>
      </c>
      <c r="F74">
        <v>0.57091702549494572</v>
      </c>
      <c r="G74">
        <v>0.37850363274345833</v>
      </c>
      <c r="H74">
        <v>1.5677301355073137</v>
      </c>
      <c r="I74">
        <v>14.241991901884152</v>
      </c>
      <c r="J74">
        <v>0.50227772861900499</v>
      </c>
      <c r="K74">
        <v>4.5415186803340356E-2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 t="s">
        <v>173</v>
      </c>
      <c r="F75" t="s">
        <v>173</v>
      </c>
      <c r="G75" t="s">
        <v>173</v>
      </c>
      <c r="H75" t="s">
        <v>173</v>
      </c>
      <c r="I75" t="s">
        <v>173</v>
      </c>
      <c r="J75" t="e">
        <v>#DIV/0!</v>
      </c>
      <c r="K75">
        <v>0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0.43200657648996987</v>
      </c>
      <c r="F76">
        <v>0.60003030063810403</v>
      </c>
      <c r="G76">
        <v>0.2645922996830149</v>
      </c>
      <c r="H76">
        <v>1.7328308349930441</v>
      </c>
      <c r="I76">
        <v>10.97430627412046</v>
      </c>
      <c r="J76">
        <v>0.65351731402089575</v>
      </c>
      <c r="K76">
        <v>9.6782670872735135E-2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5.3880830198455906E-3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1.0899936256725629</v>
      </c>
      <c r="F79">
        <v>1.1984591556770208</v>
      </c>
      <c r="G79">
        <v>0.54684634104665719</v>
      </c>
      <c r="H79">
        <v>4.5434353493896591</v>
      </c>
      <c r="I79">
        <v>10.189026325390769</v>
      </c>
      <c r="J79">
        <v>1.4782178043975274</v>
      </c>
      <c r="K79">
        <v>0.11031239476309954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1.8066543665017953</v>
      </c>
      <c r="F83">
        <v>1.0597169433391171</v>
      </c>
      <c r="G83">
        <v>0.99079092984679262</v>
      </c>
      <c r="H83">
        <v>4.4709805039461603</v>
      </c>
      <c r="I83">
        <v>9.7361183230279114</v>
      </c>
      <c r="J83">
        <v>1.9064801773600077</v>
      </c>
      <c r="K83">
        <v>3.4137981864420394E-2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1.2143961028992323</v>
      </c>
      <c r="F85">
        <v>1.2406923647140067</v>
      </c>
      <c r="G85">
        <v>0.59756817125600836</v>
      </c>
      <c r="H85">
        <v>4.5255144129429512</v>
      </c>
      <c r="I85">
        <v>10.154504920252835</v>
      </c>
      <c r="J85">
        <v>1.538426514446134</v>
      </c>
      <c r="K85">
        <v>0.11540177719449617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0.64088007671269642</v>
      </c>
      <c r="F86">
        <v>0.92951600308978544</v>
      </c>
      <c r="G86">
        <v>0.65185051270140992</v>
      </c>
      <c r="H86">
        <v>1.9632996344280846</v>
      </c>
      <c r="I86">
        <v>9.6162740847340249</v>
      </c>
      <c r="J86">
        <v>0.92785186905510852</v>
      </c>
      <c r="K86">
        <v>3.577897003645434E-2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0.69736900519865674</v>
      </c>
      <c r="F87">
        <v>0.79038337681971194</v>
      </c>
      <c r="G87">
        <v>0.62143098618288728</v>
      </c>
      <c r="H87">
        <v>1.4375905768565218</v>
      </c>
      <c r="I87">
        <v>3.8508657035355918</v>
      </c>
      <c r="J87">
        <v>0.98645234821260186</v>
      </c>
      <c r="K87">
        <v>4.5949586512691452E-2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0.20400746951777821</v>
      </c>
      <c r="F89">
        <v>0.34826098587943499</v>
      </c>
      <c r="G89">
        <v>0.35863497824256368</v>
      </c>
      <c r="H89">
        <v>1.1547005383792512</v>
      </c>
      <c r="I89">
        <v>3.8680621455587763</v>
      </c>
      <c r="J89">
        <v>0.30573876181503457</v>
      </c>
      <c r="K89">
        <v>7.5453762630619772E-2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0.63682764587402196</v>
      </c>
      <c r="F90">
        <v>0.9822882010337477</v>
      </c>
      <c r="G90">
        <v>0.89458075391477199</v>
      </c>
      <c r="H90">
        <v>0.8925823753039811</v>
      </c>
      <c r="I90">
        <v>2.9575754846246518</v>
      </c>
      <c r="J90">
        <v>0.9281909617845161</v>
      </c>
      <c r="K90">
        <v>6.6987508426051057E-2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9.0415498077539347E-2</v>
      </c>
      <c r="F91">
        <v>0.18078928677932765</v>
      </c>
      <c r="G91">
        <v>0.15931366747881526</v>
      </c>
      <c r="H91">
        <v>1.1296097111602359</v>
      </c>
      <c r="I91">
        <v>3.8243878836705627</v>
      </c>
      <c r="J91">
        <v>0.1250490099999228</v>
      </c>
      <c r="K91">
        <v>0.11243883842315089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1.2785336757514485</v>
      </c>
      <c r="F94">
        <v>1.3141098967542708</v>
      </c>
      <c r="G94">
        <v>0.78024522343661262</v>
      </c>
      <c r="H94">
        <v>1.7169710080933609</v>
      </c>
      <c r="I94">
        <v>4.9834145042429725</v>
      </c>
      <c r="J94">
        <v>1.8147614905916862</v>
      </c>
      <c r="K94">
        <v>0.16013013503223958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0.45294316543150509</v>
      </c>
      <c r="F96">
        <v>0.59843870938375032</v>
      </c>
      <c r="G96">
        <v>0.39183329788742094</v>
      </c>
      <c r="H96">
        <v>1.2079295496579319</v>
      </c>
      <c r="I96">
        <v>3.6913535681312863</v>
      </c>
      <c r="J96">
        <v>0.67768888305934483</v>
      </c>
      <c r="K96">
        <v>1.7007421983774727E-2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1.1148246917818938</v>
      </c>
      <c r="F97">
        <v>1.1986943446384206</v>
      </c>
      <c r="G97">
        <v>0.68120933188422517</v>
      </c>
      <c r="H97">
        <v>1.6588975223627136</v>
      </c>
      <c r="I97">
        <v>5.322307352579883</v>
      </c>
      <c r="J97">
        <v>1.7281356275630557</v>
      </c>
      <c r="K97">
        <v>3.6232061173777398E-2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0.73414097338288964</v>
      </c>
      <c r="F101">
        <v>1.0142844004792364</v>
      </c>
      <c r="G101">
        <v>0.49221512281573199</v>
      </c>
      <c r="H101">
        <v>1.1964063782051484</v>
      </c>
      <c r="I101">
        <v>4.4833935896103299</v>
      </c>
      <c r="J101">
        <v>1.1996673366677015</v>
      </c>
      <c r="K101">
        <v>7.2849686716596987E-2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0.91803189244184569</v>
      </c>
      <c r="F103">
        <v>1.2851063128372375</v>
      </c>
      <c r="G103">
        <v>0.51403604019134097</v>
      </c>
      <c r="H103">
        <v>1.3838036052649398</v>
      </c>
      <c r="I103">
        <v>4.7918309546709787</v>
      </c>
      <c r="J103">
        <v>1.4811671046144839</v>
      </c>
      <c r="K103">
        <v>8.2739519008030338E-2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1.4178365471055898</v>
      </c>
      <c r="F104">
        <v>1.9031300408981928</v>
      </c>
      <c r="G104">
        <v>1.096072398866659</v>
      </c>
      <c r="H104">
        <v>1.8463616610510589</v>
      </c>
      <c r="I104">
        <v>7.1533126188449625</v>
      </c>
      <c r="J104">
        <v>1.9161510333501159</v>
      </c>
      <c r="K104">
        <v>5.3645134841422248E-2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t="s">
        <v>173</v>
      </c>
      <c r="F106" t="s">
        <v>173</v>
      </c>
      <c r="G106" t="s">
        <v>173</v>
      </c>
      <c r="H106" t="s">
        <v>173</v>
      </c>
      <c r="I106" t="s">
        <v>173</v>
      </c>
      <c r="J106" t="e">
        <v>#DIV/0!</v>
      </c>
      <c r="K106">
        <v>0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1.4178365471055898</v>
      </c>
      <c r="F112">
        <v>1.9031300408981928</v>
      </c>
      <c r="G112">
        <v>1.096072398866659</v>
      </c>
      <c r="H112">
        <v>1.8463616610510589</v>
      </c>
      <c r="I112">
        <v>7.1533126188449625</v>
      </c>
      <c r="J112">
        <v>1.9161510333501159</v>
      </c>
      <c r="K112">
        <v>5.3645134841422248E-2</v>
      </c>
    </row>
    <row r="113" spans="1:12" x14ac:dyDescent="0.25">
      <c r="A113" t="s">
        <v>1</v>
      </c>
      <c r="B113" t="s">
        <v>48</v>
      </c>
      <c r="C113" t="s">
        <v>27</v>
      </c>
      <c r="E113">
        <v>1.2142928571218488</v>
      </c>
      <c r="F113">
        <v>1.4642195106985127</v>
      </c>
      <c r="G113">
        <v>0.83722878642359777</v>
      </c>
      <c r="H113">
        <v>2.2169928152470724</v>
      </c>
      <c r="I113">
        <v>11.731485630645476</v>
      </c>
      <c r="J113">
        <v>1.5887837088381087</v>
      </c>
      <c r="K113">
        <v>7.555904383869759E-2</v>
      </c>
    </row>
    <row r="114" spans="1:12" x14ac:dyDescent="0.25">
      <c r="A114" t="s">
        <v>1</v>
      </c>
      <c r="B114" t="s">
        <v>48</v>
      </c>
      <c r="C114" t="s">
        <v>2</v>
      </c>
      <c r="E114">
        <v>0.77542723089977916</v>
      </c>
      <c r="F114">
        <v>0.73304947886315819</v>
      </c>
      <c r="G114">
        <v>0.64597525868495675</v>
      </c>
      <c r="H114">
        <v>1.8348904498274923</v>
      </c>
      <c r="I114">
        <v>3.5367425562644543</v>
      </c>
      <c r="J114">
        <v>0.76957243138042808</v>
      </c>
      <c r="K114">
        <v>6.4865890440953353E-2</v>
      </c>
    </row>
    <row r="115" spans="1:12" x14ac:dyDescent="0.25">
      <c r="A115" t="s">
        <v>1</v>
      </c>
      <c r="B115" t="s">
        <v>48</v>
      </c>
      <c r="C115" t="s">
        <v>11</v>
      </c>
      <c r="E115">
        <v>1.0116829915590337</v>
      </c>
      <c r="F115">
        <v>1.0713002782999186</v>
      </c>
      <c r="G115">
        <v>0.57872255190476962</v>
      </c>
      <c r="H115">
        <v>4.1590668668399626</v>
      </c>
      <c r="I115">
        <v>9.9374064716086643</v>
      </c>
      <c r="J115">
        <v>1.4189145402775258</v>
      </c>
      <c r="K115">
        <v>0.13134064628630088</v>
      </c>
    </row>
    <row r="116" spans="1:12" x14ac:dyDescent="0.25">
      <c r="A116" t="s">
        <v>1</v>
      </c>
      <c r="B116" t="s">
        <v>48</v>
      </c>
      <c r="C116" t="s">
        <v>146</v>
      </c>
      <c r="E116">
        <v>0.20400746951777821</v>
      </c>
      <c r="F116">
        <v>0.34826098587943499</v>
      </c>
      <c r="G116">
        <v>0.35863497824256368</v>
      </c>
      <c r="H116">
        <v>1.1547005383792512</v>
      </c>
      <c r="I116">
        <v>3.8680621455587763</v>
      </c>
      <c r="J116">
        <v>0.30573876181503457</v>
      </c>
      <c r="K116">
        <v>7.5453762630619772E-2</v>
      </c>
    </row>
    <row r="117" spans="1:12" x14ac:dyDescent="0.25">
      <c r="A117" t="s">
        <v>1</v>
      </c>
      <c r="B117" t="s">
        <v>48</v>
      </c>
      <c r="C117" t="s">
        <v>10</v>
      </c>
      <c r="E117">
        <v>0.63682764587402196</v>
      </c>
      <c r="F117">
        <v>0.9822882010337477</v>
      </c>
      <c r="G117">
        <v>0.89458075391477199</v>
      </c>
      <c r="H117">
        <v>0.8925823753039811</v>
      </c>
      <c r="I117">
        <v>2.9575754846246518</v>
      </c>
      <c r="J117">
        <v>0.9281909617845161</v>
      </c>
      <c r="K117">
        <v>6.6987508426051057E-2</v>
      </c>
    </row>
    <row r="118" spans="1:12" x14ac:dyDescent="0.25">
      <c r="A118" t="s">
        <v>1</v>
      </c>
      <c r="B118" t="s">
        <v>48</v>
      </c>
      <c r="C118" t="s">
        <v>31</v>
      </c>
      <c r="E118">
        <v>9.0415498077539347E-2</v>
      </c>
      <c r="F118">
        <v>0.18078928677932765</v>
      </c>
      <c r="G118">
        <v>0.15931366747881526</v>
      </c>
      <c r="H118">
        <v>1.1296097111602359</v>
      </c>
      <c r="I118">
        <v>3.8243878836705627</v>
      </c>
      <c r="J118">
        <v>0.1250490099999228</v>
      </c>
      <c r="K118">
        <v>0.11243883842315089</v>
      </c>
    </row>
    <row r="119" spans="1:12" x14ac:dyDescent="0.25">
      <c r="A119" t="s">
        <v>1</v>
      </c>
      <c r="B119" t="s">
        <v>48</v>
      </c>
      <c r="C119" t="s">
        <v>9</v>
      </c>
      <c r="E119">
        <v>0.95946315490018463</v>
      </c>
      <c r="F119">
        <v>1.0088527819969428</v>
      </c>
      <c r="G119">
        <v>0.74544607121821049</v>
      </c>
      <c r="H119">
        <v>2.1597389749002134</v>
      </c>
      <c r="I119">
        <v>7.0077546828721733</v>
      </c>
      <c r="J119">
        <v>1.4433475306005372</v>
      </c>
      <c r="K119">
        <v>9.1884860298331344E-2</v>
      </c>
    </row>
    <row r="120" spans="1:12" x14ac:dyDescent="0.25">
      <c r="A120" t="s">
        <v>1</v>
      </c>
      <c r="B120" t="s">
        <v>48</v>
      </c>
      <c r="C120" t="s">
        <v>44</v>
      </c>
      <c r="E120" t="s">
        <v>173</v>
      </c>
      <c r="F120" t="s">
        <v>173</v>
      </c>
      <c r="G120" t="s">
        <v>173</v>
      </c>
      <c r="H120" t="s">
        <v>173</v>
      </c>
      <c r="I120" t="s">
        <v>173</v>
      </c>
      <c r="J120" t="e">
        <v>#DIV/0!</v>
      </c>
      <c r="K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1.1565751507004944</v>
      </c>
      <c r="F121">
        <v>1.4144682336271133</v>
      </c>
      <c r="G121">
        <v>0.74851692835989192</v>
      </c>
      <c r="H121">
        <v>3.2374142001299671</v>
      </c>
      <c r="I121">
        <v>8.1576705511943146</v>
      </c>
      <c r="J121">
        <v>1.770599561207175</v>
      </c>
      <c r="K121">
        <v>0.23117619064357223</v>
      </c>
    </row>
    <row r="126" spans="1:12" x14ac:dyDescent="0.25">
      <c r="B126" t="s">
        <v>128</v>
      </c>
      <c r="E126">
        <f>AVERAGE(E80,E83,E82,E78,E84)</f>
        <v>1.8066543665017953</v>
      </c>
      <c r="F126">
        <f t="shared" ref="F126:L126" si="0">AVERAGE(F80,F83,F82,F78,F84)</f>
        <v>1.0597169433391171</v>
      </c>
      <c r="G126">
        <f t="shared" si="0"/>
        <v>0.99079092984679262</v>
      </c>
      <c r="H126">
        <f t="shared" si="0"/>
        <v>4.4709805039461603</v>
      </c>
      <c r="I126">
        <f t="shared" si="0"/>
        <v>9.7361183230279114</v>
      </c>
      <c r="J126" t="e">
        <f t="shared" si="0"/>
        <v>#DIV/0!</v>
      </c>
      <c r="K126">
        <f t="shared" si="0"/>
        <v>7.9052129768531973E-3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1.0899936256725629</v>
      </c>
      <c r="F131">
        <f t="shared" ref="F131:L131" si="1">AVERAGE(F79,F81)</f>
        <v>1.1984591556770208</v>
      </c>
      <c r="G131">
        <f t="shared" si="1"/>
        <v>0.54684634104665719</v>
      </c>
      <c r="H131">
        <f t="shared" si="1"/>
        <v>4.5434353493896591</v>
      </c>
      <c r="I131">
        <f t="shared" si="1"/>
        <v>10.189026325390769</v>
      </c>
      <c r="J131" t="e">
        <f t="shared" si="1"/>
        <v>#DIV/0!</v>
      </c>
      <c r="K131">
        <f t="shared" si="1"/>
        <v>5.5156197381549768E-2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1.8066543665017953</v>
      </c>
      <c r="F136">
        <f t="shared" ref="F136:L136" si="2">MAX(F14:F131)</f>
        <v>1.9031300408981928</v>
      </c>
      <c r="G136">
        <f t="shared" si="2"/>
        <v>1.096072398866659</v>
      </c>
      <c r="H136">
        <f t="shared" si="2"/>
        <v>9.5844421306691547</v>
      </c>
      <c r="I136">
        <f t="shared" si="2"/>
        <v>15.171854424119244</v>
      </c>
      <c r="J136" t="e">
        <f t="shared" si="2"/>
        <v>#DIV/0!</v>
      </c>
      <c r="K136">
        <f t="shared" si="2"/>
        <v>0.23117619064357223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356" t="s">
        <v>3</v>
      </c>
      <c r="E8" s="356"/>
      <c r="F8" s="356" t="s">
        <v>4</v>
      </c>
      <c r="G8" s="356"/>
      <c r="H8" s="356" t="s">
        <v>5</v>
      </c>
      <c r="I8" s="356"/>
      <c r="J8" s="356" t="s">
        <v>30</v>
      </c>
      <c r="K8" s="356"/>
      <c r="L8" s="356" t="s">
        <v>60</v>
      </c>
      <c r="M8" s="356"/>
      <c r="N8" s="356" t="s">
        <v>48</v>
      </c>
      <c r="O8" s="356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Report</vt:lpstr>
      <vt:lpstr>Plants</vt:lpstr>
      <vt:lpstr>Mines</vt:lpstr>
      <vt:lpstr>Data</vt:lpstr>
      <vt:lpstr>Quality Norms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2022-05-13T08:32:49Z</cp:lastPrinted>
  <dcterms:created xsi:type="dcterms:W3CDTF">2010-12-14T06:51:01Z</dcterms:created>
  <dcterms:modified xsi:type="dcterms:W3CDTF">2022-06-06T09:06:51Z</dcterms:modified>
</cp:coreProperties>
</file>